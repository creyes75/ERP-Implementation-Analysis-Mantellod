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binary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Data/itemProps1.xml" ContentType="application/vnd.ms-excel.customData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Bodega Data\Desktop\"/>
    </mc:Choice>
  </mc:AlternateContent>
  <bookViews>
    <workbookView xWindow="0" yWindow="840" windowWidth="15600" windowHeight="6180" tabRatio="466" firstSheet="1" activeTab="2"/>
  </bookViews>
  <sheets>
    <sheet name="LISTA" sheetId="10" state="hidden" r:id="rId1"/>
    <sheet name="BD_FUENTE" sheetId="27" r:id="rId2"/>
    <sheet name="BD_DETALLE" sheetId="28" r:id="rId3"/>
    <sheet name="Hoja2" sheetId="33" state="hidden" r:id="rId4"/>
    <sheet name="Hoja1" sheetId="32" state="hidden" r:id="rId5"/>
  </sheets>
  <definedNames>
    <definedName name="_xlnm._FilterDatabase" localSheetId="2" hidden="1">BD_DETALLE!$B$7:$Q$7</definedName>
    <definedName name="_xlnm._FilterDatabase" localSheetId="0" hidden="1">LISTA!$C$9</definedName>
    <definedName name="_xlnm.Print_Area" localSheetId="2">BD_DETALLE!$C$8:$R$923</definedName>
    <definedName name="BD_DETALLE">Tabla3[#All]</definedName>
    <definedName name="REQUISICIONES">Tabla3[[FECHA]:[STATUS]]</definedName>
    <definedName name="SOLICITANTES">Tabla1[[#All],[ALFONSO ARIAS]]</definedName>
    <definedName name="_xlnm.Print_Titles" localSheetId="2">BD_DETALLE!$7:$7</definedName>
  </definedNames>
  <calcPr calcId="152511"/>
</workbook>
</file>

<file path=xl/calcChain.xml><?xml version="1.0" encoding="utf-8"?>
<calcChain xmlns="http://schemas.openxmlformats.org/spreadsheetml/2006/main">
  <c r="P923" i="28" l="1"/>
  <c r="Q923" i="28" s="1"/>
  <c r="O923" i="28"/>
  <c r="N923" i="28"/>
  <c r="R923" i="28" s="1"/>
  <c r="L923" i="28"/>
  <c r="M923" i="28" s="1"/>
  <c r="K923" i="28"/>
  <c r="P922" i="28"/>
  <c r="Q922" i="28" s="1"/>
  <c r="O922" i="28"/>
  <c r="N922" i="28"/>
  <c r="R922" i="28" s="1"/>
  <c r="L922" i="28"/>
  <c r="M922" i="28" s="1"/>
  <c r="K922" i="28"/>
  <c r="P921" i="28"/>
  <c r="Q921" i="28" s="1"/>
  <c r="O921" i="28"/>
  <c r="N921" i="28"/>
  <c r="R921" i="28" s="1"/>
  <c r="L921" i="28"/>
  <c r="M921" i="28" s="1"/>
  <c r="K921" i="28"/>
  <c r="P920" i="28"/>
  <c r="Q920" i="28" s="1"/>
  <c r="O920" i="28"/>
  <c r="N920" i="28"/>
  <c r="R920" i="28" s="1"/>
  <c r="L920" i="28"/>
  <c r="M920" i="28" s="1"/>
  <c r="K920" i="28"/>
  <c r="P919" i="28"/>
  <c r="Q919" i="28" s="1"/>
  <c r="O919" i="28"/>
  <c r="N919" i="28"/>
  <c r="R919" i="28" s="1"/>
  <c r="L919" i="28"/>
  <c r="M919" i="28" s="1"/>
  <c r="K919" i="28"/>
  <c r="P918" i="28"/>
  <c r="Q918" i="28" s="1"/>
  <c r="O918" i="28"/>
  <c r="N918" i="28"/>
  <c r="R918" i="28" s="1"/>
  <c r="L918" i="28"/>
  <c r="M918" i="28" s="1"/>
  <c r="K918" i="28"/>
  <c r="P917" i="28"/>
  <c r="Q917" i="28" s="1"/>
  <c r="O917" i="28"/>
  <c r="N917" i="28"/>
  <c r="R917" i="28" s="1"/>
  <c r="L917" i="28"/>
  <c r="M917" i="28" s="1"/>
  <c r="K917" i="28"/>
  <c r="P916" i="28"/>
  <c r="Q916" i="28" s="1"/>
  <c r="O916" i="28"/>
  <c r="N916" i="28"/>
  <c r="R916" i="28" s="1"/>
  <c r="L916" i="28"/>
  <c r="M916" i="28" s="1"/>
  <c r="K916" i="28"/>
  <c r="P915" i="28"/>
  <c r="Q915" i="28" s="1"/>
  <c r="O915" i="28"/>
  <c r="N915" i="28"/>
  <c r="R915" i="28" s="1"/>
  <c r="L915" i="28"/>
  <c r="M915" i="28" s="1"/>
  <c r="K915" i="28"/>
  <c r="P914" i="28"/>
  <c r="Q914" i="28" s="1"/>
  <c r="O914" i="28"/>
  <c r="N914" i="28"/>
  <c r="R914" i="28" s="1"/>
  <c r="L914" i="28"/>
  <c r="M914" i="28" s="1"/>
  <c r="K914" i="28"/>
  <c r="R913" i="28"/>
  <c r="P913" i="28"/>
  <c r="Q913" i="28" s="1"/>
  <c r="O913" i="28"/>
  <c r="N913" i="28"/>
  <c r="L913" i="28"/>
  <c r="M913" i="28" s="1"/>
  <c r="K913" i="28"/>
  <c r="P912" i="28"/>
  <c r="Q912" i="28" s="1"/>
  <c r="O912" i="28"/>
  <c r="N912" i="28"/>
  <c r="R912" i="28" s="1"/>
  <c r="L912" i="28"/>
  <c r="M912" i="28" s="1"/>
  <c r="K912" i="28"/>
  <c r="R911" i="28"/>
  <c r="P911" i="28"/>
  <c r="Q911" i="28" s="1"/>
  <c r="O911" i="28"/>
  <c r="N911" i="28"/>
  <c r="L911" i="28"/>
  <c r="M911" i="28" s="1"/>
  <c r="K911" i="28"/>
  <c r="P910" i="28"/>
  <c r="Q910" i="28" s="1"/>
  <c r="O910" i="28"/>
  <c r="N910" i="28"/>
  <c r="R910" i="28" s="1"/>
  <c r="L910" i="28"/>
  <c r="M910" i="28" s="1"/>
  <c r="K910" i="28"/>
  <c r="P909" i="28"/>
  <c r="Q909" i="28" s="1"/>
  <c r="O909" i="28"/>
  <c r="N909" i="28"/>
  <c r="R909" i="28" s="1"/>
  <c r="L909" i="28"/>
  <c r="M909" i="28" s="1"/>
  <c r="K909" i="28"/>
  <c r="P908" i="28"/>
  <c r="Q908" i="28" s="1"/>
  <c r="O908" i="28"/>
  <c r="N908" i="28"/>
  <c r="R908" i="28" s="1"/>
  <c r="L908" i="28"/>
  <c r="M908" i="28" s="1"/>
  <c r="K908" i="28"/>
  <c r="P907" i="28"/>
  <c r="Q907" i="28" s="1"/>
  <c r="O907" i="28"/>
  <c r="N907" i="28"/>
  <c r="R907" i="28" s="1"/>
  <c r="L907" i="28"/>
  <c r="M907" i="28" s="1"/>
  <c r="K907" i="28"/>
  <c r="R906" i="28"/>
  <c r="P906" i="28"/>
  <c r="Q906" i="28" s="1"/>
  <c r="O906" i="28"/>
  <c r="N906" i="28"/>
  <c r="L906" i="28"/>
  <c r="M906" i="28" s="1"/>
  <c r="K906" i="28"/>
  <c r="P905" i="28"/>
  <c r="Q905" i="28" s="1"/>
  <c r="O905" i="28"/>
  <c r="N905" i="28"/>
  <c r="R905" i="28" s="1"/>
  <c r="L905" i="28"/>
  <c r="M905" i="28" s="1"/>
  <c r="K905" i="28"/>
  <c r="R904" i="28"/>
  <c r="P904" i="28"/>
  <c r="Q904" i="28" s="1"/>
  <c r="O904" i="28"/>
  <c r="N904" i="28"/>
  <c r="L904" i="28"/>
  <c r="M904" i="28" s="1"/>
  <c r="K904" i="28"/>
  <c r="P903" i="28"/>
  <c r="Q903" i="28" s="1"/>
  <c r="O903" i="28"/>
  <c r="N903" i="28"/>
  <c r="R903" i="28" s="1"/>
  <c r="L903" i="28"/>
  <c r="M903" i="28" s="1"/>
  <c r="K903" i="28"/>
  <c r="R902" i="28"/>
  <c r="P902" i="28"/>
  <c r="Q902" i="28" s="1"/>
  <c r="O902" i="28"/>
  <c r="N902" i="28"/>
  <c r="L902" i="28"/>
  <c r="M902" i="28" s="1"/>
  <c r="K902" i="28"/>
  <c r="P901" i="28"/>
  <c r="Q901" i="28" s="1"/>
  <c r="O901" i="28"/>
  <c r="N901" i="28"/>
  <c r="R901" i="28" s="1"/>
  <c r="L901" i="28"/>
  <c r="M901" i="28" s="1"/>
  <c r="K901" i="28"/>
  <c r="R900" i="28"/>
  <c r="P900" i="28"/>
  <c r="Q900" i="28" s="1"/>
  <c r="O900" i="28"/>
  <c r="N900" i="28"/>
  <c r="L900" i="28"/>
  <c r="M900" i="28" s="1"/>
  <c r="K900" i="28"/>
  <c r="P899" i="28"/>
  <c r="Q899" i="28" s="1"/>
  <c r="O899" i="28"/>
  <c r="N899" i="28"/>
  <c r="R899" i="28" s="1"/>
  <c r="L899" i="28"/>
  <c r="M899" i="28" s="1"/>
  <c r="K899" i="28"/>
  <c r="R898" i="28"/>
  <c r="P898" i="28"/>
  <c r="Q898" i="28" s="1"/>
  <c r="O898" i="28"/>
  <c r="N898" i="28"/>
  <c r="L898" i="28"/>
  <c r="M898" i="28" s="1"/>
  <c r="K898" i="28"/>
  <c r="P897" i="28"/>
  <c r="Q897" i="28" s="1"/>
  <c r="O897" i="28"/>
  <c r="N897" i="28"/>
  <c r="R897" i="28" s="1"/>
  <c r="L897" i="28"/>
  <c r="M897" i="28" s="1"/>
  <c r="K897" i="28"/>
  <c r="R896" i="28"/>
  <c r="P896" i="28"/>
  <c r="Q896" i="28" s="1"/>
  <c r="O896" i="28"/>
  <c r="N896" i="28"/>
  <c r="L896" i="28"/>
  <c r="M896" i="28" s="1"/>
  <c r="K896" i="28"/>
  <c r="P895" i="28"/>
  <c r="Q895" i="28" s="1"/>
  <c r="O895" i="28"/>
  <c r="N895" i="28"/>
  <c r="R895" i="28" s="1"/>
  <c r="L895" i="28"/>
  <c r="M895" i="28" s="1"/>
  <c r="K895" i="28"/>
  <c r="R894" i="28"/>
  <c r="P894" i="28"/>
  <c r="Q894" i="28" s="1"/>
  <c r="O894" i="28"/>
  <c r="N894" i="28"/>
  <c r="L894" i="28"/>
  <c r="M894" i="28" s="1"/>
  <c r="K894" i="28"/>
  <c r="P893" i="28"/>
  <c r="Q893" i="28" s="1"/>
  <c r="O893" i="28"/>
  <c r="N893" i="28"/>
  <c r="R893" i="28" s="1"/>
  <c r="L893" i="28"/>
  <c r="M893" i="28" s="1"/>
  <c r="K893" i="28"/>
  <c r="R892" i="28"/>
  <c r="P892" i="28"/>
  <c r="Q892" i="28" s="1"/>
  <c r="O892" i="28"/>
  <c r="N892" i="28"/>
  <c r="L892" i="28"/>
  <c r="M892" i="28" s="1"/>
  <c r="K892" i="28"/>
  <c r="P891" i="28"/>
  <c r="Q891" i="28" s="1"/>
  <c r="O891" i="28"/>
  <c r="N891" i="28"/>
  <c r="R891" i="28" s="1"/>
  <c r="L891" i="28"/>
  <c r="M891" i="28" s="1"/>
  <c r="K891" i="28"/>
  <c r="R890" i="28"/>
  <c r="P890" i="28"/>
  <c r="Q890" i="28" s="1"/>
  <c r="O890" i="28"/>
  <c r="N890" i="28"/>
  <c r="L890" i="28"/>
  <c r="M890" i="28" s="1"/>
  <c r="K890" i="28"/>
  <c r="P889" i="28"/>
  <c r="Q889" i="28" s="1"/>
  <c r="O889" i="28"/>
  <c r="N889" i="28"/>
  <c r="R889" i="28" s="1"/>
  <c r="L889" i="28"/>
  <c r="M889" i="28" s="1"/>
  <c r="K889" i="28"/>
  <c r="R888" i="28"/>
  <c r="P888" i="28"/>
  <c r="Q888" i="28" s="1"/>
  <c r="O888" i="28"/>
  <c r="N888" i="28"/>
  <c r="L888" i="28"/>
  <c r="M888" i="28" s="1"/>
  <c r="K888" i="28"/>
  <c r="P887" i="28"/>
  <c r="Q887" i="28" s="1"/>
  <c r="O887" i="28"/>
  <c r="N887" i="28"/>
  <c r="R887" i="28" s="1"/>
  <c r="L887" i="28"/>
  <c r="M887" i="28" s="1"/>
  <c r="K887" i="28"/>
  <c r="R886" i="28"/>
  <c r="P886" i="28"/>
  <c r="Q886" i="28" s="1"/>
  <c r="O886" i="28"/>
  <c r="N886" i="28"/>
  <c r="L886" i="28"/>
  <c r="M886" i="28" s="1"/>
  <c r="K886" i="28"/>
  <c r="P885" i="28"/>
  <c r="Q885" i="28" s="1"/>
  <c r="O885" i="28"/>
  <c r="N885" i="28"/>
  <c r="R885" i="28" s="1"/>
  <c r="L885" i="28"/>
  <c r="M885" i="28" s="1"/>
  <c r="K885" i="28"/>
  <c r="R884" i="28"/>
  <c r="P884" i="28"/>
  <c r="Q884" i="28" s="1"/>
  <c r="O884" i="28"/>
  <c r="N884" i="28"/>
  <c r="L884" i="28"/>
  <c r="M884" i="28" s="1"/>
  <c r="K884" i="28"/>
  <c r="P883" i="28"/>
  <c r="Q883" i="28" s="1"/>
  <c r="O883" i="28"/>
  <c r="N883" i="28"/>
  <c r="R883" i="28" s="1"/>
  <c r="L883" i="28"/>
  <c r="M883" i="28" s="1"/>
  <c r="K883" i="28"/>
  <c r="R882" i="28"/>
  <c r="P882" i="28"/>
  <c r="Q882" i="28" s="1"/>
  <c r="O882" i="28"/>
  <c r="N882" i="28"/>
  <c r="L882" i="28"/>
  <c r="M882" i="28" s="1"/>
  <c r="K882" i="28"/>
  <c r="P881" i="28"/>
  <c r="Q881" i="28" s="1"/>
  <c r="O881" i="28"/>
  <c r="N881" i="28"/>
  <c r="R881" i="28" s="1"/>
  <c r="M881" i="28"/>
  <c r="L881" i="28"/>
  <c r="K881" i="28"/>
  <c r="Q880" i="28"/>
  <c r="P880" i="28"/>
  <c r="O880" i="28"/>
  <c r="N880" i="28"/>
  <c r="R880" i="28" s="1"/>
  <c r="M880" i="28"/>
  <c r="L880" i="28"/>
  <c r="K880" i="28"/>
  <c r="Q879" i="28"/>
  <c r="P879" i="28"/>
  <c r="O879" i="28"/>
  <c r="N879" i="28"/>
  <c r="R879" i="28" s="1"/>
  <c r="M879" i="28"/>
  <c r="L879" i="28"/>
  <c r="K879" i="28"/>
  <c r="Q878" i="28"/>
  <c r="P878" i="28"/>
  <c r="O878" i="28"/>
  <c r="N878" i="28"/>
  <c r="R878" i="28" s="1"/>
  <c r="M878" i="28"/>
  <c r="L878" i="28"/>
  <c r="K878" i="28"/>
  <c r="Q877" i="28"/>
  <c r="P877" i="28"/>
  <c r="O877" i="28"/>
  <c r="N877" i="28"/>
  <c r="R877" i="28" s="1"/>
  <c r="M877" i="28"/>
  <c r="L877" i="28"/>
  <c r="K877" i="28"/>
  <c r="Q876" i="28"/>
  <c r="P876" i="28"/>
  <c r="O876" i="28"/>
  <c r="N876" i="28"/>
  <c r="R876" i="28" s="1"/>
  <c r="M876" i="28"/>
  <c r="L876" i="28"/>
  <c r="K876" i="28"/>
  <c r="Q875" i="28"/>
  <c r="P875" i="28"/>
  <c r="O875" i="28"/>
  <c r="N875" i="28"/>
  <c r="R875" i="28" s="1"/>
  <c r="M875" i="28"/>
  <c r="L875" i="28"/>
  <c r="K875" i="28"/>
  <c r="Q874" i="28"/>
  <c r="P874" i="28"/>
  <c r="O874" i="28"/>
  <c r="N874" i="28"/>
  <c r="R874" i="28" s="1"/>
  <c r="M874" i="28"/>
  <c r="L874" i="28"/>
  <c r="K874" i="28"/>
  <c r="Q873" i="28"/>
  <c r="P873" i="28"/>
  <c r="O873" i="28"/>
  <c r="N873" i="28"/>
  <c r="R873" i="28" s="1"/>
  <c r="M873" i="28"/>
  <c r="L873" i="28"/>
  <c r="K873" i="28"/>
  <c r="Q872" i="28"/>
  <c r="P872" i="28"/>
  <c r="O872" i="28"/>
  <c r="N872" i="28"/>
  <c r="R872" i="28" s="1"/>
  <c r="M872" i="28"/>
  <c r="L872" i="28"/>
  <c r="K872" i="28"/>
  <c r="Q871" i="28"/>
  <c r="P871" i="28"/>
  <c r="O871" i="28"/>
  <c r="N871" i="28"/>
  <c r="R871" i="28" s="1"/>
  <c r="M871" i="28"/>
  <c r="L871" i="28"/>
  <c r="K871" i="28"/>
  <c r="Q870" i="28"/>
  <c r="P870" i="28"/>
  <c r="O870" i="28"/>
  <c r="N870" i="28"/>
  <c r="R870" i="28" s="1"/>
  <c r="M870" i="28"/>
  <c r="L870" i="28"/>
  <c r="K870" i="28"/>
  <c r="Q869" i="28"/>
  <c r="P869" i="28"/>
  <c r="O869" i="28"/>
  <c r="N869" i="28"/>
  <c r="R869" i="28" s="1"/>
  <c r="M869" i="28"/>
  <c r="L869" i="28"/>
  <c r="K869" i="28"/>
  <c r="Q868" i="28"/>
  <c r="P868" i="28"/>
  <c r="O868" i="28"/>
  <c r="N868" i="28"/>
  <c r="R868" i="28" s="1"/>
  <c r="M868" i="28"/>
  <c r="L868" i="28"/>
  <c r="K868" i="28"/>
  <c r="Q867" i="28"/>
  <c r="P867" i="28"/>
  <c r="O867" i="28"/>
  <c r="N867" i="28"/>
  <c r="R867" i="28" s="1"/>
  <c r="M867" i="28"/>
  <c r="L867" i="28"/>
  <c r="K867" i="28"/>
  <c r="Q866" i="28"/>
  <c r="P866" i="28"/>
  <c r="O866" i="28"/>
  <c r="N866" i="28"/>
  <c r="R866" i="28" s="1"/>
  <c r="M866" i="28"/>
  <c r="L866" i="28"/>
  <c r="K866" i="28"/>
  <c r="Q865" i="28"/>
  <c r="P865" i="28"/>
  <c r="O865" i="28"/>
  <c r="N865" i="28"/>
  <c r="R865" i="28" s="1"/>
  <c r="M865" i="28"/>
  <c r="L865" i="28"/>
  <c r="K865" i="28"/>
  <c r="Q864" i="28"/>
  <c r="P864" i="28"/>
  <c r="O864" i="28"/>
  <c r="N864" i="28"/>
  <c r="R864" i="28" s="1"/>
  <c r="M864" i="28"/>
  <c r="L864" i="28"/>
  <c r="K864" i="28"/>
  <c r="Q863" i="28"/>
  <c r="P863" i="28"/>
  <c r="O863" i="28"/>
  <c r="N863" i="28"/>
  <c r="R863" i="28" s="1"/>
  <c r="M863" i="28"/>
  <c r="L863" i="28"/>
  <c r="K863" i="28"/>
  <c r="Q862" i="28"/>
  <c r="P862" i="28"/>
  <c r="O862" i="28"/>
  <c r="N862" i="28"/>
  <c r="R862" i="28" s="1"/>
  <c r="M862" i="28"/>
  <c r="L862" i="28"/>
  <c r="K862" i="28"/>
  <c r="Q861" i="28"/>
  <c r="P861" i="28"/>
  <c r="O861" i="28"/>
  <c r="N861" i="28"/>
  <c r="R861" i="28" s="1"/>
  <c r="M861" i="28"/>
  <c r="L861" i="28"/>
  <c r="K861" i="28"/>
  <c r="Q860" i="28"/>
  <c r="P860" i="28"/>
  <c r="O860" i="28"/>
  <c r="N860" i="28"/>
  <c r="R860" i="28" s="1"/>
  <c r="M860" i="28"/>
  <c r="L860" i="28"/>
  <c r="K860" i="28"/>
  <c r="Q859" i="28"/>
  <c r="P859" i="28"/>
  <c r="O859" i="28"/>
  <c r="N859" i="28"/>
  <c r="R859" i="28" s="1"/>
  <c r="M859" i="28"/>
  <c r="L859" i="28"/>
  <c r="K859" i="28"/>
  <c r="Q858" i="28"/>
  <c r="P858" i="28"/>
  <c r="O858" i="28"/>
  <c r="N858" i="28"/>
  <c r="R858" i="28" s="1"/>
  <c r="M858" i="28"/>
  <c r="L858" i="28"/>
  <c r="K858" i="28"/>
  <c r="Q857" i="28"/>
  <c r="P857" i="28"/>
  <c r="O857" i="28"/>
  <c r="N857" i="28"/>
  <c r="R857" i="28" s="1"/>
  <c r="M857" i="28"/>
  <c r="L857" i="28"/>
  <c r="K857" i="28"/>
  <c r="Q856" i="28"/>
  <c r="P856" i="28"/>
  <c r="O856" i="28"/>
  <c r="N856" i="28"/>
  <c r="R856" i="28" s="1"/>
  <c r="M856" i="28"/>
  <c r="L856" i="28"/>
  <c r="K856" i="28"/>
  <c r="Q855" i="28"/>
  <c r="P855" i="28"/>
  <c r="O855" i="28"/>
  <c r="N855" i="28"/>
  <c r="R855" i="28" s="1"/>
  <c r="M855" i="28"/>
  <c r="L855" i="28"/>
  <c r="K855" i="28"/>
  <c r="Q854" i="28"/>
  <c r="P854" i="28"/>
  <c r="O854" i="28"/>
  <c r="N854" i="28"/>
  <c r="R854" i="28" s="1"/>
  <c r="M854" i="28"/>
  <c r="L854" i="28"/>
  <c r="K854" i="28"/>
  <c r="Q853" i="28"/>
  <c r="P853" i="28"/>
  <c r="O853" i="28"/>
  <c r="N853" i="28"/>
  <c r="R853" i="28" s="1"/>
  <c r="M853" i="28"/>
  <c r="L853" i="28"/>
  <c r="K853" i="28"/>
  <c r="Q852" i="28"/>
  <c r="P852" i="28"/>
  <c r="O852" i="28"/>
  <c r="N852" i="28"/>
  <c r="R852" i="28" s="1"/>
  <c r="M852" i="28"/>
  <c r="L852" i="28"/>
  <c r="K852" i="28"/>
  <c r="Q851" i="28"/>
  <c r="P851" i="28"/>
  <c r="O851" i="28"/>
  <c r="N851" i="28"/>
  <c r="R851" i="28" s="1"/>
  <c r="M851" i="28"/>
  <c r="L851" i="28"/>
  <c r="K851" i="28"/>
  <c r="Q850" i="28"/>
  <c r="P850" i="28"/>
  <c r="O850" i="28"/>
  <c r="N850" i="28"/>
  <c r="R850" i="28" s="1"/>
  <c r="M850" i="28"/>
  <c r="L850" i="28"/>
  <c r="K850" i="28"/>
  <c r="Q849" i="28"/>
  <c r="P849" i="28"/>
  <c r="O849" i="28"/>
  <c r="N849" i="28"/>
  <c r="R849" i="28" s="1"/>
  <c r="M849" i="28"/>
  <c r="L849" i="28"/>
  <c r="K849" i="28"/>
  <c r="Q848" i="28"/>
  <c r="P848" i="28"/>
  <c r="O848" i="28"/>
  <c r="N848" i="28"/>
  <c r="R848" i="28" s="1"/>
  <c r="M848" i="28"/>
  <c r="L848" i="28"/>
  <c r="K848" i="28"/>
  <c r="Q847" i="28"/>
  <c r="P847" i="28"/>
  <c r="O847" i="28"/>
  <c r="N847" i="28"/>
  <c r="R847" i="28" s="1"/>
  <c r="M847" i="28"/>
  <c r="L847" i="28"/>
  <c r="K847" i="28"/>
  <c r="Q846" i="28"/>
  <c r="P846" i="28"/>
  <c r="O846" i="28"/>
  <c r="N846" i="28"/>
  <c r="R846" i="28" s="1"/>
  <c r="M846" i="28"/>
  <c r="L846" i="28"/>
  <c r="K846" i="28"/>
  <c r="Q845" i="28"/>
  <c r="P845" i="28"/>
  <c r="O845" i="28"/>
  <c r="N845" i="28"/>
  <c r="R845" i="28" s="1"/>
  <c r="M845" i="28"/>
  <c r="L845" i="28"/>
  <c r="K845" i="28"/>
  <c r="Q844" i="28"/>
  <c r="P844" i="28"/>
  <c r="O844" i="28"/>
  <c r="N844" i="28"/>
  <c r="R844" i="28" s="1"/>
  <c r="M844" i="28"/>
  <c r="L844" i="28"/>
  <c r="K844" i="28"/>
  <c r="Q843" i="28"/>
  <c r="P843" i="28"/>
  <c r="O843" i="28"/>
  <c r="N843" i="28"/>
  <c r="R843" i="28" s="1"/>
  <c r="M843" i="28"/>
  <c r="L843" i="28"/>
  <c r="K843" i="28"/>
  <c r="Q842" i="28"/>
  <c r="P842" i="28"/>
  <c r="O842" i="28"/>
  <c r="N842" i="28"/>
  <c r="R842" i="28" s="1"/>
  <c r="M842" i="28"/>
  <c r="L842" i="28"/>
  <c r="K842" i="28"/>
  <c r="Q841" i="28"/>
  <c r="P841" i="28"/>
  <c r="O841" i="28"/>
  <c r="N841" i="28"/>
  <c r="R841" i="28" s="1"/>
  <c r="M841" i="28"/>
  <c r="L841" i="28"/>
  <c r="K841" i="28"/>
  <c r="Q840" i="28"/>
  <c r="P840" i="28"/>
  <c r="O840" i="28"/>
  <c r="N840" i="28"/>
  <c r="R840" i="28" s="1"/>
  <c r="M840" i="28"/>
  <c r="L840" i="28"/>
  <c r="K840" i="28"/>
  <c r="Q839" i="28"/>
  <c r="P839" i="28"/>
  <c r="O839" i="28"/>
  <c r="N839" i="28"/>
  <c r="R839" i="28" s="1"/>
  <c r="M839" i="28"/>
  <c r="L839" i="28"/>
  <c r="K839" i="28"/>
  <c r="Q838" i="28"/>
  <c r="P838" i="28"/>
  <c r="O838" i="28"/>
  <c r="N838" i="28"/>
  <c r="R838" i="28" s="1"/>
  <c r="M838" i="28"/>
  <c r="L838" i="28"/>
  <c r="K838" i="28"/>
  <c r="Q837" i="28"/>
  <c r="P837" i="28"/>
  <c r="O837" i="28"/>
  <c r="N837" i="28"/>
  <c r="R837" i="28" s="1"/>
  <c r="M837" i="28"/>
  <c r="L837" i="28"/>
  <c r="K837" i="28"/>
  <c r="Q836" i="28"/>
  <c r="P836" i="28"/>
  <c r="O836" i="28"/>
  <c r="N836" i="28"/>
  <c r="R836" i="28" s="1"/>
  <c r="M836" i="28"/>
  <c r="L836" i="28"/>
  <c r="K836" i="28"/>
  <c r="Q835" i="28"/>
  <c r="P835" i="28"/>
  <c r="O835" i="28"/>
  <c r="N835" i="28"/>
  <c r="R835" i="28" s="1"/>
  <c r="M835" i="28"/>
  <c r="L835" i="28"/>
  <c r="K835" i="28"/>
  <c r="Q834" i="28"/>
  <c r="P834" i="28"/>
  <c r="O834" i="28"/>
  <c r="N834" i="28"/>
  <c r="R834" i="28" s="1"/>
  <c r="M834" i="28"/>
  <c r="L834" i="28"/>
  <c r="K834" i="28"/>
  <c r="Q833" i="28"/>
  <c r="P833" i="28"/>
  <c r="O833" i="28"/>
  <c r="N833" i="28"/>
  <c r="R833" i="28" s="1"/>
  <c r="M833" i="28"/>
  <c r="L833" i="28"/>
  <c r="K833" i="28"/>
  <c r="Q832" i="28"/>
  <c r="P832" i="28"/>
  <c r="O832" i="28"/>
  <c r="N832" i="28"/>
  <c r="R832" i="28" s="1"/>
  <c r="M832" i="28"/>
  <c r="L832" i="28"/>
  <c r="K832" i="28"/>
  <c r="Q831" i="28"/>
  <c r="P831" i="28"/>
  <c r="O831" i="28"/>
  <c r="N831" i="28"/>
  <c r="R831" i="28" s="1"/>
  <c r="M831" i="28"/>
  <c r="L831" i="28"/>
  <c r="K831" i="28"/>
  <c r="Q830" i="28"/>
  <c r="P830" i="28"/>
  <c r="O830" i="28"/>
  <c r="N830" i="28"/>
  <c r="R830" i="28" s="1"/>
  <c r="M830" i="28"/>
  <c r="L830" i="28"/>
  <c r="K830" i="28"/>
  <c r="Q829" i="28"/>
  <c r="P829" i="28"/>
  <c r="O829" i="28"/>
  <c r="N829" i="28"/>
  <c r="R829" i="28" s="1"/>
  <c r="M829" i="28"/>
  <c r="L829" i="28"/>
  <c r="K829" i="28"/>
  <c r="Q828" i="28"/>
  <c r="P828" i="28"/>
  <c r="O828" i="28"/>
  <c r="N828" i="28"/>
  <c r="R828" i="28" s="1"/>
  <c r="M828" i="28"/>
  <c r="L828" i="28"/>
  <c r="K828" i="28"/>
  <c r="Q827" i="28"/>
  <c r="P827" i="28"/>
  <c r="O827" i="28"/>
  <c r="N827" i="28"/>
  <c r="R827" i="28" s="1"/>
  <c r="M827" i="28"/>
  <c r="L827" i="28"/>
  <c r="K827" i="28"/>
  <c r="Q826" i="28"/>
  <c r="P826" i="28"/>
  <c r="O826" i="28"/>
  <c r="N826" i="28"/>
  <c r="R826" i="28" s="1"/>
  <c r="M826" i="28"/>
  <c r="L826" i="28"/>
  <c r="K826" i="28"/>
  <c r="Q825" i="28"/>
  <c r="P825" i="28"/>
  <c r="O825" i="28"/>
  <c r="N825" i="28"/>
  <c r="R825" i="28" s="1"/>
  <c r="M825" i="28"/>
  <c r="L825" i="28"/>
  <c r="K825" i="28"/>
  <c r="Q824" i="28"/>
  <c r="P824" i="28"/>
  <c r="O824" i="28"/>
  <c r="N824" i="28"/>
  <c r="R824" i="28" s="1"/>
  <c r="M824" i="28"/>
  <c r="L824" i="28"/>
  <c r="K824" i="28"/>
  <c r="Q823" i="28"/>
  <c r="P823" i="28"/>
  <c r="O823" i="28"/>
  <c r="N823" i="28"/>
  <c r="R823" i="28" s="1"/>
  <c r="M823" i="28"/>
  <c r="L823" i="28"/>
  <c r="K823" i="28"/>
  <c r="Q822" i="28"/>
  <c r="P822" i="28"/>
  <c r="O822" i="28"/>
  <c r="N822" i="28"/>
  <c r="R822" i="28" s="1"/>
  <c r="M822" i="28"/>
  <c r="L822" i="28"/>
  <c r="K822" i="28"/>
  <c r="Q821" i="28"/>
  <c r="P821" i="28"/>
  <c r="O821" i="28"/>
  <c r="N821" i="28"/>
  <c r="R821" i="28" s="1"/>
  <c r="M821" i="28"/>
  <c r="L821" i="28"/>
  <c r="K821" i="28"/>
  <c r="Q820" i="28"/>
  <c r="P820" i="28"/>
  <c r="O820" i="28"/>
  <c r="N820" i="28"/>
  <c r="R820" i="28" s="1"/>
  <c r="M820" i="28"/>
  <c r="L820" i="28"/>
  <c r="K820" i="28"/>
  <c r="Q819" i="28"/>
  <c r="P819" i="28"/>
  <c r="O819" i="28"/>
  <c r="N819" i="28"/>
  <c r="R819" i="28" s="1"/>
  <c r="M819" i="28"/>
  <c r="L819" i="28"/>
  <c r="K819" i="28"/>
  <c r="Q818" i="28"/>
  <c r="P818" i="28"/>
  <c r="O818" i="28"/>
  <c r="N818" i="28"/>
  <c r="R818" i="28" s="1"/>
  <c r="M818" i="28"/>
  <c r="L818" i="28"/>
  <c r="K818" i="28"/>
  <c r="Q817" i="28"/>
  <c r="P817" i="28"/>
  <c r="O817" i="28"/>
  <c r="N817" i="28"/>
  <c r="R817" i="28" s="1"/>
  <c r="M817" i="28"/>
  <c r="L817" i="28"/>
  <c r="K817" i="28"/>
  <c r="Q816" i="28"/>
  <c r="P816" i="28"/>
  <c r="O816" i="28"/>
  <c r="N816" i="28"/>
  <c r="R816" i="28" s="1"/>
  <c r="L816" i="28"/>
  <c r="M816" i="28" s="1"/>
  <c r="K816" i="28"/>
  <c r="R815" i="28"/>
  <c r="P815" i="28"/>
  <c r="Q815" i="28" s="1"/>
  <c r="O815" i="28"/>
  <c r="N815" i="28"/>
  <c r="L815" i="28"/>
  <c r="M815" i="28" s="1"/>
  <c r="K815" i="28"/>
  <c r="P814" i="28"/>
  <c r="Q814" i="28" s="1"/>
  <c r="O814" i="28"/>
  <c r="N814" i="28"/>
  <c r="R814" i="28" s="1"/>
  <c r="L814" i="28"/>
  <c r="M814" i="28" s="1"/>
  <c r="K814" i="28"/>
  <c r="R813" i="28"/>
  <c r="P813" i="28"/>
  <c r="Q813" i="28" s="1"/>
  <c r="O813" i="28"/>
  <c r="N813" i="28"/>
  <c r="L813" i="28"/>
  <c r="M813" i="28" s="1"/>
  <c r="K813" i="28"/>
  <c r="P812" i="28"/>
  <c r="Q812" i="28" s="1"/>
  <c r="O812" i="28"/>
  <c r="N812" i="28"/>
  <c r="R812" i="28" s="1"/>
  <c r="L812" i="28"/>
  <c r="M812" i="28" s="1"/>
  <c r="K812" i="28"/>
  <c r="R811" i="28"/>
  <c r="P811" i="28"/>
  <c r="Q811" i="28" s="1"/>
  <c r="O811" i="28"/>
  <c r="N811" i="28"/>
  <c r="L811" i="28"/>
  <c r="M811" i="28" s="1"/>
  <c r="K811" i="28"/>
  <c r="P810" i="28"/>
  <c r="Q810" i="28" s="1"/>
  <c r="O810" i="28"/>
  <c r="N810" i="28"/>
  <c r="R810" i="28" s="1"/>
  <c r="L810" i="28"/>
  <c r="M810" i="28" s="1"/>
  <c r="K810" i="28"/>
  <c r="R809" i="28"/>
  <c r="P809" i="28"/>
  <c r="Q809" i="28" s="1"/>
  <c r="O809" i="28"/>
  <c r="N809" i="28"/>
  <c r="L809" i="28"/>
  <c r="M809" i="28" s="1"/>
  <c r="K809" i="28"/>
  <c r="P808" i="28"/>
  <c r="Q808" i="28" s="1"/>
  <c r="O808" i="28"/>
  <c r="N808" i="28"/>
  <c r="R808" i="28" s="1"/>
  <c r="L808" i="28"/>
  <c r="M808" i="28" s="1"/>
  <c r="K808" i="28"/>
  <c r="R807" i="28"/>
  <c r="P807" i="28"/>
  <c r="Q807" i="28" s="1"/>
  <c r="O807" i="28"/>
  <c r="N807" i="28"/>
  <c r="L807" i="28"/>
  <c r="M807" i="28" s="1"/>
  <c r="K807" i="28"/>
  <c r="P806" i="28"/>
  <c r="Q806" i="28" s="1"/>
  <c r="O806" i="28"/>
  <c r="N806" i="28"/>
  <c r="R806" i="28" s="1"/>
  <c r="L806" i="28"/>
  <c r="M806" i="28" s="1"/>
  <c r="K806" i="28"/>
  <c r="R805" i="28"/>
  <c r="P805" i="28"/>
  <c r="Q805" i="28" s="1"/>
  <c r="O805" i="28"/>
  <c r="N805" i="28"/>
  <c r="L805" i="28"/>
  <c r="M805" i="28" s="1"/>
  <c r="K805" i="28"/>
  <c r="P804" i="28"/>
  <c r="Q804" i="28" s="1"/>
  <c r="O804" i="28"/>
  <c r="N804" i="28"/>
  <c r="R804" i="28" s="1"/>
  <c r="L804" i="28"/>
  <c r="M804" i="28" s="1"/>
  <c r="K804" i="28"/>
  <c r="R803" i="28"/>
  <c r="P803" i="28"/>
  <c r="Q803" i="28" s="1"/>
  <c r="O803" i="28"/>
  <c r="N803" i="28"/>
  <c r="L803" i="28"/>
  <c r="M803" i="28" s="1"/>
  <c r="K803" i="28"/>
  <c r="P802" i="28"/>
  <c r="Q802" i="28" s="1"/>
  <c r="O802" i="28"/>
  <c r="N802" i="28"/>
  <c r="R802" i="28" s="1"/>
  <c r="L802" i="28"/>
  <c r="M802" i="28" s="1"/>
  <c r="K802" i="28"/>
  <c r="R801" i="28"/>
  <c r="P801" i="28"/>
  <c r="Q801" i="28" s="1"/>
  <c r="O801" i="28"/>
  <c r="N801" i="28"/>
  <c r="L801" i="28"/>
  <c r="M801" i="28" s="1"/>
  <c r="K801" i="28"/>
  <c r="P800" i="28"/>
  <c r="Q800" i="28" s="1"/>
  <c r="O800" i="28"/>
  <c r="N800" i="28"/>
  <c r="R800" i="28" s="1"/>
  <c r="L800" i="28"/>
  <c r="M800" i="28" s="1"/>
  <c r="K800" i="28"/>
  <c r="R799" i="28"/>
  <c r="P799" i="28"/>
  <c r="Q799" i="28" s="1"/>
  <c r="O799" i="28"/>
  <c r="N799" i="28"/>
  <c r="L799" i="28"/>
  <c r="M799" i="28" s="1"/>
  <c r="K799" i="28"/>
  <c r="P798" i="28"/>
  <c r="Q798" i="28" s="1"/>
  <c r="O798" i="28"/>
  <c r="N798" i="28"/>
  <c r="R798" i="28" s="1"/>
  <c r="L798" i="28"/>
  <c r="M798" i="28" s="1"/>
  <c r="K798" i="28"/>
  <c r="R797" i="28"/>
  <c r="P797" i="28"/>
  <c r="Q797" i="28" s="1"/>
  <c r="O797" i="28"/>
  <c r="N797" i="28"/>
  <c r="L797" i="28"/>
  <c r="M797" i="28" s="1"/>
  <c r="K797" i="28"/>
  <c r="P796" i="28"/>
  <c r="Q796" i="28" s="1"/>
  <c r="O796" i="28"/>
  <c r="N796" i="28"/>
  <c r="R796" i="28" s="1"/>
  <c r="L796" i="28"/>
  <c r="M796" i="28" s="1"/>
  <c r="K796" i="28"/>
  <c r="R795" i="28"/>
  <c r="P795" i="28"/>
  <c r="Q795" i="28" s="1"/>
  <c r="O795" i="28"/>
  <c r="N795" i="28"/>
  <c r="L795" i="28"/>
  <c r="M795" i="28" s="1"/>
  <c r="K795" i="28"/>
  <c r="P794" i="28"/>
  <c r="Q794" i="28" s="1"/>
  <c r="O794" i="28"/>
  <c r="N794" i="28"/>
  <c r="R794" i="28" s="1"/>
  <c r="L794" i="28"/>
  <c r="M794" i="28" s="1"/>
  <c r="K794" i="28"/>
  <c r="R793" i="28"/>
  <c r="P793" i="28"/>
  <c r="Q793" i="28" s="1"/>
  <c r="O793" i="28"/>
  <c r="N793" i="28"/>
  <c r="L793" i="28"/>
  <c r="M793" i="28" s="1"/>
  <c r="K793" i="28"/>
  <c r="P792" i="28"/>
  <c r="Q792" i="28" s="1"/>
  <c r="O792" i="28"/>
  <c r="N792" i="28"/>
  <c r="R792" i="28" s="1"/>
  <c r="L792" i="28"/>
  <c r="M792" i="28" s="1"/>
  <c r="K792" i="28"/>
  <c r="R791" i="28"/>
  <c r="P791" i="28"/>
  <c r="Q791" i="28" s="1"/>
  <c r="O791" i="28"/>
  <c r="N791" i="28"/>
  <c r="L791" i="28"/>
  <c r="M791" i="28" s="1"/>
  <c r="K791" i="28"/>
  <c r="P790" i="28"/>
  <c r="Q790" i="28" s="1"/>
  <c r="O790" i="28"/>
  <c r="N790" i="28"/>
  <c r="R790" i="28" s="1"/>
  <c r="L790" i="28"/>
  <c r="M790" i="28" s="1"/>
  <c r="K790" i="28"/>
  <c r="R789" i="28"/>
  <c r="P789" i="28"/>
  <c r="Q789" i="28" s="1"/>
  <c r="O789" i="28"/>
  <c r="N789" i="28"/>
  <c r="L789" i="28"/>
  <c r="M789" i="28" s="1"/>
  <c r="K789" i="28"/>
  <c r="P788" i="28"/>
  <c r="Q788" i="28" s="1"/>
  <c r="O788" i="28"/>
  <c r="N788" i="28"/>
  <c r="R788" i="28" s="1"/>
  <c r="L788" i="28"/>
  <c r="M788" i="28" s="1"/>
  <c r="K788" i="28"/>
  <c r="R787" i="28"/>
  <c r="P787" i="28"/>
  <c r="Q787" i="28" s="1"/>
  <c r="O787" i="28"/>
  <c r="N787" i="28"/>
  <c r="L787" i="28"/>
  <c r="M787" i="28" s="1"/>
  <c r="K787" i="28"/>
  <c r="P786" i="28"/>
  <c r="Q786" i="28" s="1"/>
  <c r="O786" i="28"/>
  <c r="N786" i="28"/>
  <c r="R786" i="28" s="1"/>
  <c r="L786" i="28"/>
  <c r="M786" i="28" s="1"/>
  <c r="K786" i="28"/>
  <c r="R785" i="28"/>
  <c r="P785" i="28"/>
  <c r="Q785" i="28" s="1"/>
  <c r="O785" i="28"/>
  <c r="N785" i="28"/>
  <c r="L785" i="28"/>
  <c r="M785" i="28" s="1"/>
  <c r="K785" i="28"/>
  <c r="P784" i="28"/>
  <c r="Q784" i="28" s="1"/>
  <c r="O784" i="28"/>
  <c r="N784" i="28"/>
  <c r="R784" i="28" s="1"/>
  <c r="L784" i="28"/>
  <c r="M784" i="28" s="1"/>
  <c r="K784" i="28"/>
  <c r="R783" i="28"/>
  <c r="P783" i="28"/>
  <c r="Q783" i="28" s="1"/>
  <c r="O783" i="28"/>
  <c r="N783" i="28"/>
  <c r="L783" i="28"/>
  <c r="M783" i="28" s="1"/>
  <c r="K783" i="28"/>
  <c r="P782" i="28"/>
  <c r="Q782" i="28" s="1"/>
  <c r="O782" i="28"/>
  <c r="N782" i="28"/>
  <c r="R782" i="28" s="1"/>
  <c r="L782" i="28"/>
  <c r="M782" i="28" s="1"/>
  <c r="K782" i="28"/>
  <c r="R781" i="28"/>
  <c r="P781" i="28"/>
  <c r="Q781" i="28" s="1"/>
  <c r="O781" i="28"/>
  <c r="N781" i="28"/>
  <c r="L781" i="28"/>
  <c r="M781" i="28" s="1"/>
  <c r="K781" i="28"/>
  <c r="P780" i="28"/>
  <c r="Q780" i="28" s="1"/>
  <c r="O780" i="28"/>
  <c r="N780" i="28"/>
  <c r="R780" i="28" s="1"/>
  <c r="L780" i="28"/>
  <c r="M780" i="28" s="1"/>
  <c r="K780" i="28"/>
  <c r="P779" i="28"/>
  <c r="Q779" i="28" s="1"/>
  <c r="O779" i="28"/>
  <c r="N779" i="28"/>
  <c r="R779" i="28" s="1"/>
  <c r="L779" i="28"/>
  <c r="M779" i="28" s="1"/>
  <c r="K779" i="28"/>
  <c r="P778" i="28"/>
  <c r="Q778" i="28" s="1"/>
  <c r="O778" i="28"/>
  <c r="N778" i="28"/>
  <c r="R778" i="28" s="1"/>
  <c r="L778" i="28"/>
  <c r="M778" i="28" s="1"/>
  <c r="K778" i="28"/>
  <c r="P777" i="28"/>
  <c r="Q777" i="28" s="1"/>
  <c r="O777" i="28"/>
  <c r="N777" i="28"/>
  <c r="R777" i="28" s="1"/>
  <c r="L777" i="28"/>
  <c r="M777" i="28" s="1"/>
  <c r="K777" i="28"/>
  <c r="P776" i="28"/>
  <c r="Q776" i="28" s="1"/>
  <c r="O776" i="28"/>
  <c r="N776" i="28"/>
  <c r="R776" i="28" s="1"/>
  <c r="L776" i="28"/>
  <c r="M776" i="28" s="1"/>
  <c r="K776" i="28"/>
  <c r="P775" i="28"/>
  <c r="Q775" i="28" s="1"/>
  <c r="O775" i="28"/>
  <c r="N775" i="28"/>
  <c r="R775" i="28" s="1"/>
  <c r="L775" i="28"/>
  <c r="M775" i="28" s="1"/>
  <c r="K775" i="28"/>
  <c r="P774" i="28"/>
  <c r="Q774" i="28" s="1"/>
  <c r="O774" i="28"/>
  <c r="N774" i="28"/>
  <c r="R774" i="28" s="1"/>
  <c r="L774" i="28"/>
  <c r="M774" i="28" s="1"/>
  <c r="K774" i="28"/>
  <c r="P773" i="28"/>
  <c r="Q773" i="28" s="1"/>
  <c r="O773" i="28"/>
  <c r="N773" i="28"/>
  <c r="R773" i="28" s="1"/>
  <c r="L773" i="28"/>
  <c r="M773" i="28" s="1"/>
  <c r="K773" i="28"/>
  <c r="P772" i="28"/>
  <c r="Q772" i="28" s="1"/>
  <c r="O772" i="28"/>
  <c r="N772" i="28"/>
  <c r="R772" i="28" s="1"/>
  <c r="L772" i="28"/>
  <c r="M772" i="28" s="1"/>
  <c r="K772" i="28"/>
  <c r="P771" i="28"/>
  <c r="Q771" i="28" s="1"/>
  <c r="O771" i="28"/>
  <c r="N771" i="28"/>
  <c r="R771" i="28" s="1"/>
  <c r="L771" i="28"/>
  <c r="M771" i="28" s="1"/>
  <c r="K771" i="28"/>
  <c r="P770" i="28"/>
  <c r="Q770" i="28" s="1"/>
  <c r="O770" i="28"/>
  <c r="N770" i="28"/>
  <c r="R770" i="28" s="1"/>
  <c r="L770" i="28"/>
  <c r="M770" i="28" s="1"/>
  <c r="K770" i="28"/>
  <c r="P769" i="28"/>
  <c r="Q769" i="28" s="1"/>
  <c r="O769" i="28"/>
  <c r="N769" i="28"/>
  <c r="R769" i="28" s="1"/>
  <c r="L769" i="28"/>
  <c r="M769" i="28" s="1"/>
  <c r="K769" i="28"/>
  <c r="P768" i="28"/>
  <c r="Q768" i="28" s="1"/>
  <c r="O768" i="28"/>
  <c r="N768" i="28"/>
  <c r="R768" i="28" s="1"/>
  <c r="L768" i="28"/>
  <c r="M768" i="28" s="1"/>
  <c r="K768" i="28"/>
  <c r="P767" i="28"/>
  <c r="Q767" i="28" s="1"/>
  <c r="O767" i="28"/>
  <c r="N767" i="28"/>
  <c r="R767" i="28" s="1"/>
  <c r="L767" i="28"/>
  <c r="M767" i="28" s="1"/>
  <c r="K767" i="28"/>
  <c r="P766" i="28"/>
  <c r="Q766" i="28" s="1"/>
  <c r="O766" i="28"/>
  <c r="N766" i="28"/>
  <c r="R766" i="28" s="1"/>
  <c r="L766" i="28"/>
  <c r="M766" i="28" s="1"/>
  <c r="K766" i="28"/>
  <c r="B766" i="28" l="1"/>
  <c r="B767" i="28"/>
  <c r="B768" i="28"/>
  <c r="H768" i="28" s="1"/>
  <c r="B769" i="28"/>
  <c r="H769" i="28" s="1"/>
  <c r="B770" i="28"/>
  <c r="B771" i="28"/>
  <c r="B772" i="28"/>
  <c r="H772" i="28" s="1"/>
  <c r="B773" i="28"/>
  <c r="H773" i="28" s="1"/>
  <c r="B774" i="28"/>
  <c r="B775" i="28"/>
  <c r="B776" i="28"/>
  <c r="H776" i="28" s="1"/>
  <c r="B777" i="28"/>
  <c r="H777" i="28" s="1"/>
  <c r="B778" i="28"/>
  <c r="B779" i="28"/>
  <c r="B780" i="28"/>
  <c r="H780" i="28" s="1"/>
  <c r="B781" i="28"/>
  <c r="H781" i="28" s="1"/>
  <c r="B782" i="28"/>
  <c r="B783" i="28"/>
  <c r="B784" i="28"/>
  <c r="H784" i="28" s="1"/>
  <c r="B785" i="28"/>
  <c r="H785" i="28" s="1"/>
  <c r="B786" i="28"/>
  <c r="B787" i="28"/>
  <c r="B788" i="28"/>
  <c r="H788" i="28" s="1"/>
  <c r="B789" i="28"/>
  <c r="H789" i="28" s="1"/>
  <c r="B790" i="28"/>
  <c r="B791" i="28"/>
  <c r="B792" i="28"/>
  <c r="H792" i="28" s="1"/>
  <c r="B793" i="28"/>
  <c r="H793" i="28" s="1"/>
  <c r="B794" i="28"/>
  <c r="B795" i="28"/>
  <c r="B796" i="28"/>
  <c r="H796" i="28" s="1"/>
  <c r="B797" i="28"/>
  <c r="H797" i="28" s="1"/>
  <c r="B798" i="28"/>
  <c r="B799" i="28"/>
  <c r="B800" i="28"/>
  <c r="H800" i="28" s="1"/>
  <c r="B801" i="28"/>
  <c r="H801" i="28" s="1"/>
  <c r="B802" i="28"/>
  <c r="B803" i="28"/>
  <c r="B804" i="28"/>
  <c r="H804" i="28" s="1"/>
  <c r="B805" i="28"/>
  <c r="H805" i="28" s="1"/>
  <c r="B806" i="28"/>
  <c r="B807" i="28"/>
  <c r="B808" i="28"/>
  <c r="H808" i="28" s="1"/>
  <c r="B809" i="28"/>
  <c r="H809" i="28" s="1"/>
  <c r="B810" i="28"/>
  <c r="B811" i="28"/>
  <c r="B812" i="28"/>
  <c r="H812" i="28" s="1"/>
  <c r="B813" i="28"/>
  <c r="H813" i="28" s="1"/>
  <c r="B814" i="28"/>
  <c r="B815" i="28"/>
  <c r="B816" i="28"/>
  <c r="H816" i="28" s="1"/>
  <c r="B817" i="28"/>
  <c r="H817" i="28" s="1"/>
  <c r="B818" i="28"/>
  <c r="B819" i="28"/>
  <c r="B820" i="28"/>
  <c r="H820" i="28" s="1"/>
  <c r="B821" i="28"/>
  <c r="H821" i="28" s="1"/>
  <c r="B822" i="28"/>
  <c r="B823" i="28"/>
  <c r="B824" i="28"/>
  <c r="H824" i="28" s="1"/>
  <c r="B825" i="28"/>
  <c r="H825" i="28" s="1"/>
  <c r="B826" i="28"/>
  <c r="B827" i="28"/>
  <c r="B828" i="28"/>
  <c r="H828" i="28" s="1"/>
  <c r="B829" i="28"/>
  <c r="H829" i="28" s="1"/>
  <c r="B830" i="28"/>
  <c r="B831" i="28"/>
  <c r="B832" i="28"/>
  <c r="H832" i="28" s="1"/>
  <c r="B833" i="28"/>
  <c r="H833" i="28" s="1"/>
  <c r="B834" i="28"/>
  <c r="B835" i="28"/>
  <c r="B836" i="28"/>
  <c r="H836" i="28" s="1"/>
  <c r="B837" i="28"/>
  <c r="H837" i="28" s="1"/>
  <c r="B838" i="28"/>
  <c r="B839" i="28"/>
  <c r="B840" i="28"/>
  <c r="H840" i="28" s="1"/>
  <c r="B841" i="28"/>
  <c r="H841" i="28" s="1"/>
  <c r="B842" i="28"/>
  <c r="B843" i="28"/>
  <c r="B844" i="28"/>
  <c r="H844" i="28" s="1"/>
  <c r="B845" i="28"/>
  <c r="H845" i="28" s="1"/>
  <c r="B846" i="28"/>
  <c r="B847" i="28"/>
  <c r="B848" i="28"/>
  <c r="H848" i="28" s="1"/>
  <c r="B849" i="28"/>
  <c r="H849" i="28" s="1"/>
  <c r="B850" i="28"/>
  <c r="B851" i="28"/>
  <c r="B852" i="28"/>
  <c r="H852" i="28" s="1"/>
  <c r="B853" i="28"/>
  <c r="H853" i="28" s="1"/>
  <c r="B854" i="28"/>
  <c r="B855" i="28"/>
  <c r="B856" i="28"/>
  <c r="H856" i="28" s="1"/>
  <c r="B857" i="28"/>
  <c r="H857" i="28" s="1"/>
  <c r="B858" i="28"/>
  <c r="B859" i="28"/>
  <c r="B860" i="28"/>
  <c r="H860" i="28" s="1"/>
  <c r="B861" i="28"/>
  <c r="H861" i="28" s="1"/>
  <c r="B862" i="28"/>
  <c r="B863" i="28"/>
  <c r="B864" i="28"/>
  <c r="H864" i="28" s="1"/>
  <c r="B865" i="28"/>
  <c r="H865" i="28" s="1"/>
  <c r="B866" i="28"/>
  <c r="B867" i="28"/>
  <c r="B868" i="28"/>
  <c r="H868" i="28" s="1"/>
  <c r="B869" i="28"/>
  <c r="H869" i="28" s="1"/>
  <c r="B870" i="28"/>
  <c r="B871" i="28"/>
  <c r="B872" i="28"/>
  <c r="H872" i="28" s="1"/>
  <c r="B873" i="28"/>
  <c r="H873" i="28" s="1"/>
  <c r="B874" i="28"/>
  <c r="B875" i="28"/>
  <c r="B876" i="28"/>
  <c r="H876" i="28" s="1"/>
  <c r="B877" i="28"/>
  <c r="H877" i="28" s="1"/>
  <c r="B878" i="28"/>
  <c r="B879" i="28"/>
  <c r="B880" i="28"/>
  <c r="H880" i="28" s="1"/>
  <c r="B881" i="28"/>
  <c r="H881" i="28" s="1"/>
  <c r="B882" i="28"/>
  <c r="B883" i="28"/>
  <c r="B884" i="28"/>
  <c r="H884" i="28" s="1"/>
  <c r="B885" i="28"/>
  <c r="H885" i="28" s="1"/>
  <c r="B886" i="28"/>
  <c r="B887" i="28"/>
  <c r="B888" i="28"/>
  <c r="H888" i="28" s="1"/>
  <c r="B889" i="28"/>
  <c r="H889" i="28" s="1"/>
  <c r="B890" i="28"/>
  <c r="B891" i="28"/>
  <c r="B892" i="28"/>
  <c r="H892" i="28" s="1"/>
  <c r="B893" i="28"/>
  <c r="H893" i="28" s="1"/>
  <c r="B894" i="28"/>
  <c r="B895" i="28"/>
  <c r="B896" i="28"/>
  <c r="H896" i="28" s="1"/>
  <c r="B897" i="28"/>
  <c r="H897" i="28" s="1"/>
  <c r="B898" i="28"/>
  <c r="B899" i="28"/>
  <c r="B900" i="28"/>
  <c r="H900" i="28" s="1"/>
  <c r="B901" i="28"/>
  <c r="H901" i="28" s="1"/>
  <c r="B902" i="28"/>
  <c r="B903" i="28"/>
  <c r="B904" i="28"/>
  <c r="H904" i="28" s="1"/>
  <c r="B905" i="28"/>
  <c r="H905" i="28" s="1"/>
  <c r="B906" i="28"/>
  <c r="B907" i="28"/>
  <c r="B908" i="28"/>
  <c r="H908" i="28" s="1"/>
  <c r="B909" i="28"/>
  <c r="H909" i="28" s="1"/>
  <c r="B910" i="28"/>
  <c r="B911" i="28"/>
  <c r="B912" i="28"/>
  <c r="H912" i="28" s="1"/>
  <c r="B913" i="28"/>
  <c r="H913" i="28" s="1"/>
  <c r="B914" i="28"/>
  <c r="B915" i="28"/>
  <c r="B916" i="28"/>
  <c r="H916" i="28" s="1"/>
  <c r="B917" i="28"/>
  <c r="H917" i="28" s="1"/>
  <c r="B918" i="28"/>
  <c r="B919" i="28"/>
  <c r="B920" i="28"/>
  <c r="H920" i="28" s="1"/>
  <c r="B921" i="28"/>
  <c r="H921" i="28" s="1"/>
  <c r="B922" i="28"/>
  <c r="B923" i="28"/>
  <c r="D766" i="28"/>
  <c r="D767" i="28"/>
  <c r="D768" i="28"/>
  <c r="D769" i="28"/>
  <c r="D770" i="28"/>
  <c r="D771" i="28"/>
  <c r="D772" i="28"/>
  <c r="D773" i="28"/>
  <c r="D774" i="28"/>
  <c r="D775" i="28"/>
  <c r="D776" i="28"/>
  <c r="D777" i="28"/>
  <c r="D778" i="28"/>
  <c r="D779" i="28"/>
  <c r="D780" i="28"/>
  <c r="D781" i="28"/>
  <c r="D782" i="28"/>
  <c r="D783" i="28"/>
  <c r="D784" i="28"/>
  <c r="D785" i="28"/>
  <c r="D786" i="28"/>
  <c r="D787" i="28"/>
  <c r="D788" i="28"/>
  <c r="D789" i="28"/>
  <c r="D790" i="28"/>
  <c r="D791" i="28"/>
  <c r="D792" i="28"/>
  <c r="D793" i="28"/>
  <c r="D794" i="28"/>
  <c r="D795" i="28"/>
  <c r="D796" i="28"/>
  <c r="D797" i="28"/>
  <c r="D798" i="28"/>
  <c r="D799" i="28"/>
  <c r="D800" i="28"/>
  <c r="D801" i="28"/>
  <c r="D802" i="28"/>
  <c r="D803" i="28"/>
  <c r="D804" i="28"/>
  <c r="D805" i="28"/>
  <c r="D806" i="28"/>
  <c r="D807" i="28"/>
  <c r="D808" i="28"/>
  <c r="D809" i="28"/>
  <c r="D810" i="28"/>
  <c r="D811" i="28"/>
  <c r="D812" i="28"/>
  <c r="D813" i="28"/>
  <c r="D814" i="28"/>
  <c r="D815" i="28"/>
  <c r="D816" i="28"/>
  <c r="D817" i="28"/>
  <c r="D818" i="28"/>
  <c r="D819" i="28"/>
  <c r="D820" i="28"/>
  <c r="D821" i="28"/>
  <c r="D822" i="28"/>
  <c r="D823" i="28"/>
  <c r="D824" i="28"/>
  <c r="D825" i="28"/>
  <c r="D826" i="28"/>
  <c r="D827" i="28"/>
  <c r="D828" i="28"/>
  <c r="D829" i="28"/>
  <c r="D830" i="28"/>
  <c r="D831" i="28"/>
  <c r="D832" i="28"/>
  <c r="D833" i="28"/>
  <c r="D834" i="28"/>
  <c r="D835" i="28"/>
  <c r="D836" i="28"/>
  <c r="D837" i="28"/>
  <c r="D838" i="28"/>
  <c r="D839" i="28"/>
  <c r="D840" i="28"/>
  <c r="D841" i="28"/>
  <c r="D842" i="28"/>
  <c r="D843" i="28"/>
  <c r="D844" i="28"/>
  <c r="D845" i="28"/>
  <c r="D846" i="28"/>
  <c r="D847" i="28"/>
  <c r="D848" i="28"/>
  <c r="D849" i="28"/>
  <c r="D850" i="28"/>
  <c r="D851" i="28"/>
  <c r="D852" i="28"/>
  <c r="D853" i="28"/>
  <c r="D854" i="28"/>
  <c r="D855" i="28"/>
  <c r="D856" i="28"/>
  <c r="D857" i="28"/>
  <c r="D858" i="28"/>
  <c r="D859" i="28"/>
  <c r="D860" i="28"/>
  <c r="D861" i="28"/>
  <c r="D862" i="28"/>
  <c r="D863" i="28"/>
  <c r="D864" i="28"/>
  <c r="D865" i="28"/>
  <c r="D866" i="28"/>
  <c r="D867" i="28"/>
  <c r="D868" i="28"/>
  <c r="D869" i="28"/>
  <c r="D870" i="28"/>
  <c r="D871" i="28"/>
  <c r="D872" i="28"/>
  <c r="D873" i="28"/>
  <c r="D874" i="28"/>
  <c r="D875" i="28"/>
  <c r="D876" i="28"/>
  <c r="D877" i="28"/>
  <c r="D878" i="28"/>
  <c r="D879" i="28"/>
  <c r="D880" i="28"/>
  <c r="D881" i="28"/>
  <c r="D882" i="28"/>
  <c r="D883" i="28"/>
  <c r="D884" i="28"/>
  <c r="D885" i="28"/>
  <c r="D886" i="28"/>
  <c r="D887" i="28"/>
  <c r="D888" i="28"/>
  <c r="D889" i="28"/>
  <c r="D890" i="28"/>
  <c r="D891" i="28"/>
  <c r="D892" i="28"/>
  <c r="D893" i="28"/>
  <c r="D894" i="28"/>
  <c r="D895" i="28"/>
  <c r="D896" i="28"/>
  <c r="D897" i="28"/>
  <c r="D898" i="28"/>
  <c r="D899" i="28"/>
  <c r="D900" i="28"/>
  <c r="D901" i="28"/>
  <c r="D902" i="28"/>
  <c r="D903" i="28"/>
  <c r="D904" i="28"/>
  <c r="D905" i="28"/>
  <c r="D906" i="28"/>
  <c r="D907" i="28"/>
  <c r="D908" i="28"/>
  <c r="D909" i="28"/>
  <c r="D910" i="28"/>
  <c r="D911" i="28"/>
  <c r="D912" i="28"/>
  <c r="D913" i="28"/>
  <c r="D914" i="28"/>
  <c r="D915" i="28"/>
  <c r="D916" i="28"/>
  <c r="D917" i="28"/>
  <c r="D918" i="28"/>
  <c r="D919" i="28"/>
  <c r="D920" i="28"/>
  <c r="D921" i="28"/>
  <c r="D922" i="28"/>
  <c r="D923" i="28"/>
  <c r="G766" i="28"/>
  <c r="G767" i="28"/>
  <c r="G768" i="28"/>
  <c r="G769" i="28"/>
  <c r="G770" i="28"/>
  <c r="G771" i="28"/>
  <c r="G772" i="28"/>
  <c r="G773" i="28"/>
  <c r="G774" i="28"/>
  <c r="G775" i="28"/>
  <c r="G776" i="28"/>
  <c r="G777" i="28"/>
  <c r="G778" i="28"/>
  <c r="G779" i="28"/>
  <c r="G780" i="28"/>
  <c r="G781" i="28"/>
  <c r="G782" i="28"/>
  <c r="G783" i="28"/>
  <c r="G784" i="28"/>
  <c r="G785" i="28"/>
  <c r="G786" i="28"/>
  <c r="G787" i="28"/>
  <c r="G788" i="28"/>
  <c r="G789" i="28"/>
  <c r="G790" i="28"/>
  <c r="G791" i="28"/>
  <c r="G792" i="28"/>
  <c r="G793" i="28"/>
  <c r="G794" i="28"/>
  <c r="G795" i="28"/>
  <c r="G796" i="28"/>
  <c r="G797" i="28"/>
  <c r="G798" i="28"/>
  <c r="G799" i="28"/>
  <c r="G800" i="28"/>
  <c r="G801" i="28"/>
  <c r="G802" i="28"/>
  <c r="G803" i="28"/>
  <c r="G804" i="28"/>
  <c r="G805" i="28"/>
  <c r="G806" i="28"/>
  <c r="G807" i="28"/>
  <c r="G808" i="28"/>
  <c r="G809" i="28"/>
  <c r="G810" i="28"/>
  <c r="G811" i="28"/>
  <c r="G812" i="28"/>
  <c r="G813" i="28"/>
  <c r="G814" i="28"/>
  <c r="G815" i="28"/>
  <c r="G816" i="28"/>
  <c r="G817" i="28"/>
  <c r="G818" i="28"/>
  <c r="G819" i="28"/>
  <c r="G820" i="28"/>
  <c r="G821" i="28"/>
  <c r="G822" i="28"/>
  <c r="G823" i="28"/>
  <c r="G824" i="28"/>
  <c r="G825" i="28"/>
  <c r="G826" i="28"/>
  <c r="G827" i="28"/>
  <c r="G828" i="28"/>
  <c r="G829" i="28"/>
  <c r="G830" i="28"/>
  <c r="G831" i="28"/>
  <c r="G832" i="28"/>
  <c r="G833" i="28"/>
  <c r="G834" i="28"/>
  <c r="G835" i="28"/>
  <c r="G836" i="28"/>
  <c r="G837" i="28"/>
  <c r="G838" i="28"/>
  <c r="G839" i="28"/>
  <c r="G840" i="28"/>
  <c r="G841" i="28"/>
  <c r="G842" i="28"/>
  <c r="G843" i="28"/>
  <c r="G844" i="28"/>
  <c r="G845" i="28"/>
  <c r="G846" i="28"/>
  <c r="G847" i="28"/>
  <c r="G848" i="28"/>
  <c r="G849" i="28"/>
  <c r="G850" i="28"/>
  <c r="G851" i="28"/>
  <c r="G852" i="28"/>
  <c r="G853" i="28"/>
  <c r="G854" i="28"/>
  <c r="G855" i="28"/>
  <c r="G856" i="28"/>
  <c r="G857" i="28"/>
  <c r="G858" i="28"/>
  <c r="G859" i="28"/>
  <c r="G860" i="28"/>
  <c r="G861" i="28"/>
  <c r="G862" i="28"/>
  <c r="G863" i="28"/>
  <c r="G864" i="28"/>
  <c r="G865" i="28"/>
  <c r="G866" i="28"/>
  <c r="G867" i="28"/>
  <c r="G868" i="28"/>
  <c r="G869" i="28"/>
  <c r="G870" i="28"/>
  <c r="G871" i="28"/>
  <c r="G872" i="28"/>
  <c r="G873" i="28"/>
  <c r="G874" i="28"/>
  <c r="G875" i="28"/>
  <c r="G876" i="28"/>
  <c r="G877" i="28"/>
  <c r="G878" i="28"/>
  <c r="G879" i="28"/>
  <c r="G880" i="28"/>
  <c r="G881" i="28"/>
  <c r="G882" i="28"/>
  <c r="G883" i="28"/>
  <c r="G884" i="28"/>
  <c r="G885" i="28"/>
  <c r="G886" i="28"/>
  <c r="G887" i="28"/>
  <c r="G888" i="28"/>
  <c r="G889" i="28"/>
  <c r="G890" i="28"/>
  <c r="G891" i="28"/>
  <c r="G892" i="28"/>
  <c r="G893" i="28"/>
  <c r="G894" i="28"/>
  <c r="G895" i="28"/>
  <c r="G896" i="28"/>
  <c r="G897" i="28"/>
  <c r="G898" i="28"/>
  <c r="G899" i="28"/>
  <c r="G900" i="28"/>
  <c r="G901" i="28"/>
  <c r="G902" i="28"/>
  <c r="G903" i="28"/>
  <c r="G904" i="28"/>
  <c r="G905" i="28"/>
  <c r="G906" i="28"/>
  <c r="G907" i="28"/>
  <c r="G908" i="28"/>
  <c r="G909" i="28"/>
  <c r="G910" i="28"/>
  <c r="G911" i="28"/>
  <c r="G912" i="28"/>
  <c r="G913" i="28"/>
  <c r="G914" i="28"/>
  <c r="G915" i="28"/>
  <c r="G916" i="28"/>
  <c r="G917" i="28"/>
  <c r="G918" i="28"/>
  <c r="G919" i="28"/>
  <c r="G920" i="28"/>
  <c r="G921" i="28"/>
  <c r="G922" i="28"/>
  <c r="G923" i="28"/>
  <c r="H766" i="28"/>
  <c r="H767" i="28"/>
  <c r="H770" i="28"/>
  <c r="H771" i="28"/>
  <c r="H774" i="28"/>
  <c r="H775" i="28"/>
  <c r="H778" i="28"/>
  <c r="H779" i="28"/>
  <c r="H782" i="28"/>
  <c r="H783" i="28"/>
  <c r="H786" i="28"/>
  <c r="H787" i="28"/>
  <c r="H790" i="28"/>
  <c r="H791" i="28"/>
  <c r="H794" i="28"/>
  <c r="H795" i="28"/>
  <c r="H798" i="28"/>
  <c r="H799" i="28"/>
  <c r="H802" i="28"/>
  <c r="H803" i="28"/>
  <c r="H806" i="28"/>
  <c r="H807" i="28"/>
  <c r="H810" i="28"/>
  <c r="H811" i="28"/>
  <c r="H814" i="28"/>
  <c r="H815" i="28"/>
  <c r="H818" i="28"/>
  <c r="H819" i="28"/>
  <c r="H822" i="28"/>
  <c r="H823" i="28"/>
  <c r="H826" i="28"/>
  <c r="H827" i="28"/>
  <c r="H830" i="28"/>
  <c r="H831" i="28"/>
  <c r="H834" i="28"/>
  <c r="H835" i="28"/>
  <c r="H838" i="28"/>
  <c r="H839" i="28"/>
  <c r="H842" i="28"/>
  <c r="H843" i="28"/>
  <c r="H846" i="28"/>
  <c r="H847" i="28"/>
  <c r="H850" i="28"/>
  <c r="H851" i="28"/>
  <c r="H854" i="28"/>
  <c r="H855" i="28"/>
  <c r="H858" i="28"/>
  <c r="H859" i="28"/>
  <c r="H862" i="28"/>
  <c r="H863" i="28"/>
  <c r="H866" i="28"/>
  <c r="H867" i="28"/>
  <c r="H870" i="28"/>
  <c r="H871" i="28"/>
  <c r="H874" i="28"/>
  <c r="H875" i="28"/>
  <c r="H878" i="28"/>
  <c r="H879" i="28"/>
  <c r="H882" i="28"/>
  <c r="H883" i="28"/>
  <c r="H886" i="28"/>
  <c r="H887" i="28"/>
  <c r="H890" i="28"/>
  <c r="H891" i="28"/>
  <c r="H894" i="28"/>
  <c r="H895" i="28"/>
  <c r="H898" i="28"/>
  <c r="H899" i="28"/>
  <c r="H902" i="28"/>
  <c r="H903" i="28"/>
  <c r="H906" i="28"/>
  <c r="H907" i="28"/>
  <c r="H910" i="28"/>
  <c r="H911" i="28"/>
  <c r="H914" i="28"/>
  <c r="H915" i="28"/>
  <c r="H918" i="28"/>
  <c r="H919" i="28"/>
  <c r="H922" i="28"/>
  <c r="H923" i="28"/>
  <c r="B3666" i="27"/>
  <c r="B3667" i="27"/>
  <c r="B3668" i="27"/>
  <c r="B3669" i="27"/>
  <c r="B3670" i="27"/>
  <c r="B3671" i="27"/>
  <c r="B3672" i="27"/>
  <c r="B3673" i="27"/>
  <c r="B3674" i="27"/>
  <c r="B3675" i="27"/>
  <c r="B3676" i="27"/>
  <c r="B3677" i="27"/>
  <c r="B3678" i="27"/>
  <c r="B3679" i="27"/>
  <c r="B3680" i="27"/>
  <c r="B3681" i="27"/>
  <c r="B3682" i="27"/>
  <c r="B3683" i="27"/>
  <c r="B3684" i="27"/>
  <c r="B3685" i="27"/>
  <c r="B3686" i="27"/>
  <c r="B3687" i="27"/>
  <c r="B3688" i="27"/>
  <c r="B3689" i="27"/>
  <c r="B3690" i="27"/>
  <c r="B3691" i="27"/>
  <c r="B3692" i="27"/>
  <c r="B3693" i="27"/>
  <c r="B3694" i="27"/>
  <c r="B3695" i="27"/>
  <c r="B3696" i="27"/>
  <c r="B3697" i="27"/>
  <c r="B3698" i="27"/>
  <c r="B3699" i="27"/>
  <c r="B3700" i="27"/>
  <c r="B3701" i="27"/>
  <c r="B3702" i="27"/>
  <c r="B753" i="28" l="1"/>
  <c r="B754" i="28"/>
  <c r="B755" i="28"/>
  <c r="B756" i="28"/>
  <c r="B757" i="28"/>
  <c r="B758" i="28"/>
  <c r="B759" i="28"/>
  <c r="B760" i="28"/>
  <c r="B761" i="28"/>
  <c r="B762" i="28"/>
  <c r="B763" i="28"/>
  <c r="B764" i="28"/>
  <c r="B765" i="28"/>
  <c r="D753" i="28"/>
  <c r="D754" i="28"/>
  <c r="D755" i="28"/>
  <c r="D756" i="28"/>
  <c r="D757" i="28"/>
  <c r="D758" i="28"/>
  <c r="D759" i="28"/>
  <c r="D760" i="28"/>
  <c r="D761" i="28"/>
  <c r="D762" i="28"/>
  <c r="D763" i="28"/>
  <c r="D764" i="28"/>
  <c r="D765" i="28"/>
  <c r="B3614" i="27"/>
  <c r="B3615" i="27"/>
  <c r="B3616" i="27"/>
  <c r="B3617" i="27"/>
  <c r="B3618" i="27"/>
  <c r="B3619" i="27"/>
  <c r="B3620" i="27"/>
  <c r="B3621" i="27"/>
  <c r="B3622" i="27"/>
  <c r="B3623" i="27"/>
  <c r="B3624" i="27"/>
  <c r="B3625" i="27"/>
  <c r="B3626" i="27"/>
  <c r="B3627" i="27"/>
  <c r="B3628" i="27"/>
  <c r="B3629" i="27"/>
  <c r="B3630" i="27"/>
  <c r="B3631" i="27"/>
  <c r="B3632" i="27"/>
  <c r="B3633" i="27"/>
  <c r="B3634" i="27"/>
  <c r="B3635" i="27"/>
  <c r="B3636" i="27"/>
  <c r="B3637" i="27"/>
  <c r="B3638" i="27"/>
  <c r="B3639" i="27"/>
  <c r="B3640" i="27"/>
  <c r="B3641" i="27"/>
  <c r="B3642" i="27"/>
  <c r="B3643" i="27"/>
  <c r="B3644" i="27"/>
  <c r="B3645" i="27"/>
  <c r="B3646" i="27"/>
  <c r="B3647" i="27"/>
  <c r="B3648" i="27"/>
  <c r="B3649" i="27"/>
  <c r="B3650" i="27"/>
  <c r="B3651" i="27"/>
  <c r="B3652" i="27"/>
  <c r="B3653" i="27"/>
  <c r="B3654" i="27"/>
  <c r="B3655" i="27"/>
  <c r="B3656" i="27"/>
  <c r="B3657" i="27"/>
  <c r="B3658" i="27"/>
  <c r="B3659" i="27"/>
  <c r="B3660" i="27"/>
  <c r="B3661" i="27"/>
  <c r="B3662" i="27"/>
  <c r="B3663" i="27"/>
  <c r="B3664" i="27"/>
  <c r="B3665" i="27"/>
  <c r="B713" i="28" l="1"/>
  <c r="B714" i="28"/>
  <c r="B715" i="28"/>
  <c r="B716" i="28"/>
  <c r="B717" i="28"/>
  <c r="B718" i="28"/>
  <c r="B719" i="28"/>
  <c r="B720" i="28"/>
  <c r="B721" i="28"/>
  <c r="B722" i="28"/>
  <c r="B723" i="28"/>
  <c r="B724" i="28"/>
  <c r="B725" i="28"/>
  <c r="B726" i="28"/>
  <c r="B727" i="28"/>
  <c r="B728" i="28"/>
  <c r="B729" i="28"/>
  <c r="B730" i="28"/>
  <c r="B731" i="28"/>
  <c r="B732" i="28"/>
  <c r="B733" i="28"/>
  <c r="B734" i="28"/>
  <c r="B735" i="28"/>
  <c r="B736" i="28"/>
  <c r="B737" i="28"/>
  <c r="B738" i="28"/>
  <c r="B739" i="28"/>
  <c r="B740" i="28"/>
  <c r="B741" i="28"/>
  <c r="B742" i="28"/>
  <c r="B743" i="28"/>
  <c r="B744" i="28"/>
  <c r="B745" i="28"/>
  <c r="B746" i="28"/>
  <c r="B747" i="28"/>
  <c r="B748" i="28"/>
  <c r="B749" i="28"/>
  <c r="B750" i="28"/>
  <c r="B751" i="28"/>
  <c r="B752" i="28"/>
  <c r="D713" i="28"/>
  <c r="D714" i="28"/>
  <c r="D715" i="28"/>
  <c r="D716" i="28"/>
  <c r="D717" i="28"/>
  <c r="D718" i="28"/>
  <c r="D719" i="28"/>
  <c r="D720" i="28"/>
  <c r="D721" i="28"/>
  <c r="D722" i="28"/>
  <c r="D723" i="28"/>
  <c r="D724" i="28"/>
  <c r="D725" i="28"/>
  <c r="D726" i="28"/>
  <c r="D727" i="28"/>
  <c r="D728" i="28"/>
  <c r="D729" i="28"/>
  <c r="D730" i="28"/>
  <c r="D731" i="28"/>
  <c r="D732" i="28"/>
  <c r="D733" i="28"/>
  <c r="D734" i="28"/>
  <c r="D735" i="28"/>
  <c r="D736" i="28"/>
  <c r="D737" i="28"/>
  <c r="D738" i="28"/>
  <c r="D739" i="28"/>
  <c r="D740" i="28"/>
  <c r="D741" i="28"/>
  <c r="D742" i="28"/>
  <c r="D743" i="28"/>
  <c r="D744" i="28"/>
  <c r="D745" i="28"/>
  <c r="D746" i="28"/>
  <c r="D747" i="28"/>
  <c r="D748" i="28"/>
  <c r="D749" i="28"/>
  <c r="D750" i="28"/>
  <c r="D751" i="28"/>
  <c r="D752" i="28"/>
  <c r="B3517" i="27"/>
  <c r="B3518" i="27"/>
  <c r="B3519" i="27"/>
  <c r="B3520" i="27"/>
  <c r="B3521" i="27"/>
  <c r="B3522" i="27"/>
  <c r="B3523" i="27"/>
  <c r="B3524" i="27"/>
  <c r="B3525" i="27"/>
  <c r="B3526" i="27"/>
  <c r="B3527" i="27"/>
  <c r="B3528" i="27"/>
  <c r="B3529" i="27"/>
  <c r="B3530" i="27"/>
  <c r="B3531" i="27"/>
  <c r="B3532" i="27"/>
  <c r="B3533" i="27"/>
  <c r="B3534" i="27"/>
  <c r="B3535" i="27"/>
  <c r="B3536" i="27"/>
  <c r="B3537" i="27"/>
  <c r="B3538" i="27"/>
  <c r="B3539" i="27"/>
  <c r="B3540" i="27"/>
  <c r="B3541" i="27"/>
  <c r="B3542" i="27"/>
  <c r="B3543" i="27"/>
  <c r="B3544" i="27"/>
  <c r="B3545" i="27"/>
  <c r="B3546" i="27"/>
  <c r="B3547" i="27"/>
  <c r="B3548" i="27"/>
  <c r="B3549" i="27"/>
  <c r="B3550" i="27"/>
  <c r="B3551" i="27"/>
  <c r="B3552" i="27"/>
  <c r="B3553" i="27"/>
  <c r="B3554" i="27"/>
  <c r="B3555" i="27"/>
  <c r="B3556" i="27"/>
  <c r="B3557" i="27"/>
  <c r="B3558" i="27"/>
  <c r="B3559" i="27"/>
  <c r="B3560" i="27"/>
  <c r="B3561" i="27"/>
  <c r="B3562" i="27"/>
  <c r="B3563" i="27"/>
  <c r="B3564" i="27"/>
  <c r="B3565" i="27"/>
  <c r="B3566" i="27"/>
  <c r="B3567" i="27"/>
  <c r="B3568" i="27"/>
  <c r="B3569" i="27"/>
  <c r="B3570" i="27"/>
  <c r="B3571" i="27"/>
  <c r="B3572" i="27"/>
  <c r="B3573" i="27"/>
  <c r="B3574" i="27"/>
  <c r="B3575" i="27"/>
  <c r="B3576" i="27"/>
  <c r="B3577" i="27"/>
  <c r="B3578" i="27"/>
  <c r="B3579" i="27"/>
  <c r="B3580" i="27"/>
  <c r="B3581" i="27"/>
  <c r="B3582" i="27"/>
  <c r="B3583" i="27"/>
  <c r="B3584" i="27"/>
  <c r="B3585" i="27"/>
  <c r="B3586" i="27"/>
  <c r="B3587" i="27"/>
  <c r="B3588" i="27"/>
  <c r="B3589" i="27"/>
  <c r="B3590" i="27"/>
  <c r="B3591" i="27"/>
  <c r="B3592" i="27"/>
  <c r="B3593" i="27"/>
  <c r="B3594" i="27"/>
  <c r="B3595" i="27"/>
  <c r="B3596" i="27"/>
  <c r="B3597" i="27"/>
  <c r="B3598" i="27"/>
  <c r="B3599" i="27"/>
  <c r="B3600" i="27"/>
  <c r="B3601" i="27"/>
  <c r="B3602" i="27"/>
  <c r="B3603" i="27"/>
  <c r="B3604" i="27"/>
  <c r="B3605" i="27"/>
  <c r="B3606" i="27"/>
  <c r="B3607" i="27"/>
  <c r="B3608" i="27"/>
  <c r="B3609" i="27"/>
  <c r="B3610" i="27"/>
  <c r="B3611" i="27"/>
  <c r="B3612" i="27"/>
  <c r="B3613" i="27"/>
  <c r="B655" i="28" l="1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670" i="28"/>
  <c r="B671" i="28"/>
  <c r="B672" i="28"/>
  <c r="B673" i="28"/>
  <c r="B674" i="28"/>
  <c r="B675" i="28"/>
  <c r="B676" i="28"/>
  <c r="B677" i="28"/>
  <c r="B678" i="28"/>
  <c r="B679" i="28"/>
  <c r="B680" i="28"/>
  <c r="B681" i="28"/>
  <c r="B682" i="28"/>
  <c r="B683" i="28"/>
  <c r="B684" i="28"/>
  <c r="B685" i="28"/>
  <c r="B686" i="28"/>
  <c r="B687" i="28"/>
  <c r="B688" i="28"/>
  <c r="B689" i="28"/>
  <c r="B690" i="28"/>
  <c r="B691" i="28"/>
  <c r="B692" i="28"/>
  <c r="B693" i="28"/>
  <c r="B694" i="28"/>
  <c r="B695" i="28"/>
  <c r="B696" i="28"/>
  <c r="B697" i="28"/>
  <c r="B698" i="28"/>
  <c r="B699" i="28"/>
  <c r="B700" i="28"/>
  <c r="B701" i="28"/>
  <c r="B702" i="28"/>
  <c r="B703" i="28"/>
  <c r="B704" i="28"/>
  <c r="B705" i="28"/>
  <c r="B706" i="28"/>
  <c r="B707" i="28"/>
  <c r="B708" i="28"/>
  <c r="B709" i="28"/>
  <c r="B710" i="28"/>
  <c r="B711" i="28"/>
  <c r="B712" i="28"/>
  <c r="D655" i="28"/>
  <c r="D656" i="28"/>
  <c r="D657" i="28"/>
  <c r="D658" i="28"/>
  <c r="D659" i="28"/>
  <c r="D660" i="28"/>
  <c r="D661" i="28"/>
  <c r="D662" i="28"/>
  <c r="D663" i="28"/>
  <c r="D664" i="28"/>
  <c r="D665" i="28"/>
  <c r="D666" i="28"/>
  <c r="D667" i="28"/>
  <c r="D668" i="28"/>
  <c r="D669" i="28"/>
  <c r="D670" i="28"/>
  <c r="D671" i="28"/>
  <c r="D672" i="28"/>
  <c r="D673" i="28"/>
  <c r="D674" i="28"/>
  <c r="D675" i="28"/>
  <c r="D676" i="28"/>
  <c r="D677" i="28"/>
  <c r="D678" i="28"/>
  <c r="D679" i="28"/>
  <c r="D680" i="28"/>
  <c r="D681" i="28"/>
  <c r="D682" i="28"/>
  <c r="D683" i="28"/>
  <c r="D684" i="28"/>
  <c r="D685" i="28"/>
  <c r="D686" i="28"/>
  <c r="D687" i="28"/>
  <c r="D688" i="28"/>
  <c r="D689" i="28"/>
  <c r="D690" i="28"/>
  <c r="D691" i="28"/>
  <c r="D692" i="28"/>
  <c r="D693" i="28"/>
  <c r="D694" i="28"/>
  <c r="D695" i="28"/>
  <c r="D696" i="28"/>
  <c r="D697" i="28"/>
  <c r="D698" i="28"/>
  <c r="D699" i="28"/>
  <c r="D700" i="28"/>
  <c r="D701" i="28"/>
  <c r="D702" i="28"/>
  <c r="D703" i="28"/>
  <c r="D704" i="28"/>
  <c r="D705" i="28"/>
  <c r="D706" i="28"/>
  <c r="D707" i="28"/>
  <c r="D708" i="28"/>
  <c r="D709" i="28"/>
  <c r="D710" i="28"/>
  <c r="D711" i="28"/>
  <c r="D712" i="28"/>
  <c r="D642" i="28" l="1"/>
  <c r="B642" i="28"/>
  <c r="D637" i="28"/>
  <c r="B637" i="28"/>
  <c r="B634" i="28" l="1"/>
  <c r="B635" i="28"/>
  <c r="D634" i="28"/>
  <c r="D635" i="28"/>
  <c r="B624" i="28"/>
  <c r="B625" i="28"/>
  <c r="B626" i="28"/>
  <c r="B627" i="28"/>
  <c r="B628" i="28"/>
  <c r="B629" i="28"/>
  <c r="B630" i="28"/>
  <c r="B631" i="28"/>
  <c r="B632" i="28"/>
  <c r="B633" i="28"/>
  <c r="D624" i="28"/>
  <c r="D625" i="28"/>
  <c r="D626" i="28"/>
  <c r="D627" i="28"/>
  <c r="D628" i="28"/>
  <c r="D629" i="28"/>
  <c r="D630" i="28"/>
  <c r="D631" i="28"/>
  <c r="D632" i="28"/>
  <c r="D633" i="28"/>
  <c r="B654" i="28"/>
  <c r="D654" i="28"/>
  <c r="B653" i="28"/>
  <c r="D653" i="28"/>
  <c r="B3502" i="27"/>
  <c r="B3503" i="27"/>
  <c r="B3504" i="27"/>
  <c r="B3505" i="27"/>
  <c r="B3506" i="27"/>
  <c r="B3507" i="27"/>
  <c r="B3508" i="27"/>
  <c r="B3509" i="27"/>
  <c r="B3510" i="27"/>
  <c r="B3511" i="27"/>
  <c r="B3512" i="27"/>
  <c r="B3513" i="27"/>
  <c r="B3514" i="27"/>
  <c r="B3515" i="27"/>
  <c r="B3516" i="27"/>
  <c r="B557" i="28" l="1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36" i="28"/>
  <c r="B638" i="28"/>
  <c r="B639" i="28"/>
  <c r="B640" i="28"/>
  <c r="B641" i="28"/>
  <c r="B643" i="28"/>
  <c r="B644" i="28"/>
  <c r="B645" i="28"/>
  <c r="B646" i="28"/>
  <c r="B647" i="28"/>
  <c r="B648" i="28"/>
  <c r="B649" i="28"/>
  <c r="B650" i="28"/>
  <c r="B651" i="28"/>
  <c r="B652" i="28"/>
  <c r="D557" i="28"/>
  <c r="D558" i="28"/>
  <c r="D559" i="28"/>
  <c r="D560" i="28"/>
  <c r="D561" i="28"/>
  <c r="D562" i="28"/>
  <c r="D563" i="28"/>
  <c r="D564" i="28"/>
  <c r="D565" i="28"/>
  <c r="D566" i="28"/>
  <c r="D567" i="28"/>
  <c r="D568" i="28"/>
  <c r="D569" i="28"/>
  <c r="D570" i="28"/>
  <c r="D571" i="28"/>
  <c r="D572" i="28"/>
  <c r="D573" i="28"/>
  <c r="D574" i="28"/>
  <c r="D575" i="28"/>
  <c r="D576" i="28"/>
  <c r="D577" i="28"/>
  <c r="D578" i="28"/>
  <c r="D579" i="28"/>
  <c r="D580" i="28"/>
  <c r="D581" i="28"/>
  <c r="D582" i="28"/>
  <c r="D583" i="28"/>
  <c r="D584" i="28"/>
  <c r="D585" i="28"/>
  <c r="D586" i="28"/>
  <c r="D587" i="28"/>
  <c r="D588" i="28"/>
  <c r="D589" i="28"/>
  <c r="D590" i="28"/>
  <c r="D591" i="28"/>
  <c r="D592" i="28"/>
  <c r="D593" i="28"/>
  <c r="D594" i="28"/>
  <c r="D595" i="28"/>
  <c r="D596" i="28"/>
  <c r="D597" i="28"/>
  <c r="D598" i="28"/>
  <c r="D599" i="28"/>
  <c r="D600" i="28"/>
  <c r="D601" i="28"/>
  <c r="D602" i="28"/>
  <c r="D603" i="28"/>
  <c r="D604" i="28"/>
  <c r="D605" i="28"/>
  <c r="D606" i="28"/>
  <c r="D607" i="28"/>
  <c r="D608" i="28"/>
  <c r="D609" i="28"/>
  <c r="D610" i="28"/>
  <c r="D611" i="28"/>
  <c r="D612" i="28"/>
  <c r="D613" i="28"/>
  <c r="D614" i="28"/>
  <c r="D615" i="28"/>
  <c r="D616" i="28"/>
  <c r="D617" i="28"/>
  <c r="D618" i="28"/>
  <c r="D619" i="28"/>
  <c r="D620" i="28"/>
  <c r="D621" i="28"/>
  <c r="D622" i="28"/>
  <c r="D623" i="28"/>
  <c r="D636" i="28"/>
  <c r="D638" i="28"/>
  <c r="D639" i="28"/>
  <c r="D640" i="28"/>
  <c r="D641" i="28"/>
  <c r="D643" i="28"/>
  <c r="D644" i="28"/>
  <c r="D645" i="28"/>
  <c r="D646" i="28"/>
  <c r="D647" i="28"/>
  <c r="D648" i="28"/>
  <c r="D649" i="28"/>
  <c r="D650" i="28"/>
  <c r="D651" i="28"/>
  <c r="D652" i="28"/>
  <c r="B556" i="28"/>
  <c r="D556" i="28"/>
  <c r="B411" i="28" l="1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464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541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D411" i="28"/>
  <c r="D412" i="28"/>
  <c r="D413" i="28"/>
  <c r="D414" i="28"/>
  <c r="D415" i="28"/>
  <c r="D416" i="28"/>
  <c r="D417" i="28"/>
  <c r="D418" i="28"/>
  <c r="D419" i="28"/>
  <c r="D420" i="28"/>
  <c r="D421" i="28"/>
  <c r="D422" i="28"/>
  <c r="D423" i="28"/>
  <c r="D424" i="28"/>
  <c r="D425" i="28"/>
  <c r="D426" i="28"/>
  <c r="D427" i="28"/>
  <c r="D428" i="28"/>
  <c r="D429" i="28"/>
  <c r="D430" i="28"/>
  <c r="D431" i="28"/>
  <c r="D432" i="28"/>
  <c r="D433" i="28"/>
  <c r="D434" i="28"/>
  <c r="D435" i="28"/>
  <c r="D436" i="28"/>
  <c r="D437" i="28"/>
  <c r="D438" i="28"/>
  <c r="D439" i="28"/>
  <c r="D440" i="28"/>
  <c r="D441" i="28"/>
  <c r="D442" i="28"/>
  <c r="D443" i="28"/>
  <c r="D444" i="28"/>
  <c r="D445" i="28"/>
  <c r="D446" i="28"/>
  <c r="D447" i="28"/>
  <c r="D448" i="28"/>
  <c r="D449" i="28"/>
  <c r="D450" i="28"/>
  <c r="D451" i="28"/>
  <c r="D452" i="28"/>
  <c r="D453" i="28"/>
  <c r="D454" i="28"/>
  <c r="D455" i="28"/>
  <c r="D456" i="28"/>
  <c r="D457" i="28"/>
  <c r="D458" i="28"/>
  <c r="D459" i="28"/>
  <c r="D460" i="28"/>
  <c r="D461" i="28"/>
  <c r="D462" i="28"/>
  <c r="D463" i="28"/>
  <c r="D464" i="28"/>
  <c r="D465" i="28"/>
  <c r="D466" i="28"/>
  <c r="D467" i="28"/>
  <c r="D468" i="28"/>
  <c r="D469" i="28"/>
  <c r="D470" i="28"/>
  <c r="D471" i="28"/>
  <c r="D472" i="28"/>
  <c r="D473" i="28"/>
  <c r="D474" i="28"/>
  <c r="D475" i="28"/>
  <c r="D476" i="28"/>
  <c r="D477" i="28"/>
  <c r="D478" i="28"/>
  <c r="D479" i="28"/>
  <c r="D480" i="28"/>
  <c r="D481" i="28"/>
  <c r="D482" i="28"/>
  <c r="D483" i="28"/>
  <c r="D484" i="28"/>
  <c r="D485" i="28"/>
  <c r="D486" i="28"/>
  <c r="D487" i="28"/>
  <c r="D488" i="28"/>
  <c r="D489" i="28"/>
  <c r="D490" i="28"/>
  <c r="D491" i="28"/>
  <c r="D492" i="28"/>
  <c r="D493" i="28"/>
  <c r="D494" i="28"/>
  <c r="D495" i="28"/>
  <c r="D496" i="28"/>
  <c r="D497" i="28"/>
  <c r="D498" i="28"/>
  <c r="D499" i="28"/>
  <c r="D500" i="28"/>
  <c r="D501" i="28"/>
  <c r="D502" i="28"/>
  <c r="D503" i="28"/>
  <c r="D504" i="28"/>
  <c r="D505" i="28"/>
  <c r="D506" i="28"/>
  <c r="D507" i="28"/>
  <c r="D508" i="28"/>
  <c r="D509" i="28"/>
  <c r="D510" i="28"/>
  <c r="D511" i="28"/>
  <c r="D512" i="28"/>
  <c r="D513" i="28"/>
  <c r="D514" i="28"/>
  <c r="D515" i="28"/>
  <c r="D516" i="28"/>
  <c r="D517" i="28"/>
  <c r="D518" i="28"/>
  <c r="D519" i="28"/>
  <c r="D520" i="28"/>
  <c r="D521" i="28"/>
  <c r="D522" i="28"/>
  <c r="D523" i="28"/>
  <c r="D524" i="28"/>
  <c r="D525" i="28"/>
  <c r="D526" i="28"/>
  <c r="D527" i="28"/>
  <c r="D528" i="28"/>
  <c r="D529" i="28"/>
  <c r="D530" i="28"/>
  <c r="D531" i="28"/>
  <c r="D532" i="28"/>
  <c r="D533" i="28"/>
  <c r="D534" i="28"/>
  <c r="D535" i="28"/>
  <c r="D536" i="28"/>
  <c r="D537" i="28"/>
  <c r="D538" i="28"/>
  <c r="D539" i="28"/>
  <c r="D540" i="28"/>
  <c r="D541" i="28"/>
  <c r="D542" i="28"/>
  <c r="D543" i="28"/>
  <c r="D544" i="28"/>
  <c r="D545" i="28"/>
  <c r="D546" i="28"/>
  <c r="D547" i="28"/>
  <c r="D548" i="28"/>
  <c r="D549" i="28"/>
  <c r="D550" i="28"/>
  <c r="D551" i="28"/>
  <c r="D552" i="28"/>
  <c r="D553" i="28"/>
  <c r="D554" i="28"/>
  <c r="D555" i="28"/>
  <c r="B3250" i="27"/>
  <c r="B3251" i="27"/>
  <c r="B3252" i="27"/>
  <c r="B3253" i="27"/>
  <c r="B3254" i="27"/>
  <c r="B3255" i="27"/>
  <c r="B3256" i="27"/>
  <c r="B3257" i="27"/>
  <c r="B3258" i="27"/>
  <c r="B3259" i="27"/>
  <c r="B3260" i="27"/>
  <c r="B3261" i="27"/>
  <c r="B3262" i="27"/>
  <c r="B3263" i="27"/>
  <c r="B3264" i="27"/>
  <c r="B3265" i="27"/>
  <c r="B3266" i="27"/>
  <c r="B3267" i="27"/>
  <c r="B3268" i="27"/>
  <c r="B3269" i="27"/>
  <c r="B3270" i="27"/>
  <c r="B3271" i="27"/>
  <c r="B3272" i="27"/>
  <c r="B3273" i="27"/>
  <c r="B3274" i="27"/>
  <c r="B3275" i="27"/>
  <c r="B3276" i="27"/>
  <c r="B3277" i="27"/>
  <c r="B3278" i="27"/>
  <c r="B3279" i="27"/>
  <c r="B3280" i="27"/>
  <c r="B3281" i="27"/>
  <c r="B3282" i="27"/>
  <c r="B3283" i="27"/>
  <c r="B3284" i="27"/>
  <c r="B3285" i="27"/>
  <c r="B3286" i="27"/>
  <c r="B3287" i="27"/>
  <c r="B3288" i="27"/>
  <c r="B3289" i="27"/>
  <c r="B3290" i="27"/>
  <c r="B3291" i="27"/>
  <c r="B3292" i="27"/>
  <c r="B3293" i="27"/>
  <c r="B3294" i="27"/>
  <c r="B3295" i="27"/>
  <c r="B3296" i="27"/>
  <c r="B3297" i="27"/>
  <c r="B3298" i="27"/>
  <c r="B3299" i="27"/>
  <c r="B3300" i="27"/>
  <c r="B3301" i="27"/>
  <c r="B3302" i="27"/>
  <c r="B3303" i="27"/>
  <c r="B3304" i="27"/>
  <c r="B3305" i="27"/>
  <c r="B3306" i="27"/>
  <c r="B3307" i="27"/>
  <c r="B3308" i="27"/>
  <c r="B3309" i="27"/>
  <c r="B3310" i="27"/>
  <c r="B3311" i="27"/>
  <c r="B3312" i="27"/>
  <c r="B3313" i="27"/>
  <c r="B3314" i="27"/>
  <c r="B3315" i="27"/>
  <c r="B3316" i="27"/>
  <c r="B3317" i="27"/>
  <c r="B3318" i="27"/>
  <c r="B3319" i="27"/>
  <c r="B3320" i="27"/>
  <c r="B3321" i="27"/>
  <c r="B3322" i="27"/>
  <c r="B3323" i="27"/>
  <c r="B3324" i="27"/>
  <c r="B3325" i="27"/>
  <c r="B3326" i="27"/>
  <c r="B3327" i="27"/>
  <c r="B3328" i="27"/>
  <c r="B3329" i="27"/>
  <c r="B3330" i="27"/>
  <c r="B3331" i="27"/>
  <c r="B3332" i="27"/>
  <c r="B3333" i="27"/>
  <c r="B3334" i="27"/>
  <c r="B3335" i="27"/>
  <c r="B3336" i="27"/>
  <c r="B3337" i="27"/>
  <c r="B3338" i="27"/>
  <c r="B3339" i="27"/>
  <c r="B3340" i="27"/>
  <c r="B3341" i="27"/>
  <c r="B3342" i="27"/>
  <c r="B3343" i="27"/>
  <c r="B3344" i="27"/>
  <c r="B3345" i="27"/>
  <c r="B3346" i="27"/>
  <c r="B3347" i="27"/>
  <c r="B3348" i="27"/>
  <c r="B3349" i="27"/>
  <c r="B3350" i="27"/>
  <c r="B3351" i="27"/>
  <c r="B3352" i="27"/>
  <c r="B3353" i="27"/>
  <c r="B3354" i="27"/>
  <c r="B3355" i="27"/>
  <c r="B3356" i="27"/>
  <c r="B3357" i="27"/>
  <c r="B3358" i="27"/>
  <c r="B3359" i="27"/>
  <c r="B3360" i="27"/>
  <c r="B3361" i="27"/>
  <c r="B3362" i="27"/>
  <c r="B3363" i="27"/>
  <c r="B3364" i="27"/>
  <c r="B3365" i="27"/>
  <c r="B3366" i="27"/>
  <c r="B3367" i="27"/>
  <c r="B3368" i="27"/>
  <c r="B3369" i="27"/>
  <c r="B3370" i="27"/>
  <c r="B3371" i="27"/>
  <c r="B3372" i="27"/>
  <c r="B3373" i="27"/>
  <c r="B3374" i="27"/>
  <c r="B3375" i="27"/>
  <c r="B3376" i="27"/>
  <c r="B3377" i="27"/>
  <c r="B3378" i="27"/>
  <c r="B3379" i="27"/>
  <c r="B3380" i="27"/>
  <c r="B3381" i="27"/>
  <c r="B3382" i="27"/>
  <c r="B3383" i="27"/>
  <c r="B3384" i="27"/>
  <c r="B3385" i="27"/>
  <c r="B3386" i="27"/>
  <c r="B3387" i="27"/>
  <c r="B3388" i="27"/>
  <c r="B3389" i="27"/>
  <c r="B3390" i="27"/>
  <c r="B3391" i="27"/>
  <c r="B3392" i="27"/>
  <c r="B3393" i="27"/>
  <c r="B3394" i="27"/>
  <c r="B3395" i="27"/>
  <c r="B3396" i="27"/>
  <c r="B3397" i="27"/>
  <c r="B3398" i="27"/>
  <c r="B3399" i="27"/>
  <c r="B3400" i="27"/>
  <c r="B3401" i="27"/>
  <c r="B3402" i="27"/>
  <c r="B3403" i="27"/>
  <c r="B3404" i="27"/>
  <c r="B3405" i="27"/>
  <c r="B3406" i="27"/>
  <c r="B3407" i="27"/>
  <c r="B3408" i="27"/>
  <c r="B3409" i="27"/>
  <c r="B3410" i="27"/>
  <c r="B3411" i="27"/>
  <c r="B3412" i="27"/>
  <c r="B3413" i="27"/>
  <c r="B3414" i="27"/>
  <c r="B3415" i="27"/>
  <c r="B3416" i="27"/>
  <c r="B3417" i="27"/>
  <c r="B3418" i="27"/>
  <c r="B3419" i="27"/>
  <c r="B3420" i="27"/>
  <c r="B3421" i="27"/>
  <c r="B3422" i="27"/>
  <c r="B3423" i="27"/>
  <c r="B3424" i="27"/>
  <c r="B3425" i="27"/>
  <c r="B3426" i="27"/>
  <c r="B3427" i="27"/>
  <c r="B3428" i="27"/>
  <c r="B3429" i="27"/>
  <c r="B3430" i="27"/>
  <c r="B3431" i="27"/>
  <c r="B3432" i="27"/>
  <c r="B3433" i="27"/>
  <c r="B3434" i="27"/>
  <c r="B3435" i="27"/>
  <c r="B3436" i="27"/>
  <c r="B3437" i="27"/>
  <c r="B3438" i="27"/>
  <c r="B3439" i="27"/>
  <c r="B3440" i="27"/>
  <c r="B3441" i="27"/>
  <c r="B3442" i="27"/>
  <c r="B3443" i="27"/>
  <c r="B3444" i="27"/>
  <c r="B3445" i="27"/>
  <c r="B3446" i="27"/>
  <c r="B3447" i="27"/>
  <c r="B3448" i="27"/>
  <c r="B3449" i="27"/>
  <c r="B3450" i="27"/>
  <c r="B3451" i="27"/>
  <c r="B3452" i="27"/>
  <c r="B3453" i="27"/>
  <c r="B3454" i="27"/>
  <c r="B3455" i="27"/>
  <c r="B3456" i="27"/>
  <c r="B3457" i="27"/>
  <c r="B3458" i="27"/>
  <c r="B3459" i="27"/>
  <c r="B3460" i="27"/>
  <c r="B3461" i="27"/>
  <c r="B3462" i="27"/>
  <c r="B3463" i="27"/>
  <c r="B3464" i="27"/>
  <c r="B3465" i="27"/>
  <c r="B3466" i="27"/>
  <c r="B3467" i="27"/>
  <c r="B3468" i="27"/>
  <c r="B3469" i="27"/>
  <c r="B3470" i="27"/>
  <c r="B3471" i="27"/>
  <c r="B3472" i="27"/>
  <c r="B3473" i="27"/>
  <c r="B3474" i="27"/>
  <c r="B3475" i="27"/>
  <c r="B3476" i="27"/>
  <c r="B3477" i="27"/>
  <c r="B3478" i="27"/>
  <c r="B3479" i="27"/>
  <c r="B3480" i="27"/>
  <c r="B3481" i="27"/>
  <c r="B3482" i="27"/>
  <c r="B3483" i="27"/>
  <c r="B3484" i="27"/>
  <c r="B3485" i="27"/>
  <c r="B3486" i="27"/>
  <c r="B3487" i="27"/>
  <c r="B3488" i="27"/>
  <c r="B3489" i="27"/>
  <c r="B3490" i="27"/>
  <c r="B3491" i="27"/>
  <c r="B3492" i="27"/>
  <c r="B3493" i="27"/>
  <c r="B3494" i="27"/>
  <c r="B3495" i="27"/>
  <c r="B3496" i="27"/>
  <c r="B3497" i="27"/>
  <c r="B3498" i="27"/>
  <c r="B3499" i="27"/>
  <c r="B3500" i="27"/>
  <c r="B3501" i="27"/>
  <c r="B386" i="28" l="1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D386" i="28"/>
  <c r="D387" i="28"/>
  <c r="D388" i="28"/>
  <c r="D389" i="28"/>
  <c r="D390" i="28"/>
  <c r="D391" i="28"/>
  <c r="D392" i="28"/>
  <c r="D393" i="28"/>
  <c r="D394" i="28"/>
  <c r="D395" i="28"/>
  <c r="D396" i="28"/>
  <c r="D397" i="28"/>
  <c r="D398" i="28"/>
  <c r="D399" i="28"/>
  <c r="D400" i="28"/>
  <c r="D401" i="28"/>
  <c r="D402" i="28"/>
  <c r="D403" i="28"/>
  <c r="D404" i="28"/>
  <c r="D405" i="28"/>
  <c r="D406" i="28"/>
  <c r="D407" i="28"/>
  <c r="D408" i="28"/>
  <c r="D409" i="28"/>
  <c r="D410" i="28"/>
  <c r="B354" i="28" l="1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D354" i="28"/>
  <c r="D355" i="28"/>
  <c r="D356" i="28"/>
  <c r="D357" i="28"/>
  <c r="D358" i="28"/>
  <c r="D359" i="28"/>
  <c r="D360" i="28"/>
  <c r="D361" i="28"/>
  <c r="D362" i="28"/>
  <c r="D363" i="28"/>
  <c r="D364" i="28"/>
  <c r="D365" i="28"/>
  <c r="D366" i="28"/>
  <c r="D367" i="28"/>
  <c r="D368" i="28"/>
  <c r="D369" i="28"/>
  <c r="D370" i="28"/>
  <c r="D371" i="28"/>
  <c r="D372" i="28"/>
  <c r="D373" i="28"/>
  <c r="D374" i="28"/>
  <c r="D375" i="28"/>
  <c r="D376" i="28"/>
  <c r="D377" i="28"/>
  <c r="D378" i="28"/>
  <c r="D379" i="28"/>
  <c r="D380" i="28"/>
  <c r="D381" i="28"/>
  <c r="D382" i="28"/>
  <c r="D383" i="28"/>
  <c r="D384" i="28"/>
  <c r="D385" i="28"/>
  <c r="B352" i="28" l="1"/>
  <c r="B353" i="28"/>
  <c r="D352" i="28"/>
  <c r="D353" i="28"/>
  <c r="B351" i="28" l="1"/>
  <c r="D351" i="28"/>
  <c r="B339" i="28"/>
  <c r="B340" i="28"/>
  <c r="B341" i="28"/>
  <c r="B342" i="28"/>
  <c r="B343" i="28"/>
  <c r="B344" i="28"/>
  <c r="B345" i="28"/>
  <c r="B346" i="28"/>
  <c r="B347" i="28"/>
  <c r="B348" i="28"/>
  <c r="B349" i="28"/>
  <c r="B350" i="28"/>
  <c r="D339" i="28"/>
  <c r="D340" i="28"/>
  <c r="D341" i="28"/>
  <c r="D342" i="28"/>
  <c r="D343" i="28"/>
  <c r="D344" i="28"/>
  <c r="D345" i="28"/>
  <c r="D346" i="28"/>
  <c r="D347" i="28"/>
  <c r="D348" i="28"/>
  <c r="D349" i="28"/>
  <c r="D350" i="28"/>
  <c r="B293" i="28" l="1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D293" i="28"/>
  <c r="D294" i="28"/>
  <c r="D295" i="28"/>
  <c r="D296" i="28"/>
  <c r="D297" i="28"/>
  <c r="D298" i="28"/>
  <c r="D299" i="28"/>
  <c r="D300" i="28"/>
  <c r="D301" i="28"/>
  <c r="D302" i="28"/>
  <c r="D303" i="28"/>
  <c r="D304" i="28"/>
  <c r="D305" i="28"/>
  <c r="D306" i="28"/>
  <c r="D307" i="28"/>
  <c r="D308" i="28"/>
  <c r="D309" i="28"/>
  <c r="D310" i="28"/>
  <c r="D311" i="28"/>
  <c r="D312" i="28"/>
  <c r="D313" i="28"/>
  <c r="D314" i="28"/>
  <c r="D315" i="28"/>
  <c r="D316" i="28"/>
  <c r="D317" i="28"/>
  <c r="D318" i="28"/>
  <c r="D319" i="28"/>
  <c r="D320" i="28"/>
  <c r="D321" i="28"/>
  <c r="D322" i="28"/>
  <c r="D323" i="28"/>
  <c r="D324" i="28"/>
  <c r="D325" i="28"/>
  <c r="D326" i="28"/>
  <c r="D327" i="28"/>
  <c r="D328" i="28"/>
  <c r="D329" i="28"/>
  <c r="D330" i="28"/>
  <c r="D331" i="28"/>
  <c r="D332" i="28"/>
  <c r="D333" i="28"/>
  <c r="D334" i="28"/>
  <c r="D335" i="28"/>
  <c r="D336" i="28"/>
  <c r="D337" i="28"/>
  <c r="D338" i="28"/>
  <c r="B290" i="28" l="1"/>
  <c r="B291" i="28"/>
  <c r="B292" i="28"/>
  <c r="D290" i="28"/>
  <c r="D291" i="28"/>
  <c r="D292" i="28"/>
  <c r="B277" i="28" l="1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D277" i="28"/>
  <c r="D278" i="28"/>
  <c r="D279" i="28"/>
  <c r="D280" i="28"/>
  <c r="D281" i="28"/>
  <c r="D282" i="28"/>
  <c r="D283" i="28"/>
  <c r="D284" i="28"/>
  <c r="D285" i="28"/>
  <c r="D286" i="28"/>
  <c r="D287" i="28"/>
  <c r="D288" i="28"/>
  <c r="D289" i="28"/>
  <c r="B274" i="28" l="1"/>
  <c r="B275" i="28"/>
  <c r="B276" i="28"/>
  <c r="D274" i="28"/>
  <c r="D275" i="28"/>
  <c r="D276" i="28"/>
  <c r="H18" i="33" l="1"/>
  <c r="H9" i="33"/>
  <c r="H5" i="33"/>
  <c r="B270" i="28" l="1"/>
  <c r="B271" i="28"/>
  <c r="B272" i="28"/>
  <c r="B273" i="28"/>
  <c r="D270" i="28"/>
  <c r="D271" i="28"/>
  <c r="D272" i="28"/>
  <c r="D273" i="28"/>
  <c r="O77" i="27"/>
  <c r="B267" i="28" l="1"/>
  <c r="B268" i="28"/>
  <c r="B269" i="28"/>
  <c r="D267" i="28"/>
  <c r="D268" i="28"/>
  <c r="D269" i="28"/>
  <c r="B261" i="28" l="1"/>
  <c r="B262" i="28"/>
  <c r="B263" i="28"/>
  <c r="B264" i="28"/>
  <c r="B265" i="28"/>
  <c r="B266" i="28"/>
  <c r="D261" i="28"/>
  <c r="D262" i="28"/>
  <c r="D263" i="28"/>
  <c r="D264" i="28"/>
  <c r="D265" i="28"/>
  <c r="D266" i="28"/>
  <c r="B260" i="28" l="1"/>
  <c r="D260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226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D176" i="28"/>
  <c r="D177" i="28"/>
  <c r="D178" i="28"/>
  <c r="D179" i="28"/>
  <c r="D180" i="28"/>
  <c r="D181" i="28"/>
  <c r="D182" i="28"/>
  <c r="D183" i="28"/>
  <c r="D184" i="28"/>
  <c r="D185" i="28"/>
  <c r="D186" i="28"/>
  <c r="D187" i="28"/>
  <c r="D188" i="28"/>
  <c r="D189" i="28"/>
  <c r="D190" i="28"/>
  <c r="D191" i="28"/>
  <c r="D192" i="28"/>
  <c r="D193" i="28"/>
  <c r="D194" i="28"/>
  <c r="D195" i="28"/>
  <c r="D196" i="28"/>
  <c r="D197" i="28"/>
  <c r="D198" i="28"/>
  <c r="D199" i="28"/>
  <c r="D200" i="28"/>
  <c r="D201" i="28"/>
  <c r="D202" i="28"/>
  <c r="D203" i="28"/>
  <c r="D204" i="28"/>
  <c r="D205" i="28"/>
  <c r="D206" i="28"/>
  <c r="D207" i="28"/>
  <c r="D208" i="28"/>
  <c r="D209" i="28"/>
  <c r="D210" i="28"/>
  <c r="D211" i="28"/>
  <c r="D212" i="28"/>
  <c r="D213" i="28"/>
  <c r="D214" i="28"/>
  <c r="D215" i="28"/>
  <c r="D216" i="28"/>
  <c r="D217" i="28"/>
  <c r="D218" i="28"/>
  <c r="D219" i="28"/>
  <c r="D220" i="28"/>
  <c r="D221" i="28"/>
  <c r="D222" i="28"/>
  <c r="D223" i="28"/>
  <c r="D224" i="28"/>
  <c r="D225" i="28"/>
  <c r="D226" i="28"/>
  <c r="D227" i="28"/>
  <c r="D228" i="28"/>
  <c r="D229" i="28"/>
  <c r="D230" i="28"/>
  <c r="D231" i="28"/>
  <c r="D232" i="28"/>
  <c r="D233" i="28"/>
  <c r="D234" i="28"/>
  <c r="D235" i="28"/>
  <c r="D236" i="28"/>
  <c r="D237" i="28"/>
  <c r="D238" i="28"/>
  <c r="D239" i="28"/>
  <c r="D240" i="28"/>
  <c r="D241" i="28"/>
  <c r="D242" i="28"/>
  <c r="D243" i="28"/>
  <c r="D244" i="28"/>
  <c r="D245" i="28"/>
  <c r="D246" i="28"/>
  <c r="B173" i="28" l="1"/>
  <c r="B174" i="28"/>
  <c r="B175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D173" i="28"/>
  <c r="D174" i="28"/>
  <c r="D175" i="28"/>
  <c r="D247" i="28"/>
  <c r="D248" i="28"/>
  <c r="D249" i="28"/>
  <c r="D250" i="28"/>
  <c r="D251" i="28"/>
  <c r="D252" i="28"/>
  <c r="D253" i="28"/>
  <c r="D254" i="28"/>
  <c r="D255" i="28"/>
  <c r="D256" i="28"/>
  <c r="D257" i="28"/>
  <c r="D258" i="28"/>
  <c r="D259" i="28"/>
  <c r="B162" i="28" l="1"/>
  <c r="B163" i="28"/>
  <c r="B164" i="28"/>
  <c r="B165" i="28"/>
  <c r="B166" i="28"/>
  <c r="B167" i="28"/>
  <c r="B168" i="28"/>
  <c r="B169" i="28"/>
  <c r="B170" i="28"/>
  <c r="B171" i="28"/>
  <c r="B172" i="28"/>
  <c r="D162" i="28"/>
  <c r="D163" i="28"/>
  <c r="D164" i="28"/>
  <c r="D165" i="28"/>
  <c r="D166" i="28"/>
  <c r="D167" i="28"/>
  <c r="D168" i="28"/>
  <c r="D169" i="28"/>
  <c r="D170" i="28"/>
  <c r="D171" i="28"/>
  <c r="D172" i="28"/>
  <c r="B161" i="28" l="1"/>
  <c r="D161" i="28"/>
  <c r="B151" i="28" l="1"/>
  <c r="B152" i="28"/>
  <c r="B153" i="28"/>
  <c r="B154" i="28"/>
  <c r="B155" i="28"/>
  <c r="B156" i="28"/>
  <c r="B157" i="28"/>
  <c r="B158" i="28"/>
  <c r="B159" i="28"/>
  <c r="B160" i="28"/>
  <c r="D151" i="28"/>
  <c r="D152" i="28"/>
  <c r="D153" i="28"/>
  <c r="D154" i="28"/>
  <c r="D155" i="28"/>
  <c r="D156" i="28"/>
  <c r="D157" i="28"/>
  <c r="D158" i="28"/>
  <c r="D159" i="28"/>
  <c r="D160" i="28"/>
  <c r="B3242" i="27"/>
  <c r="B3243" i="27"/>
  <c r="B3244" i="27"/>
  <c r="B3245" i="27"/>
  <c r="B3246" i="27"/>
  <c r="B3247" i="27"/>
  <c r="B3248" i="27"/>
  <c r="B3249" i="27"/>
  <c r="B149" i="28" l="1"/>
  <c r="B150" i="28"/>
  <c r="D149" i="28"/>
  <c r="D150" i="28"/>
  <c r="B107" i="28" l="1"/>
  <c r="B108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D107" i="28"/>
  <c r="D108" i="28"/>
  <c r="D109" i="28"/>
  <c r="D110" i="28"/>
  <c r="D111" i="28"/>
  <c r="D112" i="28"/>
  <c r="D113" i="28"/>
  <c r="D114" i="28"/>
  <c r="D115" i="28"/>
  <c r="D116" i="28"/>
  <c r="D117" i="28"/>
  <c r="D118" i="28"/>
  <c r="D119" i="28"/>
  <c r="D120" i="28"/>
  <c r="D121" i="28"/>
  <c r="D122" i="28"/>
  <c r="D123" i="28"/>
  <c r="D124" i="28"/>
  <c r="D125" i="28"/>
  <c r="D126" i="28"/>
  <c r="D127" i="28"/>
  <c r="D128" i="28"/>
  <c r="D129" i="28"/>
  <c r="D130" i="28"/>
  <c r="D131" i="28"/>
  <c r="D132" i="28"/>
  <c r="D133" i="28"/>
  <c r="D134" i="28"/>
  <c r="D135" i="28"/>
  <c r="D136" i="28"/>
  <c r="D137" i="28"/>
  <c r="D138" i="28"/>
  <c r="D139" i="28"/>
  <c r="D140" i="28"/>
  <c r="D141" i="28"/>
  <c r="D142" i="28"/>
  <c r="D143" i="28"/>
  <c r="D144" i="28"/>
  <c r="D145" i="28"/>
  <c r="D146" i="28"/>
  <c r="D147" i="28"/>
  <c r="D148" i="28"/>
  <c r="B2977" i="27"/>
  <c r="B2978" i="27"/>
  <c r="B2979" i="27"/>
  <c r="B2980" i="27"/>
  <c r="B2981" i="27"/>
  <c r="B2982" i="27"/>
  <c r="B2983" i="27"/>
  <c r="B2984" i="27"/>
  <c r="B2985" i="27"/>
  <c r="B2986" i="27"/>
  <c r="B2987" i="27"/>
  <c r="B2988" i="27"/>
  <c r="B2989" i="27"/>
  <c r="B2990" i="27"/>
  <c r="B2991" i="27"/>
  <c r="B2992" i="27"/>
  <c r="B2993" i="27"/>
  <c r="B2994" i="27"/>
  <c r="B2995" i="27"/>
  <c r="B2996" i="27"/>
  <c r="B2997" i="27"/>
  <c r="B2998" i="27"/>
  <c r="B2999" i="27"/>
  <c r="B3000" i="27"/>
  <c r="B3001" i="27"/>
  <c r="B3002" i="27"/>
  <c r="B3003" i="27"/>
  <c r="B3004" i="27"/>
  <c r="B3005" i="27"/>
  <c r="B3006" i="27"/>
  <c r="B3007" i="27"/>
  <c r="B3008" i="27"/>
  <c r="B3009" i="27"/>
  <c r="B3010" i="27"/>
  <c r="B3011" i="27"/>
  <c r="B3012" i="27"/>
  <c r="B3013" i="27"/>
  <c r="B3014" i="27"/>
  <c r="B3015" i="27"/>
  <c r="B3016" i="27"/>
  <c r="B3017" i="27"/>
  <c r="B3018" i="27"/>
  <c r="B3019" i="27"/>
  <c r="B3020" i="27"/>
  <c r="B3021" i="27"/>
  <c r="B3022" i="27"/>
  <c r="B3023" i="27"/>
  <c r="B3024" i="27"/>
  <c r="B3025" i="27"/>
  <c r="B3026" i="27"/>
  <c r="B3027" i="27"/>
  <c r="B3028" i="27"/>
  <c r="B3029" i="27"/>
  <c r="B3030" i="27"/>
  <c r="B3031" i="27"/>
  <c r="B3032" i="27"/>
  <c r="B3033" i="27"/>
  <c r="B3034" i="27"/>
  <c r="B3035" i="27"/>
  <c r="B3036" i="27"/>
  <c r="B3037" i="27"/>
  <c r="B3038" i="27"/>
  <c r="B3039" i="27"/>
  <c r="B3040" i="27"/>
  <c r="B3041" i="27"/>
  <c r="B3042" i="27"/>
  <c r="B3043" i="27"/>
  <c r="B3044" i="27"/>
  <c r="B3045" i="27"/>
  <c r="B3046" i="27"/>
  <c r="B3047" i="27"/>
  <c r="B3048" i="27"/>
  <c r="B3049" i="27"/>
  <c r="B3050" i="27"/>
  <c r="B3051" i="27"/>
  <c r="B3052" i="27"/>
  <c r="B3053" i="27"/>
  <c r="B3054" i="27"/>
  <c r="B3055" i="27"/>
  <c r="B3056" i="27"/>
  <c r="B3057" i="27"/>
  <c r="B3058" i="27"/>
  <c r="B3059" i="27"/>
  <c r="B3060" i="27"/>
  <c r="B3061" i="27"/>
  <c r="B3062" i="27"/>
  <c r="B3063" i="27"/>
  <c r="B3064" i="27"/>
  <c r="B3065" i="27"/>
  <c r="B3066" i="27"/>
  <c r="B3067" i="27"/>
  <c r="B3068" i="27"/>
  <c r="B3069" i="27"/>
  <c r="B3070" i="27"/>
  <c r="B3071" i="27"/>
  <c r="B3072" i="27"/>
  <c r="B3073" i="27"/>
  <c r="B3074" i="27"/>
  <c r="B3075" i="27"/>
  <c r="B3076" i="27"/>
  <c r="B3077" i="27"/>
  <c r="B3078" i="27"/>
  <c r="B3079" i="27"/>
  <c r="B3080" i="27"/>
  <c r="B3081" i="27"/>
  <c r="B3082" i="27"/>
  <c r="B3083" i="27"/>
  <c r="B3084" i="27"/>
  <c r="B3085" i="27"/>
  <c r="B3086" i="27"/>
  <c r="B3087" i="27"/>
  <c r="B3088" i="27"/>
  <c r="B3089" i="27"/>
  <c r="B3090" i="27"/>
  <c r="B3091" i="27"/>
  <c r="B3092" i="27"/>
  <c r="B3093" i="27"/>
  <c r="B3094" i="27"/>
  <c r="B3095" i="27"/>
  <c r="B3096" i="27"/>
  <c r="B3097" i="27"/>
  <c r="B3098" i="27"/>
  <c r="B3099" i="27"/>
  <c r="B3100" i="27"/>
  <c r="B3101" i="27"/>
  <c r="B3102" i="27"/>
  <c r="B3103" i="27"/>
  <c r="B3104" i="27"/>
  <c r="B3105" i="27"/>
  <c r="B3106" i="27"/>
  <c r="B3107" i="27"/>
  <c r="B3108" i="27"/>
  <c r="B3109" i="27"/>
  <c r="B3110" i="27"/>
  <c r="B3111" i="27"/>
  <c r="B3112" i="27"/>
  <c r="B3113" i="27"/>
  <c r="B3114" i="27"/>
  <c r="B3115" i="27"/>
  <c r="B3116" i="27"/>
  <c r="B3117" i="27"/>
  <c r="B3118" i="27"/>
  <c r="B3119" i="27"/>
  <c r="B3120" i="27"/>
  <c r="B3121" i="27"/>
  <c r="B3122" i="27"/>
  <c r="B3123" i="27"/>
  <c r="B3124" i="27"/>
  <c r="B3125" i="27"/>
  <c r="B3126" i="27"/>
  <c r="B3127" i="27"/>
  <c r="B3128" i="27"/>
  <c r="B3129" i="27"/>
  <c r="B3130" i="27"/>
  <c r="B3131" i="27"/>
  <c r="B3132" i="27"/>
  <c r="B3133" i="27"/>
  <c r="B3134" i="27"/>
  <c r="B3135" i="27"/>
  <c r="B3136" i="27"/>
  <c r="B3137" i="27"/>
  <c r="B3138" i="27"/>
  <c r="B3139" i="27"/>
  <c r="B3140" i="27"/>
  <c r="B3141" i="27"/>
  <c r="B3142" i="27"/>
  <c r="B3143" i="27"/>
  <c r="B3144" i="27"/>
  <c r="B3145" i="27"/>
  <c r="B3146" i="27"/>
  <c r="B3147" i="27"/>
  <c r="B3148" i="27"/>
  <c r="B3149" i="27"/>
  <c r="B3150" i="27"/>
  <c r="B3151" i="27"/>
  <c r="B3152" i="27"/>
  <c r="B3153" i="27"/>
  <c r="B3154" i="27"/>
  <c r="B3155" i="27"/>
  <c r="B3156" i="27"/>
  <c r="B3157" i="27"/>
  <c r="B3158" i="27"/>
  <c r="B3159" i="27"/>
  <c r="B3160" i="27"/>
  <c r="B3161" i="27"/>
  <c r="B3162" i="27"/>
  <c r="B3163" i="27"/>
  <c r="B3164" i="27"/>
  <c r="B3165" i="27"/>
  <c r="B3166" i="27"/>
  <c r="B3167" i="27"/>
  <c r="B3168" i="27"/>
  <c r="B3169" i="27"/>
  <c r="B3170" i="27"/>
  <c r="B3171" i="27"/>
  <c r="B3172" i="27"/>
  <c r="B3173" i="27"/>
  <c r="B3174" i="27"/>
  <c r="B3175" i="27"/>
  <c r="B3176" i="27"/>
  <c r="B3177" i="27"/>
  <c r="B3178" i="27"/>
  <c r="B3179" i="27"/>
  <c r="B3180" i="27"/>
  <c r="B3181" i="27"/>
  <c r="B3182" i="27"/>
  <c r="B3183" i="27"/>
  <c r="B3184" i="27"/>
  <c r="B3185" i="27"/>
  <c r="B3186" i="27"/>
  <c r="B3187" i="27"/>
  <c r="B3188" i="27"/>
  <c r="B3189" i="27"/>
  <c r="B3190" i="27"/>
  <c r="B3191" i="27"/>
  <c r="B3192" i="27"/>
  <c r="B3193" i="27"/>
  <c r="B3194" i="27"/>
  <c r="B3195" i="27"/>
  <c r="B3196" i="27"/>
  <c r="B3197" i="27"/>
  <c r="B3198" i="27"/>
  <c r="B3199" i="27"/>
  <c r="B3200" i="27"/>
  <c r="B3201" i="27"/>
  <c r="B3202" i="27"/>
  <c r="B3203" i="27"/>
  <c r="B3204" i="27"/>
  <c r="B3205" i="27"/>
  <c r="B3206" i="27"/>
  <c r="B3207" i="27"/>
  <c r="B3208" i="27"/>
  <c r="B3209" i="27"/>
  <c r="B3210" i="27"/>
  <c r="B3211" i="27"/>
  <c r="B3212" i="27"/>
  <c r="B3213" i="27"/>
  <c r="B3214" i="27"/>
  <c r="B3215" i="27"/>
  <c r="B3216" i="27"/>
  <c r="B3217" i="27"/>
  <c r="B3218" i="27"/>
  <c r="B3219" i="27"/>
  <c r="B3220" i="27"/>
  <c r="B3221" i="27"/>
  <c r="B3222" i="27"/>
  <c r="B3223" i="27"/>
  <c r="B3224" i="27"/>
  <c r="B3225" i="27"/>
  <c r="B3226" i="27"/>
  <c r="B3227" i="27"/>
  <c r="B3228" i="27"/>
  <c r="B3229" i="27"/>
  <c r="B3230" i="27"/>
  <c r="B3231" i="27"/>
  <c r="B3232" i="27"/>
  <c r="B3233" i="27"/>
  <c r="B3234" i="27"/>
  <c r="B3235" i="27"/>
  <c r="B3236" i="27"/>
  <c r="B3237" i="27"/>
  <c r="B3238" i="27"/>
  <c r="B3239" i="27"/>
  <c r="B3240" i="27"/>
  <c r="B3241" i="27"/>
  <c r="I7" i="32" l="1"/>
  <c r="I8" i="32" s="1"/>
  <c r="I9" i="32" s="1"/>
  <c r="I10" i="32" s="1"/>
  <c r="I11" i="32" s="1"/>
  <c r="I12" i="32" s="1"/>
  <c r="I13" i="32" s="1"/>
  <c r="I14" i="32" s="1"/>
  <c r="I15" i="32" s="1"/>
  <c r="I16" i="32" s="1"/>
  <c r="I17" i="32" s="1"/>
  <c r="C7" i="32"/>
  <c r="C8" i="32" s="1"/>
  <c r="C9" i="32" s="1"/>
  <c r="C10" i="32" s="1"/>
  <c r="C11" i="32" s="1"/>
  <c r="C12" i="32" s="1"/>
  <c r="C13" i="32" s="1"/>
  <c r="C14" i="32" s="1"/>
  <c r="C15" i="32" s="1"/>
  <c r="C16" i="32" s="1"/>
  <c r="C17" i="32" s="1"/>
  <c r="C18" i="32" s="1"/>
  <c r="B102" i="28" l="1"/>
  <c r="B103" i="28"/>
  <c r="B104" i="28"/>
  <c r="B105" i="28"/>
  <c r="B106" i="28"/>
  <c r="D102" i="28"/>
  <c r="D103" i="28"/>
  <c r="D104" i="28"/>
  <c r="D105" i="28"/>
  <c r="D106" i="28"/>
  <c r="B2390" i="27"/>
  <c r="B2391" i="27"/>
  <c r="B2392" i="27"/>
  <c r="B2393" i="27"/>
  <c r="B2394" i="27"/>
  <c r="B2395" i="27"/>
  <c r="B2396" i="27"/>
  <c r="B2397" i="27"/>
  <c r="B2398" i="27"/>
  <c r="B2399" i="27"/>
  <c r="B2400" i="27"/>
  <c r="B2401" i="27"/>
  <c r="B2402" i="27"/>
  <c r="B2403" i="27"/>
  <c r="B2404" i="27"/>
  <c r="B2405" i="27"/>
  <c r="B2406" i="27"/>
  <c r="B2407" i="27"/>
  <c r="B2408" i="27"/>
  <c r="B2409" i="27"/>
  <c r="B2410" i="27"/>
  <c r="B2411" i="27"/>
  <c r="B2412" i="27"/>
  <c r="B2413" i="27"/>
  <c r="B2414" i="27"/>
  <c r="B2415" i="27"/>
  <c r="B2416" i="27"/>
  <c r="B2417" i="27"/>
  <c r="B2418" i="27"/>
  <c r="B2419" i="27"/>
  <c r="B2420" i="27"/>
  <c r="B2421" i="27"/>
  <c r="B2422" i="27"/>
  <c r="B2423" i="27"/>
  <c r="B2424" i="27"/>
  <c r="B2425" i="27"/>
  <c r="B2426" i="27"/>
  <c r="B2427" i="27"/>
  <c r="B2428" i="27"/>
  <c r="B2429" i="27"/>
  <c r="B2430" i="27"/>
  <c r="B2431" i="27"/>
  <c r="B2432" i="27"/>
  <c r="B2433" i="27"/>
  <c r="B2434" i="27"/>
  <c r="B2435" i="27"/>
  <c r="B2436" i="27"/>
  <c r="B2437" i="27"/>
  <c r="B2438" i="27"/>
  <c r="B2439" i="27"/>
  <c r="B2440" i="27"/>
  <c r="B2441" i="27"/>
  <c r="B2442" i="27"/>
  <c r="B2443" i="27"/>
  <c r="B2444" i="27"/>
  <c r="B2445" i="27"/>
  <c r="B2446" i="27"/>
  <c r="B2447" i="27"/>
  <c r="B2448" i="27"/>
  <c r="B2449" i="27"/>
  <c r="B2450" i="27"/>
  <c r="B2451" i="27"/>
  <c r="B2452" i="27"/>
  <c r="B2453" i="27"/>
  <c r="B2454" i="27"/>
  <c r="B2455" i="27"/>
  <c r="B2456" i="27"/>
  <c r="B2457" i="27"/>
  <c r="B2458" i="27"/>
  <c r="B2459" i="27"/>
  <c r="B2460" i="27"/>
  <c r="B2461" i="27"/>
  <c r="B2462" i="27"/>
  <c r="B2463" i="27"/>
  <c r="B2464" i="27"/>
  <c r="B2465" i="27"/>
  <c r="B2466" i="27"/>
  <c r="B2467" i="27"/>
  <c r="B2468" i="27"/>
  <c r="B2469" i="27"/>
  <c r="B2470" i="27"/>
  <c r="B2471" i="27"/>
  <c r="B2472" i="27"/>
  <c r="B2473" i="27"/>
  <c r="B2474" i="27"/>
  <c r="B2475" i="27"/>
  <c r="B2476" i="27"/>
  <c r="B2477" i="27"/>
  <c r="B2478" i="27"/>
  <c r="B2479" i="27"/>
  <c r="B2480" i="27"/>
  <c r="B2481" i="27"/>
  <c r="B2482" i="27"/>
  <c r="B2483" i="27"/>
  <c r="B2484" i="27"/>
  <c r="B2485" i="27"/>
  <c r="B2486" i="27"/>
  <c r="B2487" i="27"/>
  <c r="B2488" i="27"/>
  <c r="B2489" i="27"/>
  <c r="B2490" i="27"/>
  <c r="B2491" i="27"/>
  <c r="B2492" i="27"/>
  <c r="B2493" i="27"/>
  <c r="B2494" i="27"/>
  <c r="B2495" i="27"/>
  <c r="B2496" i="27"/>
  <c r="B2497" i="27"/>
  <c r="B2498" i="27"/>
  <c r="B2499" i="27"/>
  <c r="B2500" i="27"/>
  <c r="B2501" i="27"/>
  <c r="B2502" i="27"/>
  <c r="B2503" i="27"/>
  <c r="B2504" i="27"/>
  <c r="B2505" i="27"/>
  <c r="B2506" i="27"/>
  <c r="B2507" i="27"/>
  <c r="B2508" i="27"/>
  <c r="B2509" i="27"/>
  <c r="B2510" i="27"/>
  <c r="B2511" i="27"/>
  <c r="B2512" i="27"/>
  <c r="B2513" i="27"/>
  <c r="B2514" i="27"/>
  <c r="B2515" i="27"/>
  <c r="B2516" i="27"/>
  <c r="B2517" i="27"/>
  <c r="B2518" i="27"/>
  <c r="B2519" i="27"/>
  <c r="B2520" i="27"/>
  <c r="B2521" i="27"/>
  <c r="B2522" i="27"/>
  <c r="B2523" i="27"/>
  <c r="B2524" i="27"/>
  <c r="B2525" i="27"/>
  <c r="B2526" i="27"/>
  <c r="B2527" i="27"/>
  <c r="B2528" i="27"/>
  <c r="B2529" i="27"/>
  <c r="B2530" i="27"/>
  <c r="B2531" i="27"/>
  <c r="B2532" i="27"/>
  <c r="B2533" i="27"/>
  <c r="B2534" i="27"/>
  <c r="B2535" i="27"/>
  <c r="B2536" i="27"/>
  <c r="B2537" i="27"/>
  <c r="B2538" i="27"/>
  <c r="B2539" i="27"/>
  <c r="B2540" i="27"/>
  <c r="B2541" i="27"/>
  <c r="B2542" i="27"/>
  <c r="B2543" i="27"/>
  <c r="B2544" i="27"/>
  <c r="B2545" i="27"/>
  <c r="B2546" i="27"/>
  <c r="B2547" i="27"/>
  <c r="B2548" i="27"/>
  <c r="B2549" i="27"/>
  <c r="B2550" i="27"/>
  <c r="B2551" i="27"/>
  <c r="B2552" i="27"/>
  <c r="B2553" i="27"/>
  <c r="B2554" i="27"/>
  <c r="B2555" i="27"/>
  <c r="B2556" i="27"/>
  <c r="B2557" i="27"/>
  <c r="B2558" i="27"/>
  <c r="B2559" i="27"/>
  <c r="B2560" i="27"/>
  <c r="B2561" i="27"/>
  <c r="B2562" i="27"/>
  <c r="B2563" i="27"/>
  <c r="B2564" i="27"/>
  <c r="B2565" i="27"/>
  <c r="B2566" i="27"/>
  <c r="B2567" i="27"/>
  <c r="B2568" i="27"/>
  <c r="B2569" i="27"/>
  <c r="B2570" i="27"/>
  <c r="B2571" i="27"/>
  <c r="B2572" i="27"/>
  <c r="B2573" i="27"/>
  <c r="B2574" i="27"/>
  <c r="B2575" i="27"/>
  <c r="B2576" i="27"/>
  <c r="B2577" i="27"/>
  <c r="B2578" i="27"/>
  <c r="B2579" i="27"/>
  <c r="B2580" i="27"/>
  <c r="B2581" i="27"/>
  <c r="B2582" i="27"/>
  <c r="B2583" i="27"/>
  <c r="B2584" i="27"/>
  <c r="B2585" i="27"/>
  <c r="B2586" i="27"/>
  <c r="B2587" i="27"/>
  <c r="B2588" i="27"/>
  <c r="B2589" i="27"/>
  <c r="B2590" i="27"/>
  <c r="B2591" i="27"/>
  <c r="B2592" i="27"/>
  <c r="B2593" i="27"/>
  <c r="B2594" i="27"/>
  <c r="B2595" i="27"/>
  <c r="B2596" i="27"/>
  <c r="B2597" i="27"/>
  <c r="B2598" i="27"/>
  <c r="B2599" i="27"/>
  <c r="B2600" i="27"/>
  <c r="B2601" i="27"/>
  <c r="B2602" i="27"/>
  <c r="B2603" i="27"/>
  <c r="B2604" i="27"/>
  <c r="B2605" i="27"/>
  <c r="B2606" i="27"/>
  <c r="B2607" i="27"/>
  <c r="B2608" i="27"/>
  <c r="B2609" i="27"/>
  <c r="B2610" i="27"/>
  <c r="B2611" i="27"/>
  <c r="B2612" i="27"/>
  <c r="B2613" i="27"/>
  <c r="B2614" i="27"/>
  <c r="B2615" i="27"/>
  <c r="B2616" i="27"/>
  <c r="B2617" i="27"/>
  <c r="B2618" i="27"/>
  <c r="B2619" i="27"/>
  <c r="B2620" i="27"/>
  <c r="B2621" i="27"/>
  <c r="B2622" i="27"/>
  <c r="B2623" i="27"/>
  <c r="B2624" i="27"/>
  <c r="B2625" i="27"/>
  <c r="B2626" i="27"/>
  <c r="B2627" i="27"/>
  <c r="B2628" i="27"/>
  <c r="B2629" i="27"/>
  <c r="B2630" i="27"/>
  <c r="B2631" i="27"/>
  <c r="B2632" i="27"/>
  <c r="B2633" i="27"/>
  <c r="B2634" i="27"/>
  <c r="B2635" i="27"/>
  <c r="B2636" i="27"/>
  <c r="B2637" i="27"/>
  <c r="B2638" i="27"/>
  <c r="B2639" i="27"/>
  <c r="B2640" i="27"/>
  <c r="B2641" i="27"/>
  <c r="B2642" i="27"/>
  <c r="B2643" i="27"/>
  <c r="B2644" i="27"/>
  <c r="B2645" i="27"/>
  <c r="B2646" i="27"/>
  <c r="B2647" i="27"/>
  <c r="B2648" i="27"/>
  <c r="B2649" i="27"/>
  <c r="B2650" i="27"/>
  <c r="B2651" i="27"/>
  <c r="B2652" i="27"/>
  <c r="B2653" i="27"/>
  <c r="B2654" i="27"/>
  <c r="B2655" i="27"/>
  <c r="B2656" i="27"/>
  <c r="B2657" i="27"/>
  <c r="B2658" i="27"/>
  <c r="B2659" i="27"/>
  <c r="B2660" i="27"/>
  <c r="B2661" i="27"/>
  <c r="B2662" i="27"/>
  <c r="B2663" i="27"/>
  <c r="B2664" i="27"/>
  <c r="B2665" i="27"/>
  <c r="B2666" i="27"/>
  <c r="B2667" i="27"/>
  <c r="B2668" i="27"/>
  <c r="B2669" i="27"/>
  <c r="B2670" i="27"/>
  <c r="B2671" i="27"/>
  <c r="B2672" i="27"/>
  <c r="B2673" i="27"/>
  <c r="B2674" i="27"/>
  <c r="B2675" i="27"/>
  <c r="B2676" i="27"/>
  <c r="B2677" i="27"/>
  <c r="B2678" i="27"/>
  <c r="B2679" i="27"/>
  <c r="B2680" i="27"/>
  <c r="B2681" i="27"/>
  <c r="B2682" i="27"/>
  <c r="B2683" i="27"/>
  <c r="B2684" i="27"/>
  <c r="B2685" i="27"/>
  <c r="B2686" i="27"/>
  <c r="B2687" i="27"/>
  <c r="B2688" i="27"/>
  <c r="B2689" i="27"/>
  <c r="B2690" i="27"/>
  <c r="B2691" i="27"/>
  <c r="B2692" i="27"/>
  <c r="B2693" i="27"/>
  <c r="B2694" i="27"/>
  <c r="B2695" i="27"/>
  <c r="B2696" i="27"/>
  <c r="B2697" i="27"/>
  <c r="B2698" i="27"/>
  <c r="B2699" i="27"/>
  <c r="B2700" i="27"/>
  <c r="B2701" i="27"/>
  <c r="B2702" i="27"/>
  <c r="B2703" i="27"/>
  <c r="B2704" i="27"/>
  <c r="B2705" i="27"/>
  <c r="B2706" i="27"/>
  <c r="B2707" i="27"/>
  <c r="B2708" i="27"/>
  <c r="B2709" i="27"/>
  <c r="B2710" i="27"/>
  <c r="B2711" i="27"/>
  <c r="B2712" i="27"/>
  <c r="B2713" i="27"/>
  <c r="B2714" i="27"/>
  <c r="B2715" i="27"/>
  <c r="B2716" i="27"/>
  <c r="B2717" i="27"/>
  <c r="B2718" i="27"/>
  <c r="B2719" i="27"/>
  <c r="B2720" i="27"/>
  <c r="B2721" i="27"/>
  <c r="B2722" i="27"/>
  <c r="B2723" i="27"/>
  <c r="B2724" i="27"/>
  <c r="B2725" i="27"/>
  <c r="B2726" i="27"/>
  <c r="B2727" i="27"/>
  <c r="B2728" i="27"/>
  <c r="B2729" i="27"/>
  <c r="B2730" i="27"/>
  <c r="B2731" i="27"/>
  <c r="B2732" i="27"/>
  <c r="B2733" i="27"/>
  <c r="B2734" i="27"/>
  <c r="B2735" i="27"/>
  <c r="B2736" i="27"/>
  <c r="B2737" i="27"/>
  <c r="B2738" i="27"/>
  <c r="B2739" i="27"/>
  <c r="B2740" i="27"/>
  <c r="B2741" i="27"/>
  <c r="B2742" i="27"/>
  <c r="B2743" i="27"/>
  <c r="B2744" i="27"/>
  <c r="B2745" i="27"/>
  <c r="B2746" i="27"/>
  <c r="B2747" i="27"/>
  <c r="B2748" i="27"/>
  <c r="B2749" i="27"/>
  <c r="B2750" i="27"/>
  <c r="B2751" i="27"/>
  <c r="B2752" i="27"/>
  <c r="B2753" i="27"/>
  <c r="B2754" i="27"/>
  <c r="B2755" i="27"/>
  <c r="B2756" i="27"/>
  <c r="B2757" i="27"/>
  <c r="B2758" i="27"/>
  <c r="B2759" i="27"/>
  <c r="B2760" i="27"/>
  <c r="B2761" i="27"/>
  <c r="B2762" i="27"/>
  <c r="B2763" i="27"/>
  <c r="B2764" i="27"/>
  <c r="B2765" i="27"/>
  <c r="B2766" i="27"/>
  <c r="B2767" i="27"/>
  <c r="B2768" i="27"/>
  <c r="B2769" i="27"/>
  <c r="B2770" i="27"/>
  <c r="B2771" i="27"/>
  <c r="B2772" i="27"/>
  <c r="B2773" i="27"/>
  <c r="B2774" i="27"/>
  <c r="B2775" i="27"/>
  <c r="B2776" i="27"/>
  <c r="B2777" i="27"/>
  <c r="B2778" i="27"/>
  <c r="B2779" i="27"/>
  <c r="B2780" i="27"/>
  <c r="B2781" i="27"/>
  <c r="B2782" i="27"/>
  <c r="B2783" i="27"/>
  <c r="B2784" i="27"/>
  <c r="B2785" i="27"/>
  <c r="B2786" i="27"/>
  <c r="B2787" i="27"/>
  <c r="B2788" i="27"/>
  <c r="B2789" i="27"/>
  <c r="B2790" i="27"/>
  <c r="B2791" i="27"/>
  <c r="B2792" i="27"/>
  <c r="B2793" i="27"/>
  <c r="B2794" i="27"/>
  <c r="B2795" i="27"/>
  <c r="B2796" i="27"/>
  <c r="B2797" i="27"/>
  <c r="B2798" i="27"/>
  <c r="B2799" i="27"/>
  <c r="B2800" i="27"/>
  <c r="B2801" i="27"/>
  <c r="B2802" i="27"/>
  <c r="B2803" i="27"/>
  <c r="B2804" i="27"/>
  <c r="B2805" i="27"/>
  <c r="B2806" i="27"/>
  <c r="B2807" i="27"/>
  <c r="B2808" i="27"/>
  <c r="B2809" i="27"/>
  <c r="B2810" i="27"/>
  <c r="B2811" i="27"/>
  <c r="B2812" i="27"/>
  <c r="B2813" i="27"/>
  <c r="B2814" i="27"/>
  <c r="B2815" i="27"/>
  <c r="B2816" i="27"/>
  <c r="B2817" i="27"/>
  <c r="B2818" i="27"/>
  <c r="B2819" i="27"/>
  <c r="B2820" i="27"/>
  <c r="B2821" i="27"/>
  <c r="B2822" i="27"/>
  <c r="B2823" i="27"/>
  <c r="B2824" i="27"/>
  <c r="B2825" i="27"/>
  <c r="B2826" i="27"/>
  <c r="B2827" i="27"/>
  <c r="B2828" i="27"/>
  <c r="B2829" i="27"/>
  <c r="B2830" i="27"/>
  <c r="B2831" i="27"/>
  <c r="B2832" i="27"/>
  <c r="B2833" i="27"/>
  <c r="B2834" i="27"/>
  <c r="B2835" i="27"/>
  <c r="B2836" i="27"/>
  <c r="B2837" i="27"/>
  <c r="B2838" i="27"/>
  <c r="B2839" i="27"/>
  <c r="B2840" i="27"/>
  <c r="B2841" i="27"/>
  <c r="B2842" i="27"/>
  <c r="B2843" i="27"/>
  <c r="B2844" i="27"/>
  <c r="B2845" i="27"/>
  <c r="B2846" i="27"/>
  <c r="B2847" i="27"/>
  <c r="B2848" i="27"/>
  <c r="B2849" i="27"/>
  <c r="B2850" i="27"/>
  <c r="B2851" i="27"/>
  <c r="B2852" i="27"/>
  <c r="B2853" i="27"/>
  <c r="B2854" i="27"/>
  <c r="B2855" i="27"/>
  <c r="B2856" i="27"/>
  <c r="B2857" i="27"/>
  <c r="B2858" i="27"/>
  <c r="B2859" i="27"/>
  <c r="B2860" i="27"/>
  <c r="B2861" i="27"/>
  <c r="B2862" i="27"/>
  <c r="B2863" i="27"/>
  <c r="B2864" i="27"/>
  <c r="B2865" i="27"/>
  <c r="B2866" i="27"/>
  <c r="B2867" i="27"/>
  <c r="B2868" i="27"/>
  <c r="B2869" i="27"/>
  <c r="B2870" i="27"/>
  <c r="B2871" i="27"/>
  <c r="B2872" i="27"/>
  <c r="B2873" i="27"/>
  <c r="B2874" i="27"/>
  <c r="B2875" i="27"/>
  <c r="B2876" i="27"/>
  <c r="B2877" i="27"/>
  <c r="B2878" i="27"/>
  <c r="B2879" i="27"/>
  <c r="B2880" i="27"/>
  <c r="B2881" i="27"/>
  <c r="B2882" i="27"/>
  <c r="B2883" i="27"/>
  <c r="B2884" i="27"/>
  <c r="B2885" i="27"/>
  <c r="B2886" i="27"/>
  <c r="B2887" i="27"/>
  <c r="B2888" i="27"/>
  <c r="B2889" i="27"/>
  <c r="B2890" i="27"/>
  <c r="B2891" i="27"/>
  <c r="B2892" i="27"/>
  <c r="B2893" i="27"/>
  <c r="B2894" i="27"/>
  <c r="B2895" i="27"/>
  <c r="B2896" i="27"/>
  <c r="B2897" i="27"/>
  <c r="B2898" i="27"/>
  <c r="B2899" i="27"/>
  <c r="B2900" i="27"/>
  <c r="B2901" i="27"/>
  <c r="B2902" i="27"/>
  <c r="B2903" i="27"/>
  <c r="B2904" i="27"/>
  <c r="B2905" i="27"/>
  <c r="B2906" i="27"/>
  <c r="B2907" i="27"/>
  <c r="B2908" i="27"/>
  <c r="B2909" i="27"/>
  <c r="B2910" i="27"/>
  <c r="B2911" i="27"/>
  <c r="B2912" i="27"/>
  <c r="B2913" i="27"/>
  <c r="B2914" i="27"/>
  <c r="B2915" i="27"/>
  <c r="B2916" i="27"/>
  <c r="B2917" i="27"/>
  <c r="B2918" i="27"/>
  <c r="B2919" i="27"/>
  <c r="B2920" i="27"/>
  <c r="B2921" i="27"/>
  <c r="B2922" i="27"/>
  <c r="B2923" i="27"/>
  <c r="B2924" i="27"/>
  <c r="B2925" i="27"/>
  <c r="B2926" i="27"/>
  <c r="B2927" i="27"/>
  <c r="B2928" i="27"/>
  <c r="B2929" i="27"/>
  <c r="B2930" i="27"/>
  <c r="B2931" i="27"/>
  <c r="B2932" i="27"/>
  <c r="B2933" i="27"/>
  <c r="B2934" i="27"/>
  <c r="B2935" i="27"/>
  <c r="B2936" i="27"/>
  <c r="B2937" i="27"/>
  <c r="B2938" i="27"/>
  <c r="B2939" i="27"/>
  <c r="B2940" i="27"/>
  <c r="B2941" i="27"/>
  <c r="B2942" i="27"/>
  <c r="B2943" i="27"/>
  <c r="B2944" i="27"/>
  <c r="B2945" i="27"/>
  <c r="B2946" i="27"/>
  <c r="B2947" i="27"/>
  <c r="B2948" i="27"/>
  <c r="B2949" i="27"/>
  <c r="B2950" i="27"/>
  <c r="B2951" i="27"/>
  <c r="B2952" i="27"/>
  <c r="B2953" i="27"/>
  <c r="B2954" i="27"/>
  <c r="B2955" i="27"/>
  <c r="B2956" i="27"/>
  <c r="B2957" i="27"/>
  <c r="B2958" i="27"/>
  <c r="B2959" i="27"/>
  <c r="B2960" i="27"/>
  <c r="B2961" i="27"/>
  <c r="B2962" i="27"/>
  <c r="B2963" i="27"/>
  <c r="B2964" i="27"/>
  <c r="B2965" i="27"/>
  <c r="B2966" i="27"/>
  <c r="B2967" i="27"/>
  <c r="B2968" i="27"/>
  <c r="B2969" i="27"/>
  <c r="B2970" i="27"/>
  <c r="B2971" i="27"/>
  <c r="B2972" i="27"/>
  <c r="B2973" i="27"/>
  <c r="B2974" i="27"/>
  <c r="B2975" i="27"/>
  <c r="B2976" i="27"/>
  <c r="B83" i="28" l="1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D83" i="28"/>
  <c r="D84" i="28"/>
  <c r="D85" i="28"/>
  <c r="D86" i="28"/>
  <c r="D87" i="28"/>
  <c r="D88" i="28"/>
  <c r="D89" i="28"/>
  <c r="D90" i="28"/>
  <c r="D91" i="28"/>
  <c r="D92" i="28"/>
  <c r="D93" i="28"/>
  <c r="D94" i="28"/>
  <c r="D95" i="28"/>
  <c r="D96" i="28"/>
  <c r="D97" i="28"/>
  <c r="D98" i="28"/>
  <c r="D99" i="28"/>
  <c r="D100" i="28"/>
  <c r="D101" i="28"/>
  <c r="B2230" i="27"/>
  <c r="B2231" i="27"/>
  <c r="B2232" i="27"/>
  <c r="B2233" i="27"/>
  <c r="B2234" i="27"/>
  <c r="B2235" i="27"/>
  <c r="B2236" i="27"/>
  <c r="B2237" i="27"/>
  <c r="B2238" i="27"/>
  <c r="B2239" i="27"/>
  <c r="B2240" i="27"/>
  <c r="B2241" i="27"/>
  <c r="B2242" i="27"/>
  <c r="B2243" i="27"/>
  <c r="B2244" i="27"/>
  <c r="B2245" i="27"/>
  <c r="B2246" i="27"/>
  <c r="B2247" i="27"/>
  <c r="B2248" i="27"/>
  <c r="B2249" i="27"/>
  <c r="B2250" i="27"/>
  <c r="B2251" i="27"/>
  <c r="B2252" i="27"/>
  <c r="B2253" i="27"/>
  <c r="B2254" i="27"/>
  <c r="B2255" i="27"/>
  <c r="B2256" i="27"/>
  <c r="B2257" i="27"/>
  <c r="B2258" i="27"/>
  <c r="B2259" i="27"/>
  <c r="B2260" i="27"/>
  <c r="B2261" i="27"/>
  <c r="B2262" i="27"/>
  <c r="B2263" i="27"/>
  <c r="B2264" i="27"/>
  <c r="B2265" i="27"/>
  <c r="B2266" i="27"/>
  <c r="B2267" i="27"/>
  <c r="B2268" i="27"/>
  <c r="B2269" i="27"/>
  <c r="B2270" i="27"/>
  <c r="B2271" i="27"/>
  <c r="B2272" i="27"/>
  <c r="B2273" i="27"/>
  <c r="B2274" i="27"/>
  <c r="B2275" i="27"/>
  <c r="B2276" i="27"/>
  <c r="B2277" i="27"/>
  <c r="B2278" i="27"/>
  <c r="B2279" i="27"/>
  <c r="B2280" i="27"/>
  <c r="B2281" i="27"/>
  <c r="B2282" i="27"/>
  <c r="B2283" i="27"/>
  <c r="B2284" i="27"/>
  <c r="B2285" i="27"/>
  <c r="B2286" i="27"/>
  <c r="B2287" i="27"/>
  <c r="B2288" i="27"/>
  <c r="B2289" i="27"/>
  <c r="B2290" i="27"/>
  <c r="B2291" i="27"/>
  <c r="B2292" i="27"/>
  <c r="B2293" i="27"/>
  <c r="B2294" i="27"/>
  <c r="B2295" i="27"/>
  <c r="B2296" i="27"/>
  <c r="B2297" i="27"/>
  <c r="B2298" i="27"/>
  <c r="B2299" i="27"/>
  <c r="B2300" i="27"/>
  <c r="B2301" i="27"/>
  <c r="B2302" i="27"/>
  <c r="B2303" i="27"/>
  <c r="B2304" i="27"/>
  <c r="B2305" i="27"/>
  <c r="B2306" i="27"/>
  <c r="B2307" i="27"/>
  <c r="B2308" i="27"/>
  <c r="B2309" i="27"/>
  <c r="B2310" i="27"/>
  <c r="B2311" i="27"/>
  <c r="B2312" i="27"/>
  <c r="B2313" i="27"/>
  <c r="B2314" i="27"/>
  <c r="B2315" i="27"/>
  <c r="B2316" i="27"/>
  <c r="B2317" i="27"/>
  <c r="B2318" i="27"/>
  <c r="B2319" i="27"/>
  <c r="B2320" i="27"/>
  <c r="B2321" i="27"/>
  <c r="B2322" i="27"/>
  <c r="B2323" i="27"/>
  <c r="B2324" i="27"/>
  <c r="B2325" i="27"/>
  <c r="B2326" i="27"/>
  <c r="B2327" i="27"/>
  <c r="B2328" i="27"/>
  <c r="B2329" i="27"/>
  <c r="B2330" i="27"/>
  <c r="B2331" i="27"/>
  <c r="B2332" i="27"/>
  <c r="B2333" i="27"/>
  <c r="B2334" i="27"/>
  <c r="B2335" i="27"/>
  <c r="B2336" i="27"/>
  <c r="B2337" i="27"/>
  <c r="B2338" i="27"/>
  <c r="B2339" i="27"/>
  <c r="B2340" i="27"/>
  <c r="B2341" i="27"/>
  <c r="B2342" i="27"/>
  <c r="B2343" i="27"/>
  <c r="B2344" i="27"/>
  <c r="B2345" i="27"/>
  <c r="B2346" i="27"/>
  <c r="B2347" i="27"/>
  <c r="B2348" i="27"/>
  <c r="B2349" i="27"/>
  <c r="B2350" i="27"/>
  <c r="B2351" i="27"/>
  <c r="B2352" i="27"/>
  <c r="B2353" i="27"/>
  <c r="B2354" i="27"/>
  <c r="B2355" i="27"/>
  <c r="B2356" i="27"/>
  <c r="B2357" i="27"/>
  <c r="B2358" i="27"/>
  <c r="B2359" i="27"/>
  <c r="B2360" i="27"/>
  <c r="B2361" i="27"/>
  <c r="B2362" i="27"/>
  <c r="B2363" i="27"/>
  <c r="B2364" i="27"/>
  <c r="B2365" i="27"/>
  <c r="B2366" i="27"/>
  <c r="B2367" i="27"/>
  <c r="B2368" i="27"/>
  <c r="B2369" i="27"/>
  <c r="B2370" i="27"/>
  <c r="B2371" i="27"/>
  <c r="B2372" i="27"/>
  <c r="B2373" i="27"/>
  <c r="B2374" i="27"/>
  <c r="B2375" i="27"/>
  <c r="B2376" i="27"/>
  <c r="B2377" i="27"/>
  <c r="B2378" i="27"/>
  <c r="B2379" i="27"/>
  <c r="B2380" i="27"/>
  <c r="B2381" i="27"/>
  <c r="B2382" i="27"/>
  <c r="B2383" i="27"/>
  <c r="B2384" i="27"/>
  <c r="B2385" i="27"/>
  <c r="B2386" i="27"/>
  <c r="B2387" i="27"/>
  <c r="B2388" i="27"/>
  <c r="B2389" i="27"/>
  <c r="D8" i="28" l="1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4" i="28"/>
  <c r="D65" i="28"/>
  <c r="D66" i="28"/>
  <c r="D67" i="28"/>
  <c r="D68" i="28"/>
  <c r="D69" i="28"/>
  <c r="D70" i="28"/>
  <c r="D71" i="28"/>
  <c r="D72" i="28"/>
  <c r="D73" i="28"/>
  <c r="D74" i="28"/>
  <c r="D75" i="28"/>
  <c r="D76" i="28"/>
  <c r="D77" i="28"/>
  <c r="D78" i="28"/>
  <c r="D79" i="28"/>
  <c r="D80" i="28"/>
  <c r="D81" i="28"/>
  <c r="D82" i="28"/>
  <c r="B80" i="28" l="1"/>
  <c r="B81" i="28"/>
  <c r="B82" i="28"/>
  <c r="B78" i="28" l="1"/>
  <c r="B79" i="28"/>
  <c r="B24" i="28" l="1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1530" i="27" l="1"/>
  <c r="B1531" i="27"/>
  <c r="B1532" i="27"/>
  <c r="B1533" i="27"/>
  <c r="B1534" i="27"/>
  <c r="B1535" i="27"/>
  <c r="B1536" i="27"/>
  <c r="B1537" i="27"/>
  <c r="B1538" i="27"/>
  <c r="B1539" i="27"/>
  <c r="B1540" i="27"/>
  <c r="B1541" i="27"/>
  <c r="B1542" i="27"/>
  <c r="B1543" i="27"/>
  <c r="B1544" i="27"/>
  <c r="B1545" i="27"/>
  <c r="B1546" i="27"/>
  <c r="B1547" i="27"/>
  <c r="B1548" i="27"/>
  <c r="B1549" i="27"/>
  <c r="B1550" i="27"/>
  <c r="B1551" i="27"/>
  <c r="B1552" i="27"/>
  <c r="B1553" i="27"/>
  <c r="B1554" i="27"/>
  <c r="B1555" i="27"/>
  <c r="B1556" i="27"/>
  <c r="B1557" i="27"/>
  <c r="B1558" i="27"/>
  <c r="B1559" i="27"/>
  <c r="B1560" i="27"/>
  <c r="B1561" i="27"/>
  <c r="B1562" i="27"/>
  <c r="B1563" i="27"/>
  <c r="B1564" i="27"/>
  <c r="B1565" i="27"/>
  <c r="B1566" i="27"/>
  <c r="B1567" i="27"/>
  <c r="B1568" i="27"/>
  <c r="B1569" i="27"/>
  <c r="B1570" i="27"/>
  <c r="B1571" i="27"/>
  <c r="B1572" i="27"/>
  <c r="B1573" i="27"/>
  <c r="B1574" i="27"/>
  <c r="B1575" i="27"/>
  <c r="B1576" i="27"/>
  <c r="B1577" i="27"/>
  <c r="B1578" i="27"/>
  <c r="B1579" i="27"/>
  <c r="B1580" i="27"/>
  <c r="B1581" i="27"/>
  <c r="B1582" i="27"/>
  <c r="B1583" i="27"/>
  <c r="B1584" i="27"/>
  <c r="B1585" i="27"/>
  <c r="B1586" i="27"/>
  <c r="B1587" i="27"/>
  <c r="B1588" i="27"/>
  <c r="B1589" i="27"/>
  <c r="B1590" i="27"/>
  <c r="B1591" i="27"/>
  <c r="B1592" i="27"/>
  <c r="B1593" i="27"/>
  <c r="B1594" i="27"/>
  <c r="B1595" i="27"/>
  <c r="B1596" i="27"/>
  <c r="B1597" i="27"/>
  <c r="B1598" i="27"/>
  <c r="B1599" i="27"/>
  <c r="B1600" i="27"/>
  <c r="B1601" i="27"/>
  <c r="B1602" i="27"/>
  <c r="B1603" i="27"/>
  <c r="B1604" i="27"/>
  <c r="B1605" i="27"/>
  <c r="B1606" i="27"/>
  <c r="B1607" i="27"/>
  <c r="B1608" i="27"/>
  <c r="B1609" i="27"/>
  <c r="B1610" i="27"/>
  <c r="B1611" i="27"/>
  <c r="B1612" i="27"/>
  <c r="B1613" i="27"/>
  <c r="B1614" i="27"/>
  <c r="B1615" i="27"/>
  <c r="B1616" i="27"/>
  <c r="B1617" i="27"/>
  <c r="B1618" i="27"/>
  <c r="B1619" i="27"/>
  <c r="B1620" i="27"/>
  <c r="B1621" i="27"/>
  <c r="B1622" i="27"/>
  <c r="B1623" i="27"/>
  <c r="B1624" i="27"/>
  <c r="B1625" i="27"/>
  <c r="B1626" i="27"/>
  <c r="B1627" i="27"/>
  <c r="B1628" i="27"/>
  <c r="B1629" i="27"/>
  <c r="B1630" i="27"/>
  <c r="B1631" i="27"/>
  <c r="B1632" i="27"/>
  <c r="B1633" i="27"/>
  <c r="B1634" i="27"/>
  <c r="B1635" i="27"/>
  <c r="B1636" i="27"/>
  <c r="B1637" i="27"/>
  <c r="B1638" i="27"/>
  <c r="B1639" i="27"/>
  <c r="B1640" i="27"/>
  <c r="B1641" i="27"/>
  <c r="B1642" i="27"/>
  <c r="B1643" i="27"/>
  <c r="B1644" i="27"/>
  <c r="B1645" i="27"/>
  <c r="B1646" i="27"/>
  <c r="B1647" i="27"/>
  <c r="B1648" i="27"/>
  <c r="B1649" i="27"/>
  <c r="B1650" i="27"/>
  <c r="B1651" i="27"/>
  <c r="B1652" i="27"/>
  <c r="B1653" i="27"/>
  <c r="B1654" i="27"/>
  <c r="B1655" i="27"/>
  <c r="B1656" i="27"/>
  <c r="B1657" i="27"/>
  <c r="B1658" i="27"/>
  <c r="B1659" i="27"/>
  <c r="B1660" i="27"/>
  <c r="B1661" i="27"/>
  <c r="B1662" i="27"/>
  <c r="B1663" i="27"/>
  <c r="B1664" i="27"/>
  <c r="B1665" i="27"/>
  <c r="B1666" i="27"/>
  <c r="B1667" i="27"/>
  <c r="B1668" i="27"/>
  <c r="B1669" i="27"/>
  <c r="B1670" i="27"/>
  <c r="B1671" i="27"/>
  <c r="B1672" i="27"/>
  <c r="B1673" i="27"/>
  <c r="B1674" i="27"/>
  <c r="B1675" i="27"/>
  <c r="B1676" i="27"/>
  <c r="B1677" i="27"/>
  <c r="B1678" i="27"/>
  <c r="B1679" i="27"/>
  <c r="B1680" i="27"/>
  <c r="B1681" i="27"/>
  <c r="B1682" i="27"/>
  <c r="B1683" i="27"/>
  <c r="B1684" i="27"/>
  <c r="B1685" i="27"/>
  <c r="B1686" i="27"/>
  <c r="B1687" i="27"/>
  <c r="B1688" i="27"/>
  <c r="B1689" i="27"/>
  <c r="B1690" i="27"/>
  <c r="B1691" i="27"/>
  <c r="B1692" i="27"/>
  <c r="B1693" i="27"/>
  <c r="B1694" i="27"/>
  <c r="B1695" i="27"/>
  <c r="B1696" i="27"/>
  <c r="B1697" i="27"/>
  <c r="B1698" i="27"/>
  <c r="B1699" i="27"/>
  <c r="B1700" i="27"/>
  <c r="B1701" i="27"/>
  <c r="B1702" i="27"/>
  <c r="B1703" i="27"/>
  <c r="B1704" i="27"/>
  <c r="B1705" i="27"/>
  <c r="B1706" i="27"/>
  <c r="B1707" i="27"/>
  <c r="B1708" i="27"/>
  <c r="B1709" i="27"/>
  <c r="B1710" i="27"/>
  <c r="B1711" i="27"/>
  <c r="B1712" i="27"/>
  <c r="B1713" i="27"/>
  <c r="B1714" i="27"/>
  <c r="B1715" i="27"/>
  <c r="B1716" i="27"/>
  <c r="B1717" i="27"/>
  <c r="B1718" i="27"/>
  <c r="B1719" i="27"/>
  <c r="B1720" i="27"/>
  <c r="B1721" i="27"/>
  <c r="B1722" i="27"/>
  <c r="B1723" i="27"/>
  <c r="B1724" i="27"/>
  <c r="B1725" i="27"/>
  <c r="B1726" i="27"/>
  <c r="B1727" i="27"/>
  <c r="B1728" i="27"/>
  <c r="B1729" i="27"/>
  <c r="B1730" i="27"/>
  <c r="B1731" i="27"/>
  <c r="B1732" i="27"/>
  <c r="B1733" i="27"/>
  <c r="B1734" i="27"/>
  <c r="B1735" i="27"/>
  <c r="B1736" i="27"/>
  <c r="B1737" i="27"/>
  <c r="B1738" i="27"/>
  <c r="B1739" i="27"/>
  <c r="B1740" i="27"/>
  <c r="B1741" i="27"/>
  <c r="B1742" i="27"/>
  <c r="B1743" i="27"/>
  <c r="B1744" i="27"/>
  <c r="B1745" i="27"/>
  <c r="B1746" i="27"/>
  <c r="B1747" i="27"/>
  <c r="B1748" i="27"/>
  <c r="B1749" i="27"/>
  <c r="B1750" i="27"/>
  <c r="B1751" i="27"/>
  <c r="B1752" i="27"/>
  <c r="B1753" i="27"/>
  <c r="B1754" i="27"/>
  <c r="B1755" i="27"/>
  <c r="B1756" i="27"/>
  <c r="B1757" i="27"/>
  <c r="B1758" i="27"/>
  <c r="B1759" i="27"/>
  <c r="B1760" i="27"/>
  <c r="B1761" i="27"/>
  <c r="B1762" i="27"/>
  <c r="B1763" i="27"/>
  <c r="B1764" i="27"/>
  <c r="B1765" i="27"/>
  <c r="B1766" i="27"/>
  <c r="B1767" i="27"/>
  <c r="B1768" i="27"/>
  <c r="B1769" i="27"/>
  <c r="B1770" i="27"/>
  <c r="B1771" i="27"/>
  <c r="B1772" i="27"/>
  <c r="B1773" i="27"/>
  <c r="B1774" i="27"/>
  <c r="B1775" i="27"/>
  <c r="B1776" i="27"/>
  <c r="B1777" i="27"/>
  <c r="B1778" i="27"/>
  <c r="B1779" i="27"/>
  <c r="B1780" i="27"/>
  <c r="B1781" i="27"/>
  <c r="B1782" i="27"/>
  <c r="B1783" i="27"/>
  <c r="B1784" i="27"/>
  <c r="B1785" i="27"/>
  <c r="B1786" i="27"/>
  <c r="B1787" i="27"/>
  <c r="B1788" i="27"/>
  <c r="B1789" i="27"/>
  <c r="B1790" i="27"/>
  <c r="B1791" i="27"/>
  <c r="B1792" i="27"/>
  <c r="B1793" i="27"/>
  <c r="B1794" i="27"/>
  <c r="B1795" i="27"/>
  <c r="B1796" i="27"/>
  <c r="B1797" i="27"/>
  <c r="B1798" i="27"/>
  <c r="B1799" i="27"/>
  <c r="B1800" i="27"/>
  <c r="B1801" i="27"/>
  <c r="B1802" i="27"/>
  <c r="B1803" i="27"/>
  <c r="B1804" i="27"/>
  <c r="B1805" i="27"/>
  <c r="B1806" i="27"/>
  <c r="B1807" i="27"/>
  <c r="B1808" i="27"/>
  <c r="B1809" i="27"/>
  <c r="B1810" i="27"/>
  <c r="B1811" i="27"/>
  <c r="B1812" i="27"/>
  <c r="B1813" i="27"/>
  <c r="B1814" i="27"/>
  <c r="B1815" i="27"/>
  <c r="B1816" i="27"/>
  <c r="B1817" i="27"/>
  <c r="B1818" i="27"/>
  <c r="B1819" i="27"/>
  <c r="B1820" i="27"/>
  <c r="B1821" i="27"/>
  <c r="B1822" i="27"/>
  <c r="B1823" i="27"/>
  <c r="B1824" i="27"/>
  <c r="B1825" i="27"/>
  <c r="B1826" i="27"/>
  <c r="B1827" i="27"/>
  <c r="B1828" i="27"/>
  <c r="B1829" i="27"/>
  <c r="B1830" i="27"/>
  <c r="B1831" i="27"/>
  <c r="B1832" i="27"/>
  <c r="B1833" i="27"/>
  <c r="B1834" i="27"/>
  <c r="B1835" i="27"/>
  <c r="B1836" i="27"/>
  <c r="B1837" i="27"/>
  <c r="B1838" i="27"/>
  <c r="B1839" i="27"/>
  <c r="B1840" i="27"/>
  <c r="B1841" i="27"/>
  <c r="B1842" i="27"/>
  <c r="B1843" i="27"/>
  <c r="B1844" i="27"/>
  <c r="B1845" i="27"/>
  <c r="B1846" i="27"/>
  <c r="B1847" i="27"/>
  <c r="B1848" i="27"/>
  <c r="B1849" i="27"/>
  <c r="B1850" i="27"/>
  <c r="B1851" i="27"/>
  <c r="B1852" i="27"/>
  <c r="B1853" i="27"/>
  <c r="B1854" i="27"/>
  <c r="B1855" i="27"/>
  <c r="B1856" i="27"/>
  <c r="B1857" i="27"/>
  <c r="B1858" i="27"/>
  <c r="B1859" i="27"/>
  <c r="B1860" i="27"/>
  <c r="B1861" i="27"/>
  <c r="B1862" i="27"/>
  <c r="B1863" i="27"/>
  <c r="B1864" i="27"/>
  <c r="B1865" i="27"/>
  <c r="B1866" i="27"/>
  <c r="B1867" i="27"/>
  <c r="B1868" i="27"/>
  <c r="B1869" i="27"/>
  <c r="B1870" i="27"/>
  <c r="B1871" i="27"/>
  <c r="B1872" i="27"/>
  <c r="B1873" i="27"/>
  <c r="B1874" i="27"/>
  <c r="B1875" i="27"/>
  <c r="B1876" i="27"/>
  <c r="B1877" i="27"/>
  <c r="B1878" i="27"/>
  <c r="B1879" i="27"/>
  <c r="B1880" i="27"/>
  <c r="B1881" i="27"/>
  <c r="B1882" i="27"/>
  <c r="B1883" i="27"/>
  <c r="B1884" i="27"/>
  <c r="B1885" i="27"/>
  <c r="B1886" i="27"/>
  <c r="B1887" i="27"/>
  <c r="B1888" i="27"/>
  <c r="B1889" i="27"/>
  <c r="B1890" i="27"/>
  <c r="B1891" i="27"/>
  <c r="B1892" i="27"/>
  <c r="B1893" i="27"/>
  <c r="B1894" i="27"/>
  <c r="B1895" i="27"/>
  <c r="B1896" i="27"/>
  <c r="B1897" i="27"/>
  <c r="B1898" i="27"/>
  <c r="B1899" i="27"/>
  <c r="B1900" i="27"/>
  <c r="B1901" i="27"/>
  <c r="B1902" i="27"/>
  <c r="B1903" i="27"/>
  <c r="B1904" i="27"/>
  <c r="B1905" i="27"/>
  <c r="B1906" i="27"/>
  <c r="B1907" i="27"/>
  <c r="B1908" i="27"/>
  <c r="B1909" i="27"/>
  <c r="B1910" i="27"/>
  <c r="B1911" i="27"/>
  <c r="B1912" i="27"/>
  <c r="B1913" i="27"/>
  <c r="B1914" i="27"/>
  <c r="B1915" i="27"/>
  <c r="B1916" i="27"/>
  <c r="B1917" i="27"/>
  <c r="B1918" i="27"/>
  <c r="B1919" i="27"/>
  <c r="B1920" i="27"/>
  <c r="B1921" i="27"/>
  <c r="B1922" i="27"/>
  <c r="B1923" i="27"/>
  <c r="B1924" i="27"/>
  <c r="B1925" i="27"/>
  <c r="B1926" i="27"/>
  <c r="B1927" i="27"/>
  <c r="B1928" i="27"/>
  <c r="B1929" i="27"/>
  <c r="B1930" i="27"/>
  <c r="B1931" i="27"/>
  <c r="B1932" i="27"/>
  <c r="B1933" i="27"/>
  <c r="B1934" i="27"/>
  <c r="B1935" i="27"/>
  <c r="B1936" i="27"/>
  <c r="B1937" i="27"/>
  <c r="B1938" i="27"/>
  <c r="B1939" i="27"/>
  <c r="B1940" i="27"/>
  <c r="B1941" i="27"/>
  <c r="B1942" i="27"/>
  <c r="B1943" i="27"/>
  <c r="B1944" i="27"/>
  <c r="B1945" i="27"/>
  <c r="B1946" i="27"/>
  <c r="B1947" i="27"/>
  <c r="B1948" i="27"/>
  <c r="B1949" i="27"/>
  <c r="B1950" i="27"/>
  <c r="B1951" i="27"/>
  <c r="B1952" i="27"/>
  <c r="B1953" i="27"/>
  <c r="B1954" i="27"/>
  <c r="B1955" i="27"/>
  <c r="B1956" i="27"/>
  <c r="B1957" i="27"/>
  <c r="B1958" i="27"/>
  <c r="B1959" i="27"/>
  <c r="B1960" i="27"/>
  <c r="B1961" i="27"/>
  <c r="B1962" i="27"/>
  <c r="B1963" i="27"/>
  <c r="B1964" i="27"/>
  <c r="B1965" i="27"/>
  <c r="B1966" i="27"/>
  <c r="B1967" i="27"/>
  <c r="B1968" i="27"/>
  <c r="B1969" i="27"/>
  <c r="B1970" i="27"/>
  <c r="B1971" i="27"/>
  <c r="B1972" i="27"/>
  <c r="B1973" i="27"/>
  <c r="B1974" i="27"/>
  <c r="B1975" i="27"/>
  <c r="B1976" i="27"/>
  <c r="B1977" i="27"/>
  <c r="B1978" i="27"/>
  <c r="B1979" i="27"/>
  <c r="B1980" i="27"/>
  <c r="B1981" i="27"/>
  <c r="B1982" i="27"/>
  <c r="B1983" i="27"/>
  <c r="B1984" i="27"/>
  <c r="B1985" i="27"/>
  <c r="B1986" i="27"/>
  <c r="B1987" i="27"/>
  <c r="B1988" i="27"/>
  <c r="B1989" i="27"/>
  <c r="B1990" i="27"/>
  <c r="B1991" i="27"/>
  <c r="B1992" i="27"/>
  <c r="B1993" i="27"/>
  <c r="B1994" i="27"/>
  <c r="B1995" i="27"/>
  <c r="B1996" i="27"/>
  <c r="B1997" i="27"/>
  <c r="B1998" i="27"/>
  <c r="B1999" i="27"/>
  <c r="B2000" i="27"/>
  <c r="B2001" i="27"/>
  <c r="B2002" i="27"/>
  <c r="B2003" i="27"/>
  <c r="B2004" i="27"/>
  <c r="B2005" i="27"/>
  <c r="B2006" i="27"/>
  <c r="B2007" i="27"/>
  <c r="B2008" i="27"/>
  <c r="B2009" i="27"/>
  <c r="B2010" i="27"/>
  <c r="B2011" i="27"/>
  <c r="B2012" i="27"/>
  <c r="B2013" i="27"/>
  <c r="B2014" i="27"/>
  <c r="B2015" i="27"/>
  <c r="B2016" i="27"/>
  <c r="B2017" i="27"/>
  <c r="B2018" i="27"/>
  <c r="B2019" i="27"/>
  <c r="B2020" i="27"/>
  <c r="B2021" i="27"/>
  <c r="B2022" i="27"/>
  <c r="B2023" i="27"/>
  <c r="B2024" i="27"/>
  <c r="B2025" i="27"/>
  <c r="B2026" i="27"/>
  <c r="B2027" i="27"/>
  <c r="B2028" i="27"/>
  <c r="B2029" i="27"/>
  <c r="B2030" i="27"/>
  <c r="B2031" i="27"/>
  <c r="B2032" i="27"/>
  <c r="B2033" i="27"/>
  <c r="B2034" i="27"/>
  <c r="B2035" i="27"/>
  <c r="B2036" i="27"/>
  <c r="B2037" i="27"/>
  <c r="B2038" i="27"/>
  <c r="B2039" i="27"/>
  <c r="B2040" i="27"/>
  <c r="B2041" i="27"/>
  <c r="B2042" i="27"/>
  <c r="B2043" i="27"/>
  <c r="B2044" i="27"/>
  <c r="B2045" i="27"/>
  <c r="B2046" i="27"/>
  <c r="B2047" i="27"/>
  <c r="B2048" i="27"/>
  <c r="B2049" i="27"/>
  <c r="B2050" i="27"/>
  <c r="B2051" i="27"/>
  <c r="B2052" i="27"/>
  <c r="B2053" i="27"/>
  <c r="B2054" i="27"/>
  <c r="B2055" i="27"/>
  <c r="B2056" i="27"/>
  <c r="B2057" i="27"/>
  <c r="B2058" i="27"/>
  <c r="B2059" i="27"/>
  <c r="B2060" i="27"/>
  <c r="B2061" i="27"/>
  <c r="B2062" i="27"/>
  <c r="B2063" i="27"/>
  <c r="B2064" i="27"/>
  <c r="B2065" i="27"/>
  <c r="B2066" i="27"/>
  <c r="B2067" i="27"/>
  <c r="B2068" i="27"/>
  <c r="B2069" i="27"/>
  <c r="B2070" i="27"/>
  <c r="B2071" i="27"/>
  <c r="B2072" i="27"/>
  <c r="B2073" i="27"/>
  <c r="B2074" i="27"/>
  <c r="B2075" i="27"/>
  <c r="B2076" i="27"/>
  <c r="B2077" i="27"/>
  <c r="B2078" i="27"/>
  <c r="B2079" i="27"/>
  <c r="B2080" i="27"/>
  <c r="B2081" i="27"/>
  <c r="B2082" i="27"/>
  <c r="B2083" i="27"/>
  <c r="B2084" i="27"/>
  <c r="B2085" i="27"/>
  <c r="B2086" i="27"/>
  <c r="B2087" i="27"/>
  <c r="B2088" i="27"/>
  <c r="B2089" i="27"/>
  <c r="B2090" i="27"/>
  <c r="B2091" i="27"/>
  <c r="B2092" i="27"/>
  <c r="B2093" i="27"/>
  <c r="B2094" i="27"/>
  <c r="B2095" i="27"/>
  <c r="B2096" i="27"/>
  <c r="B2097" i="27"/>
  <c r="B2098" i="27"/>
  <c r="B2099" i="27"/>
  <c r="B2100" i="27"/>
  <c r="B2101" i="27"/>
  <c r="B2102" i="27"/>
  <c r="B2103" i="27"/>
  <c r="B2104" i="27"/>
  <c r="B2105" i="27"/>
  <c r="B2106" i="27"/>
  <c r="B2107" i="27"/>
  <c r="B2108" i="27"/>
  <c r="B2109" i="27"/>
  <c r="B2110" i="27"/>
  <c r="B2111" i="27"/>
  <c r="B2112" i="27"/>
  <c r="B2113" i="27"/>
  <c r="B2114" i="27"/>
  <c r="B2115" i="27"/>
  <c r="B2116" i="27"/>
  <c r="B2117" i="27"/>
  <c r="B2118" i="27"/>
  <c r="B2119" i="27"/>
  <c r="B2120" i="27"/>
  <c r="B2121" i="27"/>
  <c r="B2122" i="27"/>
  <c r="B2123" i="27"/>
  <c r="B2124" i="27"/>
  <c r="B2125" i="27"/>
  <c r="B2126" i="27"/>
  <c r="B2127" i="27"/>
  <c r="B2128" i="27"/>
  <c r="B2129" i="27"/>
  <c r="B2130" i="27"/>
  <c r="B2131" i="27"/>
  <c r="B2132" i="27"/>
  <c r="B2133" i="27"/>
  <c r="B2134" i="27"/>
  <c r="B2135" i="27"/>
  <c r="B2136" i="27"/>
  <c r="B2137" i="27"/>
  <c r="B2138" i="27"/>
  <c r="B2139" i="27"/>
  <c r="B2140" i="27"/>
  <c r="B2141" i="27"/>
  <c r="B2142" i="27"/>
  <c r="B2143" i="27"/>
  <c r="B2144" i="27"/>
  <c r="B2145" i="27"/>
  <c r="B2146" i="27"/>
  <c r="B2147" i="27"/>
  <c r="B2148" i="27"/>
  <c r="B2149" i="27"/>
  <c r="B2150" i="27"/>
  <c r="B2151" i="27"/>
  <c r="B2152" i="27"/>
  <c r="B2153" i="27"/>
  <c r="B2154" i="27"/>
  <c r="B2155" i="27"/>
  <c r="B2156" i="27"/>
  <c r="B2157" i="27"/>
  <c r="B2158" i="27"/>
  <c r="B2159" i="27"/>
  <c r="B2160" i="27"/>
  <c r="B2161" i="27"/>
  <c r="B2162" i="27"/>
  <c r="B2163" i="27"/>
  <c r="B2164" i="27"/>
  <c r="B2165" i="27"/>
  <c r="B2166" i="27"/>
  <c r="B2167" i="27"/>
  <c r="B2168" i="27"/>
  <c r="B2169" i="27"/>
  <c r="B2170" i="27"/>
  <c r="B2171" i="27"/>
  <c r="B2172" i="27"/>
  <c r="B2173" i="27"/>
  <c r="B2174" i="27"/>
  <c r="B2175" i="27"/>
  <c r="B2176" i="27"/>
  <c r="B2177" i="27"/>
  <c r="B2178" i="27"/>
  <c r="B2179" i="27"/>
  <c r="B2180" i="27"/>
  <c r="B2181" i="27"/>
  <c r="B2182" i="27"/>
  <c r="B2183" i="27"/>
  <c r="B2184" i="27"/>
  <c r="B2185" i="27"/>
  <c r="B2186" i="27"/>
  <c r="B2187" i="27"/>
  <c r="B2188" i="27"/>
  <c r="B2189" i="27"/>
  <c r="B2190" i="27"/>
  <c r="B2191" i="27"/>
  <c r="B2192" i="27"/>
  <c r="B2193" i="27"/>
  <c r="B2194" i="27"/>
  <c r="B2195" i="27"/>
  <c r="B2196" i="27"/>
  <c r="B2197" i="27"/>
  <c r="B2198" i="27"/>
  <c r="B2199" i="27"/>
  <c r="B2200" i="27"/>
  <c r="B2201" i="27"/>
  <c r="B2202" i="27"/>
  <c r="B2203" i="27"/>
  <c r="B2204" i="27"/>
  <c r="B2205" i="27"/>
  <c r="B2206" i="27"/>
  <c r="B2207" i="27"/>
  <c r="B2208" i="27"/>
  <c r="B2209" i="27"/>
  <c r="B2210" i="27"/>
  <c r="B2211" i="27"/>
  <c r="B2212" i="27"/>
  <c r="B2213" i="27"/>
  <c r="B2214" i="27"/>
  <c r="B2215" i="27"/>
  <c r="B2216" i="27"/>
  <c r="B2217" i="27"/>
  <c r="B2218" i="27"/>
  <c r="B2219" i="27"/>
  <c r="B2220" i="27"/>
  <c r="B2221" i="27"/>
  <c r="B2222" i="27"/>
  <c r="B2223" i="27"/>
  <c r="B2224" i="27"/>
  <c r="B2225" i="27"/>
  <c r="B2226" i="27"/>
  <c r="B2227" i="27"/>
  <c r="B2228" i="27"/>
  <c r="B2229" i="27"/>
  <c r="B21" i="28" l="1"/>
  <c r="B22" i="28"/>
  <c r="B23" i="28"/>
  <c r="B20" i="28" l="1"/>
  <c r="B9" i="28" l="1"/>
  <c r="B10" i="28"/>
  <c r="B11" i="28"/>
  <c r="B12" i="28"/>
  <c r="B13" i="28"/>
  <c r="B14" i="28"/>
  <c r="B15" i="28"/>
  <c r="B16" i="28"/>
  <c r="B17" i="28"/>
  <c r="B18" i="28"/>
  <c r="B19" i="28"/>
  <c r="B8" i="28" l="1"/>
  <c r="B1524" i="27" l="1"/>
  <c r="B1525" i="27"/>
  <c r="B1526" i="27"/>
  <c r="B1527" i="27"/>
  <c r="B1528" i="27"/>
  <c r="B1529" i="27"/>
  <c r="B1513" i="27" l="1"/>
  <c r="B1514" i="27"/>
  <c r="B1515" i="27"/>
  <c r="B1516" i="27"/>
  <c r="B1517" i="27"/>
  <c r="B1518" i="27"/>
  <c r="B1519" i="27"/>
  <c r="B1520" i="27"/>
  <c r="B1521" i="27"/>
  <c r="B1522" i="27"/>
  <c r="B1523" i="27"/>
  <c r="B1481" i="27" l="1"/>
  <c r="B1482" i="27"/>
  <c r="B1483" i="27"/>
  <c r="B1484" i="27"/>
  <c r="B1485" i="27"/>
  <c r="B1486" i="27"/>
  <c r="B1487" i="27"/>
  <c r="B1488" i="27"/>
  <c r="B1489" i="27"/>
  <c r="B1490" i="27"/>
  <c r="B1491" i="27"/>
  <c r="B1492" i="27"/>
  <c r="B1493" i="27"/>
  <c r="B1494" i="27"/>
  <c r="B1495" i="27"/>
  <c r="B1496" i="27"/>
  <c r="B1497" i="27"/>
  <c r="B1498" i="27"/>
  <c r="B1499" i="27"/>
  <c r="B1500" i="27"/>
  <c r="B1501" i="27"/>
  <c r="B1502" i="27"/>
  <c r="B1503" i="27"/>
  <c r="B1504" i="27"/>
  <c r="B1505" i="27"/>
  <c r="B1506" i="27"/>
  <c r="B1507" i="27"/>
  <c r="B1508" i="27"/>
  <c r="B1509" i="27"/>
  <c r="B1510" i="27"/>
  <c r="B1511" i="27"/>
  <c r="B1512" i="27"/>
  <c r="B1411" i="27" l="1"/>
  <c r="B1412" i="27"/>
  <c r="B1413" i="27"/>
  <c r="B1414" i="27"/>
  <c r="B1415" i="27"/>
  <c r="B1416" i="27"/>
  <c r="B1417" i="27"/>
  <c r="B1418" i="27"/>
  <c r="B1419" i="27"/>
  <c r="B1420" i="27"/>
  <c r="B1421" i="27"/>
  <c r="B1422" i="27"/>
  <c r="B1423" i="27"/>
  <c r="B1424" i="27"/>
  <c r="B1425" i="27"/>
  <c r="B1426" i="27"/>
  <c r="B1427" i="27"/>
  <c r="B1428" i="27"/>
  <c r="B1429" i="27"/>
  <c r="B1430" i="27"/>
  <c r="B1431" i="27"/>
  <c r="B1432" i="27"/>
  <c r="B1433" i="27"/>
  <c r="B1434" i="27"/>
  <c r="B1435" i="27"/>
  <c r="B1436" i="27"/>
  <c r="B1437" i="27"/>
  <c r="B1438" i="27"/>
  <c r="B1439" i="27"/>
  <c r="B1440" i="27"/>
  <c r="B1441" i="27"/>
  <c r="B1442" i="27"/>
  <c r="B1443" i="27"/>
  <c r="B1444" i="27"/>
  <c r="B1445" i="27"/>
  <c r="B1446" i="27"/>
  <c r="B1447" i="27"/>
  <c r="B1448" i="27"/>
  <c r="B1449" i="27"/>
  <c r="B1450" i="27"/>
  <c r="B1451" i="27"/>
  <c r="B1452" i="27"/>
  <c r="B1453" i="27"/>
  <c r="B1454" i="27"/>
  <c r="B1455" i="27"/>
  <c r="B1456" i="27"/>
  <c r="B1457" i="27"/>
  <c r="B1458" i="27"/>
  <c r="B1459" i="27"/>
  <c r="B1460" i="27"/>
  <c r="B1461" i="27"/>
  <c r="B1462" i="27"/>
  <c r="B1463" i="27"/>
  <c r="B1464" i="27"/>
  <c r="B1465" i="27"/>
  <c r="B1466" i="27"/>
  <c r="B1467" i="27"/>
  <c r="B1468" i="27"/>
  <c r="B1469" i="27"/>
  <c r="B1470" i="27"/>
  <c r="B1471" i="27"/>
  <c r="B1472" i="27"/>
  <c r="B1473" i="27"/>
  <c r="B1474" i="27"/>
  <c r="B1475" i="27"/>
  <c r="B1476" i="27"/>
  <c r="B1477" i="27"/>
  <c r="B1478" i="27"/>
  <c r="B1479" i="27"/>
  <c r="B1480" i="27"/>
  <c r="B222" i="27" l="1"/>
  <c r="B223" i="27"/>
  <c r="B224" i="27"/>
  <c r="B225" i="27"/>
  <c r="B226" i="27"/>
  <c r="B227" i="27"/>
  <c r="B228" i="27"/>
  <c r="B229" i="27"/>
  <c r="B230" i="27"/>
  <c r="B231" i="27"/>
  <c r="B232" i="27"/>
  <c r="B233" i="27"/>
  <c r="B234" i="27"/>
  <c r="B235" i="27"/>
  <c r="B236" i="27"/>
  <c r="B237" i="27"/>
  <c r="B238" i="27"/>
  <c r="B239" i="27"/>
  <c r="B240" i="27"/>
  <c r="B241" i="27"/>
  <c r="B242" i="27"/>
  <c r="B243" i="27"/>
  <c r="B244" i="27"/>
  <c r="B245" i="27"/>
  <c r="B246" i="27"/>
  <c r="B247" i="27"/>
  <c r="B248" i="27"/>
  <c r="B249" i="27"/>
  <c r="B250" i="27"/>
  <c r="B251" i="27"/>
  <c r="B252" i="27"/>
  <c r="B253" i="27"/>
  <c r="B254" i="27"/>
  <c r="B255" i="27"/>
  <c r="B256" i="27"/>
  <c r="B257" i="27"/>
  <c r="B258" i="27"/>
  <c r="B259" i="27"/>
  <c r="B260" i="27"/>
  <c r="B261" i="27"/>
  <c r="B262" i="27"/>
  <c r="B263" i="27"/>
  <c r="B264" i="27"/>
  <c r="B265" i="27"/>
  <c r="B266" i="27"/>
  <c r="B267" i="27"/>
  <c r="B268" i="27"/>
  <c r="B269" i="27"/>
  <c r="B270" i="27"/>
  <c r="B271" i="27"/>
  <c r="B272" i="27"/>
  <c r="B273" i="27"/>
  <c r="B274" i="27"/>
  <c r="B275" i="27"/>
  <c r="B276" i="27"/>
  <c r="B277" i="27"/>
  <c r="B278" i="27"/>
  <c r="B279" i="27"/>
  <c r="B280" i="27"/>
  <c r="B281" i="27"/>
  <c r="B282" i="27"/>
  <c r="B283" i="27"/>
  <c r="B284" i="27"/>
  <c r="B285" i="27"/>
  <c r="B286" i="27"/>
  <c r="B287" i="27"/>
  <c r="B288" i="27"/>
  <c r="B289" i="27"/>
  <c r="B290" i="27"/>
  <c r="B291" i="27"/>
  <c r="B292" i="27"/>
  <c r="B293" i="27"/>
  <c r="B294" i="27"/>
  <c r="B295" i="27"/>
  <c r="B296" i="27"/>
  <c r="B297" i="27"/>
  <c r="B298" i="27"/>
  <c r="B299" i="27"/>
  <c r="B300" i="27"/>
  <c r="B301" i="27"/>
  <c r="B302" i="27"/>
  <c r="B303" i="27"/>
  <c r="B304" i="27"/>
  <c r="B305" i="27"/>
  <c r="B306" i="27"/>
  <c r="B307" i="27"/>
  <c r="B308" i="27"/>
  <c r="B309" i="27"/>
  <c r="B310" i="27"/>
  <c r="B311" i="27"/>
  <c r="B312" i="27"/>
  <c r="B313" i="27"/>
  <c r="B314" i="27"/>
  <c r="B315" i="27"/>
  <c r="B316" i="27"/>
  <c r="B317" i="27"/>
  <c r="B318" i="27"/>
  <c r="B319" i="27"/>
  <c r="B320" i="27"/>
  <c r="B321" i="27"/>
  <c r="B322" i="27"/>
  <c r="B323" i="27"/>
  <c r="B324" i="27"/>
  <c r="B325" i="27"/>
  <c r="B326" i="27"/>
  <c r="B327" i="27"/>
  <c r="B328" i="27"/>
  <c r="B329" i="27"/>
  <c r="B330" i="27"/>
  <c r="B331" i="27"/>
  <c r="B332" i="27"/>
  <c r="B333" i="27"/>
  <c r="B334" i="27"/>
  <c r="B335" i="27"/>
  <c r="B336" i="27"/>
  <c r="B337" i="27"/>
  <c r="B338" i="27"/>
  <c r="B339" i="27"/>
  <c r="B340" i="27"/>
  <c r="B341" i="27"/>
  <c r="B342" i="27"/>
  <c r="B343" i="27"/>
  <c r="B344" i="27"/>
  <c r="B345" i="27"/>
  <c r="B346" i="27"/>
  <c r="B347" i="27"/>
  <c r="B348" i="27"/>
  <c r="B349" i="27"/>
  <c r="B350" i="27"/>
  <c r="B351" i="27"/>
  <c r="B352" i="27"/>
  <c r="B353" i="27"/>
  <c r="B354" i="27"/>
  <c r="B355" i="27"/>
  <c r="B356" i="27"/>
  <c r="B357" i="27"/>
  <c r="B358" i="27"/>
  <c r="B359" i="27"/>
  <c r="B360" i="27"/>
  <c r="B361" i="27"/>
  <c r="B362" i="27"/>
  <c r="B363" i="27"/>
  <c r="B364" i="27"/>
  <c r="B365" i="27"/>
  <c r="B366" i="27"/>
  <c r="B367" i="27"/>
  <c r="B368" i="27"/>
  <c r="B369" i="27"/>
  <c r="B370" i="27"/>
  <c r="B371" i="27"/>
  <c r="B372" i="27"/>
  <c r="B373" i="27"/>
  <c r="B374" i="27"/>
  <c r="B375" i="27"/>
  <c r="B376" i="27"/>
  <c r="B377" i="27"/>
  <c r="B378" i="27"/>
  <c r="B379" i="27"/>
  <c r="B380" i="27"/>
  <c r="B381" i="27"/>
  <c r="B382" i="27"/>
  <c r="B383" i="27"/>
  <c r="B384" i="27"/>
  <c r="B385" i="27"/>
  <c r="B386" i="27"/>
  <c r="B387" i="27"/>
  <c r="B388" i="27"/>
  <c r="B389" i="27"/>
  <c r="B390" i="27"/>
  <c r="B391" i="27"/>
  <c r="B392" i="27"/>
  <c r="B393" i="27"/>
  <c r="B394" i="27"/>
  <c r="B395" i="27"/>
  <c r="B396" i="27"/>
  <c r="B397" i="27"/>
  <c r="B398" i="27"/>
  <c r="B399" i="27"/>
  <c r="B400" i="27"/>
  <c r="B401" i="27"/>
  <c r="B402" i="27"/>
  <c r="B403" i="27"/>
  <c r="B404" i="27"/>
  <c r="B405" i="27"/>
  <c r="B406" i="27"/>
  <c r="B407" i="27"/>
  <c r="B408" i="27"/>
  <c r="B409" i="27"/>
  <c r="B410" i="27"/>
  <c r="B411" i="27"/>
  <c r="B412" i="27"/>
  <c r="B413" i="27"/>
  <c r="B414" i="27"/>
  <c r="B415" i="27"/>
  <c r="B416" i="27"/>
  <c r="B417" i="27"/>
  <c r="B418" i="27"/>
  <c r="B419" i="27"/>
  <c r="B420" i="27"/>
  <c r="B421" i="27"/>
  <c r="B422" i="27"/>
  <c r="B423" i="27"/>
  <c r="B424" i="27"/>
  <c r="B425" i="27"/>
  <c r="B426" i="27"/>
  <c r="B427" i="27"/>
  <c r="B428" i="27"/>
  <c r="B429" i="27"/>
  <c r="B430" i="27"/>
  <c r="B431" i="27"/>
  <c r="B432" i="27"/>
  <c r="B433" i="27"/>
  <c r="B434" i="27"/>
  <c r="B435" i="27"/>
  <c r="B436" i="27"/>
  <c r="B437" i="27"/>
  <c r="B438" i="27"/>
  <c r="B439" i="27"/>
  <c r="B440" i="27"/>
  <c r="B441" i="27"/>
  <c r="B442" i="27"/>
  <c r="B443" i="27"/>
  <c r="B444" i="27"/>
  <c r="B445" i="27"/>
  <c r="B446" i="27"/>
  <c r="B447" i="27"/>
  <c r="B448" i="27"/>
  <c r="B449" i="27"/>
  <c r="B450" i="27"/>
  <c r="B451" i="27"/>
  <c r="B452" i="27"/>
  <c r="B453" i="27"/>
  <c r="B454" i="27"/>
  <c r="B455" i="27"/>
  <c r="B456" i="27"/>
  <c r="B457" i="27"/>
  <c r="B458" i="27"/>
  <c r="B459" i="27"/>
  <c r="B460" i="27"/>
  <c r="B461" i="27"/>
  <c r="B462" i="27"/>
  <c r="B463" i="27"/>
  <c r="B464" i="27"/>
  <c r="B465" i="27"/>
  <c r="B466" i="27"/>
  <c r="B467" i="27"/>
  <c r="B468" i="27"/>
  <c r="B469" i="27"/>
  <c r="B470" i="27"/>
  <c r="B471" i="27"/>
  <c r="B472" i="27"/>
  <c r="B473" i="27"/>
  <c r="B474" i="27"/>
  <c r="B475" i="27"/>
  <c r="B476" i="27"/>
  <c r="B477" i="27"/>
  <c r="B478" i="27"/>
  <c r="B479" i="27"/>
  <c r="B480" i="27"/>
  <c r="B481" i="27"/>
  <c r="B482" i="27"/>
  <c r="B483" i="27"/>
  <c r="B484" i="27"/>
  <c r="B485" i="27"/>
  <c r="B486" i="27"/>
  <c r="B487" i="27"/>
  <c r="B488" i="27"/>
  <c r="B489" i="27"/>
  <c r="B490" i="27"/>
  <c r="B491" i="27"/>
  <c r="B492" i="27"/>
  <c r="B493" i="27"/>
  <c r="B494" i="27"/>
  <c r="B495" i="27"/>
  <c r="B496" i="27"/>
  <c r="B497" i="27"/>
  <c r="B498" i="27"/>
  <c r="B499" i="27"/>
  <c r="B500" i="27"/>
  <c r="B501" i="27"/>
  <c r="B502" i="27"/>
  <c r="B503" i="27"/>
  <c r="B504" i="27"/>
  <c r="B505" i="27"/>
  <c r="B506" i="27"/>
  <c r="B507" i="27"/>
  <c r="B508" i="27"/>
  <c r="B509" i="27"/>
  <c r="B510" i="27"/>
  <c r="B511" i="27"/>
  <c r="B512" i="27"/>
  <c r="B513" i="27"/>
  <c r="B514" i="27"/>
  <c r="B515" i="27"/>
  <c r="B516" i="27"/>
  <c r="B517" i="27"/>
  <c r="B518" i="27"/>
  <c r="B519" i="27"/>
  <c r="B520" i="27"/>
  <c r="B521" i="27"/>
  <c r="B522" i="27"/>
  <c r="B523" i="27"/>
  <c r="B524" i="27"/>
  <c r="B525" i="27"/>
  <c r="B526" i="27"/>
  <c r="B527" i="27"/>
  <c r="B528" i="27"/>
  <c r="B529" i="27"/>
  <c r="B530" i="27"/>
  <c r="B531" i="27"/>
  <c r="B532" i="27"/>
  <c r="B533" i="27"/>
  <c r="B534" i="27"/>
  <c r="B535" i="27"/>
  <c r="B536" i="27"/>
  <c r="B537" i="27"/>
  <c r="B538" i="27"/>
  <c r="B539" i="27"/>
  <c r="B540" i="27"/>
  <c r="B541" i="27"/>
  <c r="B542" i="27"/>
  <c r="B543" i="27"/>
  <c r="B544" i="27"/>
  <c r="B545" i="27"/>
  <c r="B546" i="27"/>
  <c r="B547" i="27"/>
  <c r="B548" i="27"/>
  <c r="B549" i="27"/>
  <c r="B550" i="27"/>
  <c r="B551" i="27"/>
  <c r="B552" i="27"/>
  <c r="B553" i="27"/>
  <c r="B554" i="27"/>
  <c r="B555" i="27"/>
  <c r="B556" i="27"/>
  <c r="B557" i="27"/>
  <c r="B558" i="27"/>
  <c r="B559" i="27"/>
  <c r="B560" i="27"/>
  <c r="B561" i="27"/>
  <c r="B562" i="27"/>
  <c r="B563" i="27"/>
  <c r="B564" i="27"/>
  <c r="B565" i="27"/>
  <c r="B566" i="27"/>
  <c r="B567" i="27"/>
  <c r="B568" i="27"/>
  <c r="B569" i="27"/>
  <c r="B570" i="27"/>
  <c r="B571" i="27"/>
  <c r="B572" i="27"/>
  <c r="B573" i="27"/>
  <c r="B574" i="27"/>
  <c r="B575" i="27"/>
  <c r="B576" i="27"/>
  <c r="B577" i="27"/>
  <c r="B578" i="27"/>
  <c r="B579" i="27"/>
  <c r="B580" i="27"/>
  <c r="B581" i="27"/>
  <c r="B582" i="27"/>
  <c r="B583" i="27"/>
  <c r="B584" i="27"/>
  <c r="B585" i="27"/>
  <c r="B586" i="27"/>
  <c r="B587" i="27"/>
  <c r="B588" i="27"/>
  <c r="B589" i="27"/>
  <c r="B590" i="27"/>
  <c r="B591" i="27"/>
  <c r="B592" i="27"/>
  <c r="B593" i="27"/>
  <c r="B594" i="27"/>
  <c r="B595" i="27"/>
  <c r="B596" i="27"/>
  <c r="B597" i="27"/>
  <c r="B598" i="27"/>
  <c r="B599" i="27"/>
  <c r="B600" i="27"/>
  <c r="B601" i="27"/>
  <c r="B602" i="27"/>
  <c r="B603" i="27"/>
  <c r="B604" i="27"/>
  <c r="B605" i="27"/>
  <c r="B606" i="27"/>
  <c r="B607" i="27"/>
  <c r="B608" i="27"/>
  <c r="B609" i="27"/>
  <c r="B610" i="27"/>
  <c r="B611" i="27"/>
  <c r="B612" i="27"/>
  <c r="B613" i="27"/>
  <c r="B614" i="27"/>
  <c r="B615" i="27"/>
  <c r="B616" i="27"/>
  <c r="B617" i="27"/>
  <c r="B618" i="27"/>
  <c r="B619" i="27"/>
  <c r="B620" i="27"/>
  <c r="B621" i="27"/>
  <c r="B622" i="27"/>
  <c r="B623" i="27"/>
  <c r="B624" i="27"/>
  <c r="B625" i="27"/>
  <c r="B626" i="27"/>
  <c r="B627" i="27"/>
  <c r="B628" i="27"/>
  <c r="B629" i="27"/>
  <c r="B630" i="27"/>
  <c r="B631" i="27"/>
  <c r="B632" i="27"/>
  <c r="B633" i="27"/>
  <c r="B634" i="27"/>
  <c r="B635" i="27"/>
  <c r="B636" i="27"/>
  <c r="B637" i="27"/>
  <c r="B638" i="27"/>
  <c r="B639" i="27"/>
  <c r="B640" i="27"/>
  <c r="B641" i="27"/>
  <c r="B642" i="27"/>
  <c r="B643" i="27"/>
  <c r="B644" i="27"/>
  <c r="B645" i="27"/>
  <c r="B646" i="27"/>
  <c r="B647" i="27"/>
  <c r="B648" i="27"/>
  <c r="B649" i="27"/>
  <c r="B650" i="27"/>
  <c r="B651" i="27"/>
  <c r="B652" i="27"/>
  <c r="B653" i="27"/>
  <c r="B654" i="27"/>
  <c r="B655" i="27"/>
  <c r="B656" i="27"/>
  <c r="B657" i="27"/>
  <c r="B658" i="27"/>
  <c r="B659" i="27"/>
  <c r="B660" i="27"/>
  <c r="B661" i="27"/>
  <c r="B662" i="27"/>
  <c r="B663" i="27"/>
  <c r="B664" i="27"/>
  <c r="B665" i="27"/>
  <c r="B666" i="27"/>
  <c r="B667" i="27"/>
  <c r="B668" i="27"/>
  <c r="B669" i="27"/>
  <c r="B670" i="27"/>
  <c r="B671" i="27"/>
  <c r="B672" i="27"/>
  <c r="B673" i="27"/>
  <c r="B674" i="27"/>
  <c r="B675" i="27"/>
  <c r="B676" i="27"/>
  <c r="B677" i="27"/>
  <c r="B678" i="27"/>
  <c r="B679" i="27"/>
  <c r="B680" i="27"/>
  <c r="B681" i="27"/>
  <c r="B682" i="27"/>
  <c r="B683" i="27"/>
  <c r="B684" i="27"/>
  <c r="B685" i="27"/>
  <c r="B686" i="27"/>
  <c r="B687" i="27"/>
  <c r="B688" i="27"/>
  <c r="B689" i="27"/>
  <c r="B690" i="27"/>
  <c r="B691" i="27"/>
  <c r="B692" i="27"/>
  <c r="B693" i="27"/>
  <c r="B694" i="27"/>
  <c r="B695" i="27"/>
  <c r="B696" i="27"/>
  <c r="B697" i="27"/>
  <c r="B698" i="27"/>
  <c r="B699" i="27"/>
  <c r="B700" i="27"/>
  <c r="B701" i="27"/>
  <c r="B702" i="27"/>
  <c r="B703" i="27"/>
  <c r="B704" i="27"/>
  <c r="B705" i="27"/>
  <c r="B706" i="27"/>
  <c r="B707" i="27"/>
  <c r="B708" i="27"/>
  <c r="B709" i="27"/>
  <c r="B710" i="27"/>
  <c r="B711" i="27"/>
  <c r="B712" i="27"/>
  <c r="B713" i="27"/>
  <c r="B714" i="27"/>
  <c r="B715" i="27"/>
  <c r="B716" i="27"/>
  <c r="B717" i="27"/>
  <c r="B718" i="27"/>
  <c r="B719" i="27"/>
  <c r="B720" i="27"/>
  <c r="B721" i="27"/>
  <c r="B722" i="27"/>
  <c r="B723" i="27"/>
  <c r="B724" i="27"/>
  <c r="B725" i="27"/>
  <c r="B726" i="27"/>
  <c r="B727" i="27"/>
  <c r="B728" i="27"/>
  <c r="B729" i="27"/>
  <c r="B730" i="27"/>
  <c r="B731" i="27"/>
  <c r="B732" i="27"/>
  <c r="B733" i="27"/>
  <c r="B734" i="27"/>
  <c r="B735" i="27"/>
  <c r="B736" i="27"/>
  <c r="B737" i="27"/>
  <c r="B738" i="27"/>
  <c r="B739" i="27"/>
  <c r="B740" i="27"/>
  <c r="B741" i="27"/>
  <c r="B742" i="27"/>
  <c r="B743" i="27"/>
  <c r="B744" i="27"/>
  <c r="B745" i="27"/>
  <c r="B746" i="27"/>
  <c r="B747" i="27"/>
  <c r="B748" i="27"/>
  <c r="B749" i="27"/>
  <c r="B750" i="27"/>
  <c r="B751" i="27"/>
  <c r="B752" i="27"/>
  <c r="B753" i="27"/>
  <c r="B754" i="27"/>
  <c r="B755" i="27"/>
  <c r="B756" i="27"/>
  <c r="B757" i="27"/>
  <c r="B758" i="27"/>
  <c r="B759" i="27"/>
  <c r="B760" i="27"/>
  <c r="B761" i="27"/>
  <c r="B762" i="27"/>
  <c r="B763" i="27"/>
  <c r="B764" i="27"/>
  <c r="B765" i="27"/>
  <c r="B766" i="27"/>
  <c r="B767" i="27"/>
  <c r="B768" i="27"/>
  <c r="B769" i="27"/>
  <c r="B770" i="27"/>
  <c r="B771" i="27"/>
  <c r="B772" i="27"/>
  <c r="B773" i="27"/>
  <c r="B774" i="27"/>
  <c r="B775" i="27"/>
  <c r="B776" i="27"/>
  <c r="B777" i="27"/>
  <c r="B778" i="27"/>
  <c r="B779" i="27"/>
  <c r="B780" i="27"/>
  <c r="B781" i="27"/>
  <c r="B782" i="27"/>
  <c r="B783" i="27"/>
  <c r="B784" i="27"/>
  <c r="B785" i="27"/>
  <c r="B786" i="27"/>
  <c r="B787" i="27"/>
  <c r="B788" i="27"/>
  <c r="B789" i="27"/>
  <c r="B790" i="27"/>
  <c r="B791" i="27"/>
  <c r="B792" i="27"/>
  <c r="B793" i="27"/>
  <c r="B794" i="27"/>
  <c r="B795" i="27"/>
  <c r="B796" i="27"/>
  <c r="B797" i="27"/>
  <c r="B798" i="27"/>
  <c r="B799" i="27"/>
  <c r="B800" i="27"/>
  <c r="B801" i="27"/>
  <c r="B802" i="27"/>
  <c r="B803" i="27"/>
  <c r="B804" i="27"/>
  <c r="B805" i="27"/>
  <c r="B806" i="27"/>
  <c r="B807" i="27"/>
  <c r="B808" i="27"/>
  <c r="B809" i="27"/>
  <c r="B810" i="27"/>
  <c r="B811" i="27"/>
  <c r="B812" i="27"/>
  <c r="B813" i="27"/>
  <c r="B814" i="27"/>
  <c r="B815" i="27"/>
  <c r="B816" i="27"/>
  <c r="B817" i="27"/>
  <c r="B818" i="27"/>
  <c r="B819" i="27"/>
  <c r="B820" i="27"/>
  <c r="B821" i="27"/>
  <c r="B822" i="27"/>
  <c r="B823" i="27"/>
  <c r="B824" i="27"/>
  <c r="B825" i="27"/>
  <c r="B826" i="27"/>
  <c r="B827" i="27"/>
  <c r="B828" i="27"/>
  <c r="B829" i="27"/>
  <c r="B830" i="27"/>
  <c r="B831" i="27"/>
  <c r="B832" i="27"/>
  <c r="B833" i="27"/>
  <c r="B834" i="27"/>
  <c r="B835" i="27"/>
  <c r="B836" i="27"/>
  <c r="B837" i="27"/>
  <c r="B838" i="27"/>
  <c r="B839" i="27"/>
  <c r="B840" i="27"/>
  <c r="B841" i="27"/>
  <c r="B842" i="27"/>
  <c r="B843" i="27"/>
  <c r="B844" i="27"/>
  <c r="B845" i="27"/>
  <c r="B846" i="27"/>
  <c r="B847" i="27"/>
  <c r="B848" i="27"/>
  <c r="B849" i="27"/>
  <c r="B850" i="27"/>
  <c r="B851" i="27"/>
  <c r="B852" i="27"/>
  <c r="B853" i="27"/>
  <c r="B854" i="27"/>
  <c r="B855" i="27"/>
  <c r="B856" i="27"/>
  <c r="B857" i="27"/>
  <c r="B858" i="27"/>
  <c r="B859" i="27"/>
  <c r="B860" i="27"/>
  <c r="B861" i="27"/>
  <c r="B862" i="27"/>
  <c r="B863" i="27"/>
  <c r="B864" i="27"/>
  <c r="B865" i="27"/>
  <c r="B866" i="27"/>
  <c r="B867" i="27"/>
  <c r="B868" i="27"/>
  <c r="B869" i="27"/>
  <c r="B870" i="27"/>
  <c r="B871" i="27"/>
  <c r="B872" i="27"/>
  <c r="B873" i="27"/>
  <c r="B874" i="27"/>
  <c r="B875" i="27"/>
  <c r="B876" i="27"/>
  <c r="B877" i="27"/>
  <c r="B878" i="27"/>
  <c r="B879" i="27"/>
  <c r="B880" i="27"/>
  <c r="B881" i="27"/>
  <c r="B882" i="27"/>
  <c r="B883" i="27"/>
  <c r="B884" i="27"/>
  <c r="B885" i="27"/>
  <c r="B886" i="27"/>
  <c r="B887" i="27"/>
  <c r="B888" i="27"/>
  <c r="B889" i="27"/>
  <c r="B890" i="27"/>
  <c r="B891" i="27"/>
  <c r="B892" i="27"/>
  <c r="B893" i="27"/>
  <c r="B894" i="27"/>
  <c r="B895" i="27"/>
  <c r="B896" i="27"/>
  <c r="B897" i="27"/>
  <c r="B898" i="27"/>
  <c r="B899" i="27"/>
  <c r="B900" i="27"/>
  <c r="B901" i="27"/>
  <c r="B902" i="27"/>
  <c r="B903" i="27"/>
  <c r="B904" i="27"/>
  <c r="B905" i="27"/>
  <c r="B906" i="27"/>
  <c r="B907" i="27"/>
  <c r="B908" i="27"/>
  <c r="B909" i="27"/>
  <c r="B910" i="27"/>
  <c r="B911" i="27"/>
  <c r="B912" i="27"/>
  <c r="B913" i="27"/>
  <c r="B914" i="27"/>
  <c r="B915" i="27"/>
  <c r="B916" i="27"/>
  <c r="B917" i="27"/>
  <c r="B918" i="27"/>
  <c r="B919" i="27"/>
  <c r="B920" i="27"/>
  <c r="B921" i="27"/>
  <c r="B922" i="27"/>
  <c r="B923" i="27"/>
  <c r="B924" i="27"/>
  <c r="B925" i="27"/>
  <c r="B926" i="27"/>
  <c r="B927" i="27"/>
  <c r="B928" i="27"/>
  <c r="B929" i="27"/>
  <c r="B930" i="27"/>
  <c r="B931" i="27"/>
  <c r="B932" i="27"/>
  <c r="B933" i="27"/>
  <c r="B934" i="27"/>
  <c r="B935" i="27"/>
  <c r="B936" i="27"/>
  <c r="B937" i="27"/>
  <c r="B938" i="27"/>
  <c r="B939" i="27"/>
  <c r="B940" i="27"/>
  <c r="B941" i="27"/>
  <c r="B942" i="27"/>
  <c r="B943" i="27"/>
  <c r="B944" i="27"/>
  <c r="B945" i="27"/>
  <c r="B946" i="27"/>
  <c r="B947" i="27"/>
  <c r="B948" i="27"/>
  <c r="B949" i="27"/>
  <c r="B950" i="27"/>
  <c r="B951" i="27"/>
  <c r="B952" i="27"/>
  <c r="B953" i="27"/>
  <c r="B954" i="27"/>
  <c r="B955" i="27"/>
  <c r="B956" i="27"/>
  <c r="B957" i="27"/>
  <c r="B958" i="27"/>
  <c r="B959" i="27"/>
  <c r="B960" i="27"/>
  <c r="B961" i="27"/>
  <c r="B962" i="27"/>
  <c r="B963" i="27"/>
  <c r="B964" i="27"/>
  <c r="B965" i="27"/>
  <c r="B966" i="27"/>
  <c r="B967" i="27"/>
  <c r="B968" i="27"/>
  <c r="B969" i="27"/>
  <c r="B970" i="27"/>
  <c r="B971" i="27"/>
  <c r="B972" i="27"/>
  <c r="B973" i="27"/>
  <c r="B974" i="27"/>
  <c r="B975" i="27"/>
  <c r="B976" i="27"/>
  <c r="B977" i="27"/>
  <c r="B978" i="27"/>
  <c r="B979" i="27"/>
  <c r="B980" i="27"/>
  <c r="B981" i="27"/>
  <c r="B982" i="27"/>
  <c r="B983" i="27"/>
  <c r="B984" i="27"/>
  <c r="B985" i="27"/>
  <c r="B986" i="27"/>
  <c r="B987" i="27"/>
  <c r="B988" i="27"/>
  <c r="B989" i="27"/>
  <c r="B990" i="27"/>
  <c r="B991" i="27"/>
  <c r="B992" i="27"/>
  <c r="B993" i="27"/>
  <c r="B994" i="27"/>
  <c r="B995" i="27"/>
  <c r="B996" i="27"/>
  <c r="B997" i="27"/>
  <c r="B998" i="27"/>
  <c r="B999" i="27"/>
  <c r="B1000" i="27"/>
  <c r="B1001" i="27"/>
  <c r="B1002" i="27"/>
  <c r="B1003" i="27"/>
  <c r="B1004" i="27"/>
  <c r="B1005" i="27"/>
  <c r="B1006" i="27"/>
  <c r="B1007" i="27"/>
  <c r="B1008" i="27"/>
  <c r="B1009" i="27"/>
  <c r="B1010" i="27"/>
  <c r="B1011" i="27"/>
  <c r="B1012" i="27"/>
  <c r="B1013" i="27"/>
  <c r="B1014" i="27"/>
  <c r="B1015" i="27"/>
  <c r="B1016" i="27"/>
  <c r="B1017" i="27"/>
  <c r="B1018" i="27"/>
  <c r="B1019" i="27"/>
  <c r="B1020" i="27"/>
  <c r="B1021" i="27"/>
  <c r="B1022" i="27"/>
  <c r="B1023" i="27"/>
  <c r="B1024" i="27"/>
  <c r="B1025" i="27"/>
  <c r="B1026" i="27"/>
  <c r="B1027" i="27"/>
  <c r="B1028" i="27"/>
  <c r="B1029" i="27"/>
  <c r="B1030" i="27"/>
  <c r="B1031" i="27"/>
  <c r="B1032" i="27"/>
  <c r="B1033" i="27"/>
  <c r="B1034" i="27"/>
  <c r="B1035" i="27"/>
  <c r="B1036" i="27"/>
  <c r="B1037" i="27"/>
  <c r="B1038" i="27"/>
  <c r="B1039" i="27"/>
  <c r="B1040" i="27"/>
  <c r="B1041" i="27"/>
  <c r="B1042" i="27"/>
  <c r="B1043" i="27"/>
  <c r="B1044" i="27"/>
  <c r="B1045" i="27"/>
  <c r="B1046" i="27"/>
  <c r="B1047" i="27"/>
  <c r="B1048" i="27"/>
  <c r="B1049" i="27"/>
  <c r="B1050" i="27"/>
  <c r="B1051" i="27"/>
  <c r="B1052" i="27"/>
  <c r="B1053" i="27"/>
  <c r="B1054" i="27"/>
  <c r="B1055" i="27"/>
  <c r="B1056" i="27"/>
  <c r="B1057" i="27"/>
  <c r="B1058" i="27"/>
  <c r="B1059" i="27"/>
  <c r="B1060" i="27"/>
  <c r="B1061" i="27"/>
  <c r="B1062" i="27"/>
  <c r="B1063" i="27"/>
  <c r="B1064" i="27"/>
  <c r="B1065" i="27"/>
  <c r="B1066" i="27"/>
  <c r="B1067" i="27"/>
  <c r="B1068" i="27"/>
  <c r="B1069" i="27"/>
  <c r="B1070" i="27"/>
  <c r="B1071" i="27"/>
  <c r="B1072" i="27"/>
  <c r="B1073" i="27"/>
  <c r="B1074" i="27"/>
  <c r="B1075" i="27"/>
  <c r="B1076" i="27"/>
  <c r="B1077" i="27"/>
  <c r="B1078" i="27"/>
  <c r="B1079" i="27"/>
  <c r="B1080" i="27"/>
  <c r="B1081" i="27"/>
  <c r="B1082" i="27"/>
  <c r="B1083" i="27"/>
  <c r="B1084" i="27"/>
  <c r="B1085" i="27"/>
  <c r="B1086" i="27"/>
  <c r="B1087" i="27"/>
  <c r="B1088" i="27"/>
  <c r="B1089" i="27"/>
  <c r="B1090" i="27"/>
  <c r="B1091" i="27"/>
  <c r="B1092" i="27"/>
  <c r="B1093" i="27"/>
  <c r="B1094" i="27"/>
  <c r="B1095" i="27"/>
  <c r="B1096" i="27"/>
  <c r="B1097" i="27"/>
  <c r="B1098" i="27"/>
  <c r="B1099" i="27"/>
  <c r="B1100" i="27"/>
  <c r="B1101" i="27"/>
  <c r="B1102" i="27"/>
  <c r="B1103" i="27"/>
  <c r="B1104" i="27"/>
  <c r="B1105" i="27"/>
  <c r="B1106" i="27"/>
  <c r="B1107" i="27"/>
  <c r="B1108" i="27"/>
  <c r="B1109" i="27"/>
  <c r="B1110" i="27"/>
  <c r="B1111" i="27"/>
  <c r="B1112" i="27"/>
  <c r="B1113" i="27"/>
  <c r="B1114" i="27"/>
  <c r="B1115" i="27"/>
  <c r="B1116" i="27"/>
  <c r="B1117" i="27"/>
  <c r="B1118" i="27"/>
  <c r="B1119" i="27"/>
  <c r="B1120" i="27"/>
  <c r="B1121" i="27"/>
  <c r="B1122" i="27"/>
  <c r="B1123" i="27"/>
  <c r="B1124" i="27"/>
  <c r="B1125" i="27"/>
  <c r="B1126" i="27"/>
  <c r="B1127" i="27"/>
  <c r="B1128" i="27"/>
  <c r="B1129" i="27"/>
  <c r="B1130" i="27"/>
  <c r="B1131" i="27"/>
  <c r="B1132" i="27"/>
  <c r="B1133" i="27"/>
  <c r="B1134" i="27"/>
  <c r="B1135" i="27"/>
  <c r="B1136" i="27"/>
  <c r="B1137" i="27"/>
  <c r="B1138" i="27"/>
  <c r="B1139" i="27"/>
  <c r="B1140" i="27"/>
  <c r="B1141" i="27"/>
  <c r="B1142" i="27"/>
  <c r="B1143" i="27"/>
  <c r="B1144" i="27"/>
  <c r="B1145" i="27"/>
  <c r="B1146" i="27"/>
  <c r="B1147" i="27"/>
  <c r="B1148" i="27"/>
  <c r="B1149" i="27"/>
  <c r="B1150" i="27"/>
  <c r="B1151" i="27"/>
  <c r="B1152" i="27"/>
  <c r="B1153" i="27"/>
  <c r="B1154" i="27"/>
  <c r="B1155" i="27"/>
  <c r="B1156" i="27"/>
  <c r="B1157" i="27"/>
  <c r="B1158" i="27"/>
  <c r="B1159" i="27"/>
  <c r="B1160" i="27"/>
  <c r="B1161" i="27"/>
  <c r="B1162" i="27"/>
  <c r="B1163" i="27"/>
  <c r="B1164" i="27"/>
  <c r="B1165" i="27"/>
  <c r="B1166" i="27"/>
  <c r="B1167" i="27"/>
  <c r="B1168" i="27"/>
  <c r="B1169" i="27"/>
  <c r="B1170" i="27"/>
  <c r="B1171" i="27"/>
  <c r="B1172" i="27"/>
  <c r="B1173" i="27"/>
  <c r="B1174" i="27"/>
  <c r="B1175" i="27"/>
  <c r="B1176" i="27"/>
  <c r="B1177" i="27"/>
  <c r="B1178" i="27"/>
  <c r="B1179" i="27"/>
  <c r="B1180" i="27"/>
  <c r="B1181" i="27"/>
  <c r="B1182" i="27"/>
  <c r="B1183" i="27"/>
  <c r="B1184" i="27"/>
  <c r="B1185" i="27"/>
  <c r="B1186" i="27"/>
  <c r="B1187" i="27"/>
  <c r="B1188" i="27"/>
  <c r="B1189" i="27"/>
  <c r="B1190" i="27"/>
  <c r="B1191" i="27"/>
  <c r="B1192" i="27"/>
  <c r="B1193" i="27"/>
  <c r="B1194" i="27"/>
  <c r="B1195" i="27"/>
  <c r="B1196" i="27"/>
  <c r="B1197" i="27"/>
  <c r="B1198" i="27"/>
  <c r="B1199" i="27"/>
  <c r="B1200" i="27"/>
  <c r="B1201" i="27"/>
  <c r="B1202" i="27"/>
  <c r="B1203" i="27"/>
  <c r="B1204" i="27"/>
  <c r="B1205" i="27"/>
  <c r="B1206" i="27"/>
  <c r="B1207" i="27"/>
  <c r="B1208" i="27"/>
  <c r="B1209" i="27"/>
  <c r="B1210" i="27"/>
  <c r="B1211" i="27"/>
  <c r="B1212" i="27"/>
  <c r="B1213" i="27"/>
  <c r="B1214" i="27"/>
  <c r="B1215" i="27"/>
  <c r="B1216" i="27"/>
  <c r="B1217" i="27"/>
  <c r="B1218" i="27"/>
  <c r="B1219" i="27"/>
  <c r="B1220" i="27"/>
  <c r="B1221" i="27"/>
  <c r="B1222" i="27"/>
  <c r="B1223" i="27"/>
  <c r="B1224" i="27"/>
  <c r="B1225" i="27"/>
  <c r="B1226" i="27"/>
  <c r="B1227" i="27"/>
  <c r="B1228" i="27"/>
  <c r="B1229" i="27"/>
  <c r="B1230" i="27"/>
  <c r="B1231" i="27"/>
  <c r="B1232" i="27"/>
  <c r="B1233" i="27"/>
  <c r="B1234" i="27"/>
  <c r="B1235" i="27"/>
  <c r="B1236" i="27"/>
  <c r="B1237" i="27"/>
  <c r="B1238" i="27"/>
  <c r="B1239" i="27"/>
  <c r="B1240" i="27"/>
  <c r="B1241" i="27"/>
  <c r="B1242" i="27"/>
  <c r="B1243" i="27"/>
  <c r="B1244" i="27"/>
  <c r="B1245" i="27"/>
  <c r="B1246" i="27"/>
  <c r="B1247" i="27"/>
  <c r="B1248" i="27"/>
  <c r="B1249" i="27"/>
  <c r="B1250" i="27"/>
  <c r="B1251" i="27"/>
  <c r="B1252" i="27"/>
  <c r="B1253" i="27"/>
  <c r="B1254" i="27"/>
  <c r="B1255" i="27"/>
  <c r="B1256" i="27"/>
  <c r="B1257" i="27"/>
  <c r="B1258" i="27"/>
  <c r="B1259" i="27"/>
  <c r="B1260" i="27"/>
  <c r="B1261" i="27"/>
  <c r="B1262" i="27"/>
  <c r="B1263" i="27"/>
  <c r="B1264" i="27"/>
  <c r="B1265" i="27"/>
  <c r="B1266" i="27"/>
  <c r="B1267" i="27"/>
  <c r="B1268" i="27"/>
  <c r="B1269" i="27"/>
  <c r="B1270" i="27"/>
  <c r="B1271" i="27"/>
  <c r="B1272" i="27"/>
  <c r="B1273" i="27"/>
  <c r="B1274" i="27"/>
  <c r="B1275" i="27"/>
  <c r="B1276" i="27"/>
  <c r="B1277" i="27"/>
  <c r="B1278" i="27"/>
  <c r="B1279" i="27"/>
  <c r="B1280" i="27"/>
  <c r="B1281" i="27"/>
  <c r="B1282" i="27"/>
  <c r="B1283" i="27"/>
  <c r="B1284" i="27"/>
  <c r="B1285" i="27"/>
  <c r="B1286" i="27"/>
  <c r="B1287" i="27"/>
  <c r="B1288" i="27"/>
  <c r="B1289" i="27"/>
  <c r="B1290" i="27"/>
  <c r="B1291" i="27"/>
  <c r="B1292" i="27"/>
  <c r="B1293" i="27"/>
  <c r="B1294" i="27"/>
  <c r="B1295" i="27"/>
  <c r="B1296" i="27"/>
  <c r="B1297" i="27"/>
  <c r="B1298" i="27"/>
  <c r="B1299" i="27"/>
  <c r="B1300" i="27"/>
  <c r="B1301" i="27"/>
  <c r="B1302" i="27"/>
  <c r="B1303" i="27"/>
  <c r="B1304" i="27"/>
  <c r="B1305" i="27"/>
  <c r="B1306" i="27"/>
  <c r="B1307" i="27"/>
  <c r="B1308" i="27"/>
  <c r="B1309" i="27"/>
  <c r="B1310" i="27"/>
  <c r="B1311" i="27"/>
  <c r="B1312" i="27"/>
  <c r="B1313" i="27"/>
  <c r="B1314" i="27"/>
  <c r="B1315" i="27"/>
  <c r="B1316" i="27"/>
  <c r="B1317" i="27"/>
  <c r="B1318" i="27"/>
  <c r="B1319" i="27"/>
  <c r="B1320" i="27"/>
  <c r="B1321" i="27"/>
  <c r="B1322" i="27"/>
  <c r="B1323" i="27"/>
  <c r="B1324" i="27"/>
  <c r="B1325" i="27"/>
  <c r="B1326" i="27"/>
  <c r="B1327" i="27"/>
  <c r="B1328" i="27"/>
  <c r="B1329" i="27"/>
  <c r="B1330" i="27"/>
  <c r="B1331" i="27"/>
  <c r="B1332" i="27"/>
  <c r="B1333" i="27"/>
  <c r="B1334" i="27"/>
  <c r="B1335" i="27"/>
  <c r="B1336" i="27"/>
  <c r="B1337" i="27"/>
  <c r="B1338" i="27"/>
  <c r="B1339" i="27"/>
  <c r="B1340" i="27"/>
  <c r="B1341" i="27"/>
  <c r="B1342" i="27"/>
  <c r="B1343" i="27"/>
  <c r="B1344" i="27"/>
  <c r="B1345" i="27"/>
  <c r="B1346" i="27"/>
  <c r="B1347" i="27"/>
  <c r="B1348" i="27"/>
  <c r="B1349" i="27"/>
  <c r="B1350" i="27"/>
  <c r="B1351" i="27"/>
  <c r="B1352" i="27"/>
  <c r="B1353" i="27"/>
  <c r="B1354" i="27"/>
  <c r="B1355" i="27"/>
  <c r="B1356" i="27"/>
  <c r="B1357" i="27"/>
  <c r="B1358" i="27"/>
  <c r="B1359" i="27"/>
  <c r="B1360" i="27"/>
  <c r="B1361" i="27"/>
  <c r="B1362" i="27"/>
  <c r="B1363" i="27"/>
  <c r="B1364" i="27"/>
  <c r="B1365" i="27"/>
  <c r="B1366" i="27"/>
  <c r="B1367" i="27"/>
  <c r="B1368" i="27"/>
  <c r="B1369" i="27"/>
  <c r="B1370" i="27"/>
  <c r="B1371" i="27"/>
  <c r="B1372" i="27"/>
  <c r="B1373" i="27"/>
  <c r="B1374" i="27"/>
  <c r="B1375" i="27"/>
  <c r="B1376" i="27"/>
  <c r="B1377" i="27"/>
  <c r="B1378" i="27"/>
  <c r="B1379" i="27"/>
  <c r="B1380" i="27"/>
  <c r="B1381" i="27"/>
  <c r="B1382" i="27"/>
  <c r="B1383" i="27"/>
  <c r="B1384" i="27"/>
  <c r="B1385" i="27"/>
  <c r="B1386" i="27"/>
  <c r="B1387" i="27"/>
  <c r="B1388" i="27"/>
  <c r="B1389" i="27"/>
  <c r="B1390" i="27"/>
  <c r="B1391" i="27"/>
  <c r="B1392" i="27"/>
  <c r="B1393" i="27"/>
  <c r="B1394" i="27"/>
  <c r="B1395" i="27"/>
  <c r="B1396" i="27"/>
  <c r="B1397" i="27"/>
  <c r="B1398" i="27"/>
  <c r="B1399" i="27"/>
  <c r="B1400" i="27"/>
  <c r="B1401" i="27"/>
  <c r="B1402" i="27"/>
  <c r="B1403" i="27"/>
  <c r="B1404" i="27"/>
  <c r="B1405" i="27"/>
  <c r="B1406" i="27"/>
  <c r="B1407" i="27"/>
  <c r="B1408" i="27"/>
  <c r="B1409" i="27"/>
  <c r="B1410" i="27"/>
  <c r="B12" i="27" l="1"/>
  <c r="B13" i="27"/>
  <c r="B14" i="27"/>
  <c r="B15" i="27"/>
  <c r="B16" i="27"/>
  <c r="B17" i="27"/>
  <c r="B18" i="27"/>
  <c r="B19" i="27"/>
  <c r="B20" i="27"/>
  <c r="B21" i="27"/>
  <c r="B22" i="27"/>
  <c r="B23" i="27"/>
  <c r="B24" i="27"/>
  <c r="B25" i="27"/>
  <c r="B26" i="27"/>
  <c r="B27" i="27"/>
  <c r="B28" i="27"/>
  <c r="B29" i="27"/>
  <c r="B30" i="27"/>
  <c r="B31" i="27"/>
  <c r="B32" i="27"/>
  <c r="B33" i="27"/>
  <c r="B34" i="27"/>
  <c r="B35" i="27"/>
  <c r="B36" i="27"/>
  <c r="B37" i="27"/>
  <c r="B38" i="27"/>
  <c r="B39" i="27"/>
  <c r="B40" i="27"/>
  <c r="B41" i="27"/>
  <c r="B42" i="27"/>
  <c r="B43" i="27"/>
  <c r="B44" i="27"/>
  <c r="B45" i="27"/>
  <c r="B46" i="27"/>
  <c r="B47" i="27"/>
  <c r="B48" i="27"/>
  <c r="B49" i="27"/>
  <c r="B50" i="27"/>
  <c r="B51" i="27"/>
  <c r="B52" i="27"/>
  <c r="B53" i="27"/>
  <c r="B54" i="27"/>
  <c r="B55" i="27"/>
  <c r="B56" i="27"/>
  <c r="B57" i="27"/>
  <c r="B58" i="27"/>
  <c r="B59" i="27"/>
  <c r="B60" i="27"/>
  <c r="B61" i="27"/>
  <c r="B62" i="27"/>
  <c r="B63" i="27"/>
  <c r="B64" i="27"/>
  <c r="B65" i="27"/>
  <c r="B66" i="27"/>
  <c r="B67" i="27"/>
  <c r="B68" i="27"/>
  <c r="B69" i="27"/>
  <c r="B70" i="27"/>
  <c r="B71" i="27"/>
  <c r="B72" i="27"/>
  <c r="B73" i="27"/>
  <c r="B74" i="27"/>
  <c r="B75" i="27"/>
  <c r="B76" i="27"/>
  <c r="B77" i="27"/>
  <c r="B78" i="27"/>
  <c r="B79" i="27"/>
  <c r="B80" i="27"/>
  <c r="B81" i="27"/>
  <c r="B82" i="27"/>
  <c r="B83" i="27"/>
  <c r="B84" i="27"/>
  <c r="B85" i="27"/>
  <c r="B86" i="27"/>
  <c r="B87" i="27"/>
  <c r="B88" i="27"/>
  <c r="B89" i="27"/>
  <c r="B90" i="27"/>
  <c r="B91" i="27"/>
  <c r="B92" i="27"/>
  <c r="B93" i="27"/>
  <c r="B94" i="27"/>
  <c r="B95" i="27"/>
  <c r="B96" i="27"/>
  <c r="B97" i="27"/>
  <c r="B98" i="27"/>
  <c r="B99" i="27"/>
  <c r="B100" i="27"/>
  <c r="B101" i="27"/>
  <c r="B102" i="27"/>
  <c r="B103" i="27"/>
  <c r="B104" i="27"/>
  <c r="B105" i="27"/>
  <c r="B106" i="27"/>
  <c r="B107" i="27"/>
  <c r="B108" i="27"/>
  <c r="B109" i="27"/>
  <c r="B110" i="27"/>
  <c r="B111" i="27"/>
  <c r="B112" i="27"/>
  <c r="B113" i="27"/>
  <c r="B114" i="27"/>
  <c r="B115" i="27"/>
  <c r="B116" i="27"/>
  <c r="B117" i="27"/>
  <c r="B118" i="27"/>
  <c r="B119" i="27"/>
  <c r="B120" i="27"/>
  <c r="B121" i="27"/>
  <c r="B122" i="27"/>
  <c r="B123" i="27"/>
  <c r="B124" i="27"/>
  <c r="B125" i="27"/>
  <c r="B126" i="27"/>
  <c r="B127" i="27"/>
  <c r="B128" i="27"/>
  <c r="B129" i="27"/>
  <c r="B130" i="27"/>
  <c r="B131" i="27"/>
  <c r="B132" i="27"/>
  <c r="B133" i="27"/>
  <c r="B134" i="27"/>
  <c r="B135" i="27"/>
  <c r="B136" i="27"/>
  <c r="B137" i="27"/>
  <c r="B138" i="27"/>
  <c r="B139" i="27"/>
  <c r="B140" i="27"/>
  <c r="B141" i="27"/>
  <c r="B142" i="27"/>
  <c r="B143" i="27"/>
  <c r="B144" i="27"/>
  <c r="B145" i="27"/>
  <c r="B146" i="27"/>
  <c r="B147" i="27"/>
  <c r="B148" i="27"/>
  <c r="B149" i="27"/>
  <c r="B150" i="27"/>
  <c r="B151" i="27"/>
  <c r="B152" i="27"/>
  <c r="B153" i="27"/>
  <c r="B154" i="27"/>
  <c r="B155" i="27"/>
  <c r="B156" i="27"/>
  <c r="B157" i="27"/>
  <c r="B158" i="27"/>
  <c r="B159" i="27"/>
  <c r="B160" i="27"/>
  <c r="B161" i="27"/>
  <c r="B162" i="27"/>
  <c r="B163" i="27"/>
  <c r="B164" i="27"/>
  <c r="B165" i="27"/>
  <c r="B166" i="27"/>
  <c r="B167" i="27"/>
  <c r="B168" i="27"/>
  <c r="B169" i="27"/>
  <c r="B170" i="27"/>
  <c r="B171" i="27"/>
  <c r="B172" i="27"/>
  <c r="B173" i="27"/>
  <c r="B174" i="27"/>
  <c r="B175" i="27"/>
  <c r="B176" i="27"/>
  <c r="B177" i="27"/>
  <c r="B178" i="27"/>
  <c r="B179" i="27"/>
  <c r="B180" i="27"/>
  <c r="B181" i="27"/>
  <c r="B182" i="27"/>
  <c r="B183" i="27"/>
  <c r="B184" i="27"/>
  <c r="B185" i="27"/>
  <c r="B186" i="27"/>
  <c r="B187" i="27"/>
  <c r="B188" i="27"/>
  <c r="B189" i="27"/>
  <c r="B190" i="27"/>
  <c r="B191" i="27"/>
  <c r="B192" i="27"/>
  <c r="B193" i="27"/>
  <c r="B194" i="27"/>
  <c r="B195" i="27"/>
  <c r="B196" i="27"/>
  <c r="B197" i="27"/>
  <c r="B198" i="27"/>
  <c r="B199" i="27"/>
  <c r="B200" i="27"/>
  <c r="B201" i="27"/>
  <c r="B202" i="27"/>
  <c r="B203" i="27"/>
  <c r="B204" i="27"/>
  <c r="B205" i="27"/>
  <c r="B206" i="27"/>
  <c r="B207" i="27"/>
  <c r="B208" i="27"/>
  <c r="B209" i="27"/>
  <c r="B210" i="27"/>
  <c r="B211" i="27"/>
  <c r="B212" i="27"/>
  <c r="B213" i="27"/>
  <c r="B214" i="27"/>
  <c r="B215" i="27"/>
  <c r="B216" i="27"/>
  <c r="B217" i="27"/>
  <c r="B218" i="27"/>
  <c r="B219" i="27"/>
  <c r="B220" i="27"/>
  <c r="B221" i="27"/>
  <c r="G753" i="28" l="1"/>
  <c r="O764" i="28"/>
  <c r="H759" i="28"/>
  <c r="H758" i="28"/>
  <c r="G757" i="28"/>
  <c r="G762" i="28"/>
  <c r="G760" i="28"/>
  <c r="G755" i="28"/>
  <c r="H754" i="28"/>
  <c r="P764" i="28"/>
  <c r="Q764" i="28" s="1"/>
  <c r="H756" i="28"/>
  <c r="P765" i="28"/>
  <c r="N761" i="28"/>
  <c r="R761" i="28" s="1"/>
  <c r="L757" i="28"/>
  <c r="M757" i="28" s="1"/>
  <c r="N757" i="28"/>
  <c r="R757" i="28" s="1"/>
  <c r="P755" i="28"/>
  <c r="Q755" i="28" s="1"/>
  <c r="P753" i="28"/>
  <c r="Q753" i="28" s="1"/>
  <c r="L758" i="28"/>
  <c r="M758" i="28" s="1"/>
  <c r="K762" i="28"/>
  <c r="N758" i="28"/>
  <c r="R758" i="28" s="1"/>
  <c r="K763" i="28"/>
  <c r="N753" i="28"/>
  <c r="R753" i="28" s="1"/>
  <c r="K760" i="28"/>
  <c r="P760" i="28"/>
  <c r="H755" i="28"/>
  <c r="P754" i="28"/>
  <c r="Q754" i="28" s="1"/>
  <c r="H753" i="28"/>
  <c r="G756" i="28"/>
  <c r="H764" i="28"/>
  <c r="O753" i="28"/>
  <c r="O759" i="28"/>
  <c r="L754" i="28"/>
  <c r="M754" i="28" s="1"/>
  <c r="N765" i="28"/>
  <c r="R765" i="28" s="1"/>
  <c r="K765" i="28"/>
  <c r="L761" i="28"/>
  <c r="M761" i="28" s="1"/>
  <c r="P757" i="28"/>
  <c r="O757" i="28"/>
  <c r="K755" i="28"/>
  <c r="N754" i="28"/>
  <c r="R754" i="28" s="1"/>
  <c r="K759" i="28"/>
  <c r="P762" i="28"/>
  <c r="Q762" i="28" s="1"/>
  <c r="L759" i="28"/>
  <c r="M759" i="28" s="1"/>
  <c r="K754" i="28"/>
  <c r="N762" i="28"/>
  <c r="R762" i="28" s="1"/>
  <c r="N756" i="28"/>
  <c r="R756" i="28" s="1"/>
  <c r="G765" i="28"/>
  <c r="G754" i="28"/>
  <c r="G758" i="28"/>
  <c r="G763" i="28"/>
  <c r="P758" i="28"/>
  <c r="Q758" i="28" s="1"/>
  <c r="O756" i="28"/>
  <c r="K764" i="28"/>
  <c r="K758" i="28"/>
  <c r="L765" i="28"/>
  <c r="M765" i="28" s="1"/>
  <c r="O765" i="28"/>
  <c r="P761" i="28"/>
  <c r="K757" i="28"/>
  <c r="O755" i="28"/>
  <c r="L755" i="28"/>
  <c r="M755" i="28" s="1"/>
  <c r="K756" i="28"/>
  <c r="P759" i="28"/>
  <c r="O763" i="28"/>
  <c r="O754" i="28"/>
  <c r="O760" i="28"/>
  <c r="N764" i="28"/>
  <c r="R764" i="28" s="1"/>
  <c r="O758" i="28"/>
  <c r="L763" i="28"/>
  <c r="M763" i="28" s="1"/>
  <c r="H763" i="28"/>
  <c r="H762" i="28"/>
  <c r="H761" i="28"/>
  <c r="G761" i="28"/>
  <c r="G764" i="28"/>
  <c r="G759" i="28"/>
  <c r="N763" i="28"/>
  <c r="R763" i="28" s="1"/>
  <c r="L760" i="28"/>
  <c r="M760" i="28" s="1"/>
  <c r="H760" i="28"/>
  <c r="O762" i="28"/>
  <c r="H765" i="28"/>
  <c r="O761" i="28"/>
  <c r="K761" i="28"/>
  <c r="H757" i="28"/>
  <c r="N755" i="28"/>
  <c r="R755" i="28" s="1"/>
  <c r="K753" i="28"/>
  <c r="P756" i="28"/>
  <c r="N760" i="28"/>
  <c r="R760" i="28" s="1"/>
  <c r="L764" i="28"/>
  <c r="M764" i="28" s="1"/>
  <c r="L756" i="28"/>
  <c r="M756" i="28" s="1"/>
  <c r="L762" i="28"/>
  <c r="M762" i="28" s="1"/>
  <c r="N759" i="28"/>
  <c r="R759" i="28" s="1"/>
  <c r="L753" i="28"/>
  <c r="M753" i="28" s="1"/>
  <c r="P763" i="28"/>
  <c r="Q763" i="28" s="1"/>
  <c r="G721" i="28"/>
  <c r="G729" i="28"/>
  <c r="H725" i="28"/>
  <c r="H748" i="28"/>
  <c r="H740" i="28"/>
  <c r="O729" i="28"/>
  <c r="P728" i="28"/>
  <c r="Q728" i="28" s="1"/>
  <c r="N721" i="28"/>
  <c r="R721" i="28" s="1"/>
  <c r="H734" i="28"/>
  <c r="H720" i="28"/>
  <c r="K739" i="28"/>
  <c r="K732" i="28"/>
  <c r="G719" i="28"/>
  <c r="G714" i="28"/>
  <c r="H721" i="28"/>
  <c r="H731" i="28"/>
  <c r="G745" i="28"/>
  <c r="H745" i="28"/>
  <c r="G736" i="28"/>
  <c r="L724" i="28"/>
  <c r="M724" i="28" s="1"/>
  <c r="H723" i="28"/>
  <c r="G717" i="28"/>
  <c r="P721" i="28"/>
  <c r="Q721" i="28" s="1"/>
  <c r="N719" i="28"/>
  <c r="R719" i="28" s="1"/>
  <c r="O728" i="28"/>
  <c r="G750" i="28"/>
  <c r="L750" i="28"/>
  <c r="M750" i="28" s="1"/>
  <c r="K747" i="28"/>
  <c r="G743" i="28"/>
  <c r="L743" i="28"/>
  <c r="M743" i="28" s="1"/>
  <c r="G742" i="28"/>
  <c r="O742" i="28"/>
  <c r="K738" i="28"/>
  <c r="P734" i="28"/>
  <c r="Q734" i="28" s="1"/>
  <c r="L745" i="28"/>
  <c r="M745" i="28" s="1"/>
  <c r="P735" i="28"/>
  <c r="N724" i="28"/>
  <c r="R724" i="28" s="1"/>
  <c r="O717" i="28"/>
  <c r="H750" i="28"/>
  <c r="L716" i="28"/>
  <c r="M716" i="28" s="1"/>
  <c r="O736" i="28"/>
  <c r="O718" i="28"/>
  <c r="N741" i="28"/>
  <c r="R741" i="28" s="1"/>
  <c r="N722" i="28"/>
  <c r="R722" i="28" s="1"/>
  <c r="H715" i="28"/>
  <c r="H714" i="28"/>
  <c r="H724" i="28"/>
  <c r="G748" i="28"/>
  <c r="L721" i="28"/>
  <c r="M721" i="28" s="1"/>
  <c r="H728" i="28"/>
  <c r="L730" i="28"/>
  <c r="M730" i="28" s="1"/>
  <c r="N715" i="28"/>
  <c r="R715" i="28" s="1"/>
  <c r="K735" i="28"/>
  <c r="O750" i="28"/>
  <c r="N750" i="28"/>
  <c r="R750" i="28" s="1"/>
  <c r="L747" i="28"/>
  <c r="M747" i="28" s="1"/>
  <c r="O743" i="28"/>
  <c r="N743" i="28"/>
  <c r="R743" i="28" s="1"/>
  <c r="P742" i="28"/>
  <c r="L723" i="28"/>
  <c r="M723" i="28" s="1"/>
  <c r="H743" i="28"/>
  <c r="P731" i="28"/>
  <c r="L713" i="28"/>
  <c r="M713" i="28" s="1"/>
  <c r="H727" i="28"/>
  <c r="H733" i="28"/>
  <c r="G726" i="28"/>
  <c r="O723" i="28"/>
  <c r="K715" i="28"/>
  <c r="K723" i="28"/>
  <c r="H735" i="28"/>
  <c r="K750" i="28"/>
  <c r="P747" i="28"/>
  <c r="Q747" i="28" s="1"/>
  <c r="H742" i="28"/>
  <c r="O738" i="28"/>
  <c r="O734" i="28"/>
  <c r="O731" i="28"/>
  <c r="O727" i="28"/>
  <c r="G720" i="28"/>
  <c r="G716" i="28"/>
  <c r="H716" i="28"/>
  <c r="N713" i="28"/>
  <c r="R713" i="28" s="1"/>
  <c r="O744" i="28"/>
  <c r="N739" i="28"/>
  <c r="R739" i="28" s="1"/>
  <c r="G735" i="28"/>
  <c r="L720" i="28"/>
  <c r="M720" i="28" s="1"/>
  <c r="O751" i="28"/>
  <c r="G751" i="28"/>
  <c r="P733" i="28"/>
  <c r="Q733" i="28" s="1"/>
  <c r="L738" i="28"/>
  <c r="M738" i="28" s="1"/>
  <c r="N727" i="28"/>
  <c r="R727" i="28" s="1"/>
  <c r="H744" i="28"/>
  <c r="G715" i="28"/>
  <c r="H738" i="28"/>
  <c r="H732" i="28"/>
  <c r="L732" i="28"/>
  <c r="M732" i="28" s="1"/>
  <c r="K719" i="28"/>
  <c r="K717" i="28"/>
  <c r="N725" i="28"/>
  <c r="R725" i="28" s="1"/>
  <c r="G739" i="28"/>
  <c r="P750" i="28"/>
  <c r="Q750" i="28" s="1"/>
  <c r="H747" i="28"/>
  <c r="G738" i="28"/>
  <c r="G734" i="28"/>
  <c r="N731" i="28"/>
  <c r="R731" i="28" s="1"/>
  <c r="L727" i="28"/>
  <c r="M727" i="28" s="1"/>
  <c r="O720" i="28"/>
  <c r="P716" i="28"/>
  <c r="Q716" i="28" s="1"/>
  <c r="H713" i="28"/>
  <c r="L742" i="28"/>
  <c r="M742" i="28" s="1"/>
  <c r="N744" i="28"/>
  <c r="R744" i="28" s="1"/>
  <c r="G744" i="28"/>
  <c r="O735" i="28"/>
  <c r="P725" i="28"/>
  <c r="Q725" i="28" s="1"/>
  <c r="O730" i="28"/>
  <c r="G740" i="28"/>
  <c r="G733" i="28"/>
  <c r="N717" i="28"/>
  <c r="R717" i="28" s="1"/>
  <c r="G747" i="28"/>
  <c r="P738" i="28"/>
  <c r="P727" i="28"/>
  <c r="Q727" i="28" s="1"/>
  <c r="K716" i="28"/>
  <c r="O716" i="28"/>
  <c r="K744" i="28"/>
  <c r="O739" i="28"/>
  <c r="N747" i="28"/>
  <c r="R747" i="28" s="1"/>
  <c r="H739" i="28"/>
  <c r="H751" i="28"/>
  <c r="N748" i="28"/>
  <c r="R748" i="28" s="1"/>
  <c r="P740" i="28"/>
  <c r="Q740" i="28" s="1"/>
  <c r="P736" i="28"/>
  <c r="Q736" i="28" s="1"/>
  <c r="L729" i="28"/>
  <c r="M729" i="28" s="1"/>
  <c r="L725" i="28"/>
  <c r="M725" i="28" s="1"/>
  <c r="G718" i="28"/>
  <c r="O713" i="28"/>
  <c r="K727" i="28"/>
  <c r="L734" i="28"/>
  <c r="M734" i="28" s="1"/>
  <c r="P748" i="28"/>
  <c r="Q748" i="28" s="1"/>
  <c r="L752" i="28"/>
  <c r="M752" i="28" s="1"/>
  <c r="L749" i="28"/>
  <c r="M749" i="28" s="1"/>
  <c r="H746" i="28"/>
  <c r="K746" i="28"/>
  <c r="O741" i="28"/>
  <c r="H730" i="28"/>
  <c r="P726" i="28"/>
  <c r="Q726" i="28" s="1"/>
  <c r="O715" i="28"/>
  <c r="O726" i="28"/>
  <c r="G728" i="28"/>
  <c r="O722" i="28"/>
  <c r="L728" i="28"/>
  <c r="M728" i="28" s="1"/>
  <c r="P737" i="28"/>
  <c r="Q737" i="28" s="1"/>
  <c r="G741" i="28"/>
  <c r="G722" i="28"/>
  <c r="H749" i="28"/>
  <c r="L722" i="28"/>
  <c r="M722" i="28" s="1"/>
  <c r="N728" i="28"/>
  <c r="R728" i="28" s="1"/>
  <c r="N730" i="28"/>
  <c r="R730" i="28" s="1"/>
  <c r="K741" i="28"/>
  <c r="G746" i="28"/>
  <c r="N737" i="28"/>
  <c r="R737" i="28" s="1"/>
  <c r="G724" i="28"/>
  <c r="P715" i="28"/>
  <c r="Q715" i="28" s="1"/>
  <c r="P732" i="28"/>
  <c r="Q732" i="28" s="1"/>
  <c r="K743" i="28"/>
  <c r="K731" i="28"/>
  <c r="N726" i="28"/>
  <c r="R726" i="28" s="1"/>
  <c r="H717" i="28"/>
  <c r="P719" i="28"/>
  <c r="Q719" i="28" s="1"/>
  <c r="O747" i="28"/>
  <c r="N738" i="28"/>
  <c r="R738" i="28" s="1"/>
  <c r="G731" i="28"/>
  <c r="N716" i="28"/>
  <c r="R716" i="28" s="1"/>
  <c r="L718" i="28"/>
  <c r="M718" i="28" s="1"/>
  <c r="L739" i="28"/>
  <c r="M739" i="28" s="1"/>
  <c r="P739" i="28"/>
  <c r="Q739" i="28" s="1"/>
  <c r="K751" i="28"/>
  <c r="P751" i="28"/>
  <c r="Q751" i="28" s="1"/>
  <c r="L748" i="28"/>
  <c r="M748" i="28" s="1"/>
  <c r="N745" i="28"/>
  <c r="R745" i="28" s="1"/>
  <c r="K740" i="28"/>
  <c r="K736" i="28"/>
  <c r="L733" i="28"/>
  <c r="M733" i="28" s="1"/>
  <c r="N729" i="28"/>
  <c r="R729" i="28" s="1"/>
  <c r="K725" i="28"/>
  <c r="N718" i="28"/>
  <c r="R718" i="28" s="1"/>
  <c r="N714" i="28"/>
  <c r="R714" i="28" s="1"/>
  <c r="L714" i="28"/>
  <c r="M714" i="28" s="1"/>
  <c r="K729" i="28"/>
  <c r="O740" i="28"/>
  <c r="N752" i="28"/>
  <c r="R752" i="28" s="1"/>
  <c r="N749" i="28"/>
  <c r="R749" i="28" s="1"/>
  <c r="P746" i="28"/>
  <c r="Q746" i="28" s="1"/>
  <c r="O746" i="28"/>
  <c r="G737" i="28"/>
  <c r="P730" i="28"/>
  <c r="Q730" i="28" s="1"/>
  <c r="K726" i="28"/>
  <c r="H722" i="28"/>
  <c r="L717" i="28"/>
  <c r="M717" i="28" s="1"/>
  <c r="L715" i="28"/>
  <c r="M715" i="28" s="1"/>
  <c r="P723" i="28"/>
  <c r="Q723" i="28" s="1"/>
  <c r="P717" i="28"/>
  <c r="Q717" i="28" s="1"/>
  <c r="P724" i="28"/>
  <c r="Q724" i="28" s="1"/>
  <c r="K742" i="28"/>
  <c r="K734" i="28"/>
  <c r="K720" i="28"/>
  <c r="O714" i="28"/>
  <c r="K728" i="28"/>
  <c r="N734" i="28"/>
  <c r="R734" i="28" s="1"/>
  <c r="G727" i="28"/>
  <c r="P713" i="28"/>
  <c r="Q713" i="28" s="1"/>
  <c r="P744" i="28"/>
  <c r="Q744" i="28" s="1"/>
  <c r="L735" i="28"/>
  <c r="M735" i="28" s="1"/>
  <c r="O745" i="28"/>
  <c r="L740" i="28"/>
  <c r="M740" i="28" s="1"/>
  <c r="O733" i="28"/>
  <c r="O725" i="28"/>
  <c r="P718" i="28"/>
  <c r="Q718" i="28" s="1"/>
  <c r="P720" i="28"/>
  <c r="Q720" i="28" s="1"/>
  <c r="G752" i="28"/>
  <c r="O749" i="28"/>
  <c r="L737" i="28"/>
  <c r="M737" i="28" s="1"/>
  <c r="O719" i="28"/>
  <c r="K737" i="28"/>
  <c r="G732" i="28"/>
  <c r="O732" i="28"/>
  <c r="N732" i="28"/>
  <c r="R732" i="28" s="1"/>
  <c r="G730" i="28"/>
  <c r="O748" i="28"/>
  <c r="P714" i="28"/>
  <c r="Q714" i="28" s="1"/>
  <c r="O752" i="28"/>
  <c r="G749" i="28"/>
  <c r="K730" i="28"/>
  <c r="K724" i="28"/>
  <c r="G713" i="28"/>
  <c r="N742" i="28"/>
  <c r="R742" i="28" s="1"/>
  <c r="N720" i="28"/>
  <c r="R720" i="28" s="1"/>
  <c r="K748" i="28"/>
  <c r="N740" i="28"/>
  <c r="R740" i="28" s="1"/>
  <c r="K714" i="28"/>
  <c r="K752" i="28"/>
  <c r="N746" i="28"/>
  <c r="R746" i="28" s="1"/>
  <c r="L741" i="28"/>
  <c r="M741" i="28" s="1"/>
  <c r="K722" i="28"/>
  <c r="O724" i="28"/>
  <c r="K721" i="28"/>
  <c r="H737" i="28"/>
  <c r="K713" i="28"/>
  <c r="L744" i="28"/>
  <c r="M744" i="28" s="1"/>
  <c r="N735" i="28"/>
  <c r="R735" i="28" s="1"/>
  <c r="K745" i="28"/>
  <c r="N736" i="28"/>
  <c r="R736" i="28" s="1"/>
  <c r="K733" i="28"/>
  <c r="G725" i="28"/>
  <c r="K718" i="28"/>
  <c r="P752" i="28"/>
  <c r="Q752" i="28" s="1"/>
  <c r="K749" i="28"/>
  <c r="O737" i="28"/>
  <c r="O721" i="28"/>
  <c r="P741" i="28"/>
  <c r="H719" i="28"/>
  <c r="H718" i="28"/>
  <c r="N751" i="28"/>
  <c r="R751" i="28" s="1"/>
  <c r="P745" i="28"/>
  <c r="Q745" i="28" s="1"/>
  <c r="L736" i="28"/>
  <c r="M736" i="28" s="1"/>
  <c r="P729" i="28"/>
  <c r="Q729" i="28" s="1"/>
  <c r="L731" i="28"/>
  <c r="M731" i="28" s="1"/>
  <c r="L746" i="28"/>
  <c r="M746" i="28" s="1"/>
  <c r="H741" i="28"/>
  <c r="P722" i="28"/>
  <c r="Q722" i="28" s="1"/>
  <c r="G723" i="28"/>
  <c r="L719" i="28"/>
  <c r="M719" i="28" s="1"/>
  <c r="P743" i="28"/>
  <c r="Q743" i="28" s="1"/>
  <c r="L751" i="28"/>
  <c r="M751" i="28" s="1"/>
  <c r="H736" i="28"/>
  <c r="H729" i="28"/>
  <c r="N733" i="28"/>
  <c r="R733" i="28" s="1"/>
  <c r="P749" i="28"/>
  <c r="Q749" i="28" s="1"/>
  <c r="H726" i="28"/>
  <c r="N723" i="28"/>
  <c r="R723" i="28" s="1"/>
  <c r="L726" i="28"/>
  <c r="M726" i="28" s="1"/>
  <c r="H752" i="28"/>
  <c r="G655" i="28"/>
  <c r="G674" i="28"/>
  <c r="G686" i="28"/>
  <c r="G700" i="28"/>
  <c r="H674" i="28"/>
  <c r="H696" i="28"/>
  <c r="G656" i="28"/>
  <c r="G666" i="28"/>
  <c r="G678" i="28"/>
  <c r="G688" i="28"/>
  <c r="H655" i="28"/>
  <c r="H666" i="28"/>
  <c r="H676" i="28"/>
  <c r="G657" i="28"/>
  <c r="G670" i="28"/>
  <c r="G682" i="28"/>
  <c r="G690" i="28"/>
  <c r="H659" i="28"/>
  <c r="H668" i="28"/>
  <c r="H678" i="28"/>
  <c r="G659" i="28"/>
  <c r="G672" i="28"/>
  <c r="G684" i="28"/>
  <c r="G694" i="28"/>
  <c r="H661" i="28"/>
  <c r="H670" i="28"/>
  <c r="H684" i="28"/>
  <c r="P693" i="28"/>
  <c r="Q693" i="28" s="1"/>
  <c r="G697" i="28"/>
  <c r="N669" i="28"/>
  <c r="R669" i="28" s="1"/>
  <c r="N712" i="28"/>
  <c r="R712" i="28" s="1"/>
  <c r="G692" i="28"/>
  <c r="K672" i="28"/>
  <c r="O657" i="28"/>
  <c r="N699" i="28"/>
  <c r="R699" i="28" s="1"/>
  <c r="K683" i="28"/>
  <c r="K667" i="28"/>
  <c r="P710" i="28"/>
  <c r="N694" i="28"/>
  <c r="R694" i="28" s="1"/>
  <c r="N678" i="28"/>
  <c r="R678" i="28" s="1"/>
  <c r="H706" i="28"/>
  <c r="G687" i="28"/>
  <c r="H680" i="28"/>
  <c r="G696" i="28"/>
  <c r="H712" i="28"/>
  <c r="H679" i="28"/>
  <c r="H695" i="28"/>
  <c r="H675" i="28"/>
  <c r="H701" i="28"/>
  <c r="G663" i="28"/>
  <c r="G707" i="28"/>
  <c r="G671" i="28"/>
  <c r="H705" i="28"/>
  <c r="H692" i="28"/>
  <c r="H669" i="28"/>
  <c r="G708" i="28"/>
  <c r="H711" i="28"/>
  <c r="G710" i="28"/>
  <c r="G669" i="28"/>
  <c r="N659" i="28"/>
  <c r="R659" i="28" s="1"/>
  <c r="N668" i="28"/>
  <c r="R668" i="28" s="1"/>
  <c r="O661" i="28"/>
  <c r="O660" i="28"/>
  <c r="L672" i="28"/>
  <c r="M672" i="28" s="1"/>
  <c r="P711" i="28"/>
  <c r="Q711" i="28" s="1"/>
  <c r="P707" i="28"/>
  <c r="Q707" i="28" s="1"/>
  <c r="L703" i="28"/>
  <c r="M703" i="28" s="1"/>
  <c r="O699" i="28"/>
  <c r="O698" i="28"/>
  <c r="O694" i="28"/>
  <c r="O690" i="28"/>
  <c r="O686" i="28"/>
  <c r="O682" i="28"/>
  <c r="O674" i="28"/>
  <c r="N655" i="28"/>
  <c r="R655" i="28" s="1"/>
  <c r="O658" i="28"/>
  <c r="N667" i="28"/>
  <c r="R667" i="28" s="1"/>
  <c r="L674" i="28"/>
  <c r="M674" i="28" s="1"/>
  <c r="N710" i="28"/>
  <c r="R710" i="28" s="1"/>
  <c r="L706" i="28"/>
  <c r="M706" i="28" s="1"/>
  <c r="N702" i="28"/>
  <c r="R702" i="28" s="1"/>
  <c r="O693" i="28"/>
  <c r="N689" i="28"/>
  <c r="R689" i="28" s="1"/>
  <c r="L685" i="28"/>
  <c r="M685" i="28" s="1"/>
  <c r="O677" i="28"/>
  <c r="N673" i="28"/>
  <c r="R673" i="28" s="1"/>
  <c r="K662" i="28"/>
  <c r="K677" i="28"/>
  <c r="L702" i="28"/>
  <c r="M702" i="28" s="1"/>
  <c r="N709" i="28"/>
  <c r="R709" i="28" s="1"/>
  <c r="N705" i="28"/>
  <c r="R705" i="28" s="1"/>
  <c r="K701" i="28"/>
  <c r="O696" i="28"/>
  <c r="O692" i="28"/>
  <c r="O688" i="28"/>
  <c r="O684" i="28"/>
  <c r="O680" i="28"/>
  <c r="O656" i="28"/>
  <c r="P660" i="28"/>
  <c r="K664" i="28"/>
  <c r="L670" i="28"/>
  <c r="M670" i="28" s="1"/>
  <c r="K676" i="28"/>
  <c r="P689" i="28"/>
  <c r="Q689" i="28" s="1"/>
  <c r="K706" i="28"/>
  <c r="K712" i="28"/>
  <c r="K708" i="28"/>
  <c r="K704" i="28"/>
  <c r="G677" i="28"/>
  <c r="L705" i="28"/>
  <c r="M705" i="28" s="1"/>
  <c r="G681" i="28"/>
  <c r="N662" i="28"/>
  <c r="R662" i="28" s="1"/>
  <c r="N704" i="28"/>
  <c r="R704" i="28" s="1"/>
  <c r="N680" i="28"/>
  <c r="R680" i="28" s="1"/>
  <c r="L664" i="28"/>
  <c r="M664" i="28" s="1"/>
  <c r="H707" i="28"/>
  <c r="K691" i="28"/>
  <c r="N675" i="28"/>
  <c r="R675" i="28" s="1"/>
  <c r="N660" i="28"/>
  <c r="R660" i="28" s="1"/>
  <c r="G702" i="28"/>
  <c r="N686" i="28"/>
  <c r="R686" i="28" s="1"/>
  <c r="P670" i="28"/>
  <c r="Q670" i="28" s="1"/>
  <c r="L655" i="28"/>
  <c r="M655" i="28" s="1"/>
  <c r="G703" i="28"/>
  <c r="H708" i="28"/>
  <c r="H664" i="28"/>
  <c r="H688" i="28"/>
  <c r="G704" i="28"/>
  <c r="G712" i="28"/>
  <c r="G711" i="28"/>
  <c r="G699" i="28"/>
  <c r="H671" i="28"/>
  <c r="G695" i="28"/>
  <c r="G709" i="28"/>
  <c r="H704" i="28"/>
  <c r="H677" i="28"/>
  <c r="H662" i="28"/>
  <c r="G676" i="28"/>
  <c r="H694" i="28"/>
  <c r="G685" i="28"/>
  <c r="G662" i="28"/>
  <c r="N656" i="28"/>
  <c r="R656" i="28" s="1"/>
  <c r="P691" i="28"/>
  <c r="Q691" i="28" s="1"/>
  <c r="N671" i="28"/>
  <c r="R671" i="28" s="1"/>
  <c r="N711" i="28"/>
  <c r="R711" i="28" s="1"/>
  <c r="N707" i="28"/>
  <c r="R707" i="28" s="1"/>
  <c r="O703" i="28"/>
  <c r="P699" i="28"/>
  <c r="P698" i="28"/>
  <c r="P694" i="28"/>
  <c r="Q694" i="28" s="1"/>
  <c r="P690" i="28"/>
  <c r="P686" i="28"/>
  <c r="Q686" i="28" s="1"/>
  <c r="P682" i="28"/>
  <c r="Q682" i="28" s="1"/>
  <c r="P678" i="28"/>
  <c r="Q678" i="28" s="1"/>
  <c r="O670" i="28"/>
  <c r="K657" i="28"/>
  <c r="L660" i="28"/>
  <c r="M660" i="28" s="1"/>
  <c r="O664" i="28"/>
  <c r="P669" i="28"/>
  <c r="Q669" i="28" s="1"/>
  <c r="O707" i="28"/>
  <c r="O706" i="28"/>
  <c r="K702" i="28"/>
  <c r="N697" i="28"/>
  <c r="R697" i="28" s="1"/>
  <c r="L693" i="28"/>
  <c r="M693" i="28" s="1"/>
  <c r="O685" i="28"/>
  <c r="N681" i="28"/>
  <c r="R681" i="28" s="1"/>
  <c r="P673" i="28"/>
  <c r="Q673" i="28" s="1"/>
  <c r="K665" i="28"/>
  <c r="O662" i="28"/>
  <c r="K689" i="28"/>
  <c r="K709" i="28"/>
  <c r="K705" i="28"/>
  <c r="L701" i="28"/>
  <c r="M701" i="28" s="1"/>
  <c r="P696" i="28"/>
  <c r="Q696" i="28" s="1"/>
  <c r="P692" i="28"/>
  <c r="Q692" i="28" s="1"/>
  <c r="P688" i="28"/>
  <c r="Q688" i="28" s="1"/>
  <c r="P684" i="28"/>
  <c r="Q684" i="28" s="1"/>
  <c r="P680" i="28"/>
  <c r="Q680" i="28" s="1"/>
  <c r="G689" i="28"/>
  <c r="P685" i="28"/>
  <c r="Q685" i="28" s="1"/>
  <c r="N708" i="28"/>
  <c r="R708" i="28" s="1"/>
  <c r="L668" i="28"/>
  <c r="M668" i="28" s="1"/>
  <c r="K695" i="28"/>
  <c r="N663" i="28"/>
  <c r="R663" i="28" s="1"/>
  <c r="H690" i="28"/>
  <c r="O659" i="28"/>
  <c r="G667" i="28"/>
  <c r="G680" i="28"/>
  <c r="H660" i="28"/>
  <c r="H663" i="28"/>
  <c r="H683" i="28"/>
  <c r="G660" i="28"/>
  <c r="H681" i="28"/>
  <c r="G698" i="28"/>
  <c r="G693" i="28"/>
  <c r="P664" i="28"/>
  <c r="Q664" i="28" s="1"/>
  <c r="K666" i="28"/>
  <c r="P683" i="28"/>
  <c r="Q683" i="28" s="1"/>
  <c r="K707" i="28"/>
  <c r="L698" i="28"/>
  <c r="M698" i="28" s="1"/>
  <c r="L690" i="28"/>
  <c r="M690" i="28" s="1"/>
  <c r="L682" i="28"/>
  <c r="M682" i="28" s="1"/>
  <c r="K674" i="28"/>
  <c r="L659" i="28"/>
  <c r="M659" i="28" s="1"/>
  <c r="K669" i="28"/>
  <c r="L710" i="28"/>
  <c r="M710" i="28" s="1"/>
  <c r="O697" i="28"/>
  <c r="L689" i="28"/>
  <c r="M689" i="28" s="1"/>
  <c r="L677" i="28"/>
  <c r="M677" i="28" s="1"/>
  <c r="O655" i="28"/>
  <c r="P705" i="28"/>
  <c r="Q705" i="28" s="1"/>
  <c r="L696" i="28"/>
  <c r="M696" i="28" s="1"/>
  <c r="L688" i="28"/>
  <c r="M688" i="28" s="1"/>
  <c r="L680" i="28"/>
  <c r="M680" i="28" s="1"/>
  <c r="O672" i="28"/>
  <c r="N657" i="28"/>
  <c r="R657" i="28" s="1"/>
  <c r="O668" i="28"/>
  <c r="N677" i="28"/>
  <c r="R677" i="28" s="1"/>
  <c r="P697" i="28"/>
  <c r="P712" i="28"/>
  <c r="Q712" i="28" s="1"/>
  <c r="O708" i="28"/>
  <c r="O700" i="28"/>
  <c r="N695" i="28"/>
  <c r="R695" i="28" s="1"/>
  <c r="L691" i="28"/>
  <c r="M691" i="28" s="1"/>
  <c r="O683" i="28"/>
  <c r="N679" i="28"/>
  <c r="R679" i="28" s="1"/>
  <c r="P671" i="28"/>
  <c r="Q671" i="28" s="1"/>
  <c r="K656" i="28"/>
  <c r="L662" i="28"/>
  <c r="M662" i="28" s="1"/>
  <c r="N665" i="28"/>
  <c r="R665" i="28" s="1"/>
  <c r="O669" i="28"/>
  <c r="N676" i="28"/>
  <c r="R676" i="28" s="1"/>
  <c r="K685" i="28"/>
  <c r="P695" i="28"/>
  <c r="Q695" i="28" s="1"/>
  <c r="P706" i="28"/>
  <c r="Q706" i="28" s="1"/>
  <c r="H687" i="28"/>
  <c r="H685" i="28"/>
  <c r="H693" i="28"/>
  <c r="H699" i="28"/>
  <c r="P675" i="28"/>
  <c r="Q675" i="28" s="1"/>
  <c r="K711" i="28"/>
  <c r="L694" i="28"/>
  <c r="M694" i="28" s="1"/>
  <c r="L678" i="28"/>
  <c r="M678" i="28" s="1"/>
  <c r="O663" i="28"/>
  <c r="P702" i="28"/>
  <c r="K681" i="28"/>
  <c r="P709" i="28"/>
  <c r="L684" i="28"/>
  <c r="M684" i="28" s="1"/>
  <c r="K655" i="28"/>
  <c r="L665" i="28"/>
  <c r="M665" i="28" s="1"/>
  <c r="O673" i="28"/>
  <c r="N684" i="28"/>
  <c r="R684" i="28" s="1"/>
  <c r="L708" i="28"/>
  <c r="M708" i="28" s="1"/>
  <c r="P704" i="28"/>
  <c r="Q704" i="28" s="1"/>
  <c r="N696" i="28"/>
  <c r="R696" i="28" s="1"/>
  <c r="K673" i="28"/>
  <c r="K700" i="28"/>
  <c r="L661" i="28"/>
  <c r="M661" i="28" s="1"/>
  <c r="K687" i="28"/>
  <c r="P656" i="28"/>
  <c r="H682" i="28"/>
  <c r="H691" i="28"/>
  <c r="G664" i="28"/>
  <c r="G668" i="28"/>
  <c r="G705" i="28"/>
  <c r="G675" i="28"/>
  <c r="H656" i="28"/>
  <c r="H710" i="28"/>
  <c r="Q710" i="28" s="1"/>
  <c r="H673" i="28"/>
  <c r="G661" i="28"/>
  <c r="G673" i="28"/>
  <c r="P663" i="28"/>
  <c r="L657" i="28"/>
  <c r="M657" i="28" s="1"/>
  <c r="L711" i="28"/>
  <c r="M711" i="28" s="1"/>
  <c r="N703" i="28"/>
  <c r="R703" i="28" s="1"/>
  <c r="K698" i="28"/>
  <c r="K690" i="28"/>
  <c r="K682" i="28"/>
  <c r="K670" i="28"/>
  <c r="N661" i="28"/>
  <c r="R661" i="28" s="1"/>
  <c r="N670" i="28"/>
  <c r="R670" i="28" s="1"/>
  <c r="N706" i="28"/>
  <c r="R706" i="28" s="1"/>
  <c r="L697" i="28"/>
  <c r="M697" i="28" s="1"/>
  <c r="N685" i="28"/>
  <c r="R685" i="28" s="1"/>
  <c r="L673" i="28"/>
  <c r="M673" i="28" s="1"/>
  <c r="L669" i="28"/>
  <c r="M669" i="28" s="1"/>
  <c r="O705" i="28"/>
  <c r="K696" i="28"/>
  <c r="K688" i="28"/>
  <c r="K680" i="28"/>
  <c r="L658" i="28"/>
  <c r="M658" i="28" s="1"/>
  <c r="K663" i="28"/>
  <c r="N672" i="28"/>
  <c r="R672" i="28" s="1"/>
  <c r="P681" i="28"/>
  <c r="Q681" i="28" s="1"/>
  <c r="K703" i="28"/>
  <c r="O712" i="28"/>
  <c r="L704" i="28"/>
  <c r="M704" i="28" s="1"/>
  <c r="N700" i="28"/>
  <c r="R700" i="28" s="1"/>
  <c r="L695" i="28"/>
  <c r="M695" i="28" s="1"/>
  <c r="O687" i="28"/>
  <c r="N683" i="28"/>
  <c r="R683" i="28" s="1"/>
  <c r="L679" i="28"/>
  <c r="M679" i="28" s="1"/>
  <c r="L671" i="28"/>
  <c r="M671" i="28" s="1"/>
  <c r="K659" i="28"/>
  <c r="N666" i="28"/>
  <c r="R666" i="28" s="1"/>
  <c r="K671" i="28"/>
  <c r="P677" i="28"/>
  <c r="Q677" i="28" s="1"/>
  <c r="P687" i="28"/>
  <c r="Q687" i="28" s="1"/>
  <c r="N698" i="28"/>
  <c r="R698" i="28" s="1"/>
  <c r="K710" i="28"/>
  <c r="H709" i="28"/>
  <c r="O665" i="28"/>
  <c r="N688" i="28"/>
  <c r="R688" i="28" s="1"/>
  <c r="O711" i="28"/>
  <c r="K679" i="28"/>
  <c r="G706" i="28"/>
  <c r="N674" i="28"/>
  <c r="R674" i="28" s="1"/>
  <c r="H672" i="28"/>
  <c r="H700" i="28"/>
  <c r="G679" i="28"/>
  <c r="G701" i="28"/>
  <c r="H665" i="28"/>
  <c r="G665" i="28"/>
  <c r="P658" i="28"/>
  <c r="Q658" i="28" s="1"/>
  <c r="L699" i="28"/>
  <c r="M699" i="28" s="1"/>
  <c r="L686" i="28"/>
  <c r="M686" i="28" s="1"/>
  <c r="L656" i="28"/>
  <c r="M656" i="28" s="1"/>
  <c r="K678" i="28"/>
  <c r="N693" i="28"/>
  <c r="R693" i="28" s="1"/>
  <c r="O681" i="28"/>
  <c r="P665" i="28"/>
  <c r="Q665" i="28" s="1"/>
  <c r="N701" i="28"/>
  <c r="R701" i="28" s="1"/>
  <c r="L692" i="28"/>
  <c r="M692" i="28" s="1"/>
  <c r="L676" i="28"/>
  <c r="M676" i="28" s="1"/>
  <c r="P659" i="28"/>
  <c r="Q659" i="28" s="1"/>
  <c r="L709" i="28"/>
  <c r="M709" i="28" s="1"/>
  <c r="O701" i="28"/>
  <c r="O671" i="28"/>
  <c r="H657" i="28"/>
  <c r="G683" i="28"/>
  <c r="G658" i="28"/>
  <c r="K699" i="28"/>
  <c r="P657" i="28"/>
  <c r="Q657" i="28" s="1"/>
  <c r="O689" i="28"/>
  <c r="O709" i="28"/>
  <c r="O676" i="28"/>
  <c r="P674" i="28"/>
  <c r="Q674" i="28" s="1"/>
  <c r="O704" i="28"/>
  <c r="N691" i="28"/>
  <c r="R691" i="28" s="1"/>
  <c r="O679" i="28"/>
  <c r="L667" i="28"/>
  <c r="M667" i="28" s="1"/>
  <c r="N664" i="28"/>
  <c r="R664" i="28" s="1"/>
  <c r="K675" i="28"/>
  <c r="K693" i="28"/>
  <c r="O675" i="28"/>
  <c r="K668" i="28"/>
  <c r="P700" i="28"/>
  <c r="O666" i="28"/>
  <c r="H689" i="28"/>
  <c r="H658" i="28"/>
  <c r="K686" i="28"/>
  <c r="P662" i="28"/>
  <c r="Q662" i="28" s="1"/>
  <c r="L712" i="28"/>
  <c r="M712" i="28" s="1"/>
  <c r="O695" i="28"/>
  <c r="L675" i="28"/>
  <c r="M675" i="28" s="1"/>
  <c r="P668" i="28"/>
  <c r="Q668" i="28" s="1"/>
  <c r="H703" i="28"/>
  <c r="H702" i="28"/>
  <c r="H686" i="28"/>
  <c r="O678" i="28"/>
  <c r="K697" i="28"/>
  <c r="K684" i="28"/>
  <c r="P708" i="28"/>
  <c r="Q708" i="28" s="1"/>
  <c r="L663" i="28"/>
  <c r="M663" i="28" s="1"/>
  <c r="P672" i="28"/>
  <c r="Q672" i="28" s="1"/>
  <c r="N658" i="28"/>
  <c r="R658" i="28" s="1"/>
  <c r="H698" i="28"/>
  <c r="H667" i="28"/>
  <c r="H697" i="28"/>
  <c r="K658" i="28"/>
  <c r="K694" i="28"/>
  <c r="P666" i="28"/>
  <c r="Q666" i="28" s="1"/>
  <c r="L681" i="28"/>
  <c r="M681" i="28" s="1"/>
  <c r="P701" i="28"/>
  <c r="P655" i="28"/>
  <c r="Q655" i="28" s="1"/>
  <c r="N692" i="28"/>
  <c r="R692" i="28" s="1"/>
  <c r="L700" i="28"/>
  <c r="M700" i="28" s="1"/>
  <c r="N687" i="28"/>
  <c r="R687" i="28" s="1"/>
  <c r="K660" i="28"/>
  <c r="P679" i="28"/>
  <c r="Q679" i="28" s="1"/>
  <c r="P676" i="28"/>
  <c r="Q676" i="28" s="1"/>
  <c r="O667" i="28"/>
  <c r="O710" i="28"/>
  <c r="K692" i="28"/>
  <c r="P661" i="28"/>
  <c r="Q661" i="28" s="1"/>
  <c r="L687" i="28"/>
  <c r="M687" i="28" s="1"/>
  <c r="K661" i="28"/>
  <c r="N682" i="28"/>
  <c r="R682" i="28" s="1"/>
  <c r="P703" i="28"/>
  <c r="Q703" i="28" s="1"/>
  <c r="G691" i="28"/>
  <c r="L707" i="28"/>
  <c r="M707" i="28" s="1"/>
  <c r="O702" i="28"/>
  <c r="L666" i="28"/>
  <c r="M666" i="28" s="1"/>
  <c r="O691" i="28"/>
  <c r="L683" i="28"/>
  <c r="M683" i="28" s="1"/>
  <c r="P667" i="28"/>
  <c r="Q667" i="28" s="1"/>
  <c r="N690" i="28"/>
  <c r="R690" i="28" s="1"/>
  <c r="G642" i="28"/>
  <c r="O642" i="28"/>
  <c r="M637" i="28"/>
  <c r="H637" i="28"/>
  <c r="G635" i="28"/>
  <c r="G627" i="28"/>
  <c r="G631" i="28"/>
  <c r="L642" i="28"/>
  <c r="K642" i="28"/>
  <c r="O637" i="28"/>
  <c r="G637" i="28"/>
  <c r="G624" i="28"/>
  <c r="G628" i="28"/>
  <c r="G632" i="28"/>
  <c r="M642" i="28"/>
  <c r="G634" i="28"/>
  <c r="G626" i="28"/>
  <c r="H626" i="28"/>
  <c r="H642" i="28"/>
  <c r="N642" i="28"/>
  <c r="R642" i="28" s="1"/>
  <c r="K637" i="28"/>
  <c r="P637" i="28"/>
  <c r="G625" i="28"/>
  <c r="G629" i="28"/>
  <c r="G633" i="28"/>
  <c r="L637" i="28"/>
  <c r="P642" i="28"/>
  <c r="Q642" i="28" s="1"/>
  <c r="N637" i="28"/>
  <c r="R637" i="28" s="1"/>
  <c r="G630" i="28"/>
  <c r="H625" i="28"/>
  <c r="H632" i="28"/>
  <c r="H635" i="28"/>
  <c r="O624" i="28"/>
  <c r="P632" i="28"/>
  <c r="Q632" i="28" s="1"/>
  <c r="K630" i="28"/>
  <c r="N630" i="28"/>
  <c r="R630" i="28" s="1"/>
  <c r="P624" i="28"/>
  <c r="Q624" i="28" s="1"/>
  <c r="H628" i="28"/>
  <c r="M624" i="28"/>
  <c r="N635" i="28"/>
  <c r="R635" i="28" s="1"/>
  <c r="L632" i="28"/>
  <c r="L634" i="28"/>
  <c r="G654" i="28"/>
  <c r="O630" i="28"/>
  <c r="P631" i="28"/>
  <c r="Q631" i="28" s="1"/>
  <c r="M627" i="28"/>
  <c r="M631" i="28"/>
  <c r="M633" i="28"/>
  <c r="K629" i="28"/>
  <c r="L633" i="28"/>
  <c r="K653" i="28"/>
  <c r="L630" i="28"/>
  <c r="G653" i="28"/>
  <c r="N628" i="28"/>
  <c r="R628" i="28" s="1"/>
  <c r="O654" i="28"/>
  <c r="N624" i="28"/>
  <c r="R624" i="28" s="1"/>
  <c r="K628" i="28"/>
  <c r="O632" i="28"/>
  <c r="M634" i="28"/>
  <c r="M626" i="28"/>
  <c r="N632" i="28"/>
  <c r="R632" i="28" s="1"/>
  <c r="O634" i="28"/>
  <c r="L624" i="28"/>
  <c r="L635" i="28"/>
  <c r="K632" i="28"/>
  <c r="L653" i="28"/>
  <c r="M653" i="28" s="1"/>
  <c r="K654" i="28"/>
  <c r="N633" i="28"/>
  <c r="R633" i="28" s="1"/>
  <c r="P627" i="28"/>
  <c r="Q627" i="28" s="1"/>
  <c r="O633" i="28"/>
  <c r="M629" i="28"/>
  <c r="L629" i="28"/>
  <c r="P653" i="28"/>
  <c r="Q653" i="28" s="1"/>
  <c r="K626" i="28"/>
  <c r="H633" i="28"/>
  <c r="H624" i="28"/>
  <c r="K631" i="28"/>
  <c r="L628" i="28"/>
  <c r="O635" i="28"/>
  <c r="M628" i="28"/>
  <c r="O626" i="28"/>
  <c r="H630" i="28"/>
  <c r="M630" i="28"/>
  <c r="K634" i="28"/>
  <c r="O628" i="28"/>
  <c r="K624" i="28"/>
  <c r="P634" i="28"/>
  <c r="Q634" i="28" s="1"/>
  <c r="L627" i="28"/>
  <c r="N627" i="28"/>
  <c r="R627" i="28" s="1"/>
  <c r="N629" i="28"/>
  <c r="R629" i="28" s="1"/>
  <c r="O627" i="28"/>
  <c r="P629" i="28"/>
  <c r="Q629" i="28" s="1"/>
  <c r="O629" i="28"/>
  <c r="M625" i="28"/>
  <c r="L631" i="28"/>
  <c r="N654" i="28"/>
  <c r="R654" i="28" s="1"/>
  <c r="L625" i="28"/>
  <c r="H634" i="28"/>
  <c r="H629" i="28"/>
  <c r="H627" i="28"/>
  <c r="N626" i="28"/>
  <c r="R626" i="28" s="1"/>
  <c r="M635" i="28"/>
  <c r="K635" i="28"/>
  <c r="P630" i="28"/>
  <c r="Q630" i="28" s="1"/>
  <c r="L626" i="28"/>
  <c r="M632" i="28"/>
  <c r="P635" i="28"/>
  <c r="Q635" i="28" s="1"/>
  <c r="P628" i="28"/>
  <c r="Q628" i="28" s="1"/>
  <c r="N634" i="28"/>
  <c r="R634" i="28" s="1"/>
  <c r="P654" i="28"/>
  <c r="Q654" i="28" s="1"/>
  <c r="H654" i="28"/>
  <c r="L654" i="28"/>
  <c r="M654" i="28" s="1"/>
  <c r="P626" i="28"/>
  <c r="Q626" i="28" s="1"/>
  <c r="N625" i="28"/>
  <c r="R625" i="28" s="1"/>
  <c r="H631" i="28"/>
  <c r="P625" i="28"/>
  <c r="Q625" i="28" s="1"/>
  <c r="O625" i="28"/>
  <c r="K633" i="28"/>
  <c r="K627" i="28"/>
  <c r="N653" i="28"/>
  <c r="R653" i="28" s="1"/>
  <c r="H653" i="28"/>
  <c r="N631" i="28"/>
  <c r="R631" i="28" s="1"/>
  <c r="O631" i="28"/>
  <c r="P633" i="28"/>
  <c r="Q633" i="28" s="1"/>
  <c r="K625" i="28"/>
  <c r="O653" i="28"/>
  <c r="P645" i="28"/>
  <c r="Q645" i="28" s="1"/>
  <c r="L623" i="28"/>
  <c r="M623" i="28" s="1"/>
  <c r="P599" i="28"/>
  <c r="Q599" i="28" s="1"/>
  <c r="H574" i="28"/>
  <c r="H567" i="28"/>
  <c r="N610" i="28"/>
  <c r="R610" i="28" s="1"/>
  <c r="P573" i="28"/>
  <c r="Q573" i="28" s="1"/>
  <c r="N559" i="28"/>
  <c r="R559" i="28" s="1"/>
  <c r="K617" i="28"/>
  <c r="O601" i="28"/>
  <c r="H585" i="28"/>
  <c r="K558" i="28"/>
  <c r="H639" i="28"/>
  <c r="G616" i="28"/>
  <c r="G596" i="28"/>
  <c r="G575" i="28"/>
  <c r="O568" i="28"/>
  <c r="H600" i="28"/>
  <c r="G650" i="28"/>
  <c r="G639" i="28"/>
  <c r="H604" i="28"/>
  <c r="G621" i="28"/>
  <c r="O578" i="28"/>
  <c r="H565" i="28"/>
  <c r="K623" i="28"/>
  <c r="H617" i="28"/>
  <c r="O565" i="28"/>
  <c r="O584" i="28"/>
  <c r="G605" i="28"/>
  <c r="O576" i="28"/>
  <c r="K587" i="28"/>
  <c r="H564" i="28"/>
  <c r="O558" i="28"/>
  <c r="P565" i="28"/>
  <c r="Q565" i="28" s="1"/>
  <c r="H583" i="28"/>
  <c r="P564" i="28"/>
  <c r="Q564" i="28" s="1"/>
  <c r="N563" i="28"/>
  <c r="R563" i="28" s="1"/>
  <c r="G648" i="28"/>
  <c r="P648" i="28"/>
  <c r="Q648" i="28" s="1"/>
  <c r="K644" i="28"/>
  <c r="K636" i="28"/>
  <c r="K618" i="28"/>
  <c r="K614" i="28"/>
  <c r="G606" i="28"/>
  <c r="N606" i="28"/>
  <c r="R606" i="28" s="1"/>
  <c r="N602" i="28"/>
  <c r="R602" i="28" s="1"/>
  <c r="L594" i="28"/>
  <c r="M594" i="28" s="1"/>
  <c r="P590" i="28"/>
  <c r="Q590" i="28" s="1"/>
  <c r="P640" i="28"/>
  <c r="Q640" i="28" s="1"/>
  <c r="P615" i="28"/>
  <c r="Q615" i="28" s="1"/>
  <c r="H584" i="28"/>
  <c r="H590" i="28"/>
  <c r="P579" i="28"/>
  <c r="K651" i="28"/>
  <c r="O605" i="28"/>
  <c r="H646" i="28"/>
  <c r="H620" i="28"/>
  <c r="G592" i="28"/>
  <c r="O561" i="28"/>
  <c r="G576" i="28"/>
  <c r="L563" i="28"/>
  <c r="M563" i="28" s="1"/>
  <c r="L558" i="28"/>
  <c r="M558" i="28" s="1"/>
  <c r="L560" i="28"/>
  <c r="M560" i="28" s="1"/>
  <c r="L599" i="28"/>
  <c r="M599" i="28" s="1"/>
  <c r="H651" i="28"/>
  <c r="N645" i="28"/>
  <c r="R645" i="28" s="1"/>
  <c r="H573" i="28"/>
  <c r="G589" i="28"/>
  <c r="O574" i="28"/>
  <c r="H613" i="28"/>
  <c r="O570" i="28"/>
  <c r="K615" i="28"/>
  <c r="N561" i="28"/>
  <c r="R561" i="28" s="1"/>
  <c r="O621" i="28"/>
  <c r="L568" i="28"/>
  <c r="M568" i="28" s="1"/>
  <c r="H601" i="28"/>
  <c r="G561" i="28"/>
  <c r="N648" i="28"/>
  <c r="R648" i="28" s="1"/>
  <c r="G644" i="28"/>
  <c r="O644" i="28"/>
  <c r="G618" i="28"/>
  <c r="P614" i="28"/>
  <c r="Q614" i="28" s="1"/>
  <c r="P606" i="28"/>
  <c r="Q606" i="28" s="1"/>
  <c r="P602" i="28"/>
  <c r="Q602" i="28" s="1"/>
  <c r="P594" i="28"/>
  <c r="Q594" i="28" s="1"/>
  <c r="L590" i="28"/>
  <c r="M590" i="28" s="1"/>
  <c r="P562" i="28"/>
  <c r="Q562" i="28" s="1"/>
  <c r="L579" i="28"/>
  <c r="M579" i="28" s="1"/>
  <c r="H636" i="28"/>
  <c r="O650" i="28"/>
  <c r="L646" i="28"/>
  <c r="M646" i="28" s="1"/>
  <c r="K641" i="28"/>
  <c r="K639" i="28"/>
  <c r="K620" i="28"/>
  <c r="K616" i="28"/>
  <c r="P612" i="28"/>
  <c r="Q612" i="28" s="1"/>
  <c r="K608" i="28"/>
  <c r="P604" i="28"/>
  <c r="Q604" i="28" s="1"/>
  <c r="P600" i="28"/>
  <c r="Q600" i="28" s="1"/>
  <c r="O600" i="28"/>
  <c r="K596" i="28"/>
  <c r="N592" i="28"/>
  <c r="R592" i="28" s="1"/>
  <c r="K588" i="28"/>
  <c r="N581" i="28"/>
  <c r="R581" i="28" s="1"/>
  <c r="O575" i="28"/>
  <c r="K571" i="28"/>
  <c r="K559" i="28"/>
  <c r="O566" i="28"/>
  <c r="L581" i="28"/>
  <c r="M581" i="28" s="1"/>
  <c r="K586" i="28"/>
  <c r="N636" i="28"/>
  <c r="R636" i="28" s="1"/>
  <c r="K592" i="28"/>
  <c r="L641" i="28"/>
  <c r="M641" i="28" s="1"/>
  <c r="P652" i="28"/>
  <c r="Q652" i="28" s="1"/>
  <c r="G622" i="28"/>
  <c r="N622" i="28"/>
  <c r="R622" i="28" s="1"/>
  <c r="K610" i="28"/>
  <c r="P598" i="28"/>
  <c r="Q598" i="28" s="1"/>
  <c r="G586" i="28"/>
  <c r="O586" i="28"/>
  <c r="G583" i="28"/>
  <c r="G579" i="28"/>
  <c r="G577" i="28"/>
  <c r="G573" i="28"/>
  <c r="G569" i="28"/>
  <c r="G566" i="28"/>
  <c r="G559" i="28"/>
  <c r="L569" i="28"/>
  <c r="M569" i="28" s="1"/>
  <c r="N618" i="28"/>
  <c r="R618" i="28" s="1"/>
  <c r="H622" i="28"/>
  <c r="H557" i="28"/>
  <c r="G588" i="28"/>
  <c r="L651" i="28"/>
  <c r="M651" i="28" s="1"/>
  <c r="O643" i="28"/>
  <c r="L621" i="28"/>
  <c r="M621" i="28" s="1"/>
  <c r="P617" i="28"/>
  <c r="Q617" i="28" s="1"/>
  <c r="P613" i="28"/>
  <c r="Q613" i="28" s="1"/>
  <c r="L609" i="28"/>
  <c r="M609" i="28" s="1"/>
  <c r="N605" i="28"/>
  <c r="R605" i="28" s="1"/>
  <c r="N601" i="28"/>
  <c r="R601" i="28" s="1"/>
  <c r="G601" i="28"/>
  <c r="L597" i="28"/>
  <c r="M597" i="28" s="1"/>
  <c r="P593" i="28"/>
  <c r="Q593" i="28" s="1"/>
  <c r="L589" i="28"/>
  <c r="M589" i="28" s="1"/>
  <c r="O585" i="28"/>
  <c r="K582" i="28"/>
  <c r="L572" i="28"/>
  <c r="M572" i="28" s="1"/>
  <c r="L556" i="28"/>
  <c r="M556" i="28" s="1"/>
  <c r="P619" i="28"/>
  <c r="Q619" i="28" s="1"/>
  <c r="H578" i="28"/>
  <c r="P569" i="28"/>
  <c r="Q569" i="28" s="1"/>
  <c r="O562" i="28"/>
  <c r="H621" i="28"/>
  <c r="K593" i="28"/>
  <c r="H588" i="28"/>
  <c r="O557" i="28"/>
  <c r="H605" i="28"/>
  <c r="H597" i="28"/>
  <c r="N574" i="28"/>
  <c r="R574" i="28" s="1"/>
  <c r="G643" i="28"/>
  <c r="O582" i="28"/>
  <c r="H572" i="28"/>
  <c r="N556" i="28"/>
  <c r="R556" i="28" s="1"/>
  <c r="K638" i="28"/>
  <c r="H559" i="28"/>
  <c r="L557" i="28"/>
  <c r="M557" i="28" s="1"/>
  <c r="N582" i="28"/>
  <c r="R582" i="28" s="1"/>
  <c r="N557" i="28"/>
  <c r="R557" i="28" s="1"/>
  <c r="H612" i="28"/>
  <c r="H568" i="28"/>
  <c r="L648" i="28"/>
  <c r="M648" i="28" s="1"/>
  <c r="L644" i="28"/>
  <c r="M644" i="28" s="1"/>
  <c r="P618" i="28"/>
  <c r="Q618" i="28" s="1"/>
  <c r="L614" i="28"/>
  <c r="M614" i="28" s="1"/>
  <c r="G602" i="28"/>
  <c r="K594" i="28"/>
  <c r="N590" i="28"/>
  <c r="R590" i="28" s="1"/>
  <c r="O559" i="28"/>
  <c r="P556" i="28"/>
  <c r="Q556" i="28" s="1"/>
  <c r="H569" i="28"/>
  <c r="L650" i="28"/>
  <c r="M650" i="28" s="1"/>
  <c r="N646" i="28"/>
  <c r="R646" i="28" s="1"/>
  <c r="P639" i="28"/>
  <c r="Q639" i="28" s="1"/>
  <c r="P616" i="28"/>
  <c r="Q616" i="28" s="1"/>
  <c r="K612" i="28"/>
  <c r="L608" i="28"/>
  <c r="M608" i="28" s="1"/>
  <c r="O604" i="28"/>
  <c r="P592" i="28"/>
  <c r="Q592" i="28" s="1"/>
  <c r="L588" i="28"/>
  <c r="M588" i="28" s="1"/>
  <c r="O581" i="28"/>
  <c r="N571" i="28"/>
  <c r="R571" i="28" s="1"/>
  <c r="K557" i="28"/>
  <c r="P568" i="28"/>
  <c r="Q568" i="28" s="1"/>
  <c r="O594" i="28"/>
  <c r="N620" i="28"/>
  <c r="R620" i="28" s="1"/>
  <c r="O652" i="28"/>
  <c r="K622" i="28"/>
  <c r="P610" i="28"/>
  <c r="Q610" i="28" s="1"/>
  <c r="L598" i="28"/>
  <c r="M598" i="28" s="1"/>
  <c r="L586" i="28"/>
  <c r="M586" i="28" s="1"/>
  <c r="O583" i="28"/>
  <c r="K579" i="28"/>
  <c r="N577" i="28"/>
  <c r="R577" i="28" s="1"/>
  <c r="O569" i="28"/>
  <c r="G562" i="28"/>
  <c r="K590" i="28"/>
  <c r="H641" i="28"/>
  <c r="H594" i="28"/>
  <c r="G620" i="28"/>
  <c r="G571" i="28"/>
  <c r="O647" i="28"/>
  <c r="L643" i="28"/>
  <c r="M643" i="28" s="1"/>
  <c r="N621" i="28"/>
  <c r="R621" i="28" s="1"/>
  <c r="L617" i="28"/>
  <c r="M617" i="28" s="1"/>
  <c r="K613" i="28"/>
  <c r="P609" i="28"/>
  <c r="Q609" i="28" s="1"/>
  <c r="K605" i="28"/>
  <c r="N597" i="28"/>
  <c r="R597" i="28" s="1"/>
  <c r="N593" i="28"/>
  <c r="R593" i="28" s="1"/>
  <c r="P589" i="28"/>
  <c r="Q589" i="28" s="1"/>
  <c r="P585" i="28"/>
  <c r="Q585" i="28" s="1"/>
  <c r="P582" i="28"/>
  <c r="L576" i="28"/>
  <c r="M576" i="28" s="1"/>
  <c r="K572" i="28"/>
  <c r="N558" i="28"/>
  <c r="R558" i="28" s="1"/>
  <c r="P558" i="28"/>
  <c r="Q558" i="28" s="1"/>
  <c r="K562" i="28"/>
  <c r="N568" i="28"/>
  <c r="R568" i="28" s="1"/>
  <c r="O593" i="28"/>
  <c r="N612" i="28"/>
  <c r="R612" i="28" s="1"/>
  <c r="H649" i="28"/>
  <c r="H645" i="28"/>
  <c r="H640" i="28"/>
  <c r="H638" i="28"/>
  <c r="N623" i="28"/>
  <c r="R623" i="28" s="1"/>
  <c r="N619" i="28"/>
  <c r="R619" i="28" s="1"/>
  <c r="O615" i="28"/>
  <c r="K611" i="28"/>
  <c r="O607" i="28"/>
  <c r="K603" i="28"/>
  <c r="O599" i="28"/>
  <c r="L595" i="28"/>
  <c r="M595" i="28" s="1"/>
  <c r="P591" i="28"/>
  <c r="Q591" i="28" s="1"/>
  <c r="P560" i="28"/>
  <c r="Q560" i="28" s="1"/>
  <c r="P567" i="28"/>
  <c r="Q567" i="28" s="1"/>
  <c r="P574" i="28"/>
  <c r="Q574" i="28" s="1"/>
  <c r="P580" i="28"/>
  <c r="L638" i="28"/>
  <c r="M638" i="28" s="1"/>
  <c r="L591" i="28"/>
  <c r="M591" i="28" s="1"/>
  <c r="H560" i="28"/>
  <c r="P583" i="28"/>
  <c r="N643" i="28"/>
  <c r="R643" i="28" s="1"/>
  <c r="H609" i="28"/>
  <c r="N576" i="28"/>
  <c r="R576" i="28" s="1"/>
  <c r="G641" i="28"/>
  <c r="G604" i="28"/>
  <c r="P571" i="28"/>
  <c r="Q571" i="28" s="1"/>
  <c r="H561" i="28"/>
  <c r="G647" i="28"/>
  <c r="O567" i="28"/>
  <c r="N572" i="28"/>
  <c r="R572" i="28" s="1"/>
  <c r="G613" i="28"/>
  <c r="P607" i="28"/>
  <c r="Q607" i="28" s="1"/>
  <c r="K564" i="28"/>
  <c r="G651" i="28"/>
  <c r="O580" i="28"/>
  <c r="K648" i="28"/>
  <c r="P636" i="28"/>
  <c r="G614" i="28"/>
  <c r="K606" i="28"/>
  <c r="K602" i="28"/>
  <c r="G590" i="28"/>
  <c r="L577" i="28"/>
  <c r="M577" i="28" s="1"/>
  <c r="H606" i="28"/>
  <c r="K650" i="28"/>
  <c r="K646" i="28"/>
  <c r="O641" i="28"/>
  <c r="L639" i="28"/>
  <c r="M639" i="28" s="1"/>
  <c r="L620" i="28"/>
  <c r="M620" i="28" s="1"/>
  <c r="O616" i="28"/>
  <c r="P608" i="28"/>
  <c r="Q608" i="28" s="1"/>
  <c r="L604" i="28"/>
  <c r="M604" i="28" s="1"/>
  <c r="N600" i="28"/>
  <c r="R600" i="28" s="1"/>
  <c r="L596" i="28"/>
  <c r="M596" i="28" s="1"/>
  <c r="O592" i="28"/>
  <c r="N575" i="28"/>
  <c r="R575" i="28" s="1"/>
  <c r="N562" i="28"/>
  <c r="R562" i="28" s="1"/>
  <c r="L575" i="28"/>
  <c r="M575" i="28" s="1"/>
  <c r="O639" i="28"/>
  <c r="O588" i="28"/>
  <c r="G652" i="28"/>
  <c r="K652" i="28"/>
  <c r="L622" i="28"/>
  <c r="M622" i="28" s="1"/>
  <c r="O610" i="28"/>
  <c r="N598" i="28"/>
  <c r="R598" i="28" s="1"/>
  <c r="N583" i="28"/>
  <c r="R583" i="28" s="1"/>
  <c r="O577" i="28"/>
  <c r="K573" i="28"/>
  <c r="N569" i="28"/>
  <c r="R569" i="28" s="1"/>
  <c r="L559" i="28"/>
  <c r="M559" i="28" s="1"/>
  <c r="K649" i="28"/>
  <c r="H563" i="28"/>
  <c r="O613" i="28"/>
  <c r="H582" i="28"/>
  <c r="H650" i="28"/>
  <c r="H576" i="28"/>
  <c r="H592" i="28"/>
  <c r="O563" i="28"/>
  <c r="H558" i="28"/>
  <c r="L567" i="28"/>
  <c r="M567" i="28" s="1"/>
  <c r="O649" i="28"/>
  <c r="P561" i="28"/>
  <c r="Q561" i="28" s="1"/>
  <c r="N570" i="28"/>
  <c r="R570" i="28" s="1"/>
  <c r="P644" i="28"/>
  <c r="Q644" i="28" s="1"/>
  <c r="L618" i="28"/>
  <c r="M618" i="28" s="1"/>
  <c r="L602" i="28"/>
  <c r="M602" i="28" s="1"/>
  <c r="L573" i="28"/>
  <c r="M573" i="28" s="1"/>
  <c r="P650" i="28"/>
  <c r="Q650" i="28" s="1"/>
  <c r="P641" i="28"/>
  <c r="Q641" i="28" s="1"/>
  <c r="N616" i="28"/>
  <c r="R616" i="28" s="1"/>
  <c r="O608" i="28"/>
  <c r="P596" i="28"/>
  <c r="Q596" i="28" s="1"/>
  <c r="K575" i="28"/>
  <c r="L571" i="28"/>
  <c r="M571" i="28" s="1"/>
  <c r="K598" i="28"/>
  <c r="L652" i="28"/>
  <c r="M652" i="28" s="1"/>
  <c r="O622" i="28"/>
  <c r="O598" i="28"/>
  <c r="K583" i="28"/>
  <c r="O573" i="28"/>
  <c r="L612" i="28"/>
  <c r="M612" i="28" s="1"/>
  <c r="H608" i="28"/>
  <c r="N651" i="28"/>
  <c r="R651" i="28" s="1"/>
  <c r="O617" i="28"/>
  <c r="N609" i="28"/>
  <c r="R609" i="28" s="1"/>
  <c r="L605" i="28"/>
  <c r="M605" i="28" s="1"/>
  <c r="P597" i="28"/>
  <c r="Q597" i="28" s="1"/>
  <c r="G593" i="28"/>
  <c r="N585" i="28"/>
  <c r="R585" i="28" s="1"/>
  <c r="K576" i="28"/>
  <c r="H580" i="28"/>
  <c r="H644" i="28"/>
  <c r="P566" i="28"/>
  <c r="Q566" i="28" s="1"/>
  <c r="G597" i="28"/>
  <c r="O572" i="28"/>
  <c r="O564" i="28"/>
  <c r="H596" i="28"/>
  <c r="H643" i="28"/>
  <c r="N578" i="28"/>
  <c r="R578" i="28" s="1"/>
  <c r="K568" i="28"/>
  <c r="P575" i="28"/>
  <c r="Q575" i="28" s="1"/>
  <c r="N560" i="28"/>
  <c r="R560" i="28" s="1"/>
  <c r="N584" i="28"/>
  <c r="R584" i="28" s="1"/>
  <c r="O614" i="28"/>
  <c r="G594" i="28"/>
  <c r="L583" i="28"/>
  <c r="M583" i="28" s="1"/>
  <c r="N650" i="28"/>
  <c r="R650" i="28" s="1"/>
  <c r="N641" i="28"/>
  <c r="R641" i="28" s="1"/>
  <c r="L616" i="28"/>
  <c r="M616" i="28" s="1"/>
  <c r="K604" i="28"/>
  <c r="N596" i="28"/>
  <c r="R596" i="28" s="1"/>
  <c r="O571" i="28"/>
  <c r="N604" i="28"/>
  <c r="R604" i="28" s="1"/>
  <c r="G610" i="28"/>
  <c r="P586" i="28"/>
  <c r="O579" i="28"/>
  <c r="N573" i="28"/>
  <c r="R573" i="28" s="1"/>
  <c r="L566" i="28"/>
  <c r="M566" i="28" s="1"/>
  <c r="H566" i="28"/>
  <c r="G581" i="28"/>
  <c r="L647" i="28"/>
  <c r="M647" i="28" s="1"/>
  <c r="P621" i="28"/>
  <c r="Q621" i="28" s="1"/>
  <c r="G617" i="28"/>
  <c r="O609" i="28"/>
  <c r="L601" i="28"/>
  <c r="M601" i="28" s="1"/>
  <c r="O597" i="28"/>
  <c r="N589" i="28"/>
  <c r="R589" i="28" s="1"/>
  <c r="L585" i="28"/>
  <c r="M585" i="28" s="1"/>
  <c r="P572" i="28"/>
  <c r="Q572" i="28" s="1"/>
  <c r="G558" i="28"/>
  <c r="K561" i="28"/>
  <c r="N566" i="28"/>
  <c r="R566" i="28" s="1"/>
  <c r="O618" i="28"/>
  <c r="P647" i="28"/>
  <c r="Q647" i="28" s="1"/>
  <c r="P649" i="28"/>
  <c r="Q649" i="28" s="1"/>
  <c r="L607" i="28"/>
  <c r="M607" i="28" s="1"/>
  <c r="H589" i="28"/>
  <c r="G612" i="28"/>
  <c r="G582" i="28"/>
  <c r="H647" i="28"/>
  <c r="H593" i="28"/>
  <c r="O648" i="28"/>
  <c r="N614" i="28"/>
  <c r="R614" i="28" s="1"/>
  <c r="K566" i="28"/>
  <c r="P646" i="28"/>
  <c r="Q646" i="28" s="1"/>
  <c r="P620" i="28"/>
  <c r="Q620" i="28" s="1"/>
  <c r="L600" i="28"/>
  <c r="M600" i="28" s="1"/>
  <c r="K581" i="28"/>
  <c r="L561" i="28"/>
  <c r="M561" i="28" s="1"/>
  <c r="O636" i="28"/>
  <c r="L610" i="28"/>
  <c r="M610" i="28" s="1"/>
  <c r="N579" i="28"/>
  <c r="R579" i="28" s="1"/>
  <c r="H581" i="28"/>
  <c r="G564" i="28"/>
  <c r="K621" i="28"/>
  <c r="G609" i="28"/>
  <c r="K597" i="28"/>
  <c r="G585" i="28"/>
  <c r="G565" i="28"/>
  <c r="K585" i="28"/>
  <c r="L649" i="28"/>
  <c r="M649" i="28" s="1"/>
  <c r="O645" i="28"/>
  <c r="N638" i="28"/>
  <c r="R638" i="28" s="1"/>
  <c r="H619" i="28"/>
  <c r="L615" i="28"/>
  <c r="M615" i="28" s="1"/>
  <c r="H607" i="28"/>
  <c r="N603" i="28"/>
  <c r="R603" i="28" s="1"/>
  <c r="H595" i="28"/>
  <c r="N591" i="28"/>
  <c r="R591" i="28" s="1"/>
  <c r="L587" i="28"/>
  <c r="M587" i="28" s="1"/>
  <c r="K560" i="28"/>
  <c r="K578" i="28"/>
  <c r="P584" i="28"/>
  <c r="Q584" i="28" s="1"/>
  <c r="L603" i="28"/>
  <c r="M603" i="28" s="1"/>
  <c r="L570" i="28"/>
  <c r="M570" i="28" s="1"/>
  <c r="L584" i="28"/>
  <c r="M584" i="28" s="1"/>
  <c r="P595" i="28"/>
  <c r="Q595" i="28" s="1"/>
  <c r="O619" i="28"/>
  <c r="H610" i="28"/>
  <c r="H652" i="28"/>
  <c r="H586" i="28"/>
  <c r="G640" i="28"/>
  <c r="G619" i="28"/>
  <c r="G603" i="28"/>
  <c r="G587" i="28"/>
  <c r="G580" i="28"/>
  <c r="G560" i="28"/>
  <c r="O587" i="28"/>
  <c r="P577" i="28"/>
  <c r="G600" i="28"/>
  <c r="G568" i="28"/>
  <c r="H575" i="28"/>
  <c r="N644" i="28"/>
  <c r="R644" i="28" s="1"/>
  <c r="O606" i="28"/>
  <c r="O646" i="28"/>
  <c r="O620" i="28"/>
  <c r="K600" i="28"/>
  <c r="N564" i="28"/>
  <c r="R564" i="28" s="1"/>
  <c r="N588" i="28"/>
  <c r="R588" i="28" s="1"/>
  <c r="N652" i="28"/>
  <c r="R652" i="28" s="1"/>
  <c r="G598" i="28"/>
  <c r="K577" i="28"/>
  <c r="O602" i="28"/>
  <c r="H571" i="28"/>
  <c r="O651" i="28"/>
  <c r="N617" i="28"/>
  <c r="R617" i="28" s="1"/>
  <c r="P605" i="28"/>
  <c r="Q605" i="28" s="1"/>
  <c r="L593" i="28"/>
  <c r="M593" i="28" s="1"/>
  <c r="P576" i="28"/>
  <c r="Q576" i="28" s="1"/>
  <c r="O556" i="28"/>
  <c r="L564" i="28"/>
  <c r="M564" i="28" s="1"/>
  <c r="O596" i="28"/>
  <c r="N649" i="28"/>
  <c r="R649" i="28" s="1"/>
  <c r="N640" i="28"/>
  <c r="R640" i="28" s="1"/>
  <c r="O638" i="28"/>
  <c r="H623" i="28"/>
  <c r="K619" i="28"/>
  <c r="H611" i="28"/>
  <c r="N607" i="28"/>
  <c r="R607" i="28" s="1"/>
  <c r="O603" i="28"/>
  <c r="N595" i="28"/>
  <c r="R595" i="28" s="1"/>
  <c r="O591" i="28"/>
  <c r="K563" i="28"/>
  <c r="K570" i="28"/>
  <c r="P578" i="28"/>
  <c r="Q578" i="28" s="1"/>
  <c r="L611" i="28"/>
  <c r="M611" i="28" s="1"/>
  <c r="L574" i="28"/>
  <c r="M574" i="28" s="1"/>
  <c r="K599" i="28"/>
  <c r="G638" i="28"/>
  <c r="G615" i="28"/>
  <c r="G599" i="28"/>
  <c r="G578" i="28"/>
  <c r="H570" i="28"/>
  <c r="N647" i="28"/>
  <c r="R647" i="28" s="1"/>
  <c r="P581" i="28"/>
  <c r="G557" i="28"/>
  <c r="O560" i="28"/>
  <c r="N580" i="28"/>
  <c r="R580" i="28" s="1"/>
  <c r="N567" i="28"/>
  <c r="R567" i="28" s="1"/>
  <c r="G636" i="28"/>
  <c r="N594" i="28"/>
  <c r="R594" i="28" s="1"/>
  <c r="K556" i="28"/>
  <c r="N639" i="28"/>
  <c r="R639" i="28" s="1"/>
  <c r="O612" i="28"/>
  <c r="L592" i="28"/>
  <c r="M592" i="28" s="1"/>
  <c r="N586" i="28"/>
  <c r="R586" i="28" s="1"/>
  <c r="K569" i="28"/>
  <c r="L562" i="28"/>
  <c r="M562" i="28" s="1"/>
  <c r="G646" i="28"/>
  <c r="K647" i="28"/>
  <c r="N613" i="28"/>
  <c r="R613" i="28" s="1"/>
  <c r="K601" i="28"/>
  <c r="O589" i="28"/>
  <c r="G572" i="28"/>
  <c r="P557" i="28"/>
  <c r="Q557" i="28" s="1"/>
  <c r="L565" i="28"/>
  <c r="M565" i="28" s="1"/>
  <c r="L606" i="28"/>
  <c r="M606" i="28" s="1"/>
  <c r="P643" i="28"/>
  <c r="Q643" i="28" s="1"/>
  <c r="L645" i="28"/>
  <c r="M645" i="28" s="1"/>
  <c r="K640" i="28"/>
  <c r="O623" i="28"/>
  <c r="H615" i="28"/>
  <c r="N611" i="28"/>
  <c r="R611" i="28" s="1"/>
  <c r="K607" i="28"/>
  <c r="H599" i="28"/>
  <c r="K595" i="28"/>
  <c r="H587" i="28"/>
  <c r="P563" i="28"/>
  <c r="Q563" i="28" s="1"/>
  <c r="P570" i="28"/>
  <c r="Q570" i="28" s="1"/>
  <c r="K580" i="28"/>
  <c r="P587" i="28"/>
  <c r="Q587" i="28" s="1"/>
  <c r="L619" i="28"/>
  <c r="M619" i="28" s="1"/>
  <c r="L578" i="28"/>
  <c r="M578" i="28" s="1"/>
  <c r="P603" i="28"/>
  <c r="Q603" i="28" s="1"/>
  <c r="L640" i="28"/>
  <c r="M640" i="28" s="1"/>
  <c r="H556" i="28"/>
  <c r="H614" i="28"/>
  <c r="H577" i="28"/>
  <c r="H618" i="28"/>
  <c r="G649" i="28"/>
  <c r="G611" i="28"/>
  <c r="G595" i="28"/>
  <c r="G574" i="28"/>
  <c r="G567" i="28"/>
  <c r="K565" i="28"/>
  <c r="H562" i="28"/>
  <c r="L636" i="28"/>
  <c r="M636" i="28" s="1"/>
  <c r="O590" i="28"/>
  <c r="H579" i="28"/>
  <c r="N608" i="28"/>
  <c r="R608" i="28" s="1"/>
  <c r="P588" i="28"/>
  <c r="Q588" i="28" s="1"/>
  <c r="P622" i="28"/>
  <c r="Q622" i="28" s="1"/>
  <c r="H616" i="28"/>
  <c r="G608" i="28"/>
  <c r="K643" i="28"/>
  <c r="L613" i="28"/>
  <c r="M613" i="28" s="1"/>
  <c r="P601" i="28"/>
  <c r="Q601" i="28" s="1"/>
  <c r="K589" i="28"/>
  <c r="L582" i="28"/>
  <c r="M582" i="28" s="1"/>
  <c r="N565" i="28"/>
  <c r="R565" i="28" s="1"/>
  <c r="P559" i="28"/>
  <c r="Q559" i="28" s="1"/>
  <c r="K609" i="28"/>
  <c r="P651" i="28"/>
  <c r="Q651" i="28" s="1"/>
  <c r="K645" i="28"/>
  <c r="O640" i="28"/>
  <c r="P623" i="28"/>
  <c r="Q623" i="28" s="1"/>
  <c r="N615" i="28"/>
  <c r="R615" i="28" s="1"/>
  <c r="P611" i="28"/>
  <c r="Q611" i="28" s="1"/>
  <c r="H603" i="28"/>
  <c r="N599" i="28"/>
  <c r="R599" i="28" s="1"/>
  <c r="H591" i="28"/>
  <c r="N587" i="28"/>
  <c r="R587" i="28" s="1"/>
  <c r="K567" i="28"/>
  <c r="K574" i="28"/>
  <c r="K584" i="28"/>
  <c r="O595" i="28"/>
  <c r="P638" i="28"/>
  <c r="Q638" i="28" s="1"/>
  <c r="L580" i="28"/>
  <c r="M580" i="28" s="1"/>
  <c r="K591" i="28"/>
  <c r="O611" i="28"/>
  <c r="H648" i="28"/>
  <c r="G556" i="28"/>
  <c r="H598" i="28"/>
  <c r="H602" i="28"/>
  <c r="G645" i="28"/>
  <c r="G623" i="28"/>
  <c r="G607" i="28"/>
  <c r="G591" i="28"/>
  <c r="G584" i="28"/>
  <c r="G570" i="28"/>
  <c r="G563" i="28"/>
  <c r="H414" i="28"/>
  <c r="G553" i="28"/>
  <c r="G519" i="28"/>
  <c r="G501" i="28"/>
  <c r="G482" i="28"/>
  <c r="G481" i="28"/>
  <c r="G465" i="28"/>
  <c r="G458" i="28"/>
  <c r="G439" i="28"/>
  <c r="G548" i="28"/>
  <c r="P435" i="28"/>
  <c r="Q435" i="28" s="1"/>
  <c r="N424" i="28"/>
  <c r="R424" i="28" s="1"/>
  <c r="H527" i="28"/>
  <c r="G546" i="28"/>
  <c r="G524" i="28"/>
  <c r="G508" i="28"/>
  <c r="G494" i="28"/>
  <c r="G488" i="28"/>
  <c r="H469" i="28"/>
  <c r="L440" i="28"/>
  <c r="M440" i="28" s="1"/>
  <c r="L417" i="28"/>
  <c r="M417" i="28" s="1"/>
  <c r="H518" i="28"/>
  <c r="H503" i="28"/>
  <c r="H464" i="28"/>
  <c r="P450" i="28"/>
  <c r="Q450" i="28" s="1"/>
  <c r="P432" i="28"/>
  <c r="P427" i="28"/>
  <c r="P411" i="28"/>
  <c r="H534" i="28"/>
  <c r="H521" i="28"/>
  <c r="G506" i="28"/>
  <c r="H549" i="28"/>
  <c r="G527" i="28"/>
  <c r="G419" i="28"/>
  <c r="G446" i="28"/>
  <c r="H490" i="28"/>
  <c r="H545" i="28"/>
  <c r="H546" i="28"/>
  <c r="G435" i="28"/>
  <c r="L423" i="28"/>
  <c r="M423" i="28" s="1"/>
  <c r="H486" i="28"/>
  <c r="G475" i="28"/>
  <c r="H541" i="28"/>
  <c r="H520" i="28"/>
  <c r="H440" i="28"/>
  <c r="P430" i="28"/>
  <c r="Q430" i="28" s="1"/>
  <c r="P459" i="28"/>
  <c r="Q459" i="28" s="1"/>
  <c r="G434" i="28"/>
  <c r="G549" i="28"/>
  <c r="G536" i="28"/>
  <c r="G515" i="28"/>
  <c r="G497" i="28"/>
  <c r="G487" i="28"/>
  <c r="G507" i="28"/>
  <c r="H451" i="28"/>
  <c r="N420" i="28"/>
  <c r="R420" i="28" s="1"/>
  <c r="G535" i="28"/>
  <c r="N412" i="28"/>
  <c r="R412" i="28" s="1"/>
  <c r="H539" i="28"/>
  <c r="H533" i="28"/>
  <c r="G520" i="28"/>
  <c r="H505" i="28"/>
  <c r="G490" i="28"/>
  <c r="H478" i="28"/>
  <c r="G466" i="28"/>
  <c r="H452" i="28"/>
  <c r="H436" i="28"/>
  <c r="H434" i="28"/>
  <c r="H413" i="28"/>
  <c r="G514" i="28"/>
  <c r="H500" i="28"/>
  <c r="H484" i="28"/>
  <c r="H475" i="28"/>
  <c r="G460" i="28"/>
  <c r="N446" i="28"/>
  <c r="R446" i="28" s="1"/>
  <c r="N423" i="28"/>
  <c r="R423" i="28" s="1"/>
  <c r="H555" i="28"/>
  <c r="H530" i="28"/>
  <c r="H517" i="28"/>
  <c r="H495" i="28"/>
  <c r="H470" i="28"/>
  <c r="G423" i="28"/>
  <c r="G552" i="28"/>
  <c r="H496" i="28"/>
  <c r="G539" i="28"/>
  <c r="G425" i="28"/>
  <c r="H542" i="28"/>
  <c r="H553" i="28"/>
  <c r="G457" i="28"/>
  <c r="G413" i="28"/>
  <c r="H439" i="28"/>
  <c r="G529" i="28"/>
  <c r="G440" i="28"/>
  <c r="P413" i="28"/>
  <c r="P444" i="28"/>
  <c r="Q444" i="28" s="1"/>
  <c r="O448" i="28"/>
  <c r="P415" i="28"/>
  <c r="O424" i="28"/>
  <c r="O440" i="28"/>
  <c r="G511" i="28"/>
  <c r="G476" i="28"/>
  <c r="G447" i="28"/>
  <c r="N416" i="28"/>
  <c r="R416" i="28" s="1"/>
  <c r="H429" i="28"/>
  <c r="G541" i="28"/>
  <c r="H554" i="28"/>
  <c r="H516" i="28"/>
  <c r="H462" i="28"/>
  <c r="L448" i="28"/>
  <c r="M448" i="28" s="1"/>
  <c r="L430" i="28"/>
  <c r="M430" i="28" s="1"/>
  <c r="G496" i="28"/>
  <c r="G471" i="28"/>
  <c r="P457" i="28"/>
  <c r="Q457" i="28" s="1"/>
  <c r="K419" i="28"/>
  <c r="H544" i="28"/>
  <c r="H526" i="28"/>
  <c r="H463" i="28"/>
  <c r="H488" i="28"/>
  <c r="H460" i="28"/>
  <c r="G415" i="28"/>
  <c r="H514" i="28"/>
  <c r="G442" i="28"/>
  <c r="G454" i="28"/>
  <c r="H477" i="28"/>
  <c r="K440" i="28"/>
  <c r="H524" i="28"/>
  <c r="G433" i="28"/>
  <c r="G429" i="28"/>
  <c r="P420" i="28"/>
  <c r="K448" i="28"/>
  <c r="O416" i="28"/>
  <c r="H412" i="28"/>
  <c r="O412" i="28"/>
  <c r="K421" i="28"/>
  <c r="O444" i="28"/>
  <c r="P412" i="28"/>
  <c r="Q412" i="28" s="1"/>
  <c r="H444" i="28"/>
  <c r="H424" i="28"/>
  <c r="G416" i="28"/>
  <c r="K413" i="28"/>
  <c r="O421" i="28"/>
  <c r="K430" i="28"/>
  <c r="P448" i="28"/>
  <c r="Q448" i="28" s="1"/>
  <c r="G555" i="28"/>
  <c r="L555" i="28"/>
  <c r="M555" i="28" s="1"/>
  <c r="O551" i="28"/>
  <c r="G547" i="28"/>
  <c r="L547" i="28"/>
  <c r="M547" i="28" s="1"/>
  <c r="N544" i="28"/>
  <c r="R544" i="28" s="1"/>
  <c r="G540" i="28"/>
  <c r="K540" i="28"/>
  <c r="K538" i="28"/>
  <c r="K534" i="28"/>
  <c r="G530" i="28"/>
  <c r="P530" i="28"/>
  <c r="Q530" i="28" s="1"/>
  <c r="L526" i="28"/>
  <c r="M526" i="28" s="1"/>
  <c r="P525" i="28"/>
  <c r="Q525" i="28" s="1"/>
  <c r="N521" i="28"/>
  <c r="R521" i="28" s="1"/>
  <c r="O521" i="28"/>
  <c r="N517" i="28"/>
  <c r="R517" i="28" s="1"/>
  <c r="O513" i="28"/>
  <c r="P513" i="28"/>
  <c r="Q513" i="28" s="1"/>
  <c r="P509" i="28"/>
  <c r="Q509" i="28" s="1"/>
  <c r="L499" i="28"/>
  <c r="M499" i="28" s="1"/>
  <c r="N499" i="28"/>
  <c r="R499" i="28" s="1"/>
  <c r="L495" i="28"/>
  <c r="M495" i="28" s="1"/>
  <c r="O491" i="28"/>
  <c r="N491" i="28"/>
  <c r="R491" i="28" s="1"/>
  <c r="N489" i="28"/>
  <c r="R489" i="28" s="1"/>
  <c r="P479" i="28"/>
  <c r="N479" i="28"/>
  <c r="R479" i="28" s="1"/>
  <c r="P474" i="28"/>
  <c r="L474" i="28"/>
  <c r="M474" i="28" s="1"/>
  <c r="K470" i="28"/>
  <c r="P467" i="28"/>
  <c r="N467" i="28"/>
  <c r="R467" i="28" s="1"/>
  <c r="L463" i="28"/>
  <c r="M463" i="28" s="1"/>
  <c r="K456" i="28"/>
  <c r="P453" i="28"/>
  <c r="N453" i="28"/>
  <c r="R453" i="28" s="1"/>
  <c r="N449" i="28"/>
  <c r="R449" i="28" s="1"/>
  <c r="G445" i="28"/>
  <c r="N445" i="28"/>
  <c r="R445" i="28" s="1"/>
  <c r="K441" i="28"/>
  <c r="G542" i="28"/>
  <c r="G504" i="28"/>
  <c r="G485" i="28"/>
  <c r="G472" i="28"/>
  <c r="H443" i="28"/>
  <c r="H550" i="28"/>
  <c r="H537" i="28"/>
  <c r="H512" i="28"/>
  <c r="G444" i="28"/>
  <c r="G522" i="28"/>
  <c r="H492" i="28"/>
  <c r="K454" i="28"/>
  <c r="K415" i="28"/>
  <c r="H540" i="28"/>
  <c r="H525" i="28"/>
  <c r="H489" i="28"/>
  <c r="G484" i="28"/>
  <c r="H471" i="28"/>
  <c r="H421" i="28"/>
  <c r="H448" i="28"/>
  <c r="G436" i="28"/>
  <c r="H548" i="28"/>
  <c r="G438" i="28"/>
  <c r="H459" i="28"/>
  <c r="N452" i="28"/>
  <c r="R452" i="28" s="1"/>
  <c r="N421" i="28"/>
  <c r="R421" i="28" s="1"/>
  <c r="O417" i="28"/>
  <c r="L412" i="28"/>
  <c r="M412" i="28" s="1"/>
  <c r="P421" i="28"/>
  <c r="Q421" i="28" s="1"/>
  <c r="P452" i="28"/>
  <c r="Q452" i="28" s="1"/>
  <c r="H458" i="28"/>
  <c r="O413" i="28"/>
  <c r="K425" i="28"/>
  <c r="O430" i="28"/>
  <c r="N448" i="28"/>
  <c r="R448" i="28" s="1"/>
  <c r="K420" i="28"/>
  <c r="H435" i="28"/>
  <c r="H416" i="28"/>
  <c r="P416" i="28"/>
  <c r="L424" i="28"/>
  <c r="M424" i="28" s="1"/>
  <c r="P434" i="28"/>
  <c r="Q434" i="28" s="1"/>
  <c r="O436" i="28"/>
  <c r="O452" i="28"/>
  <c r="P555" i="28"/>
  <c r="Q555" i="28" s="1"/>
  <c r="N555" i="28"/>
  <c r="R555" i="28" s="1"/>
  <c r="K551" i="28"/>
  <c r="N547" i="28"/>
  <c r="R547" i="28" s="1"/>
  <c r="P547" i="28"/>
  <c r="Q547" i="28" s="1"/>
  <c r="P544" i="28"/>
  <c r="Q544" i="28" s="1"/>
  <c r="N540" i="28"/>
  <c r="R540" i="28" s="1"/>
  <c r="O540" i="28"/>
  <c r="O538" i="28"/>
  <c r="P534" i="28"/>
  <c r="Q534" i="28" s="1"/>
  <c r="N530" i="28"/>
  <c r="R530" i="28" s="1"/>
  <c r="L530" i="28"/>
  <c r="M530" i="28" s="1"/>
  <c r="K526" i="28"/>
  <c r="G525" i="28"/>
  <c r="L525" i="28"/>
  <c r="M525" i="28" s="1"/>
  <c r="P521" i="28"/>
  <c r="Q521" i="28" s="1"/>
  <c r="G517" i="28"/>
  <c r="L517" i="28"/>
  <c r="M517" i="28" s="1"/>
  <c r="L513" i="28"/>
  <c r="M513" i="28" s="1"/>
  <c r="G509" i="28"/>
  <c r="N509" i="28"/>
  <c r="R509" i="28" s="1"/>
  <c r="O499" i="28"/>
  <c r="G495" i="28"/>
  <c r="K495" i="28"/>
  <c r="P491" i="28"/>
  <c r="Q491" i="28" s="1"/>
  <c r="G489" i="28"/>
  <c r="K489" i="28"/>
  <c r="K479" i="28"/>
  <c r="K474" i="28"/>
  <c r="G470" i="28"/>
  <c r="P470" i="28"/>
  <c r="Q470" i="28" s="1"/>
  <c r="K467" i="28"/>
  <c r="G463" i="28"/>
  <c r="O463" i="28"/>
  <c r="G456" i="28"/>
  <c r="L456" i="28"/>
  <c r="M456" i="28" s="1"/>
  <c r="K453" i="28"/>
  <c r="G449" i="28"/>
  <c r="L449" i="28"/>
  <c r="M449" i="28" s="1"/>
  <c r="P445" i="28"/>
  <c r="Q445" i="28" s="1"/>
  <c r="O445" i="28"/>
  <c r="N441" i="28"/>
  <c r="R441" i="28" s="1"/>
  <c r="K437" i="28"/>
  <c r="H437" i="28"/>
  <c r="K431" i="28"/>
  <c r="N426" i="28"/>
  <c r="R426" i="28" s="1"/>
  <c r="K422" i="28"/>
  <c r="P418" i="28"/>
  <c r="H418" i="28"/>
  <c r="L414" i="28"/>
  <c r="M414" i="28" s="1"/>
  <c r="G532" i="28"/>
  <c r="G461" i="28"/>
  <c r="H529" i="28"/>
  <c r="L425" i="28"/>
  <c r="M425" i="28" s="1"/>
  <c r="L428" i="28"/>
  <c r="M428" i="28" s="1"/>
  <c r="H538" i="28"/>
  <c r="G428" i="28"/>
  <c r="G510" i="28"/>
  <c r="G492" i="28"/>
  <c r="G424" i="28"/>
  <c r="N411" i="28"/>
  <c r="R411" i="28" s="1"/>
  <c r="H502" i="28"/>
  <c r="G452" i="28"/>
  <c r="N413" i="28"/>
  <c r="R413" i="28" s="1"/>
  <c r="N430" i="28"/>
  <c r="R430" i="28" s="1"/>
  <c r="K416" i="28"/>
  <c r="N434" i="28"/>
  <c r="R434" i="28" s="1"/>
  <c r="K452" i="28"/>
  <c r="H494" i="28"/>
  <c r="O425" i="28"/>
  <c r="K555" i="28"/>
  <c r="N551" i="28"/>
  <c r="R551" i="28" s="1"/>
  <c r="K544" i="28"/>
  <c r="P538" i="28"/>
  <c r="Q538" i="28" s="1"/>
  <c r="G534" i="28"/>
  <c r="O530" i="28"/>
  <c r="N526" i="28"/>
  <c r="R526" i="28" s="1"/>
  <c r="N525" i="28"/>
  <c r="R525" i="28" s="1"/>
  <c r="O517" i="28"/>
  <c r="N513" i="28"/>
  <c r="R513" i="28" s="1"/>
  <c r="L509" i="28"/>
  <c r="M509" i="28" s="1"/>
  <c r="K499" i="28"/>
  <c r="O495" i="28"/>
  <c r="P489" i="28"/>
  <c r="Q489" i="28" s="1"/>
  <c r="N474" i="28"/>
  <c r="R474" i="28" s="1"/>
  <c r="L470" i="28"/>
  <c r="M470" i="28" s="1"/>
  <c r="N463" i="28"/>
  <c r="R463" i="28" s="1"/>
  <c r="P456" i="28"/>
  <c r="Q456" i="28" s="1"/>
  <c r="P449" i="28"/>
  <c r="Q449" i="28" s="1"/>
  <c r="K445" i="28"/>
  <c r="O441" i="28"/>
  <c r="O437" i="28"/>
  <c r="N431" i="28"/>
  <c r="R431" i="28" s="1"/>
  <c r="P426" i="28"/>
  <c r="P422" i="28"/>
  <c r="Q422" i="28" s="1"/>
  <c r="K418" i="28"/>
  <c r="P414" i="28"/>
  <c r="L441" i="28"/>
  <c r="M441" i="28" s="1"/>
  <c r="H453" i="28"/>
  <c r="L554" i="28"/>
  <c r="M554" i="28" s="1"/>
  <c r="G554" i="28"/>
  <c r="N550" i="28"/>
  <c r="R550" i="28" s="1"/>
  <c r="P546" i="28"/>
  <c r="Q546" i="28" s="1"/>
  <c r="K546" i="28"/>
  <c r="N543" i="28"/>
  <c r="R543" i="28" s="1"/>
  <c r="P537" i="28"/>
  <c r="Q537" i="28" s="1"/>
  <c r="O537" i="28"/>
  <c r="L533" i="28"/>
  <c r="M533" i="28" s="1"/>
  <c r="P533" i="28"/>
  <c r="Q533" i="28" s="1"/>
  <c r="L529" i="28"/>
  <c r="M529" i="28" s="1"/>
  <c r="K524" i="28"/>
  <c r="K520" i="28"/>
  <c r="O516" i="28"/>
  <c r="G516" i="28"/>
  <c r="L512" i="28"/>
  <c r="M512" i="28" s="1"/>
  <c r="P508" i="28"/>
  <c r="Q508" i="28" s="1"/>
  <c r="O505" i="28"/>
  <c r="L505" i="28"/>
  <c r="M505" i="28" s="1"/>
  <c r="O502" i="28"/>
  <c r="P498" i="28"/>
  <c r="Q498" i="28" s="1"/>
  <c r="O498" i="28"/>
  <c r="K494" i="28"/>
  <c r="K490" i="28"/>
  <c r="N488" i="28"/>
  <c r="R488" i="28" s="1"/>
  <c r="L488" i="28"/>
  <c r="M488" i="28" s="1"/>
  <c r="G483" i="28"/>
  <c r="O483" i="28"/>
  <c r="O478" i="28"/>
  <c r="K477" i="28"/>
  <c r="G473" i="28"/>
  <c r="P473" i="28"/>
  <c r="O469" i="28"/>
  <c r="P466" i="28"/>
  <c r="P462" i="28"/>
  <c r="O462" i="28"/>
  <c r="N422" i="28"/>
  <c r="R422" i="28" s="1"/>
  <c r="N553" i="28"/>
  <c r="R553" i="28" s="1"/>
  <c r="K549" i="28"/>
  <c r="O545" i="28"/>
  <c r="P545" i="28"/>
  <c r="Q545" i="28" s="1"/>
  <c r="K542" i="28"/>
  <c r="O536" i="28"/>
  <c r="N536" i="28"/>
  <c r="R536" i="28" s="1"/>
  <c r="N532" i="28"/>
  <c r="R532" i="28" s="1"/>
  <c r="H532" i="28"/>
  <c r="O528" i="28"/>
  <c r="G528" i="28"/>
  <c r="H455" i="28"/>
  <c r="H531" i="28"/>
  <c r="H483" i="28"/>
  <c r="G459" i="28"/>
  <c r="G421" i="28"/>
  <c r="G486" i="28"/>
  <c r="G480" i="28"/>
  <c r="G448" i="28"/>
  <c r="N427" i="28"/>
  <c r="R427" i="28" s="1"/>
  <c r="G500" i="28"/>
  <c r="H508" i="28"/>
  <c r="N436" i="28"/>
  <c r="R436" i="28" s="1"/>
  <c r="K417" i="28"/>
  <c r="K434" i="28"/>
  <c r="L459" i="28"/>
  <c r="M459" i="28" s="1"/>
  <c r="H420" i="28"/>
  <c r="N417" i="28"/>
  <c r="R417" i="28" s="1"/>
  <c r="O459" i="28"/>
  <c r="K459" i="28"/>
  <c r="O555" i="28"/>
  <c r="P551" i="28"/>
  <c r="Q551" i="28" s="1"/>
  <c r="O544" i="28"/>
  <c r="N538" i="28"/>
  <c r="R538" i="28" s="1"/>
  <c r="O534" i="28"/>
  <c r="K530" i="28"/>
  <c r="O526" i="28"/>
  <c r="G521" i="28"/>
  <c r="K517" i="28"/>
  <c r="K513" i="28"/>
  <c r="P499" i="28"/>
  <c r="Q499" i="28" s="1"/>
  <c r="G491" i="28"/>
  <c r="G479" i="28"/>
  <c r="O474" i="28"/>
  <c r="G467" i="28"/>
  <c r="P463" i="28"/>
  <c r="Q463" i="28" s="1"/>
  <c r="G453" i="28"/>
  <c r="K449" i="28"/>
  <c r="L445" i="28"/>
  <c r="M445" i="28" s="1"/>
  <c r="G437" i="28"/>
  <c r="N437" i="28"/>
  <c r="R437" i="28" s="1"/>
  <c r="L431" i="28"/>
  <c r="M431" i="28" s="1"/>
  <c r="K426" i="28"/>
  <c r="O422" i="28"/>
  <c r="N418" i="28"/>
  <c r="R418" i="28" s="1"/>
  <c r="K414" i="28"/>
  <c r="H513" i="28"/>
  <c r="H445" i="28"/>
  <c r="O554" i="28"/>
  <c r="G550" i="28"/>
  <c r="O550" i="28"/>
  <c r="L546" i="28"/>
  <c r="M546" i="28" s="1"/>
  <c r="G543" i="28"/>
  <c r="K543" i="28"/>
  <c r="L537" i="28"/>
  <c r="M537" i="28" s="1"/>
  <c r="N533" i="28"/>
  <c r="R533" i="28" s="1"/>
  <c r="G533" i="28"/>
  <c r="N529" i="28"/>
  <c r="R529" i="28" s="1"/>
  <c r="L524" i="28"/>
  <c r="M524" i="28" s="1"/>
  <c r="O524" i="28"/>
  <c r="L520" i="28"/>
  <c r="M520" i="28" s="1"/>
  <c r="K516" i="28"/>
  <c r="G512" i="28"/>
  <c r="N512" i="28"/>
  <c r="R512" i="28" s="1"/>
  <c r="N508" i="28"/>
  <c r="R508" i="28" s="1"/>
  <c r="K505" i="28"/>
  <c r="G505" i="28"/>
  <c r="P502" i="28"/>
  <c r="Q502" i="28" s="1"/>
  <c r="L498" i="28"/>
  <c r="M498" i="28" s="1"/>
  <c r="P494" i="28"/>
  <c r="Q494" i="28" s="1"/>
  <c r="N494" i="28"/>
  <c r="R494" i="28" s="1"/>
  <c r="O490" i="28"/>
  <c r="O488" i="28"/>
  <c r="N483" i="28"/>
  <c r="R483" i="28" s="1"/>
  <c r="L483" i="28"/>
  <c r="M483" i="28" s="1"/>
  <c r="N478" i="28"/>
  <c r="R478" i="28" s="1"/>
  <c r="K478" i="28"/>
  <c r="N477" i="28"/>
  <c r="R477" i="28" s="1"/>
  <c r="N473" i="28"/>
  <c r="R473" i="28" s="1"/>
  <c r="L473" i="28"/>
  <c r="M473" i="28" s="1"/>
  <c r="L469" i="28"/>
  <c r="M469" i="28" s="1"/>
  <c r="L466" i="28"/>
  <c r="M466" i="28" s="1"/>
  <c r="K462" i="28"/>
  <c r="G462" i="28"/>
  <c r="P553" i="28"/>
  <c r="Q553" i="28" s="1"/>
  <c r="P549" i="28"/>
  <c r="Q549" i="28" s="1"/>
  <c r="K545" i="28"/>
  <c r="P542" i="28"/>
  <c r="K536" i="28"/>
  <c r="L532" i="28"/>
  <c r="M532" i="28" s="1"/>
  <c r="L528" i="28"/>
  <c r="M528" i="28" s="1"/>
  <c r="K528" i="28"/>
  <c r="N523" i="28"/>
  <c r="R523" i="28" s="1"/>
  <c r="O523" i="28"/>
  <c r="K519" i="28"/>
  <c r="H519" i="28"/>
  <c r="L515" i="28"/>
  <c r="M515" i="28" s="1"/>
  <c r="K511" i="28"/>
  <c r="H511" i="28"/>
  <c r="O507" i="28"/>
  <c r="K504" i="28"/>
  <c r="H504" i="28"/>
  <c r="P501" i="28"/>
  <c r="Q501" i="28" s="1"/>
  <c r="K497" i="28"/>
  <c r="H497" i="28"/>
  <c r="P493" i="28"/>
  <c r="Q493" i="28" s="1"/>
  <c r="L487" i="28"/>
  <c r="M487" i="28" s="1"/>
  <c r="N485" i="28"/>
  <c r="R485" i="28" s="1"/>
  <c r="O482" i="28"/>
  <c r="N482" i="28"/>
  <c r="R482" i="28" s="1"/>
  <c r="K481" i="28"/>
  <c r="H481" i="28"/>
  <c r="N476" i="28"/>
  <c r="R476" i="28" s="1"/>
  <c r="H476" i="28"/>
  <c r="P472" i="28"/>
  <c r="O468" i="28"/>
  <c r="G468" i="28"/>
  <c r="H433" i="28"/>
  <c r="G477" i="28"/>
  <c r="H510" i="28"/>
  <c r="N442" i="28"/>
  <c r="R442" i="28" s="1"/>
  <c r="H509" i="28"/>
  <c r="H466" i="28"/>
  <c r="H535" i="28"/>
  <c r="H430" i="28"/>
  <c r="P425" i="28"/>
  <c r="Q425" i="28" s="1"/>
  <c r="G430" i="28"/>
  <c r="O547" i="28"/>
  <c r="G544" i="28"/>
  <c r="G526" i="28"/>
  <c r="K521" i="28"/>
  <c r="O509" i="28"/>
  <c r="L491" i="28"/>
  <c r="M491" i="28" s="1"/>
  <c r="L489" i="28"/>
  <c r="M489" i="28" s="1"/>
  <c r="O467" i="28"/>
  <c r="O453" i="28"/>
  <c r="G441" i="28"/>
  <c r="G431" i="28"/>
  <c r="L422" i="28"/>
  <c r="M422" i="28" s="1"/>
  <c r="N414" i="28"/>
  <c r="R414" i="28" s="1"/>
  <c r="H499" i="28"/>
  <c r="P550" i="28"/>
  <c r="Q550" i="28" s="1"/>
  <c r="O546" i="28"/>
  <c r="P543" i="28"/>
  <c r="Q543" i="28" s="1"/>
  <c r="N537" i="28"/>
  <c r="R537" i="28" s="1"/>
  <c r="P529" i="28"/>
  <c r="Q529" i="28" s="1"/>
  <c r="O520" i="28"/>
  <c r="N516" i="28"/>
  <c r="R516" i="28" s="1"/>
  <c r="K512" i="28"/>
  <c r="N505" i="28"/>
  <c r="R505" i="28" s="1"/>
  <c r="N502" i="28"/>
  <c r="R502" i="28" s="1"/>
  <c r="L494" i="28"/>
  <c r="M494" i="28" s="1"/>
  <c r="N490" i="28"/>
  <c r="R490" i="28" s="1"/>
  <c r="P488" i="28"/>
  <c r="Q488" i="28" s="1"/>
  <c r="P483" i="28"/>
  <c r="Q483" i="28" s="1"/>
  <c r="L478" i="28"/>
  <c r="M478" i="28" s="1"/>
  <c r="O477" i="28"/>
  <c r="P469" i="28"/>
  <c r="Q469" i="28" s="1"/>
  <c r="K466" i="28"/>
  <c r="O553" i="28"/>
  <c r="N549" i="28"/>
  <c r="R549" i="28" s="1"/>
  <c r="P536" i="28"/>
  <c r="Q536" i="28" s="1"/>
  <c r="P528" i="28"/>
  <c r="Q528" i="28" s="1"/>
  <c r="L523" i="28"/>
  <c r="M523" i="28" s="1"/>
  <c r="H523" i="28"/>
  <c r="O519" i="28"/>
  <c r="P515" i="28"/>
  <c r="Q515" i="28" s="1"/>
  <c r="L511" i="28"/>
  <c r="M511" i="28" s="1"/>
  <c r="L507" i="28"/>
  <c r="M507" i="28" s="1"/>
  <c r="N504" i="28"/>
  <c r="R504" i="28" s="1"/>
  <c r="K501" i="28"/>
  <c r="O497" i="28"/>
  <c r="O493" i="28"/>
  <c r="G493" i="28"/>
  <c r="N487" i="28"/>
  <c r="R487" i="28" s="1"/>
  <c r="O485" i="28"/>
  <c r="H485" i="28"/>
  <c r="H482" i="28"/>
  <c r="L481" i="28"/>
  <c r="M481" i="28" s="1"/>
  <c r="K476" i="28"/>
  <c r="L472" i="28"/>
  <c r="M472" i="28" s="1"/>
  <c r="P468" i="28"/>
  <c r="P465" i="28"/>
  <c r="H465" i="28"/>
  <c r="O461" i="28"/>
  <c r="N458" i="28"/>
  <c r="R458" i="28" s="1"/>
  <c r="L455" i="28"/>
  <c r="M455" i="28" s="1"/>
  <c r="N455" i="28"/>
  <c r="R455" i="28" s="1"/>
  <c r="K451" i="28"/>
  <c r="L447" i="28"/>
  <c r="M447" i="28" s="1"/>
  <c r="N443" i="28"/>
  <c r="R443" i="28" s="1"/>
  <c r="N439" i="28"/>
  <c r="R439" i="28" s="1"/>
  <c r="N435" i="28"/>
  <c r="R435" i="28" s="1"/>
  <c r="O433" i="28"/>
  <c r="L429" i="28"/>
  <c r="M429" i="28" s="1"/>
  <c r="P443" i="28"/>
  <c r="Q443" i="28" s="1"/>
  <c r="H479" i="28"/>
  <c r="H422" i="28"/>
  <c r="K552" i="28"/>
  <c r="L548" i="28"/>
  <c r="M548" i="28" s="1"/>
  <c r="N541" i="28"/>
  <c r="R541" i="28" s="1"/>
  <c r="K539" i="28"/>
  <c r="L535" i="28"/>
  <c r="M535" i="28" s="1"/>
  <c r="N531" i="28"/>
  <c r="R531" i="28" s="1"/>
  <c r="P527" i="28"/>
  <c r="K522" i="28"/>
  <c r="N518" i="28"/>
  <c r="R518" i="28" s="1"/>
  <c r="O514" i="28"/>
  <c r="P514" i="28"/>
  <c r="Q514" i="28" s="1"/>
  <c r="N510" i="28"/>
  <c r="R510" i="28" s="1"/>
  <c r="L506" i="28"/>
  <c r="M506" i="28" s="1"/>
  <c r="P503" i="28"/>
  <c r="Q503" i="28" s="1"/>
  <c r="K500" i="28"/>
  <c r="L496" i="28"/>
  <c r="M496" i="28" s="1"/>
  <c r="P492" i="28"/>
  <c r="Q492" i="28" s="1"/>
  <c r="K486" i="28"/>
  <c r="L484" i="28"/>
  <c r="M484" i="28" s="1"/>
  <c r="O475" i="28"/>
  <c r="O471" i="28"/>
  <c r="N464" i="28"/>
  <c r="R464" i="28" s="1"/>
  <c r="O457" i="28"/>
  <c r="P454" i="28"/>
  <c r="Q454" i="28" s="1"/>
  <c r="N450" i="28"/>
  <c r="R450" i="28" s="1"/>
  <c r="L446" i="28"/>
  <c r="M446" i="28" s="1"/>
  <c r="H438" i="28"/>
  <c r="H423" i="28"/>
  <c r="H415" i="28"/>
  <c r="L411" i="28"/>
  <c r="M411" i="28" s="1"/>
  <c r="K424" i="28"/>
  <c r="L432" i="28"/>
  <c r="M432" i="28" s="1"/>
  <c r="K480" i="28"/>
  <c r="L442" i="28"/>
  <c r="M442" i="28" s="1"/>
  <c r="L500" i="28"/>
  <c r="M500" i="28" s="1"/>
  <c r="K411" i="28"/>
  <c r="N419" i="28"/>
  <c r="R419" i="28" s="1"/>
  <c r="K427" i="28"/>
  <c r="N428" i="28"/>
  <c r="R428" i="28" s="1"/>
  <c r="L438" i="28"/>
  <c r="M438" i="28" s="1"/>
  <c r="O496" i="28"/>
  <c r="L436" i="28"/>
  <c r="M436" i="28" s="1"/>
  <c r="N459" i="28"/>
  <c r="R459" i="28" s="1"/>
  <c r="H456" i="28"/>
  <c r="G450" i="28"/>
  <c r="G411" i="28"/>
  <c r="H552" i="28"/>
  <c r="H551" i="28"/>
  <c r="H417" i="28"/>
  <c r="L419" i="28"/>
  <c r="M419" i="28" s="1"/>
  <c r="G420" i="28"/>
  <c r="K436" i="28"/>
  <c r="P417" i="28"/>
  <c r="Q417" i="28" s="1"/>
  <c r="L540" i="28"/>
  <c r="M540" i="28" s="1"/>
  <c r="O525" i="28"/>
  <c r="N495" i="28"/>
  <c r="R495" i="28" s="1"/>
  <c r="L479" i="28"/>
  <c r="M479" i="28" s="1"/>
  <c r="N470" i="28"/>
  <c r="R470" i="28" s="1"/>
  <c r="O449" i="28"/>
  <c r="O418" i="28"/>
  <c r="H474" i="28"/>
  <c r="K550" i="28"/>
  <c r="P520" i="28"/>
  <c r="Q520" i="28" s="1"/>
  <c r="N498" i="28"/>
  <c r="R498" i="28" s="1"/>
  <c r="G478" i="28"/>
  <c r="N469" i="28"/>
  <c r="R469" i="28" s="1"/>
  <c r="L545" i="28"/>
  <c r="M545" i="28" s="1"/>
  <c r="L542" i="28"/>
  <c r="M542" i="28" s="1"/>
  <c r="H528" i="28"/>
  <c r="K523" i="28"/>
  <c r="O515" i="28"/>
  <c r="N507" i="28"/>
  <c r="R507" i="28" s="1"/>
  <c r="H507" i="28"/>
  <c r="L504" i="28"/>
  <c r="M504" i="28" s="1"/>
  <c r="L501" i="28"/>
  <c r="M501" i="28" s="1"/>
  <c r="L497" i="28"/>
  <c r="M497" i="28" s="1"/>
  <c r="K487" i="28"/>
  <c r="L485" i="28"/>
  <c r="M485" i="28" s="1"/>
  <c r="L482" i="28"/>
  <c r="M482" i="28" s="1"/>
  <c r="N481" i="28"/>
  <c r="R481" i="28" s="1"/>
  <c r="N472" i="28"/>
  <c r="R472" i="28" s="1"/>
  <c r="L468" i="28"/>
  <c r="M468" i="28" s="1"/>
  <c r="H468" i="28"/>
  <c r="P461" i="28"/>
  <c r="L458" i="28"/>
  <c r="M458" i="28" s="1"/>
  <c r="K455" i="28"/>
  <c r="P451" i="28"/>
  <c r="Q451" i="28" s="1"/>
  <c r="O435" i="28"/>
  <c r="N433" i="28"/>
  <c r="R433" i="28" s="1"/>
  <c r="P433" i="28"/>
  <c r="N552" i="28"/>
  <c r="R552" i="28" s="1"/>
  <c r="N539" i="28"/>
  <c r="R539" i="28" s="1"/>
  <c r="O535" i="28"/>
  <c r="P531" i="28"/>
  <c r="Q531" i="28" s="1"/>
  <c r="O527" i="28"/>
  <c r="L522" i="28"/>
  <c r="M522" i="28" s="1"/>
  <c r="K518" i="28"/>
  <c r="O510" i="28"/>
  <c r="G503" i="28"/>
  <c r="P500" i="28"/>
  <c r="Q500" i="28" s="1"/>
  <c r="O486" i="28"/>
  <c r="K484" i="28"/>
  <c r="L480" i="28"/>
  <c r="M480" i="28" s="1"/>
  <c r="L464" i="28"/>
  <c r="M464" i="28" s="1"/>
  <c r="H457" i="28"/>
  <c r="H450" i="28"/>
  <c r="H543" i="28"/>
  <c r="H473" i="28"/>
  <c r="H506" i="28"/>
  <c r="K438" i="28"/>
  <c r="G412" i="28"/>
  <c r="H522" i="28"/>
  <c r="H425" i="28"/>
  <c r="K547" i="28"/>
  <c r="L544" i="28"/>
  <c r="M544" i="28" s="1"/>
  <c r="P526" i="28"/>
  <c r="L521" i="28"/>
  <c r="M521" i="28" s="1"/>
  <c r="K509" i="28"/>
  <c r="G499" i="28"/>
  <c r="K491" i="28"/>
  <c r="O489" i="28"/>
  <c r="G474" i="28"/>
  <c r="L467" i="28"/>
  <c r="M467" i="28" s="1"/>
  <c r="L453" i="28"/>
  <c r="M453" i="28" s="1"/>
  <c r="P441" i="28"/>
  <c r="Q441" i="28" s="1"/>
  <c r="P431" i="28"/>
  <c r="Q431" i="28" s="1"/>
  <c r="G426" i="28"/>
  <c r="G418" i="28"/>
  <c r="P554" i="28"/>
  <c r="Q554" i="28" s="1"/>
  <c r="L550" i="28"/>
  <c r="M550" i="28" s="1"/>
  <c r="N546" i="28"/>
  <c r="R546" i="28" s="1"/>
  <c r="L543" i="28"/>
  <c r="M543" i="28" s="1"/>
  <c r="K537" i="28"/>
  <c r="O529" i="28"/>
  <c r="N520" i="28"/>
  <c r="R520" i="28" s="1"/>
  <c r="P516" i="28"/>
  <c r="Q516" i="28" s="1"/>
  <c r="L508" i="28"/>
  <c r="M508" i="28" s="1"/>
  <c r="P505" i="28"/>
  <c r="Q505" i="28" s="1"/>
  <c r="G498" i="28"/>
  <c r="O494" i="28"/>
  <c r="K488" i="28"/>
  <c r="K483" i="28"/>
  <c r="P478" i="28"/>
  <c r="Q478" i="28" s="1"/>
  <c r="L477" i="28"/>
  <c r="M477" i="28" s="1"/>
  <c r="K469" i="28"/>
  <c r="O466" i="28"/>
  <c r="O414" i="28"/>
  <c r="K553" i="28"/>
  <c r="L549" i="28"/>
  <c r="M549" i="28" s="1"/>
  <c r="O542" i="28"/>
  <c r="L536" i="28"/>
  <c r="M536" i="28" s="1"/>
  <c r="O532" i="28"/>
  <c r="N528" i="28"/>
  <c r="R528" i="28" s="1"/>
  <c r="P523" i="28"/>
  <c r="Q523" i="28" s="1"/>
  <c r="P519" i="28"/>
  <c r="Q519" i="28" s="1"/>
  <c r="N515" i="28"/>
  <c r="R515" i="28" s="1"/>
  <c r="H515" i="28"/>
  <c r="N511" i="28"/>
  <c r="R511" i="28" s="1"/>
  <c r="K507" i="28"/>
  <c r="O504" i="28"/>
  <c r="O501" i="28"/>
  <c r="P497" i="28"/>
  <c r="Q497" i="28" s="1"/>
  <c r="K493" i="28"/>
  <c r="H493" i="28"/>
  <c r="P487" i="28"/>
  <c r="K485" i="28"/>
  <c r="P482" i="28"/>
  <c r="Q482" i="28" s="1"/>
  <c r="O481" i="28"/>
  <c r="L476" i="28"/>
  <c r="M476" i="28" s="1"/>
  <c r="O472" i="28"/>
  <c r="H472" i="28"/>
  <c r="N468" i="28"/>
  <c r="R468" i="28" s="1"/>
  <c r="L465" i="28"/>
  <c r="M465" i="28" s="1"/>
  <c r="L461" i="28"/>
  <c r="M461" i="28" s="1"/>
  <c r="K461" i="28"/>
  <c r="K458" i="28"/>
  <c r="O455" i="28"/>
  <c r="G455" i="28"/>
  <c r="L451" i="28"/>
  <c r="M451" i="28" s="1"/>
  <c r="P447" i="28"/>
  <c r="Q447" i="28" s="1"/>
  <c r="K443" i="28"/>
  <c r="L439" i="28"/>
  <c r="M439" i="28" s="1"/>
  <c r="K435" i="28"/>
  <c r="L433" i="28"/>
  <c r="M433" i="28" s="1"/>
  <c r="K429" i="28"/>
  <c r="H491" i="28"/>
  <c r="H467" i="28"/>
  <c r="G451" i="28"/>
  <c r="L418" i="28"/>
  <c r="M418" i="28" s="1"/>
  <c r="K439" i="28"/>
  <c r="O552" i="28"/>
  <c r="O548" i="28"/>
  <c r="L541" i="28"/>
  <c r="M541" i="28" s="1"/>
  <c r="L539" i="28"/>
  <c r="M539" i="28" s="1"/>
  <c r="K535" i="28"/>
  <c r="G531" i="28"/>
  <c r="O531" i="28"/>
  <c r="L527" i="28"/>
  <c r="M527" i="28" s="1"/>
  <c r="O522" i="28"/>
  <c r="N522" i="28"/>
  <c r="R522" i="28" s="1"/>
  <c r="P518" i="28"/>
  <c r="Q518" i="28" s="1"/>
  <c r="N514" i="28"/>
  <c r="R514" i="28" s="1"/>
  <c r="L510" i="28"/>
  <c r="M510" i="28" s="1"/>
  <c r="P510" i="28"/>
  <c r="Q510" i="28" s="1"/>
  <c r="N506" i="28"/>
  <c r="R506" i="28" s="1"/>
  <c r="N503" i="28"/>
  <c r="R503" i="28" s="1"/>
  <c r="N500" i="28"/>
  <c r="R500" i="28" s="1"/>
  <c r="P496" i="28"/>
  <c r="Q496" i="28" s="1"/>
  <c r="L492" i="28"/>
  <c r="M492" i="28" s="1"/>
  <c r="N486" i="28"/>
  <c r="R486" i="28" s="1"/>
  <c r="P484" i="28"/>
  <c r="Q484" i="28" s="1"/>
  <c r="O480" i="28"/>
  <c r="N475" i="28"/>
  <c r="R475" i="28" s="1"/>
  <c r="K471" i="28"/>
  <c r="G464" i="28"/>
  <c r="O460" i="28"/>
  <c r="K457" i="28"/>
  <c r="L454" i="28"/>
  <c r="M454" i="28" s="1"/>
  <c r="K450" i="28"/>
  <c r="H442" i="28"/>
  <c r="O438" i="28"/>
  <c r="O423" i="28"/>
  <c r="O415" i="28"/>
  <c r="N415" i="28"/>
  <c r="R415" i="28" s="1"/>
  <c r="L427" i="28"/>
  <c r="M427" i="28" s="1"/>
  <c r="P428" i="28"/>
  <c r="N471" i="28"/>
  <c r="R471" i="28" s="1"/>
  <c r="O541" i="28"/>
  <c r="N432" i="28"/>
  <c r="R432" i="28" s="1"/>
  <c r="K446" i="28"/>
  <c r="N480" i="28"/>
  <c r="R480" i="28" s="1"/>
  <c r="K506" i="28"/>
  <c r="K412" i="28"/>
  <c r="O420" i="28"/>
  <c r="P442" i="28"/>
  <c r="Q442" i="28" s="1"/>
  <c r="N484" i="28"/>
  <c r="R484" i="28" s="1"/>
  <c r="L444" i="28"/>
  <c r="M444" i="28" s="1"/>
  <c r="H441" i="28"/>
  <c r="G502" i="28"/>
  <c r="H426" i="28"/>
  <c r="H447" i="28"/>
  <c r="O434" i="28"/>
  <c r="P436" i="28"/>
  <c r="Q436" i="28" s="1"/>
  <c r="N440" i="28"/>
  <c r="R440" i="28" s="1"/>
  <c r="G551" i="28"/>
  <c r="G538" i="28"/>
  <c r="L534" i="28"/>
  <c r="M534" i="28" s="1"/>
  <c r="P517" i="28"/>
  <c r="Q517" i="28" s="1"/>
  <c r="K463" i="28"/>
  <c r="N456" i="28"/>
  <c r="R456" i="28" s="1"/>
  <c r="P437" i="28"/>
  <c r="Q437" i="28" s="1"/>
  <c r="H431" i="28"/>
  <c r="L426" i="28"/>
  <c r="M426" i="28" s="1"/>
  <c r="O431" i="28"/>
  <c r="K554" i="28"/>
  <c r="O543" i="28"/>
  <c r="O533" i="28"/>
  <c r="K529" i="28"/>
  <c r="N524" i="28"/>
  <c r="R524" i="28" s="1"/>
  <c r="O512" i="28"/>
  <c r="O508" i="28"/>
  <c r="L502" i="28"/>
  <c r="M502" i="28" s="1"/>
  <c r="P490" i="28"/>
  <c r="Q490" i="28" s="1"/>
  <c r="O473" i="28"/>
  <c r="N462" i="28"/>
  <c r="R462" i="28" s="1"/>
  <c r="L553" i="28"/>
  <c r="M553" i="28" s="1"/>
  <c r="K532" i="28"/>
  <c r="N519" i="28"/>
  <c r="R519" i="28" s="1"/>
  <c r="P511" i="28"/>
  <c r="Q511" i="28" s="1"/>
  <c r="L493" i="28"/>
  <c r="M493" i="28" s="1"/>
  <c r="P476" i="28"/>
  <c r="Q476" i="28" s="1"/>
  <c r="N465" i="28"/>
  <c r="R465" i="28" s="1"/>
  <c r="H461" i="28"/>
  <c r="N451" i="28"/>
  <c r="R451" i="28" s="1"/>
  <c r="O447" i="28"/>
  <c r="O443" i="28"/>
  <c r="P439" i="28"/>
  <c r="Q439" i="28" s="1"/>
  <c r="N429" i="28"/>
  <c r="R429" i="28" s="1"/>
  <c r="G443" i="28"/>
  <c r="O429" i="28"/>
  <c r="L552" i="28"/>
  <c r="M552" i="28" s="1"/>
  <c r="K548" i="28"/>
  <c r="P541" i="28"/>
  <c r="O539" i="28"/>
  <c r="L531" i="28"/>
  <c r="M531" i="28" s="1"/>
  <c r="G518" i="28"/>
  <c r="K514" i="28"/>
  <c r="O506" i="28"/>
  <c r="O503" i="28"/>
  <c r="K496" i="28"/>
  <c r="K492" i="28"/>
  <c r="K475" i="28"/>
  <c r="K460" i="28"/>
  <c r="H454" i="28"/>
  <c r="H446" i="28"/>
  <c r="O442" i="28"/>
  <c r="G545" i="28"/>
  <c r="H480" i="28"/>
  <c r="G469" i="28"/>
  <c r="N444" i="28"/>
  <c r="R444" i="28" s="1"/>
  <c r="L420" i="28"/>
  <c r="M420" i="28" s="1"/>
  <c r="P540" i="28"/>
  <c r="Q540" i="28" s="1"/>
  <c r="G513" i="28"/>
  <c r="O470" i="28"/>
  <c r="H449" i="28"/>
  <c r="G537" i="28"/>
  <c r="P524" i="28"/>
  <c r="Q524" i="28" s="1"/>
  <c r="K502" i="28"/>
  <c r="K473" i="28"/>
  <c r="O549" i="28"/>
  <c r="K515" i="28"/>
  <c r="N501" i="28"/>
  <c r="R501" i="28" s="1"/>
  <c r="H487" i="28"/>
  <c r="K472" i="28"/>
  <c r="N461" i="28"/>
  <c r="R461" i="28" s="1"/>
  <c r="P458" i="28"/>
  <c r="Q458" i="28" s="1"/>
  <c r="K447" i="28"/>
  <c r="P429" i="28"/>
  <c r="Q429" i="28" s="1"/>
  <c r="P552" i="28"/>
  <c r="Q552" i="28" s="1"/>
  <c r="L514" i="28"/>
  <c r="M514" i="28" s="1"/>
  <c r="O500" i="28"/>
  <c r="L486" i="28"/>
  <c r="M486" i="28" s="1"/>
  <c r="P480" i="28"/>
  <c r="P464" i="28"/>
  <c r="Q464" i="28" s="1"/>
  <c r="O446" i="28"/>
  <c r="H419" i="28"/>
  <c r="N438" i="28"/>
  <c r="R438" i="28" s="1"/>
  <c r="L475" i="28"/>
  <c r="M475" i="28" s="1"/>
  <c r="L450" i="28"/>
  <c r="M450" i="28" s="1"/>
  <c r="L415" i="28"/>
  <c r="M415" i="28" s="1"/>
  <c r="L413" i="28"/>
  <c r="M413" i="28" s="1"/>
  <c r="H547" i="28"/>
  <c r="L538" i="28"/>
  <c r="M538" i="28" s="1"/>
  <c r="L437" i="28"/>
  <c r="M437" i="28" s="1"/>
  <c r="L516" i="28"/>
  <c r="M516" i="28" s="1"/>
  <c r="G417" i="28"/>
  <c r="K525" i="28"/>
  <c r="O479" i="28"/>
  <c r="O456" i="28"/>
  <c r="G414" i="28"/>
  <c r="K508" i="28"/>
  <c r="P477" i="28"/>
  <c r="Q477" i="28" s="1"/>
  <c r="N542" i="28"/>
  <c r="R542" i="28" s="1"/>
  <c r="P532" i="28"/>
  <c r="Q532" i="28" s="1"/>
  <c r="L519" i="28"/>
  <c r="M519" i="28" s="1"/>
  <c r="P504" i="28"/>
  <c r="Q504" i="28" s="1"/>
  <c r="N493" i="28"/>
  <c r="R493" i="28" s="1"/>
  <c r="O487" i="28"/>
  <c r="K482" i="28"/>
  <c r="O476" i="28"/>
  <c r="K465" i="28"/>
  <c r="O458" i="28"/>
  <c r="N447" i="28"/>
  <c r="R447" i="28" s="1"/>
  <c r="L435" i="28"/>
  <c r="M435" i="28" s="1"/>
  <c r="K433" i="28"/>
  <c r="P535" i="28"/>
  <c r="Q535" i="28" s="1"/>
  <c r="K527" i="28"/>
  <c r="O518" i="28"/>
  <c r="L503" i="28"/>
  <c r="M503" i="28" s="1"/>
  <c r="P486" i="28"/>
  <c r="Q486" i="28" s="1"/>
  <c r="O450" i="28"/>
  <c r="O432" i="28"/>
  <c r="O427" i="28"/>
  <c r="O411" i="28"/>
  <c r="O464" i="28"/>
  <c r="K428" i="28"/>
  <c r="P438" i="28"/>
  <c r="Q438" i="28" s="1"/>
  <c r="P475" i="28"/>
  <c r="Q475" i="28" s="1"/>
  <c r="P424" i="28"/>
  <c r="Q424" i="28" s="1"/>
  <c r="N454" i="28"/>
  <c r="R454" i="28" s="1"/>
  <c r="O492" i="28"/>
  <c r="G427" i="28"/>
  <c r="H428" i="28"/>
  <c r="P419" i="28"/>
  <c r="Q419" i="28" s="1"/>
  <c r="L460" i="28"/>
  <c r="M460" i="28" s="1"/>
  <c r="L452" i="28"/>
  <c r="M452" i="28" s="1"/>
  <c r="N425" i="28"/>
  <c r="R425" i="28" s="1"/>
  <c r="K444" i="28"/>
  <c r="K498" i="28"/>
  <c r="H498" i="28"/>
  <c r="L551" i="28"/>
  <c r="M551" i="28" s="1"/>
  <c r="L462" i="28"/>
  <c r="M462" i="28" s="1"/>
  <c r="P507" i="28"/>
  <c r="Q507" i="28" s="1"/>
  <c r="O465" i="28"/>
  <c r="O439" i="28"/>
  <c r="O426" i="28"/>
  <c r="L518" i="28"/>
  <c r="M518" i="28" s="1"/>
  <c r="O484" i="28"/>
  <c r="H432" i="28"/>
  <c r="Q432" i="28" s="1"/>
  <c r="P423" i="28"/>
  <c r="Q423" i="28" s="1"/>
  <c r="G432" i="28"/>
  <c r="K533" i="28"/>
  <c r="N545" i="28"/>
  <c r="R545" i="28" s="1"/>
  <c r="H501" i="28"/>
  <c r="P481" i="28"/>
  <c r="Q481" i="28" s="1"/>
  <c r="K531" i="28"/>
  <c r="N460" i="28"/>
  <c r="R460" i="28" s="1"/>
  <c r="O428" i="28"/>
  <c r="N457" i="28"/>
  <c r="R457" i="28" s="1"/>
  <c r="G422" i="28"/>
  <c r="P512" i="28"/>
  <c r="Q512" i="28" s="1"/>
  <c r="G523" i="28"/>
  <c r="P485" i="28"/>
  <c r="Q485" i="28" s="1"/>
  <c r="O451" i="28"/>
  <c r="H427" i="28"/>
  <c r="Q427" i="28" s="1"/>
  <c r="P460" i="28"/>
  <c r="Q460" i="28" s="1"/>
  <c r="P440" i="28"/>
  <c r="Q440" i="28" s="1"/>
  <c r="N554" i="28"/>
  <c r="R554" i="28" s="1"/>
  <c r="L490" i="28"/>
  <c r="M490" i="28" s="1"/>
  <c r="N466" i="28"/>
  <c r="R466" i="28" s="1"/>
  <c r="O511" i="28"/>
  <c r="K468" i="28"/>
  <c r="L443" i="28"/>
  <c r="M443" i="28" s="1"/>
  <c r="N548" i="28"/>
  <c r="R548" i="28" s="1"/>
  <c r="P539" i="28"/>
  <c r="Q539" i="28" s="1"/>
  <c r="P522" i="28"/>
  <c r="Q522" i="28" s="1"/>
  <c r="N496" i="28"/>
  <c r="R496" i="28" s="1"/>
  <c r="L457" i="28"/>
  <c r="M457" i="28" s="1"/>
  <c r="O419" i="28"/>
  <c r="L416" i="28"/>
  <c r="M416" i="28" s="1"/>
  <c r="L421" i="28"/>
  <c r="M421" i="28" s="1"/>
  <c r="N535" i="28"/>
  <c r="R535" i="28" s="1"/>
  <c r="N492" i="28"/>
  <c r="R492" i="28" s="1"/>
  <c r="L471" i="28"/>
  <c r="M471" i="28" s="1"/>
  <c r="O454" i="28"/>
  <c r="H411" i="28"/>
  <c r="K503" i="28"/>
  <c r="P446" i="28"/>
  <c r="Q446" i="28" s="1"/>
  <c r="L434" i="28"/>
  <c r="M434" i="28" s="1"/>
  <c r="H536" i="28"/>
  <c r="N534" i="28"/>
  <c r="R534" i="28" s="1"/>
  <c r="P455" i="28"/>
  <c r="Q455" i="28" s="1"/>
  <c r="K510" i="28"/>
  <c r="K442" i="28"/>
  <c r="K423" i="28"/>
  <c r="P548" i="28"/>
  <c r="Q548" i="28" s="1"/>
  <c r="K464" i="28"/>
  <c r="P495" i="28"/>
  <c r="Q495" i="28" s="1"/>
  <c r="N497" i="28"/>
  <c r="R497" i="28" s="1"/>
  <c r="K541" i="28"/>
  <c r="N527" i="28"/>
  <c r="R527" i="28" s="1"/>
  <c r="P506" i="28"/>
  <c r="Q506" i="28" s="1"/>
  <c r="P471" i="28"/>
  <c r="Q471" i="28" s="1"/>
  <c r="K432" i="28"/>
  <c r="G390" i="28"/>
  <c r="G402" i="28"/>
  <c r="G407" i="28"/>
  <c r="G386" i="28"/>
  <c r="G389" i="28"/>
  <c r="G393" i="28"/>
  <c r="G396" i="28"/>
  <c r="G400" i="28"/>
  <c r="G404" i="28"/>
  <c r="G406" i="28"/>
  <c r="G410" i="28"/>
  <c r="H393" i="28"/>
  <c r="H410" i="28"/>
  <c r="H389" i="28"/>
  <c r="H406" i="28"/>
  <c r="G391" i="28"/>
  <c r="G398" i="28"/>
  <c r="H386" i="28"/>
  <c r="H387" i="28"/>
  <c r="H394" i="28"/>
  <c r="H402" i="28"/>
  <c r="H390" i="28"/>
  <c r="H407" i="28"/>
  <c r="H396" i="28"/>
  <c r="H400" i="28"/>
  <c r="G403" i="28"/>
  <c r="G408" i="28"/>
  <c r="H404" i="28"/>
  <c r="H408" i="28"/>
  <c r="P394" i="28"/>
  <c r="Q394" i="28" s="1"/>
  <c r="H401" i="28"/>
  <c r="G405" i="28"/>
  <c r="P391" i="28"/>
  <c r="G394" i="28"/>
  <c r="G409" i="28"/>
  <c r="G392" i="28"/>
  <c r="H399" i="28"/>
  <c r="P387" i="28"/>
  <c r="H397" i="28"/>
  <c r="G399" i="28"/>
  <c r="G388" i="28"/>
  <c r="N396" i="28"/>
  <c r="R396" i="28" s="1"/>
  <c r="P386" i="28"/>
  <c r="Q386" i="28" s="1"/>
  <c r="K386" i="28"/>
  <c r="H398" i="28"/>
  <c r="H395" i="28"/>
  <c r="H409" i="28"/>
  <c r="H392" i="28"/>
  <c r="G397" i="28"/>
  <c r="K398" i="28"/>
  <c r="G387" i="28"/>
  <c r="N393" i="28"/>
  <c r="R393" i="28" s="1"/>
  <c r="O386" i="28"/>
  <c r="N409" i="28"/>
  <c r="R409" i="28" s="1"/>
  <c r="P407" i="28"/>
  <c r="Q407" i="28" s="1"/>
  <c r="L405" i="28"/>
  <c r="M405" i="28" s="1"/>
  <c r="K402" i="28"/>
  <c r="G401" i="28"/>
  <c r="H391" i="28"/>
  <c r="H405" i="28"/>
  <c r="G395" i="28"/>
  <c r="N389" i="28"/>
  <c r="R389" i="28" s="1"/>
  <c r="P409" i="28"/>
  <c r="Q409" i="28" s="1"/>
  <c r="N407" i="28"/>
  <c r="R407" i="28" s="1"/>
  <c r="N405" i="28"/>
  <c r="R405" i="28" s="1"/>
  <c r="O402" i="28"/>
  <c r="O401" i="28"/>
  <c r="P399" i="28"/>
  <c r="Q399" i="28" s="1"/>
  <c r="L399" i="28"/>
  <c r="M399" i="28" s="1"/>
  <c r="K397" i="28"/>
  <c r="K395" i="28"/>
  <c r="P392" i="28"/>
  <c r="Q392" i="28" s="1"/>
  <c r="N390" i="28"/>
  <c r="R390" i="28" s="1"/>
  <c r="K388" i="28"/>
  <c r="K387" i="28"/>
  <c r="L390" i="28"/>
  <c r="M390" i="28" s="1"/>
  <c r="K394" i="28"/>
  <c r="K410" i="28"/>
  <c r="N408" i="28"/>
  <c r="R408" i="28" s="1"/>
  <c r="P406" i="28"/>
  <c r="Q406" i="28" s="1"/>
  <c r="L406" i="28"/>
  <c r="M406" i="28" s="1"/>
  <c r="K404" i="28"/>
  <c r="K409" i="28"/>
  <c r="K407" i="28"/>
  <c r="K405" i="28"/>
  <c r="L402" i="28"/>
  <c r="M402" i="28" s="1"/>
  <c r="K401" i="28"/>
  <c r="N399" i="28"/>
  <c r="R399" i="28" s="1"/>
  <c r="N392" i="28"/>
  <c r="R392" i="28" s="1"/>
  <c r="K390" i="28"/>
  <c r="H388" i="28"/>
  <c r="L409" i="28"/>
  <c r="M409" i="28" s="1"/>
  <c r="L407" i="28"/>
  <c r="M407" i="28" s="1"/>
  <c r="P405" i="28"/>
  <c r="N402" i="28"/>
  <c r="R402" i="28" s="1"/>
  <c r="N401" i="28"/>
  <c r="R401" i="28" s="1"/>
  <c r="O399" i="28"/>
  <c r="N397" i="28"/>
  <c r="R397" i="28" s="1"/>
  <c r="N395" i="28"/>
  <c r="R395" i="28" s="1"/>
  <c r="P390" i="28"/>
  <c r="N388" i="28"/>
  <c r="R388" i="28" s="1"/>
  <c r="O407" i="28"/>
  <c r="K399" i="28"/>
  <c r="P397" i="28"/>
  <c r="O395" i="28"/>
  <c r="P410" i="28"/>
  <c r="P408" i="28"/>
  <c r="N406" i="28"/>
  <c r="R406" i="28" s="1"/>
  <c r="N404" i="28"/>
  <c r="R404" i="28" s="1"/>
  <c r="O403" i="28"/>
  <c r="K403" i="28"/>
  <c r="N400" i="28"/>
  <c r="R400" i="28" s="1"/>
  <c r="O398" i="28"/>
  <c r="L396" i="28"/>
  <c r="M396" i="28" s="1"/>
  <c r="L393" i="28"/>
  <c r="M393" i="28" s="1"/>
  <c r="L389" i="28"/>
  <c r="M389" i="28" s="1"/>
  <c r="N386" i="28"/>
  <c r="R386" i="28" s="1"/>
  <c r="L388" i="28"/>
  <c r="M388" i="28" s="1"/>
  <c r="P389" i="28"/>
  <c r="K393" i="28"/>
  <c r="L395" i="28"/>
  <c r="M395" i="28" s="1"/>
  <c r="H403" i="28"/>
  <c r="O405" i="28"/>
  <c r="K392" i="28"/>
  <c r="P388" i="28"/>
  <c r="K391" i="28"/>
  <c r="O397" i="28"/>
  <c r="N410" i="28"/>
  <c r="R410" i="28" s="1"/>
  <c r="K408" i="28"/>
  <c r="K406" i="28"/>
  <c r="O404" i="28"/>
  <c r="L403" i="28"/>
  <c r="M403" i="28" s="1"/>
  <c r="O400" i="28"/>
  <c r="K400" i="28"/>
  <c r="L398" i="28"/>
  <c r="M398" i="28" s="1"/>
  <c r="O394" i="28"/>
  <c r="O391" i="28"/>
  <c r="O387" i="28"/>
  <c r="O390" i="28"/>
  <c r="P393" i="28"/>
  <c r="K396" i="28"/>
  <c r="P401" i="28"/>
  <c r="Q401" i="28" s="1"/>
  <c r="O392" i="28"/>
  <c r="O410" i="28"/>
  <c r="O408" i="28"/>
  <c r="O406" i="28"/>
  <c r="L404" i="28"/>
  <c r="M404" i="28" s="1"/>
  <c r="P403" i="28"/>
  <c r="Q403" i="28" s="1"/>
  <c r="L400" i="28"/>
  <c r="M400" i="28" s="1"/>
  <c r="P398" i="28"/>
  <c r="L394" i="28"/>
  <c r="M394" i="28" s="1"/>
  <c r="L391" i="28"/>
  <c r="M391" i="28" s="1"/>
  <c r="L387" i="28"/>
  <c r="M387" i="28" s="1"/>
  <c r="N391" i="28"/>
  <c r="R391" i="28" s="1"/>
  <c r="P396" i="28"/>
  <c r="Q396" i="28" s="1"/>
  <c r="L397" i="28"/>
  <c r="M397" i="28" s="1"/>
  <c r="N398" i="28"/>
  <c r="R398" i="28" s="1"/>
  <c r="O409" i="28"/>
  <c r="P402" i="28"/>
  <c r="Q402" i="28" s="1"/>
  <c r="L401" i="28"/>
  <c r="M401" i="28" s="1"/>
  <c r="P395" i="28"/>
  <c r="Q395" i="28" s="1"/>
  <c r="O388" i="28"/>
  <c r="L410" i="28"/>
  <c r="M410" i="28" s="1"/>
  <c r="L408" i="28"/>
  <c r="M408" i="28" s="1"/>
  <c r="P404" i="28"/>
  <c r="Q404" i="28" s="1"/>
  <c r="N403" i="28"/>
  <c r="R403" i="28" s="1"/>
  <c r="P400" i="28"/>
  <c r="O389" i="28"/>
  <c r="K389" i="28"/>
  <c r="O396" i="28"/>
  <c r="L386" i="28"/>
  <c r="M386" i="28" s="1"/>
  <c r="N387" i="28"/>
  <c r="R387" i="28" s="1"/>
  <c r="L392" i="28"/>
  <c r="M392" i="28" s="1"/>
  <c r="O393" i="28"/>
  <c r="N394" i="28"/>
  <c r="R394" i="28" s="1"/>
  <c r="G354" i="28"/>
  <c r="G355" i="28"/>
  <c r="G359" i="28"/>
  <c r="G361" i="28"/>
  <c r="G363" i="28"/>
  <c r="G365" i="28"/>
  <c r="G367" i="28"/>
  <c r="G369" i="28"/>
  <c r="G371" i="28"/>
  <c r="G373" i="28"/>
  <c r="G375" i="28"/>
  <c r="G377" i="28"/>
  <c r="G379" i="28"/>
  <c r="G381" i="28"/>
  <c r="G383" i="28"/>
  <c r="G385" i="28"/>
  <c r="G356" i="28"/>
  <c r="G357" i="28"/>
  <c r="G358" i="28"/>
  <c r="G362" i="28"/>
  <c r="G366" i="28"/>
  <c r="G370" i="28"/>
  <c r="G374" i="28"/>
  <c r="G378" i="28"/>
  <c r="G382" i="28"/>
  <c r="H354" i="28"/>
  <c r="H355" i="28"/>
  <c r="H359" i="28"/>
  <c r="H361" i="28"/>
  <c r="H363" i="28"/>
  <c r="H365" i="28"/>
  <c r="H367" i="28"/>
  <c r="H369" i="28"/>
  <c r="H371" i="28"/>
  <c r="H373" i="28"/>
  <c r="H375" i="28"/>
  <c r="H377" i="28"/>
  <c r="H379" i="28"/>
  <c r="H381" i="28"/>
  <c r="H383" i="28"/>
  <c r="H385" i="28"/>
  <c r="G360" i="28"/>
  <c r="G364" i="28"/>
  <c r="G368" i="28"/>
  <c r="G372" i="28"/>
  <c r="G376" i="28"/>
  <c r="G380" i="28"/>
  <c r="G384" i="28"/>
  <c r="H356" i="28"/>
  <c r="H357" i="28"/>
  <c r="H358" i="28"/>
  <c r="H362" i="28"/>
  <c r="H366" i="28"/>
  <c r="H370" i="28"/>
  <c r="H374" i="28"/>
  <c r="H378" i="28"/>
  <c r="H382" i="28"/>
  <c r="H360" i="28"/>
  <c r="H364" i="28"/>
  <c r="H368" i="28"/>
  <c r="H372" i="28"/>
  <c r="H376" i="28"/>
  <c r="H380" i="28"/>
  <c r="H384" i="28"/>
  <c r="N380" i="28"/>
  <c r="R380" i="28" s="1"/>
  <c r="K374" i="28"/>
  <c r="P370" i="28"/>
  <c r="Q370" i="28" s="1"/>
  <c r="K362" i="28"/>
  <c r="P358" i="28"/>
  <c r="P357" i="28"/>
  <c r="Q357" i="28" s="1"/>
  <c r="P356" i="28"/>
  <c r="Q356" i="28" s="1"/>
  <c r="P385" i="28"/>
  <c r="Q385" i="28" s="1"/>
  <c r="K385" i="28"/>
  <c r="O385" i="28"/>
  <c r="N383" i="28"/>
  <c r="R383" i="28" s="1"/>
  <c r="O383" i="28"/>
  <c r="P381" i="28"/>
  <c r="Q381" i="28" s="1"/>
  <c r="K381" i="28"/>
  <c r="P379" i="28"/>
  <c r="Q379" i="28" s="1"/>
  <c r="K379" i="28"/>
  <c r="P377" i="28"/>
  <c r="Q377" i="28" s="1"/>
  <c r="K377" i="28"/>
  <c r="P375" i="28"/>
  <c r="Q375" i="28" s="1"/>
  <c r="K375" i="28"/>
  <c r="P373" i="28"/>
  <c r="Q373" i="28" s="1"/>
  <c r="K373" i="28"/>
  <c r="P371" i="28"/>
  <c r="Q371" i="28" s="1"/>
  <c r="K371" i="28"/>
  <c r="P369" i="28"/>
  <c r="Q369" i="28" s="1"/>
  <c r="K369" i="28"/>
  <c r="P367" i="28"/>
  <c r="Q367" i="28" s="1"/>
  <c r="K367" i="28"/>
  <c r="P365" i="28"/>
  <c r="Q365" i="28" s="1"/>
  <c r="K365" i="28"/>
  <c r="P363" i="28"/>
  <c r="Q363" i="28" s="1"/>
  <c r="K363" i="28"/>
  <c r="O361" i="28"/>
  <c r="P361" i="28"/>
  <c r="Q361" i="28" s="1"/>
  <c r="O359" i="28"/>
  <c r="L359" i="28"/>
  <c r="M359" i="28" s="1"/>
  <c r="L355" i="28"/>
  <c r="M355" i="28" s="1"/>
  <c r="N354" i="28"/>
  <c r="R354" i="28" s="1"/>
  <c r="N355" i="28"/>
  <c r="R355" i="28" s="1"/>
  <c r="N359" i="28"/>
  <c r="R359" i="28" s="1"/>
  <c r="L365" i="28"/>
  <c r="M365" i="28" s="1"/>
  <c r="L369" i="28"/>
  <c r="M369" i="28" s="1"/>
  <c r="L377" i="28"/>
  <c r="M377" i="28" s="1"/>
  <c r="O384" i="28"/>
  <c r="N384" i="28"/>
  <c r="R384" i="28" s="1"/>
  <c r="K384" i="28"/>
  <c r="L382" i="28"/>
  <c r="M382" i="28" s="1"/>
  <c r="N382" i="28"/>
  <c r="R382" i="28" s="1"/>
  <c r="L380" i="28"/>
  <c r="M380" i="28" s="1"/>
  <c r="K380" i="28"/>
  <c r="L378" i="28"/>
  <c r="M378" i="28" s="1"/>
  <c r="O376" i="28"/>
  <c r="P376" i="28"/>
  <c r="Q376" i="28" s="1"/>
  <c r="O374" i="28"/>
  <c r="N374" i="28"/>
  <c r="R374" i="28" s="1"/>
  <c r="L372" i="28"/>
  <c r="M372" i="28" s="1"/>
  <c r="K372" i="28"/>
  <c r="L370" i="28"/>
  <c r="M370" i="28" s="1"/>
  <c r="O368" i="28"/>
  <c r="P368" i="28"/>
  <c r="Q368" i="28" s="1"/>
  <c r="L366" i="28"/>
  <c r="M366" i="28" s="1"/>
  <c r="O364" i="28"/>
  <c r="P364" i="28"/>
  <c r="Q364" i="28" s="1"/>
  <c r="O362" i="28"/>
  <c r="N362" i="28"/>
  <c r="R362" i="28" s="1"/>
  <c r="L360" i="28"/>
  <c r="M360" i="28" s="1"/>
  <c r="O358" i="28"/>
  <c r="O357" i="28"/>
  <c r="O356" i="28"/>
  <c r="K356" i="28"/>
  <c r="K382" i="28"/>
  <c r="N372" i="28"/>
  <c r="R372" i="28" s="1"/>
  <c r="P366" i="28"/>
  <c r="Q366" i="28" s="1"/>
  <c r="O354" i="28"/>
  <c r="L385" i="28"/>
  <c r="M385" i="28" s="1"/>
  <c r="K383" i="28"/>
  <c r="N381" i="28"/>
  <c r="R381" i="28" s="1"/>
  <c r="N379" i="28"/>
  <c r="R379" i="28" s="1"/>
  <c r="N377" i="28"/>
  <c r="R377" i="28" s="1"/>
  <c r="N375" i="28"/>
  <c r="R375" i="28" s="1"/>
  <c r="N373" i="28"/>
  <c r="R373" i="28" s="1"/>
  <c r="N371" i="28"/>
  <c r="R371" i="28" s="1"/>
  <c r="N369" i="28"/>
  <c r="R369" i="28" s="1"/>
  <c r="N367" i="28"/>
  <c r="R367" i="28" s="1"/>
  <c r="N365" i="28"/>
  <c r="R365" i="28" s="1"/>
  <c r="N363" i="28"/>
  <c r="R363" i="28" s="1"/>
  <c r="L361" i="28"/>
  <c r="M361" i="28" s="1"/>
  <c r="P359" i="28"/>
  <c r="Q359" i="28" s="1"/>
  <c r="K354" i="28"/>
  <c r="L356" i="28"/>
  <c r="M356" i="28" s="1"/>
  <c r="K357" i="28"/>
  <c r="K358" i="28"/>
  <c r="L384" i="28"/>
  <c r="M384" i="28" s="1"/>
  <c r="O382" i="28"/>
  <c r="O380" i="28"/>
  <c r="O378" i="28"/>
  <c r="L376" i="28"/>
  <c r="M376" i="28" s="1"/>
  <c r="L374" i="28"/>
  <c r="M374" i="28" s="1"/>
  <c r="P372" i="28"/>
  <c r="Q372" i="28" s="1"/>
  <c r="N370" i="28"/>
  <c r="R370" i="28" s="1"/>
  <c r="K368" i="28"/>
  <c r="O366" i="28"/>
  <c r="L364" i="28"/>
  <c r="M364" i="28" s="1"/>
  <c r="L362" i="28"/>
  <c r="M362" i="28" s="1"/>
  <c r="N360" i="28"/>
  <c r="R360" i="28" s="1"/>
  <c r="K355" i="28"/>
  <c r="N356" i="28"/>
  <c r="R356" i="28" s="1"/>
  <c r="N357" i="28"/>
  <c r="R357" i="28" s="1"/>
  <c r="N358" i="28"/>
  <c r="R358" i="28" s="1"/>
  <c r="K360" i="28"/>
  <c r="P362" i="28"/>
  <c r="Q362" i="28" s="1"/>
  <c r="K366" i="28"/>
  <c r="N368" i="28"/>
  <c r="R368" i="28" s="1"/>
  <c r="O371" i="28"/>
  <c r="P374" i="28"/>
  <c r="Q374" i="28" s="1"/>
  <c r="K378" i="28"/>
  <c r="L381" i="28"/>
  <c r="M381" i="28" s="1"/>
  <c r="P378" i="28"/>
  <c r="Q378" i="28" s="1"/>
  <c r="P360" i="28"/>
  <c r="Q360" i="28" s="1"/>
  <c r="N385" i="28"/>
  <c r="R385" i="28" s="1"/>
  <c r="P383" i="28"/>
  <c r="Q383" i="28" s="1"/>
  <c r="L383" i="28"/>
  <c r="M383" i="28" s="1"/>
  <c r="O381" i="28"/>
  <c r="L379" i="28"/>
  <c r="M379" i="28" s="1"/>
  <c r="O377" i="28"/>
  <c r="L375" i="28"/>
  <c r="M375" i="28" s="1"/>
  <c r="O373" i="28"/>
  <c r="L371" i="28"/>
  <c r="M371" i="28" s="1"/>
  <c r="O369" i="28"/>
  <c r="L367" i="28"/>
  <c r="M367" i="28" s="1"/>
  <c r="L363" i="28"/>
  <c r="M363" i="28" s="1"/>
  <c r="O355" i="28"/>
  <c r="O375" i="28"/>
  <c r="P384" i="28"/>
  <c r="Q384" i="28" s="1"/>
  <c r="P380" i="28"/>
  <c r="Q380" i="28" s="1"/>
  <c r="K376" i="28"/>
  <c r="O370" i="28"/>
  <c r="N366" i="28"/>
  <c r="R366" i="28" s="1"/>
  <c r="O360" i="28"/>
  <c r="L357" i="28"/>
  <c r="M357" i="28" s="1"/>
  <c r="P355" i="28"/>
  <c r="Q355" i="28" s="1"/>
  <c r="N361" i="28"/>
  <c r="R361" i="28" s="1"/>
  <c r="O367" i="28"/>
  <c r="K370" i="28"/>
  <c r="N376" i="28"/>
  <c r="R376" i="28" s="1"/>
  <c r="O365" i="28"/>
  <c r="K361" i="28"/>
  <c r="P354" i="28"/>
  <c r="O363" i="28"/>
  <c r="P382" i="28"/>
  <c r="Q382" i="28" s="1"/>
  <c r="N378" i="28"/>
  <c r="R378" i="28" s="1"/>
  <c r="O372" i="28"/>
  <c r="L368" i="28"/>
  <c r="M368" i="28" s="1"/>
  <c r="K364" i="28"/>
  <c r="L358" i="28"/>
  <c r="M358" i="28" s="1"/>
  <c r="L354" i="28"/>
  <c r="M354" i="28" s="1"/>
  <c r="K359" i="28"/>
  <c r="N364" i="28"/>
  <c r="R364" i="28" s="1"/>
  <c r="L373" i="28"/>
  <c r="M373" i="28" s="1"/>
  <c r="O379" i="28"/>
  <c r="H352" i="28"/>
  <c r="H353" i="28"/>
  <c r="G352" i="28"/>
  <c r="G353" i="28"/>
  <c r="P353" i="28"/>
  <c r="Q353" i="28" s="1"/>
  <c r="K353" i="28"/>
  <c r="K352" i="28"/>
  <c r="P352" i="28"/>
  <c r="Q352" i="28" s="1"/>
  <c r="L353" i="28"/>
  <c r="M353" i="28" s="1"/>
  <c r="N352" i="28"/>
  <c r="R352" i="28" s="1"/>
  <c r="O353" i="28"/>
  <c r="O352" i="28"/>
  <c r="N353" i="28"/>
  <c r="R353" i="28" s="1"/>
  <c r="L352" i="28"/>
  <c r="M352" i="28" s="1"/>
  <c r="G351" i="28"/>
  <c r="G339" i="28"/>
  <c r="G341" i="28"/>
  <c r="G342" i="28"/>
  <c r="G346" i="28"/>
  <c r="G347" i="28"/>
  <c r="G348" i="28"/>
  <c r="G350" i="28"/>
  <c r="H340" i="28"/>
  <c r="H343" i="28"/>
  <c r="H346" i="28"/>
  <c r="H347" i="28"/>
  <c r="H348" i="28"/>
  <c r="H350" i="28"/>
  <c r="G340" i="28"/>
  <c r="G343" i="28"/>
  <c r="G344" i="28"/>
  <c r="G345" i="28"/>
  <c r="G349" i="28"/>
  <c r="H344" i="28"/>
  <c r="H345" i="28"/>
  <c r="H349" i="28"/>
  <c r="L349" i="28"/>
  <c r="M349" i="28" s="1"/>
  <c r="K349" i="28"/>
  <c r="N345" i="28"/>
  <c r="R345" i="28" s="1"/>
  <c r="O345" i="28"/>
  <c r="P344" i="28"/>
  <c r="Q344" i="28" s="1"/>
  <c r="K344" i="28"/>
  <c r="O344" i="28"/>
  <c r="P343" i="28"/>
  <c r="Q343" i="28" s="1"/>
  <c r="K343" i="28"/>
  <c r="L343" i="28"/>
  <c r="M343" i="28" s="1"/>
  <c r="P340" i="28"/>
  <c r="Q340" i="28" s="1"/>
  <c r="K340" i="28"/>
  <c r="L340" i="28"/>
  <c r="M340" i="28" s="1"/>
  <c r="P349" i="28"/>
  <c r="Q349" i="28" s="1"/>
  <c r="K345" i="28"/>
  <c r="N344" i="28"/>
  <c r="R344" i="28" s="1"/>
  <c r="N343" i="28"/>
  <c r="R343" i="28" s="1"/>
  <c r="O340" i="28"/>
  <c r="N350" i="28"/>
  <c r="R350" i="28" s="1"/>
  <c r="O350" i="28"/>
  <c r="P348" i="28"/>
  <c r="K348" i="28"/>
  <c r="O348" i="28"/>
  <c r="N347" i="28"/>
  <c r="R347" i="28" s="1"/>
  <c r="O347" i="28"/>
  <c r="N346" i="28"/>
  <c r="R346" i="28" s="1"/>
  <c r="O346" i="28"/>
  <c r="O349" i="28"/>
  <c r="N349" i="28"/>
  <c r="R349" i="28" s="1"/>
  <c r="P345" i="28"/>
  <c r="Q345" i="28" s="1"/>
  <c r="L345" i="28"/>
  <c r="M345" i="28" s="1"/>
  <c r="L344" i="28"/>
  <c r="M344" i="28" s="1"/>
  <c r="O343" i="28"/>
  <c r="N340" i="28"/>
  <c r="R340" i="28" s="1"/>
  <c r="P350" i="28"/>
  <c r="Q350" i="28" s="1"/>
  <c r="K350" i="28"/>
  <c r="L350" i="28"/>
  <c r="M350" i="28" s="1"/>
  <c r="N348" i="28"/>
  <c r="R348" i="28" s="1"/>
  <c r="L348" i="28"/>
  <c r="M348" i="28" s="1"/>
  <c r="P347" i="28"/>
  <c r="Q347" i="28" s="1"/>
  <c r="K347" i="28"/>
  <c r="L347" i="28"/>
  <c r="M347" i="28" s="1"/>
  <c r="P346" i="28"/>
  <c r="Q346" i="28" s="1"/>
  <c r="K346" i="28"/>
  <c r="L346" i="28"/>
  <c r="M346" i="28" s="1"/>
  <c r="O342" i="28"/>
  <c r="P342" i="28"/>
  <c r="Q342" i="28" s="1"/>
  <c r="N342" i="28"/>
  <c r="R342" i="28" s="1"/>
  <c r="O341" i="28"/>
  <c r="N341" i="28"/>
  <c r="R341" i="28" s="1"/>
  <c r="K341" i="28"/>
  <c r="O339" i="28"/>
  <c r="P339" i="28"/>
  <c r="Q339" i="28" s="1"/>
  <c r="N339" i="28"/>
  <c r="R339" i="28" s="1"/>
  <c r="O351" i="28"/>
  <c r="N351" i="28"/>
  <c r="R351" i="28" s="1"/>
  <c r="K351" i="28"/>
  <c r="H342" i="28"/>
  <c r="L342" i="28"/>
  <c r="M342" i="28" s="1"/>
  <c r="K342" i="28"/>
  <c r="H341" i="28"/>
  <c r="L341" i="28"/>
  <c r="M341" i="28" s="1"/>
  <c r="P341" i="28"/>
  <c r="Q341" i="28" s="1"/>
  <c r="H339" i="28"/>
  <c r="L339" i="28"/>
  <c r="M339" i="28" s="1"/>
  <c r="K339" i="28"/>
  <c r="H351" i="28"/>
  <c r="L351" i="28"/>
  <c r="M351" i="28" s="1"/>
  <c r="P351" i="28"/>
  <c r="Q351" i="28" s="1"/>
  <c r="G295" i="28"/>
  <c r="G298" i="28"/>
  <c r="G301" i="28"/>
  <c r="G303" i="28"/>
  <c r="G305" i="28"/>
  <c r="G307" i="28"/>
  <c r="G308" i="28"/>
  <c r="G310" i="28"/>
  <c r="G312" i="28"/>
  <c r="G314" i="28"/>
  <c r="G316" i="28"/>
  <c r="G318" i="28"/>
  <c r="G320" i="28"/>
  <c r="G322" i="28"/>
  <c r="G324" i="28"/>
  <c r="G326" i="28"/>
  <c r="G327" i="28"/>
  <c r="G329" i="28"/>
  <c r="G331" i="28"/>
  <c r="G333" i="28"/>
  <c r="G335" i="28"/>
  <c r="G337" i="28"/>
  <c r="H293" i="28"/>
  <c r="H294" i="28"/>
  <c r="H296" i="28"/>
  <c r="H297" i="28"/>
  <c r="H299" i="28"/>
  <c r="H300" i="28"/>
  <c r="H302" i="28"/>
  <c r="H304" i="28"/>
  <c r="H306" i="28"/>
  <c r="H309" i="28"/>
  <c r="H311" i="28"/>
  <c r="H313" i="28"/>
  <c r="H315" i="28"/>
  <c r="H317" i="28"/>
  <c r="H319" i="28"/>
  <c r="H321" i="28"/>
  <c r="H323" i="28"/>
  <c r="H325" i="28"/>
  <c r="H328" i="28"/>
  <c r="H330" i="28"/>
  <c r="H332" i="28"/>
  <c r="H334" i="28"/>
  <c r="H336" i="28"/>
  <c r="H338" i="28"/>
  <c r="G296" i="28"/>
  <c r="G297" i="28"/>
  <c r="G302" i="28"/>
  <c r="G306" i="28"/>
  <c r="G309" i="28"/>
  <c r="G313" i="28"/>
  <c r="G317" i="28"/>
  <c r="G321" i="28"/>
  <c r="G325" i="28"/>
  <c r="G328" i="28"/>
  <c r="G332" i="28"/>
  <c r="G336" i="28"/>
  <c r="H298" i="28"/>
  <c r="H303" i="28"/>
  <c r="H307" i="28"/>
  <c r="H310" i="28"/>
  <c r="H314" i="28"/>
  <c r="H318" i="28"/>
  <c r="H322" i="28"/>
  <c r="H326" i="28"/>
  <c r="H329" i="28"/>
  <c r="H333" i="28"/>
  <c r="H337" i="28"/>
  <c r="G293" i="28"/>
  <c r="G294" i="28"/>
  <c r="G299" i="28"/>
  <c r="G300" i="28"/>
  <c r="G304" i="28"/>
  <c r="G311" i="28"/>
  <c r="G315" i="28"/>
  <c r="G319" i="28"/>
  <c r="G323" i="28"/>
  <c r="G330" i="28"/>
  <c r="G334" i="28"/>
  <c r="G338" i="28"/>
  <c r="H295" i="28"/>
  <c r="H301" i="28"/>
  <c r="H305" i="28"/>
  <c r="H308" i="28"/>
  <c r="H312" i="28"/>
  <c r="H316" i="28"/>
  <c r="H320" i="28"/>
  <c r="H324" i="28"/>
  <c r="H327" i="28"/>
  <c r="H331" i="28"/>
  <c r="H335" i="28"/>
  <c r="O300" i="28"/>
  <c r="O299" i="28"/>
  <c r="O294" i="28"/>
  <c r="O293" i="28"/>
  <c r="N293" i="28"/>
  <c r="R293" i="28" s="1"/>
  <c r="N294" i="28"/>
  <c r="R294" i="28" s="1"/>
  <c r="P296" i="28"/>
  <c r="Q296" i="28" s="1"/>
  <c r="K297" i="28"/>
  <c r="N299" i="28"/>
  <c r="R299" i="28" s="1"/>
  <c r="K302" i="28"/>
  <c r="K293" i="28"/>
  <c r="K294" i="28"/>
  <c r="N296" i="28"/>
  <c r="R296" i="28" s="1"/>
  <c r="K299" i="28"/>
  <c r="P300" i="28"/>
  <c r="N337" i="28"/>
  <c r="R337" i="28" s="1"/>
  <c r="P337" i="28"/>
  <c r="Q337" i="28" s="1"/>
  <c r="P335" i="28"/>
  <c r="L335" i="28"/>
  <c r="M335" i="28" s="1"/>
  <c r="K335" i="28"/>
  <c r="N333" i="28"/>
  <c r="R333" i="28" s="1"/>
  <c r="O333" i="28"/>
  <c r="P331" i="28"/>
  <c r="Q331" i="28" s="1"/>
  <c r="L331" i="28"/>
  <c r="M331" i="28" s="1"/>
  <c r="K331" i="28"/>
  <c r="N329" i="28"/>
  <c r="R329" i="28" s="1"/>
  <c r="O329" i="28"/>
  <c r="P327" i="28"/>
  <c r="L327" i="28"/>
  <c r="M327" i="28" s="1"/>
  <c r="K327" i="28"/>
  <c r="N326" i="28"/>
  <c r="R326" i="28" s="1"/>
  <c r="O326" i="28"/>
  <c r="P324" i="28"/>
  <c r="Q324" i="28" s="1"/>
  <c r="L324" i="28"/>
  <c r="M324" i="28" s="1"/>
  <c r="K324" i="28"/>
  <c r="N322" i="28"/>
  <c r="R322" i="28" s="1"/>
  <c r="O322" i="28"/>
  <c r="P320" i="28"/>
  <c r="L320" i="28"/>
  <c r="M320" i="28" s="1"/>
  <c r="K320" i="28"/>
  <c r="N318" i="28"/>
  <c r="R318" i="28" s="1"/>
  <c r="O318" i="28"/>
  <c r="P316" i="28"/>
  <c r="Q316" i="28" s="1"/>
  <c r="L316" i="28"/>
  <c r="M316" i="28" s="1"/>
  <c r="K316" i="28"/>
  <c r="O296" i="28"/>
  <c r="K296" i="28"/>
  <c r="P297" i="28"/>
  <c r="Q297" i="28" s="1"/>
  <c r="N300" i="28"/>
  <c r="R300" i="28" s="1"/>
  <c r="P293" i="28"/>
  <c r="Q293" i="28" s="1"/>
  <c r="P299" i="28"/>
  <c r="Q299" i="28" s="1"/>
  <c r="N302" i="28"/>
  <c r="R302" i="28" s="1"/>
  <c r="O337" i="28"/>
  <c r="K337" i="28"/>
  <c r="O335" i="28"/>
  <c r="L333" i="28"/>
  <c r="M333" i="28" s="1"/>
  <c r="N331" i="28"/>
  <c r="R331" i="28" s="1"/>
  <c r="P329" i="28"/>
  <c r="Q329" i="28" s="1"/>
  <c r="K329" i="28"/>
  <c r="O327" i="28"/>
  <c r="L326" i="28"/>
  <c r="M326" i="28" s="1"/>
  <c r="N324" i="28"/>
  <c r="R324" i="28" s="1"/>
  <c r="P322" i="28"/>
  <c r="K322" i="28"/>
  <c r="O320" i="28"/>
  <c r="L318" i="28"/>
  <c r="M318" i="28" s="1"/>
  <c r="N316" i="28"/>
  <c r="R316" i="28" s="1"/>
  <c r="P314" i="28"/>
  <c r="L314" i="28"/>
  <c r="M314" i="28" s="1"/>
  <c r="K314" i="28"/>
  <c r="N312" i="28"/>
  <c r="R312" i="28" s="1"/>
  <c r="O312" i="28"/>
  <c r="P310" i="28"/>
  <c r="L310" i="28"/>
  <c r="M310" i="28" s="1"/>
  <c r="K310" i="28"/>
  <c r="N308" i="28"/>
  <c r="R308" i="28" s="1"/>
  <c r="O308" i="28"/>
  <c r="P307" i="28"/>
  <c r="Q307" i="28" s="1"/>
  <c r="L307" i="28"/>
  <c r="M307" i="28" s="1"/>
  <c r="K307" i="28"/>
  <c r="N305" i="28"/>
  <c r="R305" i="28" s="1"/>
  <c r="O305" i="28"/>
  <c r="P303" i="28"/>
  <c r="K303" i="28"/>
  <c r="O303" i="28"/>
  <c r="N301" i="28"/>
  <c r="R301" i="28" s="1"/>
  <c r="P298" i="28"/>
  <c r="Q298" i="28" s="1"/>
  <c r="K298" i="28"/>
  <c r="N295" i="28"/>
  <c r="R295" i="28" s="1"/>
  <c r="L295" i="28"/>
  <c r="M295" i="28" s="1"/>
  <c r="L301" i="28"/>
  <c r="M301" i="28" s="1"/>
  <c r="N338" i="28"/>
  <c r="R338" i="28" s="1"/>
  <c r="O338" i="28"/>
  <c r="O336" i="28"/>
  <c r="N336" i="28"/>
  <c r="R336" i="28" s="1"/>
  <c r="L336" i="28"/>
  <c r="M336" i="28" s="1"/>
  <c r="K334" i="28"/>
  <c r="L334" i="28"/>
  <c r="M334" i="28" s="1"/>
  <c r="O332" i="28"/>
  <c r="N332" i="28"/>
  <c r="R332" i="28" s="1"/>
  <c r="L332" i="28"/>
  <c r="M332" i="28" s="1"/>
  <c r="K330" i="28"/>
  <c r="L330" i="28"/>
  <c r="M330" i="28" s="1"/>
  <c r="O328" i="28"/>
  <c r="N328" i="28"/>
  <c r="R328" i="28" s="1"/>
  <c r="L328" i="28"/>
  <c r="M328" i="28" s="1"/>
  <c r="O325" i="28"/>
  <c r="N325" i="28"/>
  <c r="R325" i="28" s="1"/>
  <c r="L325" i="28"/>
  <c r="M325" i="28" s="1"/>
  <c r="K323" i="28"/>
  <c r="L323" i="28"/>
  <c r="M323" i="28" s="1"/>
  <c r="O321" i="28"/>
  <c r="N321" i="28"/>
  <c r="R321" i="28" s="1"/>
  <c r="L321" i="28"/>
  <c r="M321" i="28" s="1"/>
  <c r="K319" i="28"/>
  <c r="L319" i="28"/>
  <c r="M319" i="28" s="1"/>
  <c r="O317" i="28"/>
  <c r="N317" i="28"/>
  <c r="R317" i="28" s="1"/>
  <c r="L317" i="28"/>
  <c r="M317" i="28" s="1"/>
  <c r="K315" i="28"/>
  <c r="L315" i="28"/>
  <c r="M315" i="28" s="1"/>
  <c r="O313" i="28"/>
  <c r="N313" i="28"/>
  <c r="R313" i="28" s="1"/>
  <c r="L313" i="28"/>
  <c r="M313" i="28" s="1"/>
  <c r="K311" i="28"/>
  <c r="L311" i="28"/>
  <c r="M311" i="28" s="1"/>
  <c r="O309" i="28"/>
  <c r="N309" i="28"/>
  <c r="R309" i="28" s="1"/>
  <c r="L309" i="28"/>
  <c r="M309" i="28" s="1"/>
  <c r="O306" i="28"/>
  <c r="N306" i="28"/>
  <c r="R306" i="28" s="1"/>
  <c r="L306" i="28"/>
  <c r="M306" i="28" s="1"/>
  <c r="L304" i="28"/>
  <c r="M304" i="28" s="1"/>
  <c r="K304" i="28"/>
  <c r="O295" i="28"/>
  <c r="O301" i="28"/>
  <c r="O297" i="28"/>
  <c r="N297" i="28"/>
  <c r="R297" i="28" s="1"/>
  <c r="N335" i="28"/>
  <c r="R335" i="28" s="1"/>
  <c r="K333" i="28"/>
  <c r="L329" i="28"/>
  <c r="M329" i="28" s="1"/>
  <c r="P326" i="28"/>
  <c r="Q326" i="28" s="1"/>
  <c r="O324" i="28"/>
  <c r="N320" i="28"/>
  <c r="R320" i="28" s="1"/>
  <c r="K318" i="28"/>
  <c r="N314" i="28"/>
  <c r="R314" i="28" s="1"/>
  <c r="P312" i="28"/>
  <c r="K312" i="28"/>
  <c r="O310" i="28"/>
  <c r="L308" i="28"/>
  <c r="M308" i="28" s="1"/>
  <c r="N307" i="28"/>
  <c r="R307" i="28" s="1"/>
  <c r="P305" i="28"/>
  <c r="Q305" i="28" s="1"/>
  <c r="K305" i="28"/>
  <c r="L303" i="28"/>
  <c r="M303" i="28" s="1"/>
  <c r="K301" i="28"/>
  <c r="N298" i="28"/>
  <c r="R298" i="28" s="1"/>
  <c r="P295" i="28"/>
  <c r="Q295" i="28" s="1"/>
  <c r="L338" i="28"/>
  <c r="M338" i="28" s="1"/>
  <c r="K336" i="28"/>
  <c r="O334" i="28"/>
  <c r="N334" i="28"/>
  <c r="R334" i="28" s="1"/>
  <c r="P332" i="28"/>
  <c r="P330" i="28"/>
  <c r="K328" i="28"/>
  <c r="P325" i="28"/>
  <c r="P323" i="28"/>
  <c r="K321" i="28"/>
  <c r="O319" i="28"/>
  <c r="N319" i="28"/>
  <c r="R319" i="28" s="1"/>
  <c r="P317" i="28"/>
  <c r="P315" i="28"/>
  <c r="Q315" i="28" s="1"/>
  <c r="K313" i="28"/>
  <c r="O311" i="28"/>
  <c r="N311" i="28"/>
  <c r="R311" i="28" s="1"/>
  <c r="P309" i="28"/>
  <c r="K306" i="28"/>
  <c r="O304" i="28"/>
  <c r="N304" i="28"/>
  <c r="R304" i="28" s="1"/>
  <c r="L293" i="28"/>
  <c r="M293" i="28" s="1"/>
  <c r="L294" i="28"/>
  <c r="M294" i="28" s="1"/>
  <c r="L299" i="28"/>
  <c r="M299" i="28" s="1"/>
  <c r="L300" i="28"/>
  <c r="M300" i="28" s="1"/>
  <c r="P302" i="28"/>
  <c r="O302" i="28"/>
  <c r="P294" i="28"/>
  <c r="Q294" i="28" s="1"/>
  <c r="K300" i="28"/>
  <c r="L337" i="28"/>
  <c r="M337" i="28" s="1"/>
  <c r="P333" i="28"/>
  <c r="Q333" i="28" s="1"/>
  <c r="O331" i="28"/>
  <c r="N327" i="28"/>
  <c r="R327" i="28" s="1"/>
  <c r="K326" i="28"/>
  <c r="L322" i="28"/>
  <c r="M322" i="28" s="1"/>
  <c r="P318" i="28"/>
  <c r="O316" i="28"/>
  <c r="O314" i="28"/>
  <c r="L312" i="28"/>
  <c r="M312" i="28" s="1"/>
  <c r="N310" i="28"/>
  <c r="R310" i="28" s="1"/>
  <c r="P308" i="28"/>
  <c r="Q308" i="28" s="1"/>
  <c r="K308" i="28"/>
  <c r="O307" i="28"/>
  <c r="L305" i="28"/>
  <c r="M305" i="28" s="1"/>
  <c r="N303" i="28"/>
  <c r="R303" i="28" s="1"/>
  <c r="P301" i="28"/>
  <c r="Q301" i="28" s="1"/>
  <c r="K295" i="28"/>
  <c r="O298" i="28"/>
  <c r="P338" i="28"/>
  <c r="Q338" i="28" s="1"/>
  <c r="K338" i="28"/>
  <c r="P336" i="28"/>
  <c r="P334" i="28"/>
  <c r="K332" i="28"/>
  <c r="O330" i="28"/>
  <c r="N330" i="28"/>
  <c r="R330" i="28" s="1"/>
  <c r="P328" i="28"/>
  <c r="Q328" i="28" s="1"/>
  <c r="K325" i="28"/>
  <c r="O323" i="28"/>
  <c r="N323" i="28"/>
  <c r="R323" i="28" s="1"/>
  <c r="P321" i="28"/>
  <c r="P319" i="28"/>
  <c r="K317" i="28"/>
  <c r="O315" i="28"/>
  <c r="N315" i="28"/>
  <c r="R315" i="28" s="1"/>
  <c r="P313" i="28"/>
  <c r="Q313" i="28" s="1"/>
  <c r="P311" i="28"/>
  <c r="K309" i="28"/>
  <c r="P306" i="28"/>
  <c r="Q306" i="28" s="1"/>
  <c r="P304" i="28"/>
  <c r="Q304" i="28" s="1"/>
  <c r="L298" i="28"/>
  <c r="M298" i="28" s="1"/>
  <c r="L296" i="28"/>
  <c r="M296" i="28" s="1"/>
  <c r="L297" i="28"/>
  <c r="M297" i="28" s="1"/>
  <c r="L302" i="28"/>
  <c r="M302" i="28" s="1"/>
  <c r="G290" i="28"/>
  <c r="G292" i="28"/>
  <c r="H290" i="28"/>
  <c r="G291" i="28"/>
  <c r="H291" i="28"/>
  <c r="H292" i="28"/>
  <c r="N291" i="28"/>
  <c r="R291" i="28" s="1"/>
  <c r="O290" i="28"/>
  <c r="L292" i="28"/>
  <c r="M292" i="28" s="1"/>
  <c r="P292" i="28"/>
  <c r="Q292" i="28" s="1"/>
  <c r="O292" i="28"/>
  <c r="N292" i="28"/>
  <c r="R292" i="28" s="1"/>
  <c r="K292" i="28"/>
  <c r="O291" i="28"/>
  <c r="K290" i="28"/>
  <c r="P291" i="28"/>
  <c r="Q291" i="28" s="1"/>
  <c r="N290" i="28"/>
  <c r="R290" i="28" s="1"/>
  <c r="K291" i="28"/>
  <c r="L291" i="28"/>
  <c r="M291" i="28" s="1"/>
  <c r="P290" i="28"/>
  <c r="Q290" i="28" s="1"/>
  <c r="L290" i="28"/>
  <c r="M290" i="28" s="1"/>
  <c r="G277" i="28"/>
  <c r="G279" i="28"/>
  <c r="G281" i="28"/>
  <c r="G283" i="28"/>
  <c r="G285" i="28"/>
  <c r="G287" i="28"/>
  <c r="G289" i="28"/>
  <c r="G278" i="28"/>
  <c r="G282" i="28"/>
  <c r="G286" i="28"/>
  <c r="H277" i="28"/>
  <c r="H279" i="28"/>
  <c r="H281" i="28"/>
  <c r="H285" i="28"/>
  <c r="H289" i="28"/>
  <c r="G280" i="28"/>
  <c r="G284" i="28"/>
  <c r="G288" i="28"/>
  <c r="H278" i="28"/>
  <c r="H280" i="28"/>
  <c r="H282" i="28"/>
  <c r="H284" i="28"/>
  <c r="H286" i="28"/>
  <c r="H288" i="28"/>
  <c r="H283" i="28"/>
  <c r="H287" i="28"/>
  <c r="K288" i="28"/>
  <c r="N289" i="28"/>
  <c r="R289" i="28" s="1"/>
  <c r="L289" i="28"/>
  <c r="M289" i="28" s="1"/>
  <c r="N287" i="28"/>
  <c r="R287" i="28" s="1"/>
  <c r="O287" i="28"/>
  <c r="P285" i="28"/>
  <c r="Q285" i="28" s="1"/>
  <c r="K285" i="28"/>
  <c r="O285" i="28"/>
  <c r="N283" i="28"/>
  <c r="R283" i="28" s="1"/>
  <c r="O283" i="28"/>
  <c r="N281" i="28"/>
  <c r="R281" i="28" s="1"/>
  <c r="L281" i="28"/>
  <c r="M281" i="28" s="1"/>
  <c r="L279" i="28"/>
  <c r="M279" i="28" s="1"/>
  <c r="P279" i="28"/>
  <c r="Q279" i="28" s="1"/>
  <c r="O277" i="28"/>
  <c r="P284" i="28"/>
  <c r="Q284" i="28" s="1"/>
  <c r="N280" i="28"/>
  <c r="R280" i="28" s="1"/>
  <c r="P289" i="28"/>
  <c r="K289" i="28"/>
  <c r="P287" i="28"/>
  <c r="K287" i="28"/>
  <c r="L287" i="28"/>
  <c r="M287" i="28" s="1"/>
  <c r="N285" i="28"/>
  <c r="R285" i="28" s="1"/>
  <c r="L285" i="28"/>
  <c r="M285" i="28" s="1"/>
  <c r="P283" i="28"/>
  <c r="Q283" i="28" s="1"/>
  <c r="K283" i="28"/>
  <c r="P281" i="28"/>
  <c r="Q281" i="28" s="1"/>
  <c r="K281" i="28"/>
  <c r="O279" i="28"/>
  <c r="N279" i="28"/>
  <c r="R279" i="28" s="1"/>
  <c r="L277" i="28"/>
  <c r="M277" i="28" s="1"/>
  <c r="N277" i="28"/>
  <c r="R277" i="28" s="1"/>
  <c r="K277" i="28"/>
  <c r="O288" i="28"/>
  <c r="N288" i="28"/>
  <c r="R288" i="28" s="1"/>
  <c r="O286" i="28"/>
  <c r="P286" i="28"/>
  <c r="Q286" i="28" s="1"/>
  <c r="O284" i="28"/>
  <c r="N284" i="28"/>
  <c r="R284" i="28" s="1"/>
  <c r="O282" i="28"/>
  <c r="P282" i="28"/>
  <c r="Q282" i="28" s="1"/>
  <c r="N282" i="28"/>
  <c r="R282" i="28" s="1"/>
  <c r="O280" i="28"/>
  <c r="P280" i="28"/>
  <c r="Q280" i="28" s="1"/>
  <c r="O278" i="28"/>
  <c r="P278" i="28"/>
  <c r="Q278" i="28" s="1"/>
  <c r="N278" i="28"/>
  <c r="R278" i="28" s="1"/>
  <c r="O281" i="28"/>
  <c r="L288" i="28"/>
  <c r="M288" i="28" s="1"/>
  <c r="P288" i="28"/>
  <c r="L286" i="28"/>
  <c r="M286" i="28" s="1"/>
  <c r="K286" i="28"/>
  <c r="L284" i="28"/>
  <c r="M284" i="28" s="1"/>
  <c r="K284" i="28"/>
  <c r="L282" i="28"/>
  <c r="M282" i="28" s="1"/>
  <c r="K282" i="28"/>
  <c r="L280" i="28"/>
  <c r="M280" i="28" s="1"/>
  <c r="K280" i="28"/>
  <c r="L278" i="28"/>
  <c r="M278" i="28" s="1"/>
  <c r="K278" i="28"/>
  <c r="K279" i="28"/>
  <c r="L283" i="28"/>
  <c r="M283" i="28" s="1"/>
  <c r="O289" i="28"/>
  <c r="P277" i="28"/>
  <c r="Q277" i="28" s="1"/>
  <c r="N286" i="28"/>
  <c r="R286" i="28" s="1"/>
  <c r="G274" i="28"/>
  <c r="G276" i="28"/>
  <c r="H276" i="28"/>
  <c r="G275" i="28"/>
  <c r="H274" i="28"/>
  <c r="N274" i="28"/>
  <c r="R274" i="28" s="1"/>
  <c r="P275" i="28"/>
  <c r="Q275" i="28" s="1"/>
  <c r="K275" i="28"/>
  <c r="H275" i="28"/>
  <c r="N276" i="28"/>
  <c r="R276" i="28" s="1"/>
  <c r="O276" i="28"/>
  <c r="L274" i="28"/>
  <c r="M274" i="28" s="1"/>
  <c r="L276" i="28"/>
  <c r="M276" i="28" s="1"/>
  <c r="N275" i="28"/>
  <c r="R275" i="28" s="1"/>
  <c r="K276" i="28"/>
  <c r="P274" i="28"/>
  <c r="Q274" i="28" s="1"/>
  <c r="P276" i="28"/>
  <c r="O274" i="28"/>
  <c r="K274" i="28"/>
  <c r="O275" i="28"/>
  <c r="L275" i="28"/>
  <c r="M275" i="28" s="1"/>
  <c r="H270" i="28"/>
  <c r="G270" i="28"/>
  <c r="G271" i="28"/>
  <c r="G272" i="28"/>
  <c r="G273" i="28"/>
  <c r="H271" i="28"/>
  <c r="H272" i="28"/>
  <c r="H273" i="28"/>
  <c r="K272" i="28"/>
  <c r="O270" i="28"/>
  <c r="P271" i="28"/>
  <c r="Q271" i="28" s="1"/>
  <c r="K271" i="28"/>
  <c r="L271" i="28"/>
  <c r="M271" i="28" s="1"/>
  <c r="N271" i="28"/>
  <c r="R271" i="28" s="1"/>
  <c r="L273" i="28"/>
  <c r="M273" i="28" s="1"/>
  <c r="K273" i="28"/>
  <c r="L272" i="28"/>
  <c r="M272" i="28" s="1"/>
  <c r="N270" i="28"/>
  <c r="R270" i="28" s="1"/>
  <c r="O271" i="28"/>
  <c r="O273" i="28"/>
  <c r="P273" i="28"/>
  <c r="O272" i="28"/>
  <c r="N272" i="28"/>
  <c r="R272" i="28" s="1"/>
  <c r="P270" i="28"/>
  <c r="Q270" i="28" s="1"/>
  <c r="K270" i="28"/>
  <c r="N273" i="28"/>
  <c r="R273" i="28" s="1"/>
  <c r="L270" i="28"/>
  <c r="M270" i="28" s="1"/>
  <c r="P272" i="28"/>
  <c r="Q272" i="28" s="1"/>
  <c r="G267" i="28"/>
  <c r="G269" i="28"/>
  <c r="H267" i="28"/>
  <c r="H269" i="28"/>
  <c r="G268" i="28"/>
  <c r="H268" i="28"/>
  <c r="O269" i="28"/>
  <c r="P267" i="28"/>
  <c r="K269" i="28"/>
  <c r="O268" i="28"/>
  <c r="L267" i="28"/>
  <c r="M267" i="28" s="1"/>
  <c r="N268" i="28"/>
  <c r="R268" i="28" s="1"/>
  <c r="P268" i="28"/>
  <c r="Q268" i="28" s="1"/>
  <c r="O267" i="28"/>
  <c r="K267" i="28"/>
  <c r="N269" i="28"/>
  <c r="R269" i="28" s="1"/>
  <c r="N267" i="28"/>
  <c r="R267" i="28" s="1"/>
  <c r="P269" i="28"/>
  <c r="Q269" i="28" s="1"/>
  <c r="L268" i="28"/>
  <c r="M268" i="28" s="1"/>
  <c r="K268" i="28"/>
  <c r="L269" i="28"/>
  <c r="M269" i="28" s="1"/>
  <c r="G261" i="28"/>
  <c r="G263" i="28"/>
  <c r="G265" i="28"/>
  <c r="H261" i="28"/>
  <c r="H263" i="28"/>
  <c r="H265" i="28"/>
  <c r="G262" i="28"/>
  <c r="G264" i="28"/>
  <c r="G266" i="28"/>
  <c r="H262" i="28"/>
  <c r="H264" i="28"/>
  <c r="H266" i="28"/>
  <c r="N266" i="28"/>
  <c r="R266" i="28" s="1"/>
  <c r="O266" i="28"/>
  <c r="P264" i="28"/>
  <c r="Q264" i="28" s="1"/>
  <c r="K264" i="28"/>
  <c r="L264" i="28"/>
  <c r="M264" i="28" s="1"/>
  <c r="N262" i="28"/>
  <c r="R262" i="28" s="1"/>
  <c r="O262" i="28"/>
  <c r="O265" i="28"/>
  <c r="P265" i="28"/>
  <c r="Q265" i="28" s="1"/>
  <c r="K265" i="28"/>
  <c r="L263" i="28"/>
  <c r="M263" i="28" s="1"/>
  <c r="N263" i="28"/>
  <c r="R263" i="28" s="1"/>
  <c r="P266" i="28"/>
  <c r="Q266" i="28" s="1"/>
  <c r="K266" i="28"/>
  <c r="L266" i="28"/>
  <c r="M266" i="28" s="1"/>
  <c r="N264" i="28"/>
  <c r="R264" i="28" s="1"/>
  <c r="O264" i="28"/>
  <c r="P262" i="28"/>
  <c r="Q262" i="28" s="1"/>
  <c r="K262" i="28"/>
  <c r="L262" i="28"/>
  <c r="M262" i="28" s="1"/>
  <c r="L265" i="28"/>
  <c r="M265" i="28" s="1"/>
  <c r="N265" i="28"/>
  <c r="R265" i="28" s="1"/>
  <c r="O263" i="28"/>
  <c r="P263" i="28"/>
  <c r="Q263" i="28" s="1"/>
  <c r="K263" i="28"/>
  <c r="L261" i="28"/>
  <c r="M261" i="28" s="1"/>
  <c r="N261" i="28"/>
  <c r="R261" i="28" s="1"/>
  <c r="O261" i="28"/>
  <c r="P261" i="28"/>
  <c r="Q261" i="28" s="1"/>
  <c r="K261" i="28"/>
  <c r="G176" i="28"/>
  <c r="G178" i="28"/>
  <c r="G180" i="28"/>
  <c r="G182" i="28"/>
  <c r="G184" i="28"/>
  <c r="G186" i="28"/>
  <c r="G188" i="28"/>
  <c r="G190" i="28"/>
  <c r="G192" i="28"/>
  <c r="G194" i="28"/>
  <c r="G196" i="28"/>
  <c r="G198" i="28"/>
  <c r="G200" i="28"/>
  <c r="G202" i="28"/>
  <c r="G204" i="28"/>
  <c r="G206" i="28"/>
  <c r="G208" i="28"/>
  <c r="G210" i="28"/>
  <c r="G212" i="28"/>
  <c r="G214" i="28"/>
  <c r="G216" i="28"/>
  <c r="G218" i="28"/>
  <c r="G220" i="28"/>
  <c r="G222" i="28"/>
  <c r="G224" i="28"/>
  <c r="G226" i="28"/>
  <c r="G228" i="28"/>
  <c r="G230" i="28"/>
  <c r="G232" i="28"/>
  <c r="G234" i="28"/>
  <c r="G236" i="28"/>
  <c r="G238" i="28"/>
  <c r="G240" i="28"/>
  <c r="G242" i="28"/>
  <c r="G244" i="28"/>
  <c r="G246" i="28"/>
  <c r="H177" i="28"/>
  <c r="H179" i="28"/>
  <c r="H181" i="28"/>
  <c r="H183" i="28"/>
  <c r="H185" i="28"/>
  <c r="H187" i="28"/>
  <c r="H189" i="28"/>
  <c r="H191" i="28"/>
  <c r="H193" i="28"/>
  <c r="H195" i="28"/>
  <c r="H197" i="28"/>
  <c r="H199" i="28"/>
  <c r="H201" i="28"/>
  <c r="H203" i="28"/>
  <c r="H205" i="28"/>
  <c r="H207" i="28"/>
  <c r="H209" i="28"/>
  <c r="H211" i="28"/>
  <c r="H213" i="28"/>
  <c r="H215" i="28"/>
  <c r="H217" i="28"/>
  <c r="H219" i="28"/>
  <c r="H221" i="28"/>
  <c r="H223" i="28"/>
  <c r="H225" i="28"/>
  <c r="G260" i="28"/>
  <c r="H260" i="28"/>
  <c r="G177" i="28"/>
  <c r="G181" i="28"/>
  <c r="G185" i="28"/>
  <c r="G189" i="28"/>
  <c r="G193" i="28"/>
  <c r="G197" i="28"/>
  <c r="G201" i="28"/>
  <c r="G205" i="28"/>
  <c r="G209" i="28"/>
  <c r="G213" i="28"/>
  <c r="G217" i="28"/>
  <c r="G221" i="28"/>
  <c r="G225" i="28"/>
  <c r="G229" i="28"/>
  <c r="G233" i="28"/>
  <c r="G237" i="28"/>
  <c r="G241" i="28"/>
  <c r="G245" i="28"/>
  <c r="H178" i="28"/>
  <c r="H182" i="28"/>
  <c r="H186" i="28"/>
  <c r="H190" i="28"/>
  <c r="H194" i="28"/>
  <c r="H198" i="28"/>
  <c r="H202" i="28"/>
  <c r="H206" i="28"/>
  <c r="H210" i="28"/>
  <c r="H214" i="28"/>
  <c r="H218" i="28"/>
  <c r="H222" i="28"/>
  <c r="H226" i="28"/>
  <c r="H228" i="28"/>
  <c r="H230" i="28"/>
  <c r="H232" i="28"/>
  <c r="H234" i="28"/>
  <c r="H236" i="28"/>
  <c r="H238" i="28"/>
  <c r="H240" i="28"/>
  <c r="H242" i="28"/>
  <c r="H244" i="28"/>
  <c r="H246" i="28"/>
  <c r="K177" i="28"/>
  <c r="K179" i="28"/>
  <c r="K181" i="28"/>
  <c r="K183" i="28"/>
  <c r="K185" i="28"/>
  <c r="K187" i="28"/>
  <c r="K189" i="28"/>
  <c r="K191" i="28"/>
  <c r="K193" i="28"/>
  <c r="K195" i="28"/>
  <c r="K197" i="28"/>
  <c r="K199" i="28"/>
  <c r="K201" i="28"/>
  <c r="K203" i="28"/>
  <c r="K205" i="28"/>
  <c r="K207" i="28"/>
  <c r="K209" i="28"/>
  <c r="K211" i="28"/>
  <c r="K213" i="28"/>
  <c r="K215" i="28"/>
  <c r="K217" i="28"/>
  <c r="K219" i="28"/>
  <c r="K221" i="28"/>
  <c r="K223" i="28"/>
  <c r="K225" i="28"/>
  <c r="K227" i="28"/>
  <c r="K229" i="28"/>
  <c r="K231" i="28"/>
  <c r="K233" i="28"/>
  <c r="K235" i="28"/>
  <c r="K237" i="28"/>
  <c r="K239" i="28"/>
  <c r="K241" i="28"/>
  <c r="K243" i="28"/>
  <c r="K245" i="28"/>
  <c r="L176" i="28"/>
  <c r="L178" i="28"/>
  <c r="L180" i="28"/>
  <c r="L182" i="28"/>
  <c r="L184" i="28"/>
  <c r="L186" i="28"/>
  <c r="L188" i="28"/>
  <c r="L190" i="28"/>
  <c r="L192" i="28"/>
  <c r="L194" i="28"/>
  <c r="L196" i="28"/>
  <c r="L198" i="28"/>
  <c r="L200" i="28"/>
  <c r="L202" i="28"/>
  <c r="L204" i="28"/>
  <c r="L206" i="28"/>
  <c r="L208" i="28"/>
  <c r="L210" i="28"/>
  <c r="L212" i="28"/>
  <c r="L214" i="28"/>
  <c r="L216" i="28"/>
  <c r="L218" i="28"/>
  <c r="L220" i="28"/>
  <c r="L222" i="28"/>
  <c r="L224" i="28"/>
  <c r="L226" i="28"/>
  <c r="L228" i="28"/>
  <c r="L230" i="28"/>
  <c r="L232" i="28"/>
  <c r="L234" i="28"/>
  <c r="L236" i="28"/>
  <c r="L238" i="28"/>
  <c r="L240" i="28"/>
  <c r="L242" i="28"/>
  <c r="L244" i="28"/>
  <c r="L246" i="28"/>
  <c r="M177" i="28"/>
  <c r="M179" i="28"/>
  <c r="M181" i="28"/>
  <c r="M183" i="28"/>
  <c r="M185" i="28"/>
  <c r="M187" i="28"/>
  <c r="M189" i="28"/>
  <c r="M191" i="28"/>
  <c r="M193" i="28"/>
  <c r="M195" i="28"/>
  <c r="M197" i="28"/>
  <c r="M199" i="28"/>
  <c r="M201" i="28"/>
  <c r="M203" i="28"/>
  <c r="M205" i="28"/>
  <c r="M207" i="28"/>
  <c r="M209" i="28"/>
  <c r="M211" i="28"/>
  <c r="M213" i="28"/>
  <c r="M215" i="28"/>
  <c r="M217" i="28"/>
  <c r="M219" i="28"/>
  <c r="M221" i="28"/>
  <c r="M223" i="28"/>
  <c r="M225" i="28"/>
  <c r="M227" i="28"/>
  <c r="M229" i="28"/>
  <c r="M231" i="28"/>
  <c r="M233" i="28"/>
  <c r="M235" i="28"/>
  <c r="M237" i="28"/>
  <c r="M239" i="28"/>
  <c r="M241" i="28"/>
  <c r="M243" i="28"/>
  <c r="M245" i="28"/>
  <c r="N176" i="28"/>
  <c r="R176" i="28" s="1"/>
  <c r="N178" i="28"/>
  <c r="R178" i="28" s="1"/>
  <c r="N180" i="28"/>
  <c r="R180" i="28" s="1"/>
  <c r="N182" i="28"/>
  <c r="R182" i="28" s="1"/>
  <c r="N184" i="28"/>
  <c r="R184" i="28" s="1"/>
  <c r="N186" i="28"/>
  <c r="R186" i="28" s="1"/>
  <c r="N188" i="28"/>
  <c r="R188" i="28" s="1"/>
  <c r="G179" i="28"/>
  <c r="G183" i="28"/>
  <c r="G187" i="28"/>
  <c r="G191" i="28"/>
  <c r="G195" i="28"/>
  <c r="G199" i="28"/>
  <c r="G203" i="28"/>
  <c r="G207" i="28"/>
  <c r="G211" i="28"/>
  <c r="G215" i="28"/>
  <c r="G219" i="28"/>
  <c r="G223" i="28"/>
  <c r="G227" i="28"/>
  <c r="G231" i="28"/>
  <c r="G235" i="28"/>
  <c r="G239" i="28"/>
  <c r="G243" i="28"/>
  <c r="H176" i="28"/>
  <c r="H180" i="28"/>
  <c r="H184" i="28"/>
  <c r="H188" i="28"/>
  <c r="H192" i="28"/>
  <c r="H196" i="28"/>
  <c r="H200" i="28"/>
  <c r="H204" i="28"/>
  <c r="H208" i="28"/>
  <c r="H212" i="28"/>
  <c r="H216" i="28"/>
  <c r="H220" i="28"/>
  <c r="H224" i="28"/>
  <c r="H227" i="28"/>
  <c r="H229" i="28"/>
  <c r="H231" i="28"/>
  <c r="H233" i="28"/>
  <c r="H235" i="28"/>
  <c r="H237" i="28"/>
  <c r="H239" i="28"/>
  <c r="H241" i="28"/>
  <c r="H243" i="28"/>
  <c r="H245" i="28"/>
  <c r="K176" i="28"/>
  <c r="K178" i="28"/>
  <c r="K180" i="28"/>
  <c r="K182" i="28"/>
  <c r="K184" i="28"/>
  <c r="K186" i="28"/>
  <c r="K188" i="28"/>
  <c r="K190" i="28"/>
  <c r="K192" i="28"/>
  <c r="K194" i="28"/>
  <c r="K196" i="28"/>
  <c r="K198" i="28"/>
  <c r="K200" i="28"/>
  <c r="K202" i="28"/>
  <c r="K204" i="28"/>
  <c r="K206" i="28"/>
  <c r="K208" i="28"/>
  <c r="K210" i="28"/>
  <c r="K212" i="28"/>
  <c r="K214" i="28"/>
  <c r="K216" i="28"/>
  <c r="K218" i="28"/>
  <c r="K220" i="28"/>
  <c r="K222" i="28"/>
  <c r="K224" i="28"/>
  <c r="K226" i="28"/>
  <c r="K228" i="28"/>
  <c r="K230" i="28"/>
  <c r="K232" i="28"/>
  <c r="K234" i="28"/>
  <c r="K236" i="28"/>
  <c r="K238" i="28"/>
  <c r="K240" i="28"/>
  <c r="K242" i="28"/>
  <c r="K244" i="28"/>
  <c r="K246" i="28"/>
  <c r="L177" i="28"/>
  <c r="L179" i="28"/>
  <c r="L181" i="28"/>
  <c r="L183" i="28"/>
  <c r="L185" i="28"/>
  <c r="L187" i="28"/>
  <c r="L189" i="28"/>
  <c r="L191" i="28"/>
  <c r="L193" i="28"/>
  <c r="L195" i="28"/>
  <c r="L197" i="28"/>
  <c r="L199" i="28"/>
  <c r="L201" i="28"/>
  <c r="L203" i="28"/>
  <c r="L205" i="28"/>
  <c r="L207" i="28"/>
  <c r="L209" i="28"/>
  <c r="L211" i="28"/>
  <c r="L213" i="28"/>
  <c r="L215" i="28"/>
  <c r="L217" i="28"/>
  <c r="L219" i="28"/>
  <c r="L221" i="28"/>
  <c r="L223" i="28"/>
  <c r="L225" i="28"/>
  <c r="L227" i="28"/>
  <c r="L229" i="28"/>
  <c r="L231" i="28"/>
  <c r="L233" i="28"/>
  <c r="L235" i="28"/>
  <c r="L237" i="28"/>
  <c r="L239" i="28"/>
  <c r="L241" i="28"/>
  <c r="L243" i="28"/>
  <c r="L245" i="28"/>
  <c r="M176" i="28"/>
  <c r="M178" i="28"/>
  <c r="M180" i="28"/>
  <c r="M182" i="28"/>
  <c r="M184" i="28"/>
  <c r="M186" i="28"/>
  <c r="M188" i="28"/>
  <c r="M190" i="28"/>
  <c r="M192" i="28"/>
  <c r="M194" i="28"/>
  <c r="M196" i="28"/>
  <c r="M198" i="28"/>
  <c r="M200" i="28"/>
  <c r="M202" i="28"/>
  <c r="M204" i="28"/>
  <c r="M206" i="28"/>
  <c r="M208" i="28"/>
  <c r="M210" i="28"/>
  <c r="M212" i="28"/>
  <c r="M214" i="28"/>
  <c r="M216" i="28"/>
  <c r="M218" i="28"/>
  <c r="M220" i="28"/>
  <c r="M222" i="28"/>
  <c r="M224" i="28"/>
  <c r="M226" i="28"/>
  <c r="M228" i="28"/>
  <c r="M230" i="28"/>
  <c r="M232" i="28"/>
  <c r="M234" i="28"/>
  <c r="M236" i="28"/>
  <c r="M238" i="28"/>
  <c r="M240" i="28"/>
  <c r="M242" i="28"/>
  <c r="M244" i="28"/>
  <c r="M246" i="28"/>
  <c r="N177" i="28"/>
  <c r="R177" i="28" s="1"/>
  <c r="N179" i="28"/>
  <c r="R179" i="28" s="1"/>
  <c r="N181" i="28"/>
  <c r="R181" i="28" s="1"/>
  <c r="N183" i="28"/>
  <c r="R183" i="28" s="1"/>
  <c r="N185" i="28"/>
  <c r="R185" i="28" s="1"/>
  <c r="N187" i="28"/>
  <c r="R187" i="28" s="1"/>
  <c r="N189" i="28"/>
  <c r="R189" i="28" s="1"/>
  <c r="N191" i="28"/>
  <c r="R191" i="28" s="1"/>
  <c r="N193" i="28"/>
  <c r="R193" i="28" s="1"/>
  <c r="N190" i="28"/>
  <c r="R190" i="28" s="1"/>
  <c r="N194" i="28"/>
  <c r="R194" i="28" s="1"/>
  <c r="N196" i="28"/>
  <c r="R196" i="28" s="1"/>
  <c r="N198" i="28"/>
  <c r="R198" i="28" s="1"/>
  <c r="N200" i="28"/>
  <c r="R200" i="28" s="1"/>
  <c r="N202" i="28"/>
  <c r="R202" i="28" s="1"/>
  <c r="N204" i="28"/>
  <c r="R204" i="28" s="1"/>
  <c r="N206" i="28"/>
  <c r="R206" i="28" s="1"/>
  <c r="N208" i="28"/>
  <c r="R208" i="28" s="1"/>
  <c r="N210" i="28"/>
  <c r="R210" i="28" s="1"/>
  <c r="N212" i="28"/>
  <c r="R212" i="28" s="1"/>
  <c r="N214" i="28"/>
  <c r="R214" i="28" s="1"/>
  <c r="N216" i="28"/>
  <c r="R216" i="28" s="1"/>
  <c r="N218" i="28"/>
  <c r="R218" i="28" s="1"/>
  <c r="N220" i="28"/>
  <c r="R220" i="28" s="1"/>
  <c r="N222" i="28"/>
  <c r="R222" i="28" s="1"/>
  <c r="N224" i="28"/>
  <c r="R224" i="28" s="1"/>
  <c r="N226" i="28"/>
  <c r="R226" i="28" s="1"/>
  <c r="N228" i="28"/>
  <c r="R228" i="28" s="1"/>
  <c r="N230" i="28"/>
  <c r="R230" i="28" s="1"/>
  <c r="N232" i="28"/>
  <c r="R232" i="28" s="1"/>
  <c r="N234" i="28"/>
  <c r="R234" i="28" s="1"/>
  <c r="N236" i="28"/>
  <c r="R236" i="28" s="1"/>
  <c r="N238" i="28"/>
  <c r="R238" i="28" s="1"/>
  <c r="N240" i="28"/>
  <c r="R240" i="28" s="1"/>
  <c r="N242" i="28"/>
  <c r="R242" i="28" s="1"/>
  <c r="N244" i="28"/>
  <c r="R244" i="28" s="1"/>
  <c r="N246" i="28"/>
  <c r="R246" i="28" s="1"/>
  <c r="O177" i="28"/>
  <c r="O179" i="28"/>
  <c r="O181" i="28"/>
  <c r="O183" i="28"/>
  <c r="O185" i="28"/>
  <c r="O187" i="28"/>
  <c r="O189" i="28"/>
  <c r="O191" i="28"/>
  <c r="O193" i="28"/>
  <c r="O195" i="28"/>
  <c r="O197" i="28"/>
  <c r="O199" i="28"/>
  <c r="O201" i="28"/>
  <c r="O203" i="28"/>
  <c r="O205" i="28"/>
  <c r="O207" i="28"/>
  <c r="O209" i="28"/>
  <c r="O211" i="28"/>
  <c r="O213" i="28"/>
  <c r="O215" i="28"/>
  <c r="O217" i="28"/>
  <c r="O219" i="28"/>
  <c r="O221" i="28"/>
  <c r="O223" i="28"/>
  <c r="O225" i="28"/>
  <c r="O227" i="28"/>
  <c r="O229" i="28"/>
  <c r="O231" i="28"/>
  <c r="O233" i="28"/>
  <c r="O235" i="28"/>
  <c r="O237" i="28"/>
  <c r="O239" i="28"/>
  <c r="O241" i="28"/>
  <c r="O243" i="28"/>
  <c r="O245" i="28"/>
  <c r="P176" i="28"/>
  <c r="P178" i="28"/>
  <c r="Q178" i="28" s="1"/>
  <c r="P180" i="28"/>
  <c r="P182" i="28"/>
  <c r="Q182" i="28" s="1"/>
  <c r="P184" i="28"/>
  <c r="Q184" i="28" s="1"/>
  <c r="P186" i="28"/>
  <c r="P188" i="28"/>
  <c r="P190" i="28"/>
  <c r="P192" i="28"/>
  <c r="P194" i="28"/>
  <c r="Q194" i="28" s="1"/>
  <c r="P196" i="28"/>
  <c r="P198" i="28"/>
  <c r="P200" i="28"/>
  <c r="Q200" i="28" s="1"/>
  <c r="P202" i="28"/>
  <c r="P204" i="28"/>
  <c r="P206" i="28"/>
  <c r="P208" i="28"/>
  <c r="P210" i="28"/>
  <c r="Q210" i="28" s="1"/>
  <c r="P212" i="28"/>
  <c r="P214" i="28"/>
  <c r="P216" i="28"/>
  <c r="Q216" i="28" s="1"/>
  <c r="P218" i="28"/>
  <c r="Q218" i="28" s="1"/>
  <c r="P220" i="28"/>
  <c r="Q220" i="28" s="1"/>
  <c r="P222" i="28"/>
  <c r="P224" i="28"/>
  <c r="P226" i="28"/>
  <c r="Q226" i="28" s="1"/>
  <c r="P228" i="28"/>
  <c r="Q228" i="28" s="1"/>
  <c r="P230" i="28"/>
  <c r="Q230" i="28" s="1"/>
  <c r="P232" i="28"/>
  <c r="Q232" i="28" s="1"/>
  <c r="P234" i="28"/>
  <c r="Q234" i="28" s="1"/>
  <c r="P236" i="28"/>
  <c r="Q236" i="28" s="1"/>
  <c r="P238" i="28"/>
  <c r="Q238" i="28" s="1"/>
  <c r="P240" i="28"/>
  <c r="Q240" i="28" s="1"/>
  <c r="P242" i="28"/>
  <c r="Q242" i="28" s="1"/>
  <c r="P244" i="28"/>
  <c r="Q244" i="28" s="1"/>
  <c r="P246" i="28"/>
  <c r="Q246" i="28" s="1"/>
  <c r="N192" i="28"/>
  <c r="R192" i="28" s="1"/>
  <c r="N195" i="28"/>
  <c r="R195" i="28" s="1"/>
  <c r="N197" i="28"/>
  <c r="R197" i="28" s="1"/>
  <c r="N199" i="28"/>
  <c r="R199" i="28" s="1"/>
  <c r="N201" i="28"/>
  <c r="R201" i="28" s="1"/>
  <c r="N203" i="28"/>
  <c r="R203" i="28" s="1"/>
  <c r="N205" i="28"/>
  <c r="R205" i="28" s="1"/>
  <c r="N207" i="28"/>
  <c r="R207" i="28" s="1"/>
  <c r="N209" i="28"/>
  <c r="R209" i="28" s="1"/>
  <c r="N211" i="28"/>
  <c r="R211" i="28" s="1"/>
  <c r="N213" i="28"/>
  <c r="R213" i="28" s="1"/>
  <c r="N215" i="28"/>
  <c r="R215" i="28" s="1"/>
  <c r="N217" i="28"/>
  <c r="R217" i="28" s="1"/>
  <c r="N219" i="28"/>
  <c r="R219" i="28" s="1"/>
  <c r="N221" i="28"/>
  <c r="R221" i="28" s="1"/>
  <c r="N223" i="28"/>
  <c r="R223" i="28" s="1"/>
  <c r="N225" i="28"/>
  <c r="R225" i="28" s="1"/>
  <c r="N227" i="28"/>
  <c r="R227" i="28" s="1"/>
  <c r="N229" i="28"/>
  <c r="R229" i="28" s="1"/>
  <c r="N231" i="28"/>
  <c r="R231" i="28" s="1"/>
  <c r="N233" i="28"/>
  <c r="R233" i="28" s="1"/>
  <c r="N235" i="28"/>
  <c r="R235" i="28" s="1"/>
  <c r="N237" i="28"/>
  <c r="R237" i="28" s="1"/>
  <c r="N239" i="28"/>
  <c r="R239" i="28" s="1"/>
  <c r="N241" i="28"/>
  <c r="R241" i="28" s="1"/>
  <c r="N243" i="28"/>
  <c r="R243" i="28" s="1"/>
  <c r="N245" i="28"/>
  <c r="R245" i="28" s="1"/>
  <c r="O176" i="28"/>
  <c r="O178" i="28"/>
  <c r="O180" i="28"/>
  <c r="O182" i="28"/>
  <c r="O184" i="28"/>
  <c r="O186" i="28"/>
  <c r="O188" i="28"/>
  <c r="O190" i="28"/>
  <c r="O192" i="28"/>
  <c r="O194" i="28"/>
  <c r="O196" i="28"/>
  <c r="O198" i="28"/>
  <c r="O200" i="28"/>
  <c r="O202" i="28"/>
  <c r="O204" i="28"/>
  <c r="O206" i="28"/>
  <c r="O208" i="28"/>
  <c r="O210" i="28"/>
  <c r="O212" i="28"/>
  <c r="O214" i="28"/>
  <c r="O216" i="28"/>
  <c r="O218" i="28"/>
  <c r="O220" i="28"/>
  <c r="O222" i="28"/>
  <c r="O224" i="28"/>
  <c r="O226" i="28"/>
  <c r="O228" i="28"/>
  <c r="O230" i="28"/>
  <c r="O232" i="28"/>
  <c r="O234" i="28"/>
  <c r="O236" i="28"/>
  <c r="O238" i="28"/>
  <c r="O240" i="28"/>
  <c r="O242" i="28"/>
  <c r="O244" i="28"/>
  <c r="O246" i="28"/>
  <c r="P177" i="28"/>
  <c r="P179" i="28"/>
  <c r="P181" i="28"/>
  <c r="Q181" i="28" s="1"/>
  <c r="P183" i="28"/>
  <c r="Q183" i="28" s="1"/>
  <c r="P185" i="28"/>
  <c r="P187" i="28"/>
  <c r="P189" i="28"/>
  <c r="P191" i="28"/>
  <c r="P193" i="28"/>
  <c r="P195" i="28"/>
  <c r="P197" i="28"/>
  <c r="P199" i="28"/>
  <c r="P201" i="28"/>
  <c r="P203" i="28"/>
  <c r="P205" i="28"/>
  <c r="P207" i="28"/>
  <c r="P209" i="28"/>
  <c r="P211" i="28"/>
  <c r="P213" i="28"/>
  <c r="Q213" i="28" s="1"/>
  <c r="P215" i="28"/>
  <c r="P217" i="28"/>
  <c r="Q217" i="28" s="1"/>
  <c r="P219" i="28"/>
  <c r="Q219" i="28" s="1"/>
  <c r="P221" i="28"/>
  <c r="P223" i="28"/>
  <c r="P225" i="28"/>
  <c r="Q225" i="28" s="1"/>
  <c r="P227" i="28"/>
  <c r="Q227" i="28" s="1"/>
  <c r="P229" i="28"/>
  <c r="Q229" i="28" s="1"/>
  <c r="P231" i="28"/>
  <c r="Q231" i="28" s="1"/>
  <c r="P233" i="28"/>
  <c r="Q233" i="28" s="1"/>
  <c r="P235" i="28"/>
  <c r="Q235" i="28" s="1"/>
  <c r="P237" i="28"/>
  <c r="Q237" i="28" s="1"/>
  <c r="P239" i="28"/>
  <c r="Q239" i="28" s="1"/>
  <c r="P241" i="28"/>
  <c r="P243" i="28"/>
  <c r="P245" i="28"/>
  <c r="Q245" i="28" s="1"/>
  <c r="P260" i="28"/>
  <c r="Q260" i="28" s="1"/>
  <c r="L260" i="28"/>
  <c r="M260" i="28" s="1"/>
  <c r="K260" i="28"/>
  <c r="O260" i="28"/>
  <c r="N260" i="28"/>
  <c r="R260" i="28" s="1"/>
  <c r="G174" i="28"/>
  <c r="G247" i="28"/>
  <c r="G249" i="28"/>
  <c r="G251" i="28"/>
  <c r="G252" i="28"/>
  <c r="G254" i="28"/>
  <c r="G256" i="28"/>
  <c r="G258" i="28"/>
  <c r="H174" i="28"/>
  <c r="H247" i="28"/>
  <c r="H249" i="28"/>
  <c r="H251" i="28"/>
  <c r="G173" i="28"/>
  <c r="G175" i="28"/>
  <c r="G248" i="28"/>
  <c r="G250" i="28"/>
  <c r="G253" i="28"/>
  <c r="G257" i="28"/>
  <c r="H175" i="28"/>
  <c r="H250" i="28"/>
  <c r="H253" i="28"/>
  <c r="H255" i="28"/>
  <c r="H257" i="28"/>
  <c r="H259" i="28"/>
  <c r="G255" i="28"/>
  <c r="G259" i="28"/>
  <c r="H173" i="28"/>
  <c r="H248" i="28"/>
  <c r="H252" i="28"/>
  <c r="H254" i="28"/>
  <c r="H256" i="28"/>
  <c r="H258" i="28"/>
  <c r="O248" i="28"/>
  <c r="O173" i="28"/>
  <c r="P249" i="28"/>
  <c r="Q249" i="28" s="1"/>
  <c r="P174" i="28"/>
  <c r="O250" i="28"/>
  <c r="O175" i="28"/>
  <c r="P251" i="28"/>
  <c r="Q251" i="28" s="1"/>
  <c r="P247" i="28"/>
  <c r="Q247" i="28" s="1"/>
  <c r="N259" i="28"/>
  <c r="R259" i="28" s="1"/>
  <c r="O259" i="28"/>
  <c r="K259" i="28"/>
  <c r="N257" i="28"/>
  <c r="R257" i="28" s="1"/>
  <c r="O257" i="28"/>
  <c r="K257" i="28"/>
  <c r="N255" i="28"/>
  <c r="R255" i="28" s="1"/>
  <c r="O255" i="28"/>
  <c r="K255" i="28"/>
  <c r="N253" i="28"/>
  <c r="R253" i="28" s="1"/>
  <c r="O253" i="28"/>
  <c r="K253" i="28"/>
  <c r="L259" i="28"/>
  <c r="M259" i="28" s="1"/>
  <c r="P257" i="28"/>
  <c r="Q257" i="28" s="1"/>
  <c r="L255" i="28"/>
  <c r="M255" i="28" s="1"/>
  <c r="P253" i="28"/>
  <c r="Q253" i="28" s="1"/>
  <c r="N173" i="28"/>
  <c r="R173" i="28" s="1"/>
  <c r="K174" i="28"/>
  <c r="L175" i="28"/>
  <c r="M175" i="28" s="1"/>
  <c r="P175" i="28"/>
  <c r="Q175" i="28" s="1"/>
  <c r="O247" i="28"/>
  <c r="N248" i="28"/>
  <c r="R248" i="28" s="1"/>
  <c r="K249" i="28"/>
  <c r="L250" i="28"/>
  <c r="M250" i="28" s="1"/>
  <c r="P250" i="28"/>
  <c r="Q250" i="28" s="1"/>
  <c r="O251" i="28"/>
  <c r="O258" i="28"/>
  <c r="P258" i="28"/>
  <c r="Q258" i="28" s="1"/>
  <c r="L258" i="28"/>
  <c r="M258" i="28" s="1"/>
  <c r="K256" i="28"/>
  <c r="N256" i="28"/>
  <c r="R256" i="28" s="1"/>
  <c r="O254" i="28"/>
  <c r="P254" i="28"/>
  <c r="Q254" i="28" s="1"/>
  <c r="P259" i="28"/>
  <c r="Q259" i="28" s="1"/>
  <c r="L257" i="28"/>
  <c r="M257" i="28" s="1"/>
  <c r="P255" i="28"/>
  <c r="Q255" i="28" s="1"/>
  <c r="L253" i="28"/>
  <c r="M253" i="28" s="1"/>
  <c r="L173" i="28"/>
  <c r="M173" i="28" s="1"/>
  <c r="P173" i="28"/>
  <c r="Q173" i="28" s="1"/>
  <c r="O174" i="28"/>
  <c r="N175" i="28"/>
  <c r="R175" i="28" s="1"/>
  <c r="K247" i="28"/>
  <c r="L248" i="28"/>
  <c r="M248" i="28" s="1"/>
  <c r="P248" i="28"/>
  <c r="Q248" i="28" s="1"/>
  <c r="O249" i="28"/>
  <c r="N250" i="28"/>
  <c r="R250" i="28" s="1"/>
  <c r="K251" i="28"/>
  <c r="K258" i="28"/>
  <c r="N258" i="28"/>
  <c r="R258" i="28" s="1"/>
  <c r="O256" i="28"/>
  <c r="P256" i="28"/>
  <c r="Q256" i="28" s="1"/>
  <c r="L256" i="28"/>
  <c r="M256" i="28" s="1"/>
  <c r="K254" i="28"/>
  <c r="N254" i="28"/>
  <c r="R254" i="28" s="1"/>
  <c r="O252" i="28"/>
  <c r="P252" i="28"/>
  <c r="Q252" i="28" s="1"/>
  <c r="L252" i="28"/>
  <c r="M252" i="28" s="1"/>
  <c r="K173" i="28"/>
  <c r="L174" i="28"/>
  <c r="M174" i="28" s="1"/>
  <c r="K175" i="28"/>
  <c r="L247" i="28"/>
  <c r="M247" i="28" s="1"/>
  <c r="K248" i="28"/>
  <c r="L249" i="28"/>
  <c r="M249" i="28" s="1"/>
  <c r="K250" i="28"/>
  <c r="L251" i="28"/>
  <c r="M251" i="28" s="1"/>
  <c r="L254" i="28"/>
  <c r="M254" i="28" s="1"/>
  <c r="N252" i="28"/>
  <c r="R252" i="28" s="1"/>
  <c r="K252" i="28"/>
  <c r="N174" i="28"/>
  <c r="R174" i="28" s="1"/>
  <c r="N247" i="28"/>
  <c r="R247" i="28" s="1"/>
  <c r="N249" i="28"/>
  <c r="R249" i="28" s="1"/>
  <c r="N251" i="28"/>
  <c r="R251" i="28" s="1"/>
  <c r="G162" i="28"/>
  <c r="G164" i="28"/>
  <c r="G166" i="28"/>
  <c r="G169" i="28"/>
  <c r="G170" i="28"/>
  <c r="G171" i="28"/>
  <c r="G172" i="28"/>
  <c r="H162" i="28"/>
  <c r="H164" i="28"/>
  <c r="H166" i="28"/>
  <c r="H169" i="28"/>
  <c r="H170" i="28"/>
  <c r="G165" i="28"/>
  <c r="G168" i="28"/>
  <c r="H165" i="28"/>
  <c r="H168" i="28"/>
  <c r="G163" i="28"/>
  <c r="G167" i="28"/>
  <c r="H163" i="28"/>
  <c r="H167" i="28"/>
  <c r="H171" i="28"/>
  <c r="H172" i="28"/>
  <c r="P165" i="28"/>
  <c r="Q165" i="28" s="1"/>
  <c r="L172" i="28"/>
  <c r="M172" i="28" s="1"/>
  <c r="O164" i="28"/>
  <c r="K164" i="28"/>
  <c r="N166" i="28"/>
  <c r="R166" i="28" s="1"/>
  <c r="K162" i="28"/>
  <c r="N164" i="28"/>
  <c r="R164" i="28" s="1"/>
  <c r="P166" i="28"/>
  <c r="Q166" i="28" s="1"/>
  <c r="O168" i="28"/>
  <c r="L163" i="28"/>
  <c r="M163" i="28" s="1"/>
  <c r="L165" i="28"/>
  <c r="M165" i="28" s="1"/>
  <c r="L167" i="28"/>
  <c r="M167" i="28" s="1"/>
  <c r="P168" i="28"/>
  <c r="Q168" i="28" s="1"/>
  <c r="P172" i="28"/>
  <c r="Q172" i="28" s="1"/>
  <c r="K172" i="28"/>
  <c r="P171" i="28"/>
  <c r="Q171" i="28" s="1"/>
  <c r="K171" i="28"/>
  <c r="P170" i="28"/>
  <c r="Q170" i="28" s="1"/>
  <c r="K170" i="28"/>
  <c r="N169" i="28"/>
  <c r="R169" i="28" s="1"/>
  <c r="L162" i="28"/>
  <c r="M162" i="28" s="1"/>
  <c r="N163" i="28"/>
  <c r="R163" i="28" s="1"/>
  <c r="K165" i="28"/>
  <c r="L166" i="28"/>
  <c r="M166" i="28" s="1"/>
  <c r="N167" i="28"/>
  <c r="R167" i="28" s="1"/>
  <c r="N168" i="28"/>
  <c r="R168" i="28" s="1"/>
  <c r="L168" i="28"/>
  <c r="M168" i="28" s="1"/>
  <c r="P167" i="28"/>
  <c r="Q167" i="28" s="1"/>
  <c r="P163" i="28"/>
  <c r="Q163" i="28" s="1"/>
  <c r="O171" i="28"/>
  <c r="O170" i="28"/>
  <c r="O169" i="28"/>
  <c r="O166" i="28"/>
  <c r="O162" i="28"/>
  <c r="N162" i="28"/>
  <c r="R162" i="28" s="1"/>
  <c r="P164" i="28"/>
  <c r="Q164" i="28" s="1"/>
  <c r="P162" i="28"/>
  <c r="Q162" i="28" s="1"/>
  <c r="K166" i="28"/>
  <c r="O165" i="28"/>
  <c r="N172" i="28"/>
  <c r="R172" i="28" s="1"/>
  <c r="N171" i="28"/>
  <c r="R171" i="28" s="1"/>
  <c r="N170" i="28"/>
  <c r="R170" i="28" s="1"/>
  <c r="P169" i="28"/>
  <c r="Q169" i="28" s="1"/>
  <c r="L164" i="28"/>
  <c r="M164" i="28" s="1"/>
  <c r="O163" i="28"/>
  <c r="O167" i="28"/>
  <c r="K168" i="28"/>
  <c r="O172" i="28"/>
  <c r="L171" i="28"/>
  <c r="M171" i="28" s="1"/>
  <c r="L170" i="28"/>
  <c r="M170" i="28" s="1"/>
  <c r="K169" i="28"/>
  <c r="K163" i="28"/>
  <c r="N165" i="28"/>
  <c r="R165" i="28" s="1"/>
  <c r="K167" i="28"/>
  <c r="L169" i="28"/>
  <c r="M169" i="28" s="1"/>
  <c r="H161" i="28"/>
  <c r="G161" i="28"/>
  <c r="L161" i="28"/>
  <c r="M161" i="28" s="1"/>
  <c r="N161" i="28"/>
  <c r="R161" i="28" s="1"/>
  <c r="O161" i="28"/>
  <c r="P161" i="28"/>
  <c r="Q161" i="28" s="1"/>
  <c r="K161" i="28"/>
  <c r="G151" i="28"/>
  <c r="G153" i="28"/>
  <c r="G155" i="28"/>
  <c r="G157" i="28"/>
  <c r="G159" i="28"/>
  <c r="G160" i="28"/>
  <c r="H151" i="28"/>
  <c r="H153" i="28"/>
  <c r="H155" i="28"/>
  <c r="H157" i="28"/>
  <c r="H159" i="28"/>
  <c r="H160" i="28"/>
  <c r="G152" i="28"/>
  <c r="G156" i="28"/>
  <c r="H154" i="28"/>
  <c r="H158" i="28"/>
  <c r="G154" i="28"/>
  <c r="G158" i="28"/>
  <c r="H152" i="28"/>
  <c r="H156" i="28"/>
  <c r="N156" i="28"/>
  <c r="R156" i="28" s="1"/>
  <c r="N152" i="28"/>
  <c r="R152" i="28" s="1"/>
  <c r="L154" i="28"/>
  <c r="M154" i="28" s="1"/>
  <c r="P160" i="28"/>
  <c r="Q160" i="28" s="1"/>
  <c r="L160" i="28"/>
  <c r="M160" i="28" s="1"/>
  <c r="N159" i="28"/>
  <c r="R159" i="28" s="1"/>
  <c r="O159" i="28"/>
  <c r="P157" i="28"/>
  <c r="Q157" i="28" s="1"/>
  <c r="L157" i="28"/>
  <c r="M157" i="28" s="1"/>
  <c r="N155" i="28"/>
  <c r="R155" i="28" s="1"/>
  <c r="O155" i="28"/>
  <c r="P153" i="28"/>
  <c r="Q153" i="28" s="1"/>
  <c r="L153" i="28"/>
  <c r="M153" i="28" s="1"/>
  <c r="P151" i="28"/>
  <c r="Q151" i="28" s="1"/>
  <c r="K151" i="28"/>
  <c r="N151" i="28"/>
  <c r="R151" i="28" s="1"/>
  <c r="O160" i="28"/>
  <c r="L151" i="28"/>
  <c r="M151" i="28" s="1"/>
  <c r="K157" i="28"/>
  <c r="L158" i="28"/>
  <c r="M158" i="28" s="1"/>
  <c r="P158" i="28"/>
  <c r="Q158" i="28" s="1"/>
  <c r="P159" i="28"/>
  <c r="Q159" i="28" s="1"/>
  <c r="K159" i="28"/>
  <c r="P155" i="28"/>
  <c r="Q155" i="28" s="1"/>
  <c r="K155" i="28"/>
  <c r="K153" i="28"/>
  <c r="O153" i="28"/>
  <c r="K160" i="28"/>
  <c r="O156" i="28"/>
  <c r="O154" i="28"/>
  <c r="K154" i="28"/>
  <c r="K152" i="28"/>
  <c r="L152" i="28"/>
  <c r="M152" i="28" s="1"/>
  <c r="N154" i="28"/>
  <c r="R154" i="28" s="1"/>
  <c r="P156" i="28"/>
  <c r="Q156" i="28" s="1"/>
  <c r="P154" i="28"/>
  <c r="Q154" i="28" s="1"/>
  <c r="N160" i="28"/>
  <c r="R160" i="28" s="1"/>
  <c r="L159" i="28"/>
  <c r="M159" i="28" s="1"/>
  <c r="N157" i="28"/>
  <c r="R157" i="28" s="1"/>
  <c r="L155" i="28"/>
  <c r="M155" i="28" s="1"/>
  <c r="N153" i="28"/>
  <c r="R153" i="28" s="1"/>
  <c r="O151" i="28"/>
  <c r="O157" i="28"/>
  <c r="O158" i="28"/>
  <c r="K158" i="28"/>
  <c r="K156" i="28"/>
  <c r="O152" i="28"/>
  <c r="P152" i="28"/>
  <c r="Q152" i="28" s="1"/>
  <c r="L156" i="28"/>
  <c r="M156" i="28" s="1"/>
  <c r="N158" i="28"/>
  <c r="R158" i="28" s="1"/>
  <c r="G150" i="28"/>
  <c r="G149" i="28"/>
  <c r="H150" i="28"/>
  <c r="O149" i="28"/>
  <c r="N150" i="28"/>
  <c r="R150" i="28" s="1"/>
  <c r="P149" i="28"/>
  <c r="Q149" i="28" s="1"/>
  <c r="L149" i="28"/>
  <c r="M149" i="28" s="1"/>
  <c r="H149" i="28"/>
  <c r="O150" i="28"/>
  <c r="L150" i="28"/>
  <c r="M150" i="28" s="1"/>
  <c r="N149" i="28"/>
  <c r="R149" i="28" s="1"/>
  <c r="P150" i="28"/>
  <c r="Q150" i="28" s="1"/>
  <c r="K149" i="28"/>
  <c r="K150" i="28"/>
  <c r="G110" i="28"/>
  <c r="G112" i="28"/>
  <c r="G114" i="28"/>
  <c r="G116" i="28"/>
  <c r="G108" i="28"/>
  <c r="G109" i="28"/>
  <c r="G113" i="28"/>
  <c r="G117" i="28"/>
  <c r="G121" i="28"/>
  <c r="G123" i="28"/>
  <c r="G125" i="28"/>
  <c r="G127" i="28"/>
  <c r="G129" i="28"/>
  <c r="G131" i="28"/>
  <c r="G134" i="28"/>
  <c r="G136" i="28"/>
  <c r="G138" i="28"/>
  <c r="G140" i="28"/>
  <c r="G142" i="28"/>
  <c r="G144" i="28"/>
  <c r="G146" i="28"/>
  <c r="G148" i="28"/>
  <c r="H110" i="28"/>
  <c r="H112" i="28"/>
  <c r="H114" i="28"/>
  <c r="H116" i="28"/>
  <c r="G111" i="28"/>
  <c r="G118" i="28"/>
  <c r="G119" i="28"/>
  <c r="G124" i="28"/>
  <c r="G128" i="28"/>
  <c r="G132" i="28"/>
  <c r="G135" i="28"/>
  <c r="G139" i="28"/>
  <c r="G143" i="28"/>
  <c r="G147" i="28"/>
  <c r="H107" i="28"/>
  <c r="H111" i="28"/>
  <c r="H115" i="28"/>
  <c r="H118" i="28"/>
  <c r="H119" i="28"/>
  <c r="H120" i="28"/>
  <c r="H122" i="28"/>
  <c r="H124" i="28"/>
  <c r="H126" i="28"/>
  <c r="H128" i="28"/>
  <c r="H130" i="28"/>
  <c r="H132" i="28"/>
  <c r="H133" i="28"/>
  <c r="H135" i="28"/>
  <c r="H137" i="28"/>
  <c r="H139" i="28"/>
  <c r="H141" i="28"/>
  <c r="H143" i="28"/>
  <c r="H145" i="28"/>
  <c r="H147" i="28"/>
  <c r="G107" i="28"/>
  <c r="G115" i="28"/>
  <c r="G120" i="28"/>
  <c r="G122" i="28"/>
  <c r="G130" i="28"/>
  <c r="G137" i="28"/>
  <c r="G145" i="28"/>
  <c r="H113" i="28"/>
  <c r="H121" i="28"/>
  <c r="H125" i="28"/>
  <c r="H129" i="28"/>
  <c r="H136" i="28"/>
  <c r="H140" i="28"/>
  <c r="H144" i="28"/>
  <c r="H148" i="28"/>
  <c r="G126" i="28"/>
  <c r="G133" i="28"/>
  <c r="G141" i="28"/>
  <c r="H108" i="28"/>
  <c r="H109" i="28"/>
  <c r="H117" i="28"/>
  <c r="H123" i="28"/>
  <c r="H127" i="28"/>
  <c r="H131" i="28"/>
  <c r="H134" i="28"/>
  <c r="H138" i="28"/>
  <c r="H142" i="28"/>
  <c r="H146" i="28"/>
  <c r="K142" i="28"/>
  <c r="L121" i="28"/>
  <c r="M121" i="28" s="1"/>
  <c r="L118" i="28"/>
  <c r="M118" i="28" s="1"/>
  <c r="L115" i="28"/>
  <c r="M115" i="28" s="1"/>
  <c r="L111" i="28"/>
  <c r="M111" i="28" s="1"/>
  <c r="O107" i="28"/>
  <c r="K116" i="28"/>
  <c r="P114" i="28"/>
  <c r="Q114" i="28" s="1"/>
  <c r="K110" i="28"/>
  <c r="P107" i="28"/>
  <c r="Q107" i="28" s="1"/>
  <c r="N116" i="28"/>
  <c r="R116" i="28" s="1"/>
  <c r="O114" i="28"/>
  <c r="O112" i="28"/>
  <c r="K112" i="28"/>
  <c r="N110" i="28"/>
  <c r="R110" i="28" s="1"/>
  <c r="K108" i="28"/>
  <c r="K109" i="28"/>
  <c r="K114" i="28"/>
  <c r="P147" i="28"/>
  <c r="K147" i="28"/>
  <c r="O147" i="28"/>
  <c r="N145" i="28"/>
  <c r="R145" i="28" s="1"/>
  <c r="O145" i="28"/>
  <c r="P143" i="28"/>
  <c r="Q143" i="28" s="1"/>
  <c r="K143" i="28"/>
  <c r="O143" i="28"/>
  <c r="N141" i="28"/>
  <c r="R141" i="28" s="1"/>
  <c r="O141" i="28"/>
  <c r="P139" i="28"/>
  <c r="K139" i="28"/>
  <c r="O139" i="28"/>
  <c r="N137" i="28"/>
  <c r="R137" i="28" s="1"/>
  <c r="O137" i="28"/>
  <c r="P135" i="28"/>
  <c r="Q135" i="28" s="1"/>
  <c r="K135" i="28"/>
  <c r="O135" i="28"/>
  <c r="N133" i="28"/>
  <c r="R133" i="28" s="1"/>
  <c r="O133" i="28"/>
  <c r="P132" i="28"/>
  <c r="Q132" i="28" s="1"/>
  <c r="K132" i="28"/>
  <c r="O132" i="28"/>
  <c r="N130" i="28"/>
  <c r="R130" i="28" s="1"/>
  <c r="O130" i="28"/>
  <c r="O128" i="28"/>
  <c r="N128" i="28"/>
  <c r="R128" i="28" s="1"/>
  <c r="P128" i="28"/>
  <c r="Q128" i="28" s="1"/>
  <c r="L126" i="28"/>
  <c r="M126" i="28" s="1"/>
  <c r="P126" i="28"/>
  <c r="Q126" i="28" s="1"/>
  <c r="O124" i="28"/>
  <c r="N124" i="28"/>
  <c r="R124" i="28" s="1"/>
  <c r="P124" i="28"/>
  <c r="Q124" i="28" s="1"/>
  <c r="N122" i="28"/>
  <c r="R122" i="28" s="1"/>
  <c r="L122" i="28"/>
  <c r="M122" i="28" s="1"/>
  <c r="N148" i="28"/>
  <c r="R148" i="28" s="1"/>
  <c r="P138" i="28"/>
  <c r="Q138" i="28" s="1"/>
  <c r="N127" i="28"/>
  <c r="R127" i="28" s="1"/>
  <c r="O117" i="28"/>
  <c r="O113" i="28"/>
  <c r="O109" i="28"/>
  <c r="O108" i="28"/>
  <c r="N112" i="28"/>
  <c r="R112" i="28" s="1"/>
  <c r="K107" i="28"/>
  <c r="N108" i="28"/>
  <c r="R108" i="28" s="1"/>
  <c r="N109" i="28"/>
  <c r="R109" i="28" s="1"/>
  <c r="O116" i="28"/>
  <c r="N114" i="28"/>
  <c r="R114" i="28" s="1"/>
  <c r="P112" i="28"/>
  <c r="Q112" i="28" s="1"/>
  <c r="O110" i="28"/>
  <c r="N107" i="28"/>
  <c r="R107" i="28" s="1"/>
  <c r="P108" i="28"/>
  <c r="Q108" i="28" s="1"/>
  <c r="P109" i="28"/>
  <c r="Q109" i="28" s="1"/>
  <c r="P110" i="28"/>
  <c r="Q110" i="28" s="1"/>
  <c r="P116" i="28"/>
  <c r="Q116" i="28" s="1"/>
  <c r="N147" i="28"/>
  <c r="R147" i="28" s="1"/>
  <c r="L147" i="28"/>
  <c r="M147" i="28" s="1"/>
  <c r="P145" i="28"/>
  <c r="Q145" i="28" s="1"/>
  <c r="K145" i="28"/>
  <c r="L145" i="28"/>
  <c r="M145" i="28" s="1"/>
  <c r="N143" i="28"/>
  <c r="R143" i="28" s="1"/>
  <c r="L143" i="28"/>
  <c r="M143" i="28" s="1"/>
  <c r="P141" i="28"/>
  <c r="Q141" i="28" s="1"/>
  <c r="K141" i="28"/>
  <c r="L141" i="28"/>
  <c r="M141" i="28" s="1"/>
  <c r="N139" i="28"/>
  <c r="R139" i="28" s="1"/>
  <c r="L139" i="28"/>
  <c r="M139" i="28" s="1"/>
  <c r="P137" i="28"/>
  <c r="K137" i="28"/>
  <c r="L137" i="28"/>
  <c r="M137" i="28" s="1"/>
  <c r="N135" i="28"/>
  <c r="R135" i="28" s="1"/>
  <c r="L135" i="28"/>
  <c r="M135" i="28" s="1"/>
  <c r="P133" i="28"/>
  <c r="K133" i="28"/>
  <c r="L133" i="28"/>
  <c r="M133" i="28" s="1"/>
  <c r="N132" i="28"/>
  <c r="R132" i="28" s="1"/>
  <c r="L132" i="28"/>
  <c r="M132" i="28" s="1"/>
  <c r="P130" i="28"/>
  <c r="Q130" i="28" s="1"/>
  <c r="K130" i="28"/>
  <c r="L130" i="28"/>
  <c r="M130" i="28" s="1"/>
  <c r="L128" i="28"/>
  <c r="M128" i="28" s="1"/>
  <c r="K128" i="28"/>
  <c r="O126" i="28"/>
  <c r="N126" i="28"/>
  <c r="R126" i="28" s="1"/>
  <c r="K126" i="28"/>
  <c r="L124" i="28"/>
  <c r="M124" i="28" s="1"/>
  <c r="K124" i="28"/>
  <c r="P122" i="28"/>
  <c r="Q122" i="28" s="1"/>
  <c r="K122" i="28"/>
  <c r="O122" i="28"/>
  <c r="L120" i="28"/>
  <c r="M120" i="28" s="1"/>
  <c r="K120" i="28"/>
  <c r="O119" i="28"/>
  <c r="N119" i="28"/>
  <c r="R119" i="28" s="1"/>
  <c r="P119" i="28"/>
  <c r="Q119" i="28" s="1"/>
  <c r="P118" i="28"/>
  <c r="Q118" i="28" s="1"/>
  <c r="K118" i="28"/>
  <c r="N117" i="28"/>
  <c r="R117" i="28" s="1"/>
  <c r="P115" i="28"/>
  <c r="Q115" i="28" s="1"/>
  <c r="K115" i="28"/>
  <c r="N113" i="28"/>
  <c r="R113" i="28" s="1"/>
  <c r="P111" i="28"/>
  <c r="Q111" i="28" s="1"/>
  <c r="K111" i="28"/>
  <c r="L113" i="28"/>
  <c r="M113" i="28" s="1"/>
  <c r="L117" i="28"/>
  <c r="M117" i="28" s="1"/>
  <c r="O148" i="28"/>
  <c r="P148" i="28"/>
  <c r="O146" i="28"/>
  <c r="N146" i="28"/>
  <c r="R146" i="28" s="1"/>
  <c r="O144" i="28"/>
  <c r="P144" i="28"/>
  <c r="Q144" i="28" s="1"/>
  <c r="N144" i="28"/>
  <c r="R144" i="28" s="1"/>
  <c r="L142" i="28"/>
  <c r="M142" i="28" s="1"/>
  <c r="P142" i="28"/>
  <c r="Q142" i="28" s="1"/>
  <c r="L140" i="28"/>
  <c r="M140" i="28" s="1"/>
  <c r="K140" i="28"/>
  <c r="L138" i="28"/>
  <c r="M138" i="28" s="1"/>
  <c r="K138" i="28"/>
  <c r="L136" i="28"/>
  <c r="M136" i="28" s="1"/>
  <c r="K136" i="28"/>
  <c r="O134" i="28"/>
  <c r="N134" i="28"/>
  <c r="R134" i="28" s="1"/>
  <c r="O131" i="28"/>
  <c r="N131" i="28"/>
  <c r="R131" i="28" s="1"/>
  <c r="O129" i="28"/>
  <c r="P129" i="28"/>
  <c r="Q129" i="28" s="1"/>
  <c r="N129" i="28"/>
  <c r="R129" i="28" s="1"/>
  <c r="L127" i="28"/>
  <c r="M127" i="28" s="1"/>
  <c r="K127" i="28"/>
  <c r="L125" i="28"/>
  <c r="M125" i="28" s="1"/>
  <c r="K125" i="28"/>
  <c r="O123" i="28"/>
  <c r="P123" i="28"/>
  <c r="Q123" i="28" s="1"/>
  <c r="P121" i="28"/>
  <c r="Q121" i="28" s="1"/>
  <c r="K121" i="28"/>
  <c r="O120" i="28"/>
  <c r="P120" i="28"/>
  <c r="Q120" i="28" s="1"/>
  <c r="N120" i="28"/>
  <c r="R120" i="28" s="1"/>
  <c r="L119" i="28"/>
  <c r="M119" i="28" s="1"/>
  <c r="K119" i="28"/>
  <c r="N118" i="28"/>
  <c r="R118" i="28" s="1"/>
  <c r="P117" i="28"/>
  <c r="Q117" i="28" s="1"/>
  <c r="K117" i="28"/>
  <c r="N115" i="28"/>
  <c r="R115" i="28" s="1"/>
  <c r="P113" i="28"/>
  <c r="Q113" i="28" s="1"/>
  <c r="K113" i="28"/>
  <c r="N111" i="28"/>
  <c r="R111" i="28" s="1"/>
  <c r="O111" i="28"/>
  <c r="O115" i="28"/>
  <c r="O118" i="28"/>
  <c r="L148" i="28"/>
  <c r="M148" i="28" s="1"/>
  <c r="K148" i="28"/>
  <c r="L146" i="28"/>
  <c r="M146" i="28" s="1"/>
  <c r="K146" i="28"/>
  <c r="L144" i="28"/>
  <c r="M144" i="28" s="1"/>
  <c r="K144" i="28"/>
  <c r="O142" i="28"/>
  <c r="N142" i="28"/>
  <c r="R142" i="28" s="1"/>
  <c r="O140" i="28"/>
  <c r="P140" i="28"/>
  <c r="O138" i="28"/>
  <c r="N138" i="28"/>
  <c r="R138" i="28" s="1"/>
  <c r="O136" i="28"/>
  <c r="P136" i="28"/>
  <c r="N136" i="28"/>
  <c r="R136" i="28" s="1"/>
  <c r="L134" i="28"/>
  <c r="M134" i="28" s="1"/>
  <c r="P134" i="28"/>
  <c r="Q134" i="28" s="1"/>
  <c r="L131" i="28"/>
  <c r="M131" i="28" s="1"/>
  <c r="K131" i="28"/>
  <c r="L129" i="28"/>
  <c r="M129" i="28" s="1"/>
  <c r="K129" i="28"/>
  <c r="O127" i="28"/>
  <c r="P127" i="28"/>
  <c r="Q127" i="28" s="1"/>
  <c r="O125" i="28"/>
  <c r="P125" i="28"/>
  <c r="Q125" i="28" s="1"/>
  <c r="N125" i="28"/>
  <c r="R125" i="28" s="1"/>
  <c r="L123" i="28"/>
  <c r="M123" i="28" s="1"/>
  <c r="K123" i="28"/>
  <c r="N121" i="28"/>
  <c r="R121" i="28" s="1"/>
  <c r="O121" i="28"/>
  <c r="L108" i="28"/>
  <c r="M108" i="28" s="1"/>
  <c r="N123" i="28"/>
  <c r="R123" i="28" s="1"/>
  <c r="L107" i="28"/>
  <c r="M107" i="28" s="1"/>
  <c r="L110" i="28"/>
  <c r="M110" i="28" s="1"/>
  <c r="L114" i="28"/>
  <c r="M114" i="28" s="1"/>
  <c r="L116" i="28"/>
  <c r="M116" i="28" s="1"/>
  <c r="P131" i="28"/>
  <c r="Q131" i="28" s="1"/>
  <c r="N140" i="28"/>
  <c r="R140" i="28" s="1"/>
  <c r="L109" i="28"/>
  <c r="M109" i="28" s="1"/>
  <c r="L112" i="28"/>
  <c r="M112" i="28" s="1"/>
  <c r="K134" i="28"/>
  <c r="P146" i="28"/>
  <c r="G102" i="28"/>
  <c r="G104" i="28"/>
  <c r="G105" i="28"/>
  <c r="G103" i="28"/>
  <c r="G106" i="28"/>
  <c r="H104" i="28"/>
  <c r="H102" i="28"/>
  <c r="H105" i="28"/>
  <c r="K106" i="28"/>
  <c r="P103" i="28"/>
  <c r="Q103" i="28" s="1"/>
  <c r="O104" i="28"/>
  <c r="H106" i="28"/>
  <c r="P105" i="28"/>
  <c r="Q105" i="28" s="1"/>
  <c r="K105" i="28"/>
  <c r="P104" i="28"/>
  <c r="Q104" i="28" s="1"/>
  <c r="K104" i="28"/>
  <c r="P102" i="28"/>
  <c r="Q102" i="28" s="1"/>
  <c r="K102" i="28"/>
  <c r="H103" i="28"/>
  <c r="N105" i="28"/>
  <c r="R105" i="28" s="1"/>
  <c r="O105" i="28"/>
  <c r="N104" i="28"/>
  <c r="R104" i="28" s="1"/>
  <c r="L104" i="28"/>
  <c r="M104" i="28" s="1"/>
  <c r="N102" i="28"/>
  <c r="R102" i="28" s="1"/>
  <c r="O102" i="28"/>
  <c r="O106" i="28"/>
  <c r="N106" i="28"/>
  <c r="R106" i="28" s="1"/>
  <c r="O103" i="28"/>
  <c r="N103" i="28"/>
  <c r="R103" i="28" s="1"/>
  <c r="L102" i="28"/>
  <c r="M102" i="28" s="1"/>
  <c r="L106" i="28"/>
  <c r="M106" i="28" s="1"/>
  <c r="L103" i="28"/>
  <c r="M103" i="28" s="1"/>
  <c r="K103" i="28"/>
  <c r="L105" i="28"/>
  <c r="M105" i="28" s="1"/>
  <c r="P106" i="28"/>
  <c r="Q106" i="28" s="1"/>
  <c r="G84" i="28"/>
  <c r="G86" i="28"/>
  <c r="G87" i="28"/>
  <c r="G88" i="28"/>
  <c r="G90" i="28"/>
  <c r="G92" i="28"/>
  <c r="G95" i="28"/>
  <c r="G97" i="28"/>
  <c r="G99" i="28"/>
  <c r="H87" i="28"/>
  <c r="H89" i="28"/>
  <c r="H93" i="28"/>
  <c r="G83" i="28"/>
  <c r="G85" i="28"/>
  <c r="G89" i="28"/>
  <c r="G91" i="28"/>
  <c r="G93" i="28"/>
  <c r="G94" i="28"/>
  <c r="G96" i="28"/>
  <c r="G98" i="28"/>
  <c r="G100" i="28"/>
  <c r="G101" i="28"/>
  <c r="H83" i="28"/>
  <c r="H85" i="28"/>
  <c r="H91" i="28"/>
  <c r="H94" i="28"/>
  <c r="H98" i="28"/>
  <c r="H96" i="28"/>
  <c r="H101" i="28"/>
  <c r="H100" i="28"/>
  <c r="P85" i="28"/>
  <c r="Q85" i="28" s="1"/>
  <c r="P83" i="28"/>
  <c r="Q83" i="28" s="1"/>
  <c r="H97" i="28"/>
  <c r="H90" i="28"/>
  <c r="L99" i="28"/>
  <c r="M99" i="28" s="1"/>
  <c r="P99" i="28"/>
  <c r="Q99" i="28" s="1"/>
  <c r="O97" i="28"/>
  <c r="P97" i="28"/>
  <c r="Q97" i="28" s="1"/>
  <c r="N97" i="28"/>
  <c r="R97" i="28" s="1"/>
  <c r="N95" i="28"/>
  <c r="R95" i="28" s="1"/>
  <c r="O95" i="28"/>
  <c r="N92" i="28"/>
  <c r="R92" i="28" s="1"/>
  <c r="O92" i="28"/>
  <c r="P90" i="28"/>
  <c r="Q90" i="28" s="1"/>
  <c r="L90" i="28"/>
  <c r="M90" i="28" s="1"/>
  <c r="K90" i="28"/>
  <c r="N88" i="28"/>
  <c r="R88" i="28" s="1"/>
  <c r="O88" i="28"/>
  <c r="H99" i="28"/>
  <c r="H95" i="28"/>
  <c r="H92" i="28"/>
  <c r="H88" i="28"/>
  <c r="H86" i="28"/>
  <c r="H84" i="28"/>
  <c r="O99" i="28"/>
  <c r="N99" i="28"/>
  <c r="R99" i="28" s="1"/>
  <c r="K99" i="28"/>
  <c r="L97" i="28"/>
  <c r="M97" i="28" s="1"/>
  <c r="K97" i="28"/>
  <c r="P95" i="28"/>
  <c r="Q95" i="28" s="1"/>
  <c r="L95" i="28"/>
  <c r="M95" i="28" s="1"/>
  <c r="K95" i="28"/>
  <c r="P92" i="28"/>
  <c r="Q92" i="28" s="1"/>
  <c r="L92" i="28"/>
  <c r="M92" i="28" s="1"/>
  <c r="K92" i="28"/>
  <c r="N90" i="28"/>
  <c r="R90" i="28" s="1"/>
  <c r="O90" i="28"/>
  <c r="P88" i="28"/>
  <c r="Q88" i="28" s="1"/>
  <c r="L88" i="28"/>
  <c r="M88" i="28" s="1"/>
  <c r="K88" i="28"/>
  <c r="P86" i="28"/>
  <c r="Q86" i="28" s="1"/>
  <c r="L86" i="28"/>
  <c r="M86" i="28" s="1"/>
  <c r="P84" i="28"/>
  <c r="Q84" i="28" s="1"/>
  <c r="L84" i="28"/>
  <c r="M84" i="28" s="1"/>
  <c r="L83" i="28"/>
  <c r="M83" i="28" s="1"/>
  <c r="N84" i="28"/>
  <c r="R84" i="28" s="1"/>
  <c r="N101" i="28"/>
  <c r="R101" i="28" s="1"/>
  <c r="L101" i="28"/>
  <c r="M101" i="28" s="1"/>
  <c r="N100" i="28"/>
  <c r="R100" i="28" s="1"/>
  <c r="L100" i="28"/>
  <c r="M100" i="28" s="1"/>
  <c r="P98" i="28"/>
  <c r="Q98" i="28" s="1"/>
  <c r="K98" i="28"/>
  <c r="L98" i="28"/>
  <c r="M98" i="28" s="1"/>
  <c r="N96" i="28"/>
  <c r="R96" i="28" s="1"/>
  <c r="L96" i="28"/>
  <c r="M96" i="28" s="1"/>
  <c r="O94" i="28"/>
  <c r="P94" i="28"/>
  <c r="Q94" i="28" s="1"/>
  <c r="N94" i="28"/>
  <c r="R94" i="28" s="1"/>
  <c r="K93" i="28"/>
  <c r="L93" i="28"/>
  <c r="M93" i="28" s="1"/>
  <c r="O91" i="28"/>
  <c r="N91" i="28"/>
  <c r="R91" i="28" s="1"/>
  <c r="L91" i="28"/>
  <c r="M91" i="28" s="1"/>
  <c r="K89" i="28"/>
  <c r="L89" i="28"/>
  <c r="M89" i="28" s="1"/>
  <c r="K87" i="28"/>
  <c r="L87" i="28"/>
  <c r="M87" i="28" s="1"/>
  <c r="O85" i="28"/>
  <c r="K85" i="28"/>
  <c r="O83" i="28"/>
  <c r="K83" i="28"/>
  <c r="K84" i="28"/>
  <c r="N86" i="28"/>
  <c r="R86" i="28" s="1"/>
  <c r="L85" i="28"/>
  <c r="M85" i="28" s="1"/>
  <c r="P101" i="28"/>
  <c r="Q101" i="28" s="1"/>
  <c r="K101" i="28"/>
  <c r="O101" i="28"/>
  <c r="P100" i="28"/>
  <c r="Q100" i="28" s="1"/>
  <c r="K100" i="28"/>
  <c r="O100" i="28"/>
  <c r="N98" i="28"/>
  <c r="R98" i="28" s="1"/>
  <c r="O98" i="28"/>
  <c r="P96" i="28"/>
  <c r="Q96" i="28" s="1"/>
  <c r="K96" i="28"/>
  <c r="O96" i="28"/>
  <c r="K94" i="28"/>
  <c r="L94" i="28"/>
  <c r="M94" i="28" s="1"/>
  <c r="O93" i="28"/>
  <c r="P93" i="28"/>
  <c r="Q93" i="28" s="1"/>
  <c r="N93" i="28"/>
  <c r="R93" i="28" s="1"/>
  <c r="K91" i="28"/>
  <c r="P91" i="28"/>
  <c r="Q91" i="28" s="1"/>
  <c r="O89" i="28"/>
  <c r="P89" i="28"/>
  <c r="Q89" i="28" s="1"/>
  <c r="N89" i="28"/>
  <c r="R89" i="28" s="1"/>
  <c r="O87" i="28"/>
  <c r="P87" i="28"/>
  <c r="Q87" i="28" s="1"/>
  <c r="N87" i="28"/>
  <c r="R87" i="28" s="1"/>
  <c r="N83" i="28"/>
  <c r="R83" i="28" s="1"/>
  <c r="O84" i="28"/>
  <c r="N85" i="28"/>
  <c r="R85" i="28" s="1"/>
  <c r="O86" i="28"/>
  <c r="K86" i="28"/>
  <c r="G82" i="28"/>
  <c r="H82" i="28"/>
  <c r="G81" i="28"/>
  <c r="L81" i="28"/>
  <c r="M81" i="28" s="1"/>
  <c r="G80" i="28"/>
  <c r="L80" i="28"/>
  <c r="M80" i="28" s="1"/>
  <c r="K82" i="28"/>
  <c r="L82" i="28"/>
  <c r="M82" i="28" s="1"/>
  <c r="K81" i="28"/>
  <c r="H81" i="28"/>
  <c r="K80" i="28"/>
  <c r="H80" i="28"/>
  <c r="G78" i="28"/>
  <c r="H78" i="28"/>
  <c r="G79" i="28"/>
  <c r="L79" i="28"/>
  <c r="M79" i="28" s="1"/>
  <c r="K78" i="28"/>
  <c r="L78" i="28"/>
  <c r="M78" i="28" s="1"/>
  <c r="K79" i="28"/>
  <c r="H79" i="28"/>
  <c r="G74" i="28"/>
  <c r="H74" i="28"/>
  <c r="G77" i="28"/>
  <c r="L77" i="28"/>
  <c r="M77" i="28" s="1"/>
  <c r="G75" i="28"/>
  <c r="L75" i="28"/>
  <c r="M75" i="28" s="1"/>
  <c r="G73" i="28"/>
  <c r="L73" i="28"/>
  <c r="M73" i="28" s="1"/>
  <c r="G71" i="28"/>
  <c r="L71" i="28"/>
  <c r="M71" i="28" s="1"/>
  <c r="G69" i="28"/>
  <c r="L69" i="28"/>
  <c r="M69" i="28" s="1"/>
  <c r="G67" i="28"/>
  <c r="L67" i="28"/>
  <c r="M67" i="28" s="1"/>
  <c r="G65" i="28"/>
  <c r="L65" i="28"/>
  <c r="M65" i="28" s="1"/>
  <c r="G63" i="28"/>
  <c r="L63" i="28"/>
  <c r="M63" i="28" s="1"/>
  <c r="G60" i="28"/>
  <c r="L60" i="28"/>
  <c r="M60" i="28" s="1"/>
  <c r="G58" i="28"/>
  <c r="L58" i="28"/>
  <c r="M58" i="28" s="1"/>
  <c r="G56" i="28"/>
  <c r="L56" i="28"/>
  <c r="M56" i="28" s="1"/>
  <c r="G54" i="28"/>
  <c r="L54" i="28"/>
  <c r="M54" i="28" s="1"/>
  <c r="G52" i="28"/>
  <c r="L52" i="28"/>
  <c r="M52" i="28" s="1"/>
  <c r="G50" i="28"/>
  <c r="L50" i="28"/>
  <c r="M50" i="28" s="1"/>
  <c r="G48" i="28"/>
  <c r="L48" i="28"/>
  <c r="M48" i="28" s="1"/>
  <c r="G46" i="28"/>
  <c r="L46" i="28"/>
  <c r="M46" i="28" s="1"/>
  <c r="G44" i="28"/>
  <c r="L44" i="28"/>
  <c r="M44" i="28" s="1"/>
  <c r="G42" i="28"/>
  <c r="L42" i="28"/>
  <c r="M42" i="28" s="1"/>
  <c r="G40" i="28"/>
  <c r="L40" i="28"/>
  <c r="M40" i="28" s="1"/>
  <c r="G38" i="28"/>
  <c r="L38" i="28"/>
  <c r="M38" i="28" s="1"/>
  <c r="G36" i="28"/>
  <c r="L36" i="28"/>
  <c r="M36" i="28" s="1"/>
  <c r="G34" i="28"/>
  <c r="L34" i="28"/>
  <c r="M34" i="28" s="1"/>
  <c r="G32" i="28"/>
  <c r="L32" i="28"/>
  <c r="M32" i="28" s="1"/>
  <c r="G30" i="28"/>
  <c r="L30" i="28"/>
  <c r="M30" i="28" s="1"/>
  <c r="G28" i="28"/>
  <c r="L28" i="28"/>
  <c r="M28" i="28" s="1"/>
  <c r="G26" i="28"/>
  <c r="L26" i="28"/>
  <c r="M26" i="28" s="1"/>
  <c r="G76" i="28"/>
  <c r="H76" i="28"/>
  <c r="G72" i="28"/>
  <c r="H72" i="28"/>
  <c r="G70" i="28"/>
  <c r="H70" i="28"/>
  <c r="G68" i="28"/>
  <c r="H68" i="28"/>
  <c r="G66" i="28"/>
  <c r="H66" i="28"/>
  <c r="G64" i="28"/>
  <c r="H64" i="28"/>
  <c r="G62" i="28"/>
  <c r="H62" i="28"/>
  <c r="G61" i="28"/>
  <c r="H61" i="28"/>
  <c r="G59" i="28"/>
  <c r="H59" i="28"/>
  <c r="G57" i="28"/>
  <c r="H57" i="28"/>
  <c r="G55" i="28"/>
  <c r="H55" i="28"/>
  <c r="G53" i="28"/>
  <c r="H53" i="28"/>
  <c r="G51" i="28"/>
  <c r="H51" i="28"/>
  <c r="G49" i="28"/>
  <c r="H49" i="28"/>
  <c r="G47" i="28"/>
  <c r="H47" i="28"/>
  <c r="G45" i="28"/>
  <c r="H45" i="28"/>
  <c r="G43" i="28"/>
  <c r="H43" i="28"/>
  <c r="G41" i="28"/>
  <c r="H41" i="28"/>
  <c r="G39" i="28"/>
  <c r="H39" i="28"/>
  <c r="G37" i="28"/>
  <c r="H37" i="28"/>
  <c r="G35" i="28"/>
  <c r="H35" i="28"/>
  <c r="G33" i="28"/>
  <c r="H33" i="28"/>
  <c r="G31" i="28"/>
  <c r="H31" i="28"/>
  <c r="G29" i="28"/>
  <c r="H29" i="28"/>
  <c r="G27" i="28"/>
  <c r="H27" i="28"/>
  <c r="G25" i="28"/>
  <c r="H25" i="28"/>
  <c r="G24" i="28"/>
  <c r="H24" i="28"/>
  <c r="L24" i="28"/>
  <c r="M24" i="28" s="1"/>
  <c r="K74" i="28"/>
  <c r="L74" i="28"/>
  <c r="M74" i="28" s="1"/>
  <c r="K77" i="28"/>
  <c r="H77" i="28"/>
  <c r="K75" i="28"/>
  <c r="H75" i="28"/>
  <c r="K73" i="28"/>
  <c r="H73" i="28"/>
  <c r="K71" i="28"/>
  <c r="H71" i="28"/>
  <c r="K69" i="28"/>
  <c r="H69" i="28"/>
  <c r="K67" i="28"/>
  <c r="H67" i="28"/>
  <c r="K65" i="28"/>
  <c r="H65" i="28"/>
  <c r="K63" i="28"/>
  <c r="H63" i="28"/>
  <c r="K60" i="28"/>
  <c r="H60" i="28"/>
  <c r="K58" i="28"/>
  <c r="H58" i="28"/>
  <c r="K56" i="28"/>
  <c r="H56" i="28"/>
  <c r="K54" i="28"/>
  <c r="H54" i="28"/>
  <c r="K52" i="28"/>
  <c r="H52" i="28"/>
  <c r="K50" i="28"/>
  <c r="H50" i="28"/>
  <c r="K48" i="28"/>
  <c r="H48" i="28"/>
  <c r="K46" i="28"/>
  <c r="H46" i="28"/>
  <c r="K44" i="28"/>
  <c r="H44" i="28"/>
  <c r="K42" i="28"/>
  <c r="H42" i="28"/>
  <c r="K40" i="28"/>
  <c r="H40" i="28"/>
  <c r="K38" i="28"/>
  <c r="H38" i="28"/>
  <c r="K36" i="28"/>
  <c r="H36" i="28"/>
  <c r="K34" i="28"/>
  <c r="H34" i="28"/>
  <c r="K32" i="28"/>
  <c r="H32" i="28"/>
  <c r="K30" i="28"/>
  <c r="H30" i="28"/>
  <c r="K28" i="28"/>
  <c r="H28" i="28"/>
  <c r="K26" i="28"/>
  <c r="H26" i="28"/>
  <c r="K76" i="28"/>
  <c r="L76" i="28"/>
  <c r="M76" i="28" s="1"/>
  <c r="K72" i="28"/>
  <c r="L72" i="28"/>
  <c r="M72" i="28" s="1"/>
  <c r="K70" i="28"/>
  <c r="L70" i="28"/>
  <c r="M70" i="28" s="1"/>
  <c r="K68" i="28"/>
  <c r="L68" i="28"/>
  <c r="M68" i="28" s="1"/>
  <c r="K66" i="28"/>
  <c r="L66" i="28"/>
  <c r="M66" i="28" s="1"/>
  <c r="K64" i="28"/>
  <c r="L64" i="28"/>
  <c r="M64" i="28" s="1"/>
  <c r="K62" i="28"/>
  <c r="L62" i="28"/>
  <c r="M62" i="28" s="1"/>
  <c r="K61" i="28"/>
  <c r="L61" i="28"/>
  <c r="M61" i="28" s="1"/>
  <c r="K59" i="28"/>
  <c r="L59" i="28"/>
  <c r="M59" i="28" s="1"/>
  <c r="K57" i="28"/>
  <c r="L57" i="28"/>
  <c r="M57" i="28" s="1"/>
  <c r="K55" i="28"/>
  <c r="L55" i="28"/>
  <c r="M55" i="28" s="1"/>
  <c r="K53" i="28"/>
  <c r="L53" i="28"/>
  <c r="M53" i="28" s="1"/>
  <c r="K51" i="28"/>
  <c r="L51" i="28"/>
  <c r="M51" i="28" s="1"/>
  <c r="K49" i="28"/>
  <c r="L49" i="28"/>
  <c r="M49" i="28" s="1"/>
  <c r="K47" i="28"/>
  <c r="L47" i="28"/>
  <c r="M47" i="28" s="1"/>
  <c r="K45" i="28"/>
  <c r="L45" i="28"/>
  <c r="M45" i="28" s="1"/>
  <c r="K43" i="28"/>
  <c r="L43" i="28"/>
  <c r="M43" i="28" s="1"/>
  <c r="K41" i="28"/>
  <c r="L41" i="28"/>
  <c r="M41" i="28" s="1"/>
  <c r="K39" i="28"/>
  <c r="L39" i="28"/>
  <c r="M39" i="28" s="1"/>
  <c r="K37" i="28"/>
  <c r="L37" i="28"/>
  <c r="M37" i="28" s="1"/>
  <c r="K35" i="28"/>
  <c r="L35" i="28"/>
  <c r="M35" i="28" s="1"/>
  <c r="K33" i="28"/>
  <c r="L33" i="28"/>
  <c r="M33" i="28" s="1"/>
  <c r="K31" i="28"/>
  <c r="L31" i="28"/>
  <c r="M31" i="28" s="1"/>
  <c r="K29" i="28"/>
  <c r="L29" i="28"/>
  <c r="M29" i="28" s="1"/>
  <c r="K27" i="28"/>
  <c r="L27" i="28"/>
  <c r="M27" i="28" s="1"/>
  <c r="K25" i="28"/>
  <c r="L25" i="28"/>
  <c r="M25" i="28" s="1"/>
  <c r="K24" i="28"/>
  <c r="G21" i="28"/>
  <c r="H21" i="28"/>
  <c r="G23" i="28"/>
  <c r="L23" i="28"/>
  <c r="M23" i="28" s="1"/>
  <c r="G22" i="28"/>
  <c r="L22" i="28"/>
  <c r="M22" i="28" s="1"/>
  <c r="K21" i="28"/>
  <c r="L21" i="28"/>
  <c r="M21" i="28" s="1"/>
  <c r="K23" i="28"/>
  <c r="H23" i="28"/>
  <c r="K22" i="28"/>
  <c r="H22" i="28"/>
  <c r="G20" i="28"/>
  <c r="H20" i="28"/>
  <c r="K20" i="28"/>
  <c r="L20" i="28"/>
  <c r="M20" i="28" s="1"/>
  <c r="G19" i="28"/>
  <c r="L19" i="28"/>
  <c r="M19" i="28" s="1"/>
  <c r="G17" i="28"/>
  <c r="L17" i="28"/>
  <c r="M17" i="28" s="1"/>
  <c r="G15" i="28"/>
  <c r="L15" i="28"/>
  <c r="M15" i="28" s="1"/>
  <c r="G13" i="28"/>
  <c r="L13" i="28"/>
  <c r="M13" i="28" s="1"/>
  <c r="G12" i="28"/>
  <c r="L12" i="28"/>
  <c r="M12" i="28" s="1"/>
  <c r="G9" i="28"/>
  <c r="L9" i="28"/>
  <c r="M9" i="28" s="1"/>
  <c r="G18" i="28"/>
  <c r="H18" i="28"/>
  <c r="G16" i="28"/>
  <c r="H16" i="28"/>
  <c r="G14" i="28"/>
  <c r="H14" i="28"/>
  <c r="G11" i="28"/>
  <c r="H11" i="28"/>
  <c r="G10" i="28"/>
  <c r="H10" i="28"/>
  <c r="K19" i="28"/>
  <c r="H19" i="28"/>
  <c r="K17" i="28"/>
  <c r="H17" i="28"/>
  <c r="K15" i="28"/>
  <c r="H15" i="28"/>
  <c r="K13" i="28"/>
  <c r="H13" i="28"/>
  <c r="K12" i="28"/>
  <c r="H12" i="28"/>
  <c r="K9" i="28"/>
  <c r="H9" i="28"/>
  <c r="K18" i="28"/>
  <c r="L18" i="28"/>
  <c r="M18" i="28" s="1"/>
  <c r="K16" i="28"/>
  <c r="L16" i="28"/>
  <c r="M16" i="28" s="1"/>
  <c r="K14" i="28"/>
  <c r="L14" i="28"/>
  <c r="M14" i="28" s="1"/>
  <c r="K11" i="28"/>
  <c r="L11" i="28"/>
  <c r="M11" i="28" s="1"/>
  <c r="K10" i="28"/>
  <c r="L10" i="28"/>
  <c r="M10" i="28" s="1"/>
  <c r="G8" i="28"/>
  <c r="H8" i="28"/>
  <c r="K8" i="28"/>
  <c r="L8" i="28"/>
  <c r="M8" i="28" s="1"/>
  <c r="O82" i="28"/>
  <c r="P82" i="28"/>
  <c r="Q82" i="28" s="1"/>
  <c r="N82" i="28"/>
  <c r="R82" i="28" s="1"/>
  <c r="N81" i="28"/>
  <c r="R81" i="28" s="1"/>
  <c r="P80" i="28"/>
  <c r="Q80" i="28" s="1"/>
  <c r="O81" i="28"/>
  <c r="N80" i="28"/>
  <c r="R80" i="28" s="1"/>
  <c r="O80" i="28"/>
  <c r="P81" i="28"/>
  <c r="Q81" i="28" s="1"/>
  <c r="P79" i="28"/>
  <c r="Q79" i="28" s="1"/>
  <c r="N78" i="28"/>
  <c r="R78" i="28" s="1"/>
  <c r="O78" i="28"/>
  <c r="O79" i="28"/>
  <c r="P78" i="28"/>
  <c r="Q78" i="28" s="1"/>
  <c r="N79" i="28"/>
  <c r="R79" i="28" s="1"/>
  <c r="O30" i="28"/>
  <c r="O26" i="28"/>
  <c r="O24" i="28"/>
  <c r="O76" i="28"/>
  <c r="P76" i="28"/>
  <c r="Q76" i="28" s="1"/>
  <c r="N74" i="28"/>
  <c r="R74" i="28" s="1"/>
  <c r="O72" i="28"/>
  <c r="P72" i="28"/>
  <c r="Q72" i="28" s="1"/>
  <c r="N70" i="28"/>
  <c r="R70" i="28" s="1"/>
  <c r="O68" i="28"/>
  <c r="P68" i="28"/>
  <c r="Q68" i="28" s="1"/>
  <c r="N66" i="28"/>
  <c r="R66" i="28" s="1"/>
  <c r="P64" i="28"/>
  <c r="Q64" i="28" s="1"/>
  <c r="N62" i="28"/>
  <c r="R62" i="28" s="1"/>
  <c r="O62" i="28"/>
  <c r="P59" i="28"/>
  <c r="O57" i="28"/>
  <c r="N57" i="28"/>
  <c r="R57" i="28" s="1"/>
  <c r="P55" i="28"/>
  <c r="O53" i="28"/>
  <c r="N53" i="28"/>
  <c r="R53" i="28" s="1"/>
  <c r="P51" i="28"/>
  <c r="O49" i="28"/>
  <c r="O28" i="28"/>
  <c r="N76" i="28"/>
  <c r="R76" i="28" s="1"/>
  <c r="O74" i="28"/>
  <c r="P74" i="28"/>
  <c r="Q74" i="28" s="1"/>
  <c r="N72" i="28"/>
  <c r="R72" i="28" s="1"/>
  <c r="O70" i="28"/>
  <c r="P70" i="28"/>
  <c r="Q70" i="28" s="1"/>
  <c r="N68" i="28"/>
  <c r="R68" i="28" s="1"/>
  <c r="O66" i="28"/>
  <c r="P66" i="28"/>
  <c r="Q66" i="28" s="1"/>
  <c r="N64" i="28"/>
  <c r="R64" i="28" s="1"/>
  <c r="O64" i="28"/>
  <c r="P62" i="28"/>
  <c r="Q62" i="28" s="1"/>
  <c r="O59" i="28"/>
  <c r="N59" i="28"/>
  <c r="R59" i="28" s="1"/>
  <c r="P57" i="28"/>
  <c r="Q57" i="28" s="1"/>
  <c r="O55" i="28"/>
  <c r="N55" i="28"/>
  <c r="R55" i="28" s="1"/>
  <c r="P53" i="28"/>
  <c r="O51" i="28"/>
  <c r="N51" i="28"/>
  <c r="R51" i="28" s="1"/>
  <c r="P49" i="28"/>
  <c r="N49" i="28"/>
  <c r="R49" i="28" s="1"/>
  <c r="O47" i="28"/>
  <c r="N47" i="28"/>
  <c r="R47" i="28" s="1"/>
  <c r="P45" i="28"/>
  <c r="O43" i="28"/>
  <c r="N43" i="28"/>
  <c r="R43" i="28" s="1"/>
  <c r="N41" i="28"/>
  <c r="R41" i="28" s="1"/>
  <c r="O39" i="28"/>
  <c r="P39" i="28"/>
  <c r="N37" i="28"/>
  <c r="R37" i="28" s="1"/>
  <c r="O35" i="28"/>
  <c r="P35" i="28"/>
  <c r="Q35" i="28" s="1"/>
  <c r="N33" i="28"/>
  <c r="R33" i="28" s="1"/>
  <c r="P31" i="28"/>
  <c r="N29" i="28"/>
  <c r="R29" i="28" s="1"/>
  <c r="P27" i="28"/>
  <c r="Q27" i="28" s="1"/>
  <c r="N25" i="28"/>
  <c r="R25" i="28" s="1"/>
  <c r="P24" i="28"/>
  <c r="Q24" i="28" s="1"/>
  <c r="P77" i="28"/>
  <c r="Q77" i="28" s="1"/>
  <c r="N75" i="28"/>
  <c r="R75" i="28" s="1"/>
  <c r="O73" i="28"/>
  <c r="P73" i="28"/>
  <c r="Q73" i="28" s="1"/>
  <c r="N71" i="28"/>
  <c r="R71" i="28" s="1"/>
  <c r="O69" i="28"/>
  <c r="P69" i="28"/>
  <c r="Q69" i="28" s="1"/>
  <c r="N67" i="28"/>
  <c r="R67" i="28" s="1"/>
  <c r="P65" i="28"/>
  <c r="Q65" i="28" s="1"/>
  <c r="N63" i="28"/>
  <c r="R63" i="28" s="1"/>
  <c r="O63" i="28"/>
  <c r="N61" i="28"/>
  <c r="R61" i="28" s="1"/>
  <c r="O61" i="28"/>
  <c r="O58" i="28"/>
  <c r="P58" i="28"/>
  <c r="N58" i="28"/>
  <c r="R58" i="28" s="1"/>
  <c r="O54" i="28"/>
  <c r="P54" i="28"/>
  <c r="N54" i="28"/>
  <c r="R54" i="28" s="1"/>
  <c r="O50" i="28"/>
  <c r="P50" i="28"/>
  <c r="Q50" i="28" s="1"/>
  <c r="N50" i="28"/>
  <c r="R50" i="28" s="1"/>
  <c r="O46" i="28"/>
  <c r="P46" i="28"/>
  <c r="N46" i="28"/>
  <c r="R46" i="28" s="1"/>
  <c r="O42" i="28"/>
  <c r="N40" i="28"/>
  <c r="R40" i="28" s="1"/>
  <c r="O38" i="28"/>
  <c r="P38" i="28"/>
  <c r="Q38" i="28" s="1"/>
  <c r="N36" i="28"/>
  <c r="R36" i="28" s="1"/>
  <c r="O34" i="28"/>
  <c r="P34" i="28"/>
  <c r="Q34" i="28" s="1"/>
  <c r="N32" i="28"/>
  <c r="R32" i="28" s="1"/>
  <c r="P30" i="28"/>
  <c r="N28" i="28"/>
  <c r="R28" i="28" s="1"/>
  <c r="P26" i="28"/>
  <c r="O29" i="28"/>
  <c r="P47" i="28"/>
  <c r="Q47" i="28" s="1"/>
  <c r="O45" i="28"/>
  <c r="N45" i="28"/>
  <c r="R45" i="28" s="1"/>
  <c r="P43" i="28"/>
  <c r="O41" i="28"/>
  <c r="P41" i="28"/>
  <c r="N39" i="28"/>
  <c r="R39" i="28" s="1"/>
  <c r="O37" i="28"/>
  <c r="P37" i="28"/>
  <c r="N35" i="28"/>
  <c r="R35" i="28" s="1"/>
  <c r="O33" i="28"/>
  <c r="P33" i="28"/>
  <c r="N31" i="28"/>
  <c r="R31" i="28" s="1"/>
  <c r="P29" i="28"/>
  <c r="N27" i="28"/>
  <c r="R27" i="28" s="1"/>
  <c r="P25" i="28"/>
  <c r="N24" i="28"/>
  <c r="R24" i="28" s="1"/>
  <c r="N77" i="28"/>
  <c r="R77" i="28" s="1"/>
  <c r="O77" i="28"/>
  <c r="O75" i="28"/>
  <c r="P75" i="28"/>
  <c r="Q75" i="28" s="1"/>
  <c r="N73" i="28"/>
  <c r="R73" i="28" s="1"/>
  <c r="O71" i="28"/>
  <c r="P71" i="28"/>
  <c r="Q71" i="28" s="1"/>
  <c r="N69" i="28"/>
  <c r="R69" i="28" s="1"/>
  <c r="O67" i="28"/>
  <c r="P67" i="28"/>
  <c r="Q67" i="28" s="1"/>
  <c r="N65" i="28"/>
  <c r="R65" i="28" s="1"/>
  <c r="O65" i="28"/>
  <c r="P63" i="28"/>
  <c r="Q63" i="28" s="1"/>
  <c r="P61" i="28"/>
  <c r="Q61" i="28" s="1"/>
  <c r="O60" i="28"/>
  <c r="P60" i="28"/>
  <c r="N60" i="28"/>
  <c r="R60" i="28" s="1"/>
  <c r="O56" i="28"/>
  <c r="P56" i="28"/>
  <c r="N56" i="28"/>
  <c r="R56" i="28" s="1"/>
  <c r="O52" i="28"/>
  <c r="P52" i="28"/>
  <c r="N52" i="28"/>
  <c r="R52" i="28" s="1"/>
  <c r="O48" i="28"/>
  <c r="P48" i="28"/>
  <c r="Q48" i="28" s="1"/>
  <c r="N48" i="28"/>
  <c r="R48" i="28" s="1"/>
  <c r="O44" i="28"/>
  <c r="P44" i="28"/>
  <c r="N44" i="28"/>
  <c r="R44" i="28" s="1"/>
  <c r="P42" i="28"/>
  <c r="N42" i="28"/>
  <c r="R42" i="28" s="1"/>
  <c r="O40" i="28"/>
  <c r="P40" i="28"/>
  <c r="Q40" i="28" s="1"/>
  <c r="N38" i="28"/>
  <c r="R38" i="28" s="1"/>
  <c r="O36" i="28"/>
  <c r="P36" i="28"/>
  <c r="N34" i="28"/>
  <c r="R34" i="28" s="1"/>
  <c r="O32" i="28"/>
  <c r="P32" i="28"/>
  <c r="N30" i="28"/>
  <c r="R30" i="28" s="1"/>
  <c r="P28" i="28"/>
  <c r="Q28" i="28" s="1"/>
  <c r="N26" i="28"/>
  <c r="R26" i="28" s="1"/>
  <c r="O27" i="28"/>
  <c r="O31" i="28"/>
  <c r="O25" i="28"/>
  <c r="N23" i="28"/>
  <c r="R23" i="28" s="1"/>
  <c r="O21" i="28"/>
  <c r="P21" i="28"/>
  <c r="O22" i="28"/>
  <c r="N22" i="28"/>
  <c r="R22" i="28" s="1"/>
  <c r="O23" i="28"/>
  <c r="N21" i="28"/>
  <c r="R21" i="28" s="1"/>
  <c r="P22" i="28"/>
  <c r="P23" i="28"/>
  <c r="P20" i="28"/>
  <c r="N20" i="28"/>
  <c r="R20" i="28" s="1"/>
  <c r="O20" i="28"/>
  <c r="N18" i="28"/>
  <c r="R18" i="28" s="1"/>
  <c r="O18" i="28"/>
  <c r="P16" i="28"/>
  <c r="N14" i="28"/>
  <c r="R14" i="28" s="1"/>
  <c r="P18" i="28"/>
  <c r="N16" i="28"/>
  <c r="R16" i="28" s="1"/>
  <c r="O16" i="28"/>
  <c r="P14" i="28"/>
  <c r="O14" i="28"/>
  <c r="O11" i="28"/>
  <c r="P11" i="28"/>
  <c r="N11" i="28"/>
  <c r="R11" i="28" s="1"/>
  <c r="O9" i="28"/>
  <c r="P9" i="28"/>
  <c r="N19" i="28"/>
  <c r="R19" i="28" s="1"/>
  <c r="O19" i="28"/>
  <c r="N17" i="28"/>
  <c r="R17" i="28" s="1"/>
  <c r="O17" i="28"/>
  <c r="N15" i="28"/>
  <c r="R15" i="28" s="1"/>
  <c r="O15" i="28"/>
  <c r="P13" i="28"/>
  <c r="O12" i="28"/>
  <c r="N12" i="28"/>
  <c r="R12" i="28" s="1"/>
  <c r="N9" i="28"/>
  <c r="R9" i="28" s="1"/>
  <c r="P19" i="28"/>
  <c r="P17" i="28"/>
  <c r="P15" i="28"/>
  <c r="O13" i="28"/>
  <c r="N13" i="28"/>
  <c r="R13" i="28" s="1"/>
  <c r="P12" i="28"/>
  <c r="O10" i="28"/>
  <c r="P10" i="28"/>
  <c r="N10" i="28"/>
  <c r="R10" i="28" s="1"/>
  <c r="N8" i="28"/>
  <c r="R8" i="28" s="1"/>
  <c r="O8" i="28"/>
  <c r="P8" i="28"/>
  <c r="Q586" i="28" l="1"/>
  <c r="Q148" i="28"/>
  <c r="Q139" i="28"/>
  <c r="Q410" i="28"/>
  <c r="Q405" i="28"/>
  <c r="Q731" i="28"/>
  <c r="Q759" i="28"/>
  <c r="Q354" i="28"/>
  <c r="Q663" i="28"/>
  <c r="Q756" i="28"/>
  <c r="Q428" i="28"/>
  <c r="Q697" i="28"/>
  <c r="Q690" i="28"/>
  <c r="Q757" i="28"/>
  <c r="Q487" i="28"/>
  <c r="Q472" i="28"/>
  <c r="Q474" i="28"/>
  <c r="Q579" i="28"/>
  <c r="Q760" i="28"/>
  <c r="Q133" i="28"/>
  <c r="Q147" i="28"/>
  <c r="Q453" i="28"/>
  <c r="Q698" i="28"/>
  <c r="Q146" i="28"/>
  <c r="Q136" i="28"/>
  <c r="Q140" i="28"/>
  <c r="Q137" i="28"/>
  <c r="Q276" i="28"/>
  <c r="Q400" i="28"/>
  <c r="Q408" i="28"/>
  <c r="Q480" i="28"/>
  <c r="Q473" i="28"/>
  <c r="Q479" i="28"/>
  <c r="Q580" i="28"/>
  <c r="Q656" i="28"/>
  <c r="Q660" i="28"/>
  <c r="Q761" i="28"/>
  <c r="Q765" i="28"/>
  <c r="Q636" i="28"/>
  <c r="Q289" i="28"/>
  <c r="Q202" i="28"/>
  <c r="Q186" i="28"/>
  <c r="Q358" i="28"/>
  <c r="Q541" i="28"/>
  <c r="Q527" i="28"/>
  <c r="Q637" i="28"/>
  <c r="Q742" i="28"/>
  <c r="Q526" i="28"/>
  <c r="Q583" i="28"/>
  <c r="Q700" i="28"/>
  <c r="Q468" i="28"/>
  <c r="Q741" i="28"/>
  <c r="Q209" i="28"/>
  <c r="Q201" i="28"/>
  <c r="Q193" i="28"/>
  <c r="Q185" i="28"/>
  <c r="Q177" i="28"/>
  <c r="Q222" i="28"/>
  <c r="Q206" i="28"/>
  <c r="Q190" i="28"/>
  <c r="Q348" i="28"/>
  <c r="Q701" i="28"/>
  <c r="Q735" i="28"/>
  <c r="Q738" i="28"/>
  <c r="Q462" i="28"/>
  <c r="Q581" i="28"/>
  <c r="Q211" i="28"/>
  <c r="Q203" i="28"/>
  <c r="Q195" i="28"/>
  <c r="Q187" i="28"/>
  <c r="Q179" i="28"/>
  <c r="Q582" i="28"/>
  <c r="Q223" i="28"/>
  <c r="Q215" i="28"/>
  <c r="Q207" i="28"/>
  <c r="Q199" i="28"/>
  <c r="Q191" i="28"/>
  <c r="Q414" i="28"/>
  <c r="Q243" i="28"/>
  <c r="Q241" i="28"/>
  <c r="Q214" i="28"/>
  <c r="Q198" i="28"/>
  <c r="Q221" i="28"/>
  <c r="Q205" i="28"/>
  <c r="Q197" i="28"/>
  <c r="Q189" i="28"/>
  <c r="Q309" i="28"/>
  <c r="Q461" i="28"/>
  <c r="Q224" i="28"/>
  <c r="Q208" i="28"/>
  <c r="Q192" i="28"/>
  <c r="Q176" i="28"/>
  <c r="Q174" i="28"/>
  <c r="Q212" i="28"/>
  <c r="Q196" i="28"/>
  <c r="Q180" i="28"/>
  <c r="Q288" i="28"/>
  <c r="Q465" i="28"/>
  <c r="Q702" i="28"/>
  <c r="Q542" i="28"/>
  <c r="Q204" i="28"/>
  <c r="Q188" i="28"/>
  <c r="Q287" i="28"/>
  <c r="Q699" i="28"/>
  <c r="Q467" i="28"/>
  <c r="Q577" i="28"/>
  <c r="Q709" i="28"/>
  <c r="Q413" i="28"/>
  <c r="Q311" i="28"/>
  <c r="Q416" i="28"/>
  <c r="Q52" i="28"/>
  <c r="Q42" i="28"/>
  <c r="Q26" i="28"/>
  <c r="Q46" i="28"/>
  <c r="Q30" i="28"/>
  <c r="Q54" i="28"/>
  <c r="Q31" i="28"/>
  <c r="Q58" i="28"/>
  <c r="Q39" i="28"/>
  <c r="Q51" i="28"/>
  <c r="Q312" i="28"/>
  <c r="Q55" i="28"/>
  <c r="Q327" i="28"/>
  <c r="Q41" i="28"/>
  <c r="Q36" i="28"/>
  <c r="Q60" i="28"/>
  <c r="Q37" i="28"/>
  <c r="Q49" i="28"/>
  <c r="Q32" i="28"/>
  <c r="Q56" i="28"/>
  <c r="Q25" i="28"/>
  <c r="Q33" i="28"/>
  <c r="Q43" i="28"/>
  <c r="Q59" i="28"/>
  <c r="Q321" i="28"/>
  <c r="Q310" i="28"/>
  <c r="Q29" i="28"/>
  <c r="Q53" i="28"/>
  <c r="Q466" i="28"/>
  <c r="Q415" i="28"/>
  <c r="Q44" i="28"/>
  <c r="Q45" i="28"/>
  <c r="Q411" i="28"/>
  <c r="Q390" i="28"/>
  <c r="Q387" i="28"/>
  <c r="Q302" i="28"/>
  <c r="Q267" i="28"/>
  <c r="Q319" i="28"/>
  <c r="Q323" i="28"/>
  <c r="Q332" i="28"/>
  <c r="Q393" i="28"/>
  <c r="Q397" i="28"/>
  <c r="Q273" i="28"/>
  <c r="Q330" i="28"/>
  <c r="Q322" i="28"/>
  <c r="Q398" i="28"/>
  <c r="Q317" i="28"/>
  <c r="Q320" i="28"/>
  <c r="Q335" i="28"/>
  <c r="Q388" i="28"/>
  <c r="Q389" i="28"/>
  <c r="Q334" i="28"/>
  <c r="Q318" i="28"/>
  <c r="Q325" i="28"/>
  <c r="Q303" i="28"/>
  <c r="Q300" i="28"/>
  <c r="Q418" i="28"/>
  <c r="Q336" i="28"/>
  <c r="Q314" i="28"/>
  <c r="Q391" i="28"/>
  <c r="Q420" i="28"/>
  <c r="Q433" i="28"/>
  <c r="Q426" i="28"/>
  <c r="Q8" i="28"/>
  <c r="Q10" i="28"/>
  <c r="Q12" i="28"/>
  <c r="Q15" i="28"/>
  <c r="Q17" i="28"/>
  <c r="Q9" i="28"/>
  <c r="Q18" i="28"/>
  <c r="Q16" i="28"/>
  <c r="Q23" i="28"/>
  <c r="Q22" i="28"/>
  <c r="Q21" i="28"/>
  <c r="Q19" i="28"/>
  <c r="Q13" i="28"/>
  <c r="Q11" i="28"/>
  <c r="Q14" i="28"/>
  <c r="Q20" i="28"/>
</calcChain>
</file>

<file path=xl/connections.xml><?xml version="1.0" encoding="utf-8"?>
<connections xmlns="http://schemas.openxmlformats.org/spreadsheetml/2006/main">
  <connection id="1" keepAlive="1" name="ThisWorkbookDataModel" description="Excel usa esta conexión para la comunicación entre el libro y los datos de PowerPivot incrustados y no se debe editar o eliminar manualmente." type="5" refreshedVersion="0" background="1">
    <dbPr connection="Provider=MSOLAP.4;Persist Security Info=True;Initial Catalog=Microsoft_SQLServer_AnalysisServices;Data Source=$Embedded$;MDX Compatibility=1;Safety Options=2;MDX Missing Member Mode=Error;Optimize Response=3;Cell Error Mode=TextValue" command="Sandbox" commandType="1"/>
    <olapPr sendLocale="1" rowDrillCount="1000"/>
    <extLst>
      <ext xmlns:x14="http://schemas.microsoft.com/office/spreadsheetml/2009/9/main" uri="{D79990A0-CA42-45e3-83F4-45C500A0EAA5}">
        <x14:connection culture="" embeddedDataId="Microsoft_SQLServer_AnalysisServices"/>
      </ext>
    </extLst>
  </connection>
</connections>
</file>

<file path=xl/sharedStrings.xml><?xml version="1.0" encoding="utf-8"?>
<sst xmlns="http://schemas.openxmlformats.org/spreadsheetml/2006/main" count="5666" uniqueCount="2350">
  <si>
    <t>SOLICITANTES</t>
  </si>
  <si>
    <t>ALFONSO ARIAS</t>
  </si>
  <si>
    <t>CAJA CH. A. ARIAS</t>
  </si>
  <si>
    <t>CAJA CH. A.VILLON</t>
  </si>
  <si>
    <t>CREDITO LOCAL</t>
  </si>
  <si>
    <t>DANILO VELEZ</t>
  </si>
  <si>
    <t>DPTO. MEDICO</t>
  </si>
  <si>
    <t>DPTO. SISTEMA</t>
  </si>
  <si>
    <t>ING. CARLOS ONETO</t>
  </si>
  <si>
    <t>ISAAC  REYES</t>
  </si>
  <si>
    <t>JOSE MONTALVAN</t>
  </si>
  <si>
    <t>LEONARDO SUAREZ</t>
  </si>
  <si>
    <t>LUIS VERA</t>
  </si>
  <si>
    <t>PAGOS EN CHEQUE</t>
  </si>
  <si>
    <t>RAMON ALCIVAR</t>
  </si>
  <si>
    <t>WILLIAM MENDOZA</t>
  </si>
  <si>
    <t>CARLOS VASQUEZ</t>
  </si>
  <si>
    <t>DIEGO NAGUA</t>
  </si>
  <si>
    <t>ALBERTO VILLON</t>
  </si>
  <si>
    <t>ARMANDO QUIROZ</t>
  </si>
  <si>
    <t>FERNANDO RODRIGUEZ</t>
  </si>
  <si>
    <t>BUSQUEDA</t>
  </si>
  <si>
    <t>FECHA DEL PEDIDO</t>
  </si>
  <si>
    <t>REQ. No.</t>
  </si>
  <si>
    <t>CANTIDAD</t>
  </si>
  <si>
    <t>CODIGO</t>
  </si>
  <si>
    <t>PRODUCTO</t>
  </si>
  <si>
    <t>FECHA ORDEN DE COMPRA</t>
  </si>
  <si>
    <t>ORDEN No.</t>
  </si>
  <si>
    <t>CANTIDAD2</t>
  </si>
  <si>
    <t>FECHA INGRESO A BODEGA</t>
  </si>
  <si>
    <t>INGRESO No.</t>
  </si>
  <si>
    <t>CANTIDAD3</t>
  </si>
  <si>
    <t>SOLDADURA  R-60 E308L-16 A/ INOX   DE 3/32"</t>
  </si>
  <si>
    <t>EMPAQUE CAUCHO Y LONA 1/4"  (PLANCHA)</t>
  </si>
  <si>
    <t>OXIGENO GAS AP GRADO 5.0</t>
  </si>
  <si>
    <t>ESPEJO RETROVISOR LATERAL</t>
  </si>
  <si>
    <t>CEMENTO REFRACTARIO KS-4 (25KL)</t>
  </si>
  <si>
    <t>PLUMA LIMPIAPARABRISAS DE 18"</t>
  </si>
  <si>
    <t>BRAZO DE PLUMA EXTERIOR</t>
  </si>
  <si>
    <t>TERMINAL PUNTERA DOBLE PARA CABLE N║ 18</t>
  </si>
  <si>
    <t>CEPILLO DE ALAMBRE</t>
  </si>
  <si>
    <t>CINTA DUCTO PC-60 40 YDS 48MM</t>
  </si>
  <si>
    <t>BRIDA A/INOX DE 3"</t>
  </si>
  <si>
    <t>PITO</t>
  </si>
  <si>
    <t>MANGUERA HIDRAULICA DE 1/2"</t>
  </si>
  <si>
    <t>TUBO A/INOX DE 2" x 6MTS - CED. 40</t>
  </si>
  <si>
    <t>FILTRO DE ACEITE P554004 (485GB3191C)</t>
  </si>
  <si>
    <t>FILTRO ACEITE (PH2835 / BT223)</t>
  </si>
  <si>
    <t>CINTA REFLECTIVA DE SEGURIDAD</t>
  </si>
  <si>
    <t>TIRAS LANA DE CUARZO 15" - 10/PK (608-379)</t>
  </si>
  <si>
    <t>GUANTE DE PROTECCION 3M  D-670</t>
  </si>
  <si>
    <t>TUBO A/INOX DE 3" x 6MTS - CED. 40</t>
  </si>
  <si>
    <t>PERNO A/INOX DE 1/4" x 1-1/2" COMPLETO</t>
  </si>
  <si>
    <t>PERNO H/N 3/8" X 1" COMPLETO H/F</t>
  </si>
  <si>
    <t>PERNO A/INOX DE 1/2" x 1" COMPLETO</t>
  </si>
  <si>
    <t>PERNO H/N DE 5/8" x 2-1/2" COMPLETO</t>
  </si>
  <si>
    <t>ACIDO BORICO 500G</t>
  </si>
  <si>
    <t>PLANCHA H/N DE 3MM x 1.22MTS x 2.44MTS</t>
  </si>
  <si>
    <t>CABLE FLEXIBLE #18</t>
  </si>
  <si>
    <t>ABRAZADERA DE TUBO DE 1-1/2" PARA CHANEL</t>
  </si>
  <si>
    <t>RIEL DE CHANEL</t>
  </si>
  <si>
    <t>PRISIONERO ALLEN H/N DE 1/2" x 1-1/2"</t>
  </si>
  <si>
    <t>PIÐON  14 DIENTES PASO 120</t>
  </si>
  <si>
    <t>PIÐON DE 25 DIENTES PASO 120</t>
  </si>
  <si>
    <t>BUJIAS U11 - TSA/INDQ14R</t>
  </si>
  <si>
    <t>FILTRO DE ACEITE 02/100073A JCB</t>
  </si>
  <si>
    <t>FILTRO DE COMBUSTIBLE LFP 431F (LUBER FINNER)</t>
  </si>
  <si>
    <t>BATERIA DE 17 PLACA 105AMP 12VOLT</t>
  </si>
  <si>
    <t>LLANTAS MICHELIN 12-22,5XDY3 TRASERAS</t>
  </si>
  <si>
    <t>PERNO A/INOX DE 1/2" x 2" COMPLETO</t>
  </si>
  <si>
    <t>MARCADOR PERMANENTE</t>
  </si>
  <si>
    <t>HOJAS XEROX ALTA BLANCURA 75g/m A4 210 X 297mm</t>
  </si>
  <si>
    <t>CARPETA LEITZ GRANDE</t>
  </si>
  <si>
    <t>PAPEL CONTINUO 9.1/2 x 11 2PARTES</t>
  </si>
  <si>
    <t>TINTA EPSON AMARILLO T6644</t>
  </si>
  <si>
    <t>TINTA EPSON MAGENTA T6643</t>
  </si>
  <si>
    <t>TONER SAMSUNG MLT-D111S</t>
  </si>
  <si>
    <t>TINTA EPSON CYAN T6642</t>
  </si>
  <si>
    <t>LIQUID PAPER</t>
  </si>
  <si>
    <t>CHUMACERA DE PARED DE 3" UCF215-300D1</t>
  </si>
  <si>
    <t>PERNO A/INOX DE 3/8" x 1" COMPLETO</t>
  </si>
  <si>
    <t>EJE ACERO TRANSMICION DIAM 4" X 1 MTR LARGO</t>
  </si>
  <si>
    <t>PERNO A/INOX DE 3/8" x 1-1/2" COMPLETO</t>
  </si>
  <si>
    <t>UNION SIMPLE A/INOX DE 1/2"</t>
  </si>
  <si>
    <t>VALVULA A/INOX A/RAPIDA DE 2"</t>
  </si>
  <si>
    <t>DESENGRASANTE</t>
  </si>
  <si>
    <t>JABON NEUTRO</t>
  </si>
  <si>
    <t xml:space="preserve">JABON LIQUIDO_x000D_
</t>
  </si>
  <si>
    <t>JABON LIQUIDO(LAVADO DE VEHICULOS)</t>
  </si>
  <si>
    <t>DESINFECTANTE</t>
  </si>
  <si>
    <t>CODO ESCAPE DE 5"</t>
  </si>
  <si>
    <t>ABRAZADERA DE 5"</t>
  </si>
  <si>
    <t>GANCHO CAPOT UNIVERSAL</t>
  </si>
  <si>
    <t>SILENCIADOR</t>
  </si>
  <si>
    <t>GUANTE DE CUERO PARA SOLDAR</t>
  </si>
  <si>
    <t>TRAJE PROTECCION DESECHABLE 3M (4510)</t>
  </si>
  <si>
    <t>GAFAS DE SEGURIDAD OSCURA 3M (11815-00000-20)</t>
  </si>
  <si>
    <t>CINTA TEFLON DE 3/4"</t>
  </si>
  <si>
    <t>MODULO SEÐAL ENTRADA 6ES7231-4HF32-OXBO ANALOGICO</t>
  </si>
  <si>
    <t>RIEL DIN</t>
  </si>
  <si>
    <t>CABLE CONCENTRICO 4 x 10</t>
  </si>
  <si>
    <t>CONTACTOR LC1-D38  38AMP / 220V</t>
  </si>
  <si>
    <t>SWITCH DE NIVEL ENDRESS+HAUSER LIQUIPHANT FTL31</t>
  </si>
  <si>
    <t>ADISALM (SACOS DE 25 KG)</t>
  </si>
  <si>
    <t>FUNDA PLASTICA TRANSPARENTE 10 x 12 (GRUESA)</t>
  </si>
  <si>
    <t>FUNDA TRANSPARENTE  9" X 16" (GRUESA)</t>
  </si>
  <si>
    <t>FUNDA PLASTICA TRANSPARENTE 14 x 20 (GRUESA)</t>
  </si>
  <si>
    <t>FUNDA TRANSPARENTE 5 x 12</t>
  </si>
  <si>
    <t>VALVULA A/INOX A/RAPIDA DE 1/4"</t>
  </si>
  <si>
    <t>SILICON ROJO DE ALTA TEMPERATURA</t>
  </si>
  <si>
    <t>PORTA ELECTRODO DE 500  AMPERIO</t>
  </si>
  <si>
    <t>BROCHA DE 4"</t>
  </si>
  <si>
    <t>GAFAS DE SEGURIDAD TRANSPARENTE 3M (11384-00000-20)</t>
  </si>
  <si>
    <t>BOQUILLA DE PLASMA N║ 220713</t>
  </si>
  <si>
    <t>BOQUILLA DE PLASMA N║ 220674</t>
  </si>
  <si>
    <t>BINS PARA HLP (HIDROLIZADO LIQUIDO PESCADO)</t>
  </si>
  <si>
    <t>PERNO A/INOX DE 5/8" x 2-1/2" COMPLETO</t>
  </si>
  <si>
    <t>CODO A/INOX ROSCABLE DE 1" x 90║</t>
  </si>
  <si>
    <t>TEE A/INOX ROSCABLE DE 1"</t>
  </si>
  <si>
    <t>UNION SIMPLE A/INOX DE 1"</t>
  </si>
  <si>
    <t>TUBO A/INOX DE 1" x 6MTS - CED. 40</t>
  </si>
  <si>
    <t>VALVULA A/INOX A/RAPIDA DE 1"</t>
  </si>
  <si>
    <t>VALVULA H/N A/RAPIDA DE 2" P/VAPOR</t>
  </si>
  <si>
    <t>BANDA OPTIBELT A-46</t>
  </si>
  <si>
    <t>ENZIMAS</t>
  </si>
  <si>
    <t>COROLAZE 8000</t>
  </si>
  <si>
    <t>PLANCHA NAVAL DE 4MM x 1.50MTS x 6MTS</t>
  </si>
  <si>
    <t>SULFATO DE ALUMINIO</t>
  </si>
  <si>
    <t>FAJA DE FUERZA INDUSTRIAL "XXL"</t>
  </si>
  <si>
    <t>FAJA DE FUERZA INDUSTRIAL "L"</t>
  </si>
  <si>
    <t>VASOS DESECHABLES</t>
  </si>
  <si>
    <t>LLANTA GOOD YEAR 12R22.5 G658 DELANTERA</t>
  </si>
  <si>
    <t>PAPEL NOMEX 555</t>
  </si>
  <si>
    <t>SOLDADURA DE PLATA</t>
  </si>
  <si>
    <t>ABRAZADERA DE 4"</t>
  </si>
  <si>
    <t>CINTA DE EMBALAJE TRANSPARENTE</t>
  </si>
  <si>
    <t>WAIPE / TRAPOS</t>
  </si>
  <si>
    <t>PLASTICO NEGRO</t>
  </si>
  <si>
    <t>JUEGO EMPAQUE DE MOTOR</t>
  </si>
  <si>
    <t>CHAPA DE BANCADA STD</t>
  </si>
  <si>
    <t>CHAPA DE BIELA STD</t>
  </si>
  <si>
    <t>AMORTIGUADOR DELANTERO</t>
  </si>
  <si>
    <t>BOMBA DE ACEITE DE MOTOR</t>
  </si>
  <si>
    <t>PLUMA LIMPIAPARABRISA</t>
  </si>
  <si>
    <t>ESPEJO RETROVISOR</t>
  </si>
  <si>
    <t>FAROS DELANTEROS</t>
  </si>
  <si>
    <t>PILA TIPO "AAA"</t>
  </si>
  <si>
    <t>SILICON GRIS</t>
  </si>
  <si>
    <t>TARJETAS DE IMPRESION FORTIDEX</t>
  </si>
  <si>
    <t>TARJETAS IMPRESAS ADHESIVAS FORTIDEX</t>
  </si>
  <si>
    <t>BUNKER</t>
  </si>
  <si>
    <t>SOLUCION DE ACIDO NITRICO  (DK-100)</t>
  </si>
  <si>
    <t>GEL ANTISEPTICO</t>
  </si>
  <si>
    <t>ALGODON TORUNDAS (FRASCO)</t>
  </si>
  <si>
    <t>MULTIFLORAL</t>
  </si>
  <si>
    <t>IBUPROFENO 600MG</t>
  </si>
  <si>
    <t>NEUROBION AMP. 10.000ML</t>
  </si>
  <si>
    <t>SULFAMETOXAZOL + TRIMETOPRIMA (TABLETA)</t>
  </si>
  <si>
    <t>AMOXICILINA + ACIDO CLAVULANICO 500/120mg</t>
  </si>
  <si>
    <t>GASA (PAQUETE)</t>
  </si>
  <si>
    <t>MIGRADORIXINA (COMPRIMIDO)</t>
  </si>
  <si>
    <t>OTICUM (SOLUCION)</t>
  </si>
  <si>
    <t>BAJALENGUA</t>
  </si>
  <si>
    <t>BUSCAPINA COMPUESTA (AMPOLLA)</t>
  </si>
  <si>
    <t>VICLAR GOTAS OFTALMICA</t>
  </si>
  <si>
    <t>JERINGUILLA DE 10ML</t>
  </si>
  <si>
    <t>LINIMENTO OLIMPICO</t>
  </si>
  <si>
    <t>VENDA DE GASA (ROLLO)</t>
  </si>
  <si>
    <t>TOALLA SANITARIAS</t>
  </si>
  <si>
    <t>VOLTAREN (SPRAY)</t>
  </si>
  <si>
    <t>GASA VASELINADA</t>
  </si>
  <si>
    <t>PANALGESIC GEL</t>
  </si>
  <si>
    <t>ACI-TIP (TABLETAS)</t>
  </si>
  <si>
    <t>ACICLOVIR (CREMA)</t>
  </si>
  <si>
    <t>SYSTANE (GOTAS LUBRICANTES NATURALES)</t>
  </si>
  <si>
    <t>BOCIN</t>
  </si>
  <si>
    <t>PINES Y BOCINES</t>
  </si>
  <si>
    <t>LIJA DE HIERRO # 30</t>
  </si>
  <si>
    <t>BROCHA DE 2"</t>
  </si>
  <si>
    <t>FLEXOMETRO DE 5MTS</t>
  </si>
  <si>
    <t>VALVULA PP1  # 275175N</t>
  </si>
  <si>
    <t>BANDA A-64</t>
  </si>
  <si>
    <t>VALVULA DE EMERGENCIA BENDIX RE-6</t>
  </si>
  <si>
    <t>PLANCHA A/INOX DE 8MM x 1.22MTS x 2.44MTS</t>
  </si>
  <si>
    <t>PERNO A/INOX DE 1/2" x 1-1/2" COMPLETO</t>
  </si>
  <si>
    <t>POLIMERO</t>
  </si>
  <si>
    <t>CUCHILLA ASSA 17 1/2" X 4"</t>
  </si>
  <si>
    <t>ACEITE SOLUBLE TRICUT 2000 WS/LT</t>
  </si>
  <si>
    <t>CUCHILLA ASSA 17 3/8" X 4"</t>
  </si>
  <si>
    <t>CUCHILLA ASSA 17 DE 1/4" X 4"</t>
  </si>
  <si>
    <t>INSERTO 16ER AGGO</t>
  </si>
  <si>
    <t>INSERTO 16NR AGGO</t>
  </si>
  <si>
    <t>PIOLA</t>
  </si>
  <si>
    <t>CINTA PARA IMPRESORA LX-350</t>
  </si>
  <si>
    <t>BANDA LISA C-170</t>
  </si>
  <si>
    <t>RULIMAN  UN-315</t>
  </si>
  <si>
    <t>ACEITE 15W-40</t>
  </si>
  <si>
    <t>SALMOQUIM</t>
  </si>
  <si>
    <t>CINTA  MASKING TAPE  4"</t>
  </si>
  <si>
    <t>REJILLAáPLASTICAáPOLIVYNILá1,20áMTáANCHOáXá3,6áMTS.</t>
  </si>
  <si>
    <t>PERNO H/N HILO CORRIDO 3/8" X 1 1/4" COMPLETO</t>
  </si>
  <si>
    <t>VARILLA A/INOX LISA DE 3/8" x 6MTS</t>
  </si>
  <si>
    <t>CODO A/INOX SOLDABLE DE 3" x 90║</t>
  </si>
  <si>
    <t>PERNO A/INOX DE 5/8" x 3" COMPLETO</t>
  </si>
  <si>
    <t>UNION UNIVERSAL A/INOX DE 1"</t>
  </si>
  <si>
    <t>NEPLO A/INOX DE 1/2" x 4"</t>
  </si>
  <si>
    <t>VARILLA A/INOX 5/8"</t>
  </si>
  <si>
    <t>DISCO CORTE DE 4-1/2" x 1/16" x 7/8"</t>
  </si>
  <si>
    <t>DISCO CELOFAN DE 4 1/2"</t>
  </si>
  <si>
    <t>ACIDNOVA</t>
  </si>
  <si>
    <t>SACOS PLASTIFICADOS CON IMPRESION DE 50KG</t>
  </si>
  <si>
    <t>MASCARILLA 3M (8210)</t>
  </si>
  <si>
    <t>GORRO DESECHABLES</t>
  </si>
  <si>
    <t>ESCOBAS DE PLASTICO</t>
  </si>
  <si>
    <t>FUNDA P/BASURA 40" x 50"</t>
  </si>
  <si>
    <t>PAPEL HIGIENICO JUMBO 250MTRS</t>
  </si>
  <si>
    <t>ALCOHOL POTABLE 98%</t>
  </si>
  <si>
    <t>ALCOHOL ANTISEPTICO 70%</t>
  </si>
  <si>
    <t>TEMPLADOR REGULABLE</t>
  </si>
  <si>
    <t>PERNO GUIA DE 1/2" X 8"</t>
  </si>
  <si>
    <t>LLANTAS 295/80-22.5 XZE2 DELANTERA</t>
  </si>
  <si>
    <t>ARO 12 X 22.5 TUBULARES</t>
  </si>
  <si>
    <t>LLANTAS 295/80-22.5 XDE2 POSTERIOR</t>
  </si>
  <si>
    <t>CILINDRO DE AIRE SINTETICO SECO DE 6M3</t>
  </si>
  <si>
    <t>CILINDRO DE HELIO ALTA PUREZA 4.5 (99.99%) DE 6M3</t>
  </si>
  <si>
    <t>ACIDO CLORHIDRICO (HCL) 0.1 NORMAL</t>
  </si>
  <si>
    <t>CINTA AUTOFUNDENTE</t>
  </si>
  <si>
    <t>CINTA AISLANTE</t>
  </si>
  <si>
    <t>ACEITE HIDRUALICO RANDON 68</t>
  </si>
  <si>
    <t>PRUEBAS RAPIDA DE COVID</t>
  </si>
  <si>
    <t>JUEGO MANGUERA DE CARRETA(ROJA Y AZUL)</t>
  </si>
  <si>
    <t>DISCO CORTE DE 7" x 1/16" x 7/8"</t>
  </si>
  <si>
    <t>FILTRO ACEITE CENTRIFUGO 1417(51417)</t>
  </si>
  <si>
    <t>PLANCHA A/INOX DE 2MM x 1.22MTS x 2.44MTS</t>
  </si>
  <si>
    <t>BLOCK EVALUACION DE MATERIA PRIMA (F-CC-001)</t>
  </si>
  <si>
    <t>BLOCK REGISTRO PESO DE BASCULA (POSORJA)</t>
  </si>
  <si>
    <t>BLOCK DE GUIA DE TRASLADO POSORJA</t>
  </si>
  <si>
    <t>BOQUILLA DE PLASMA N║ 220669</t>
  </si>
  <si>
    <t>BOQUILLA DE PLASMA N║ 220671</t>
  </si>
  <si>
    <t>GUANTE DE CUERO P/MANIOBRA</t>
  </si>
  <si>
    <t>DILUYENTE CORRIENTE</t>
  </si>
  <si>
    <t>TIZA INDUSTRIAL</t>
  </si>
  <si>
    <t>PENETRANTE WD-40 EN SPRAY</t>
  </si>
  <si>
    <t>SACO SAL EN GRANO</t>
  </si>
  <si>
    <t>BRUJITA</t>
  </si>
  <si>
    <t>TOALLAS PRECORTADAS</t>
  </si>
  <si>
    <t>PAPEL CONTINUO SIN COPIA</t>
  </si>
  <si>
    <t>CUADERNO UNIVERSITARIO A CUADROS</t>
  </si>
  <si>
    <t>PAPEL  CONTINUO TROQ.9.1/2 x 5.1/2 3PARTES</t>
  </si>
  <si>
    <t>MARCADOR ACRILICO</t>
  </si>
  <si>
    <t>TABLERO DE CAMPO  A4</t>
  </si>
  <si>
    <t>TUBO A/INOX DE 6" x 6MTS - CED. 40</t>
  </si>
  <si>
    <t>TUBO A/INOX. DE 1.1/4" x 6MTR  CEL.10</t>
  </si>
  <si>
    <t>TUBO A/INOX DE 4" x 6MTS - CED 40</t>
  </si>
  <si>
    <t>TUBO H/N DE 6" x 6MTS - CEL. 40</t>
  </si>
  <si>
    <t>BRIDA H/N SOLDABLE DE 6"</t>
  </si>
  <si>
    <t>CODO H/N SOLDABLE DE 2" x 90║ - CED. 40</t>
  </si>
  <si>
    <t>PERNO DE H/N DE 3/4" X 4" COMPLETO</t>
  </si>
  <si>
    <t>CODO H/N SOLDABLE DE 6" CED 40</t>
  </si>
  <si>
    <t>PERNO DE H/N DE 5/8" X 3" COMPLETO</t>
  </si>
  <si>
    <t>CODO H/N SOLDABLE DE 1" x 90║ - CED. 40</t>
  </si>
  <si>
    <t>VALVULA A/INOX A/RAPIDA DE 4"</t>
  </si>
  <si>
    <t>VALVULA A/INOX A/RAPIDA DE 3"</t>
  </si>
  <si>
    <t>MASCARILLA DESECHABLES</t>
  </si>
  <si>
    <t>PIÐON DE 26 DIENTES PASO 120</t>
  </si>
  <si>
    <t>PIÐON PAS0 120 DE 16 DIENTES</t>
  </si>
  <si>
    <t>PIÐON  DE 18 DIENTES PASO 120</t>
  </si>
  <si>
    <t>ABREPUERTA</t>
  </si>
  <si>
    <t>RACHE DE 1/2" STANLEY</t>
  </si>
  <si>
    <t>GRASA ALMAGARD 3752</t>
  </si>
  <si>
    <t>POTENCIOMETRO DE 10 KILOHMIOS</t>
  </si>
  <si>
    <t>SELECTOR DE 2 POSICIONES (XB4-BJ21 / BD21)</t>
  </si>
  <si>
    <t>UNION  EMT  1.1/4</t>
  </si>
  <si>
    <t>CONTACTOR LC1-D12 DE 12 A 25AMP / 220V</t>
  </si>
  <si>
    <t>GUARDAMOTOR GV2ME14   7 A 10AMP.</t>
  </si>
  <si>
    <t>FUNDA SELLADA DE 3/4" PARA CABLE ELECTRICO</t>
  </si>
  <si>
    <t>RIEL CHANEL</t>
  </si>
  <si>
    <t>CODO EMT 1 1/4"</t>
  </si>
  <si>
    <t>ABRAZADERA DE TUBO DE 1-1/4" PARA CHANEL</t>
  </si>
  <si>
    <t>PERNO A/INOX DE 5/8" x 3-1/2" COMPLETO</t>
  </si>
  <si>
    <t>RENDOX AT 20 LIQ.</t>
  </si>
  <si>
    <t>EMPAQUE DE CABEZOTE</t>
  </si>
  <si>
    <t>PERNO A/INOX DE 5/8" x 1-1/2" COMPLETO</t>
  </si>
  <si>
    <t>PLANCHA A/INOX DE 6MM x 1.22MTS x 2.44MTS</t>
  </si>
  <si>
    <t>RODAMIENTO 22218-EK</t>
  </si>
  <si>
    <t>TUBO A/INOX DE 3" x 6MTS - CED. 80</t>
  </si>
  <si>
    <t>SWITCH</t>
  </si>
  <si>
    <t>PLANCHA A/INOX DE 5MM x 1.22MTS x 2.44MTS</t>
  </si>
  <si>
    <t>RULIMAN CENTRO ARMADO</t>
  </si>
  <si>
    <t>PERNO H/N DE 3/8" x 1-1/2" COMPLETO</t>
  </si>
  <si>
    <t>ABRAZADERA PARA PAQUETE</t>
  </si>
  <si>
    <t>CHUMACERA DE PARED DE 3" UCF315-300D1</t>
  </si>
  <si>
    <t>BRIDA A/INOX DE 2"</t>
  </si>
  <si>
    <t>CODO A/INOX SOLDABLE DE 2" x 90║</t>
  </si>
  <si>
    <t>BRIDA A/INOX DE 4"</t>
  </si>
  <si>
    <t>TUBO RECTANGULAR H/N DE 3MM x 100MM x 50MM x 6MTS</t>
  </si>
  <si>
    <t>BOCIN TEMPLADOR</t>
  </si>
  <si>
    <t>GUANTE DE LANA</t>
  </si>
  <si>
    <t>BROCHA DE 3"</t>
  </si>
  <si>
    <t>MANDIL DE PLASTICO</t>
  </si>
  <si>
    <t>ANTIOXIDANTE BHT</t>
  </si>
  <si>
    <t>ONE SHOT SWT-R (20 LITROS)</t>
  </si>
  <si>
    <t>BLOCK DE PEDIDO A BODEGA-POSORJA</t>
  </si>
  <si>
    <t>LLANTA GOOD YEAR 12R22.5 G667 POSTERIOR</t>
  </si>
  <si>
    <t>RULIMAN 7214 BM</t>
  </si>
  <si>
    <t>VALVULA REPARTIDORA DE AIRE</t>
  </si>
  <si>
    <t>AMARRA PLASTICA</t>
  </si>
  <si>
    <t>TUBO ANILLADO</t>
  </si>
  <si>
    <t>BANDA LISA B-74</t>
  </si>
  <si>
    <t>GRAPA N║ 26/6</t>
  </si>
  <si>
    <t>CLIP PEQUEÐO</t>
  </si>
  <si>
    <t>RACHE POSTERIORES</t>
  </si>
  <si>
    <t>PULMON DOBLE ACCION TIPO 30/30</t>
  </si>
  <si>
    <t>GRASA KENDALL</t>
  </si>
  <si>
    <t>CONO Y CORONA</t>
  </si>
  <si>
    <t>SILLA GIRATORIA</t>
  </si>
  <si>
    <t>PIPETA GRADUADA VIDRIO DE 10ML</t>
  </si>
  <si>
    <t>PLANCHA A/INOX DE 4MM x 1.22MTS x 2.44MTS</t>
  </si>
  <si>
    <t>EJE ACERO 705 DE 3.1/2" DIAMETRO</t>
  </si>
  <si>
    <t>TIRA FUSIBLE TIPO K-80 AMP</t>
  </si>
  <si>
    <t>FUNDA SELLADA DE 1" PARA CABLE ELECTRICO</t>
  </si>
  <si>
    <t>ABRAZADERA DE TUBO DE 1" PARA CHANEL</t>
  </si>
  <si>
    <t>CONECTOR  EMT   1"</t>
  </si>
  <si>
    <t>CONDULEC TIPO I DE 1"</t>
  </si>
  <si>
    <t>TUBO EMT DE 1" x 3MTS</t>
  </si>
  <si>
    <t>CONECTOR DE 1" PARA FUNDA SELLADA</t>
  </si>
  <si>
    <t>CABLE CONCENTRICO 4 x 12</t>
  </si>
  <si>
    <t>MASCARILLA MEDIA CARA 6200 - 3M</t>
  </si>
  <si>
    <t>PLATO DE EMBRAGUE DE 13"</t>
  </si>
  <si>
    <t>DISCO DE EMBRAGUE</t>
  </si>
  <si>
    <t>RULIMAN DE EMBRAGUE</t>
  </si>
  <si>
    <t>BITACORA</t>
  </si>
  <si>
    <t>BRAZO LIMPIAPARABRISA</t>
  </si>
  <si>
    <t>COLECTOR</t>
  </si>
  <si>
    <t>RULIMAN 6305-2RS</t>
  </si>
  <si>
    <t>REGULADOR DE VOLTAJE</t>
  </si>
  <si>
    <t>VALVULA SELECTORA CAJA FULLER</t>
  </si>
  <si>
    <t>GRASA TALCOR OGP IV (20KG)</t>
  </si>
  <si>
    <t>BOYA DE SUSPENSION DE EJE POSTERIOR</t>
  </si>
  <si>
    <t>PERNO H/N DE 1/2" X 2.1/2" COMPLETO</t>
  </si>
  <si>
    <t>PERNO A/INOX DE 1/4" x 1" COMPLETO</t>
  </si>
  <si>
    <t>PERNO H/N DE 5/8" x 3-1/2" COMPLETO</t>
  </si>
  <si>
    <t>PERNO CADMIADO DE 1/4" x 1" COMPLETO</t>
  </si>
  <si>
    <t>GUANTES NEGROS DE CAUCHO TALLA  L</t>
  </si>
  <si>
    <t>MANGUERA HIDRAULICA 100R2 DE 1/4"</t>
  </si>
  <si>
    <t>ESTRETCH FILM</t>
  </si>
  <si>
    <t>AMARRA PLASTICA DE 250MM</t>
  </si>
  <si>
    <t>SILICON TRANSPARENTE</t>
  </si>
  <si>
    <t>AMARRA PLASTICA DE 100MM</t>
  </si>
  <si>
    <t>CINTA MASKING DE 3/4"</t>
  </si>
  <si>
    <t>MEDIDOR DE TEMPERATURA</t>
  </si>
  <si>
    <t>GOVERNOL DE AIRE</t>
  </si>
  <si>
    <t>VALVULA CHILLONA QR-1</t>
  </si>
  <si>
    <t>CLOROFORMO</t>
  </si>
  <si>
    <t>TINTA EPSON NEGRO T6641</t>
  </si>
  <si>
    <t>SOLDADURA  C-13  E-6011   1/8"</t>
  </si>
  <si>
    <t>SOLDADURA 7018 - 3/32"</t>
  </si>
  <si>
    <t>SELLO MECANICO 1.1/2 TIPO 21  R.F./S.F SILICON  CARBIDE EPDM</t>
  </si>
  <si>
    <t>RULIMAN 22215 EK/C3 SKF</t>
  </si>
  <si>
    <t>PLANCHA A/INOX DE 3MM x 1.22MTS x 2.44MTS</t>
  </si>
  <si>
    <t>CABLE FLEXIBLE #12</t>
  </si>
  <si>
    <t>TERMINAL TIPO PUNTERA CABLE # 18 (COMPRESION)</t>
  </si>
  <si>
    <t>CONTACTOR LC1-D32 DE 32 A 50AMP / 220V</t>
  </si>
  <si>
    <t>BASES ADHESIVAS DE 2CM</t>
  </si>
  <si>
    <t>ANGULO A/INOX DE 1/4" x 2" x 2" x 6MTS</t>
  </si>
  <si>
    <t>EJE ACERO 705 DE 25MM DIAM X 105 LARGO</t>
  </si>
  <si>
    <t>RULIMAN 22318 E</t>
  </si>
  <si>
    <t>BUJE HE-315</t>
  </si>
  <si>
    <t>SELLO MECANICO TIPO 21 DE 43mm  R.F./S.F SILICON  CARBIDE EPDM</t>
  </si>
  <si>
    <t>REQ.#</t>
  </si>
  <si>
    <t>SOLICITANTE</t>
  </si>
  <si>
    <t>USO   O  DESTINO DE APLICACION DE LO SOLICITADO</t>
  </si>
  <si>
    <t>FECHA</t>
  </si>
  <si>
    <t>REQUI.#</t>
  </si>
  <si>
    <t>DESCRIPCION DEL PRODUCTO SOLICITADO</t>
  </si>
  <si>
    <t>CANT</t>
  </si>
  <si>
    <t>FECHA DE ORDEN</t>
  </si>
  <si>
    <t>CANTIDAD ORDENADA</t>
  </si>
  <si>
    <t>FECHA INGRESO</t>
  </si>
  <si>
    <t>INGRESO #</t>
  </si>
  <si>
    <t>CANTIDAD RECIBIDA</t>
  </si>
  <si>
    <t>STATUS</t>
  </si>
  <si>
    <t>ORDEN de COMPRA</t>
  </si>
  <si>
    <t>DIAS DE ATRAZO</t>
  </si>
  <si>
    <t>Reposicion Stock Bodega</t>
  </si>
  <si>
    <t>Montacarga # 2</t>
  </si>
  <si>
    <t>TROMPO DE STOP</t>
  </si>
  <si>
    <t>COJINETE DE BIELA</t>
  </si>
  <si>
    <t>COJINETE DE BANCADA</t>
  </si>
  <si>
    <t>CIGUEÐAL</t>
  </si>
  <si>
    <t>PERNO GUIA DE 3/4 x 12</t>
  </si>
  <si>
    <t>Volqueta # 4</t>
  </si>
  <si>
    <t>RETENEDOR</t>
  </si>
  <si>
    <t>ANTIESPUMANTE  HP BUILER 180F</t>
  </si>
  <si>
    <t>Bañera # 10</t>
  </si>
  <si>
    <t>BLOCK DE SOLICITUD DE COMPRA DE MATERIALES O INSUMOS</t>
  </si>
  <si>
    <t>SELLO MECANICO DE 40mm  TIPO 21</t>
  </si>
  <si>
    <t>PEGATANKE</t>
  </si>
  <si>
    <t>CABLE MULTIHILO FLEXIBLE # 1/0</t>
  </si>
  <si>
    <t>ESPATULA DE 2"</t>
  </si>
  <si>
    <t>LIMPIADOR DE CONTACTOS ELECTRICOS</t>
  </si>
  <si>
    <t>CONO BRONCE 3/8"</t>
  </si>
  <si>
    <t>MANGUERA DE AIRE 3/8"</t>
  </si>
  <si>
    <t>CHUMACERA DE PIE SE-515-612 (COMPLETA)</t>
  </si>
  <si>
    <t>TUBO EMT DE 1-1/2" x 3MTRS</t>
  </si>
  <si>
    <t>CONDULECT  TIPO "T"  DE 1"</t>
  </si>
  <si>
    <t>CONDULECT  TIPO "L"  DE 1"</t>
  </si>
  <si>
    <t>RELE ENTRADA  3RQ3038-1AF01</t>
  </si>
  <si>
    <t>JERINGUILLA DE 5ML</t>
  </si>
  <si>
    <t>BATERIA DE 12VOLT 125AMP 21PLACAS</t>
  </si>
  <si>
    <t>ACEITE TEXACO SAE 140</t>
  </si>
  <si>
    <t>ACEITE HIDRAULICO ATF MD3</t>
  </si>
  <si>
    <t>MANDIL DE CUERO P/SOLDAR</t>
  </si>
  <si>
    <t>TUERCA DE FIJACION  KM-24</t>
  </si>
  <si>
    <t>CODO GALV. DE 2" x 90║</t>
  </si>
  <si>
    <t>UNION UNIVERSAL GALV. DE 2"</t>
  </si>
  <si>
    <t>BRIDA 2" PARA TUBO</t>
  </si>
  <si>
    <t>ALMOHADILLA</t>
  </si>
  <si>
    <t>STICKER</t>
  </si>
  <si>
    <t>CHUMACERA DE CAJA DE 3" COMPLETO - 517</t>
  </si>
  <si>
    <t>TUBO H/N DE 1-1/2" x 6MTS. - CED 40</t>
  </si>
  <si>
    <t>RULIMAN 6311 -2Z 1C3 SKF</t>
  </si>
  <si>
    <t>ABRAZADERA GALV. DE 3"</t>
  </si>
  <si>
    <t>PERFORADORA</t>
  </si>
  <si>
    <t>PERNO H/N DE 3/4" x 3-1/2" COMPLETO</t>
  </si>
  <si>
    <t>BANDA B-62</t>
  </si>
  <si>
    <t>PLATINA H/N DE 8MM x 50MM x 6MTS</t>
  </si>
  <si>
    <t>ANGULO DE 1/4" X 4" X 4" X 6 MTS.</t>
  </si>
  <si>
    <t>BRIDA H/N SOLDABLE DE 1-1/2"</t>
  </si>
  <si>
    <t>BISAGRA  DE  3/4"</t>
  </si>
  <si>
    <t>ABRAZADERA GALV. DE 3/4"</t>
  </si>
  <si>
    <t>JUEGO DE MACHUELO DE 18 MM</t>
  </si>
  <si>
    <t>BARRA DIRECCION</t>
  </si>
  <si>
    <t>PROTECTOR DE RUIDO</t>
  </si>
  <si>
    <t>RETENEDOR S S 47879-58570</t>
  </si>
  <si>
    <t>ANILLO DE 14MM</t>
  </si>
  <si>
    <t>ANGULO H/N DE 3MM x 1-1/2" x 1-1/2" x 6MTS</t>
  </si>
  <si>
    <t>TEE H/N SOLDABLE DE 2"</t>
  </si>
  <si>
    <t>NEPLO CODO 1/4 X 1/8</t>
  </si>
  <si>
    <t>NEPLO RECTO 1/4" x 1/8"</t>
  </si>
  <si>
    <t>SOLDADURA A/INOX. DE 1/8"</t>
  </si>
  <si>
    <t>ABRAZADERA GALV. DE 2"</t>
  </si>
  <si>
    <t>ABRAZADERA GALV. DE 1-1/4"</t>
  </si>
  <si>
    <t>PLANCHA H/N CORRUGADA DE 3MM x 1.22MTS x 2.44MTS</t>
  </si>
  <si>
    <t>ANGULO H/N DE 3MM x 2" x 2" x 6MTS</t>
  </si>
  <si>
    <t>CAUCHO</t>
  </si>
  <si>
    <t>EMPAQUE REDONDO DE 3/4</t>
  </si>
  <si>
    <t>ACEITE SOLUBLE</t>
  </si>
  <si>
    <t>MANOMETRO DE 0-160PSI, DIAM. 3-1/2", ROSCA 1/4"</t>
  </si>
  <si>
    <t>AMARRA PLASTICA DE 300MM</t>
  </si>
  <si>
    <t>BASES</t>
  </si>
  <si>
    <t>PERNO DE ACERO 1/2 X 2" COMPLETO</t>
  </si>
  <si>
    <t>AGUA OXIGENADA 10VL - 1LT</t>
  </si>
  <si>
    <t>RACHE</t>
  </si>
  <si>
    <t>PERNO DE RUEDA</t>
  </si>
  <si>
    <t>ESPARADRAPO</t>
  </si>
  <si>
    <t>ABRAZADERA GALV. DE 1/2"</t>
  </si>
  <si>
    <t>GUIA VALVULA DE ESCAPE</t>
  </si>
  <si>
    <t>GUIA VALVULA DE ADMISION</t>
  </si>
  <si>
    <t>JUEGO VALVULA DE ADMISION</t>
  </si>
  <si>
    <t>JUEGO VALVULA DE ESCAPE</t>
  </si>
  <si>
    <t>TERMINAL LH DIRECCION</t>
  </si>
  <si>
    <t>TERMINAL RH DIRECCION</t>
  </si>
  <si>
    <t>PLANCHA GALV. DE 2MM x 1.22MTS x 2.44MTS</t>
  </si>
  <si>
    <t>RETENEDOR DE RUEDA DELANTERA</t>
  </si>
  <si>
    <t>RULIMAN CONICO INTER.RUEDA FR</t>
  </si>
  <si>
    <t>CONECTOR DE 2" PARA FUNDA SELLADA</t>
  </si>
  <si>
    <t>CINTA METRICA</t>
  </si>
  <si>
    <t>PRISIONERO ALLEN H/N DE 1/2" x 3/4"</t>
  </si>
  <si>
    <t>KIT AUXILIAR</t>
  </si>
  <si>
    <t>PISTON</t>
  </si>
  <si>
    <t>BOMBA DE AGUA HINO FB AÐO 97</t>
  </si>
  <si>
    <t>CEMENTO AISLANTE BEBLOMIX (25 KILOS)</t>
  </si>
  <si>
    <t>PERNO GUIA DE 1/2" x 10"</t>
  </si>
  <si>
    <t>ABRAZADERA GALV. DE 1-1/2"</t>
  </si>
  <si>
    <t>BARRA DE LEVA</t>
  </si>
  <si>
    <t>RULIMAN</t>
  </si>
  <si>
    <t>ABRAZADERA 4" INDUSTRIAL</t>
  </si>
  <si>
    <t>CRUCETA</t>
  </si>
  <si>
    <t>ABRAZADERA GALV. DE 1/4"</t>
  </si>
  <si>
    <t>PERNO H/N DE 3/8" x 1-1/2" COMPLETO HILO FINO</t>
  </si>
  <si>
    <t>PERNO H/N DE 5/16" x 1-1/2" COMPLETO</t>
  </si>
  <si>
    <t>PERNO H/N DE 1/4" x 2-1/2" COMPLETO</t>
  </si>
  <si>
    <t>PERNO 12 x 50 COMPLETO</t>
  </si>
  <si>
    <t>TAPA CUBIERTA</t>
  </si>
  <si>
    <t>EJE DE TRANSMISION DE 3" x 1MTS</t>
  </si>
  <si>
    <t>DISCO DE PULIR DE METAL DE 7"</t>
  </si>
  <si>
    <t>TUBO H/N DE 3" CEL 40</t>
  </si>
  <si>
    <t>ESPAGUETTY FIBRA DE VIDRIO DE 2MM</t>
  </si>
  <si>
    <t>VIDRIO OSCURO PARA CARETA DE SOLDAR</t>
  </si>
  <si>
    <t>CINTA SCOTH</t>
  </si>
  <si>
    <t>CARGA DE CILINDROS DE OXIGENOS</t>
  </si>
  <si>
    <t>ALAMBRE ESMALTADO N║ 19</t>
  </si>
  <si>
    <t>PRISIONERO ALLEN H/N DE 1/2" x 1/2"</t>
  </si>
  <si>
    <t>SELLO MECANICO DE 1.7/8"</t>
  </si>
  <si>
    <t>TUERCA A/INOX DE 3/8"</t>
  </si>
  <si>
    <t>SELLO DE SEGURIDAD(TIPO BOTELLA)</t>
  </si>
  <si>
    <t>BOQUILLA DE CORTE N║ 2 PARA GAS</t>
  </si>
  <si>
    <t>CONDULECT TIPO "L"  DE 1 1/4"</t>
  </si>
  <si>
    <t>GRAPADORA SWINGLINE</t>
  </si>
  <si>
    <t>BANDA XL 9451-13A1145</t>
  </si>
  <si>
    <t>VALVULA H/N A/RAPIDA DE 1-1/2" P/VAPOR</t>
  </si>
  <si>
    <t>FUNDA SELLADA DE 1-1/4" PARA CABLE ELECTRICO</t>
  </si>
  <si>
    <t>FUNDA SELLADA DE 2" PARA CABLE ELECTRICO</t>
  </si>
  <si>
    <t>UNION EMT DE 3/4"</t>
  </si>
  <si>
    <t>UNION EMT DE 1"</t>
  </si>
  <si>
    <t>UNION EMT DE 1-1/2"</t>
  </si>
  <si>
    <t>UNION  EMT   2"</t>
  </si>
  <si>
    <t>TUBO EMT DE 2" x 3MTRS</t>
  </si>
  <si>
    <t>CONDULECT TIPO "L"  DE 1 1/2"</t>
  </si>
  <si>
    <t>CONDULECT TIPO "L"  DE 2"</t>
  </si>
  <si>
    <t>CONECTOR DE 1-1/4" PARA FUNDA SELLADA</t>
  </si>
  <si>
    <t>PURGAS DE 1/2"</t>
  </si>
  <si>
    <t>RULIMAN 6003LLUC3</t>
  </si>
  <si>
    <t>PLANCHA DE H/NEGRO 2.44 X 1.22 X 6MM</t>
  </si>
  <si>
    <t>ACOPLE</t>
  </si>
  <si>
    <t>CRUCETA DE CARDAN</t>
  </si>
  <si>
    <t>TUBO H/N DE 2" CEL 40</t>
  </si>
  <si>
    <t>BOCINES DE PAQUETE</t>
  </si>
  <si>
    <t>CABLE CONCENTRICO 4 x 6</t>
  </si>
  <si>
    <t>TUBO EMT DE 1-1/4" x 3MTS</t>
  </si>
  <si>
    <t>CONDULECT  TIPO "T"  DE 1 1/2"</t>
  </si>
  <si>
    <t>CARETA PARA SOLDAR</t>
  </si>
  <si>
    <t>TERMOMETRO DIGITAL PARA HARINA DE 0 A 300║</t>
  </si>
  <si>
    <t>BREAKER DE 2P x 20AMP. PARA RIEL</t>
  </si>
  <si>
    <t>ANGULO H/N DE 50MM X 6MM</t>
  </si>
  <si>
    <t>CODO H/N SOLDABLE DE 1-1/2" x 90║ CED. 40</t>
  </si>
  <si>
    <t>PIOLA PARA REBOBINAR(GRUESA)</t>
  </si>
  <si>
    <t>PIOLA PARA REBOBINAR(FINA)</t>
  </si>
  <si>
    <t>PERNO H/N DE 3/4" x 3" COMPLETO</t>
  </si>
  <si>
    <t>TUBO H/N DE 1" CEL 40</t>
  </si>
  <si>
    <t>BALANZA DIGITAL METTER TOLEDO DE 50KG</t>
  </si>
  <si>
    <t>PERNO DE 1/4" X 1" CABEZA AVELLANADA</t>
  </si>
  <si>
    <t>BATERIA N100 HD</t>
  </si>
  <si>
    <t>PERNO A/INOX DE 5/8" x 2" COMPLETO</t>
  </si>
  <si>
    <t>PERNO CADMIADO DE 5/16" x 1" COMPLETO</t>
  </si>
  <si>
    <t>TUBO EMT DE 3/4" x 3MTS</t>
  </si>
  <si>
    <t>ABRAZADERA DE TUBO DE 3/4" PARA CHANEL</t>
  </si>
  <si>
    <t>ABRAZADERA DE TUBO DE 2" PARA CHANEL</t>
  </si>
  <si>
    <t>CODO EMT DE 2"</t>
  </si>
  <si>
    <t>PRISIONERO ALLEN 1/2" X 1"</t>
  </si>
  <si>
    <t>TAMBOR POSTERIOR</t>
  </si>
  <si>
    <t>AMORTIGUADOR DE CABINA  # 83041</t>
  </si>
  <si>
    <t>ALGODON (FUNDA)</t>
  </si>
  <si>
    <t>PERNO H/N DE 1-1/2" x 6" COMPLETO</t>
  </si>
  <si>
    <t>CRUCETA CARDAN DE 6"</t>
  </si>
  <si>
    <t>PICETAS DE 500ML DE PLASTICO</t>
  </si>
  <si>
    <t>RESORTE DE ZAPATA</t>
  </si>
  <si>
    <t>EJE DE ACERO 705 DIAM 1" X 1220MM</t>
  </si>
  <si>
    <t>CONTACTOR DLC1-D150 DE150 A 200AMP</t>
  </si>
  <si>
    <t>CONTACTOR LC1-D65 DE 65 A 80AMP / 220V</t>
  </si>
  <si>
    <t>ABRAZADERA DE TUBO DE 1/2" PARA CHANEL</t>
  </si>
  <si>
    <t>CONDULEC TIPO I DE 2"</t>
  </si>
  <si>
    <t>ELEVADORES DE VALVULA</t>
  </si>
  <si>
    <t>BOCINES DE MARTILLO</t>
  </si>
  <si>
    <t>MOTORREDUCTOR DE 15HP - 220/440V</t>
  </si>
  <si>
    <t>BOMBA DE VOLTEO</t>
  </si>
  <si>
    <t>RULIMAN 33213 CON PISTA (BAÐERA # 5)</t>
  </si>
  <si>
    <t>RULIMAN 33118M-90KM1</t>
  </si>
  <si>
    <t>PLANCHA DE H/N LISA DE 3MM</t>
  </si>
  <si>
    <t>PULMON N30 WAGNER</t>
  </si>
  <si>
    <t>PERNO H/N DE 3/8" X 3" COMPLETO</t>
  </si>
  <si>
    <t>FIOLA DE VIDRIO DE 250ML</t>
  </si>
  <si>
    <t>GOVERNOR 745-276947N</t>
  </si>
  <si>
    <t>MONITOR</t>
  </si>
  <si>
    <t>TERMINAL DE DIRECCION DERECHO</t>
  </si>
  <si>
    <t>TERMINAL DE DIRECCION IZQUIERDO</t>
  </si>
  <si>
    <t>MOTOR ELECTRICO DE 75HP</t>
  </si>
  <si>
    <t>VALVULA A/INOX A/RAPIDA DE 3/4"</t>
  </si>
  <si>
    <t>ANGULO DE 2" X 3/16" DE ESPESOR</t>
  </si>
  <si>
    <t>TUERCA DE ESPARRAGOS</t>
  </si>
  <si>
    <t>CABLE MULTIHILO # 2</t>
  </si>
  <si>
    <t>HOJA DE PAQUETE CUARTA POSTERIOR</t>
  </si>
  <si>
    <t>CHECK HORIZONTAL DE 6"</t>
  </si>
  <si>
    <t>ARO PARA ARAÐA 22.5</t>
  </si>
  <si>
    <t>TUBO RECTANGULAR H/N DE 2MM x 100MM x 50MM x 6MTS</t>
  </si>
  <si>
    <t>TERMINAL DE OJO P/CABLE # 6 (SC16-6)</t>
  </si>
  <si>
    <t>RULIMAN TIMKEN 580 TT3107</t>
  </si>
  <si>
    <t>VARILLA LISA DE 3/8"</t>
  </si>
  <si>
    <t>CODO EMT DE 1-1/2"</t>
  </si>
  <si>
    <t>REDUCCION EMT DE 1 1/2" A 1"</t>
  </si>
  <si>
    <t>RULIMAN 32310</t>
  </si>
  <si>
    <t>SELLO MECANICO DE 1 3/4"  TIPO 21</t>
  </si>
  <si>
    <t>PATAS DE PLATAFORMA</t>
  </si>
  <si>
    <t>TURBINA SEPARADORA 1000FH-BR(RACOR)</t>
  </si>
  <si>
    <t>MARTILLO DELANTERO</t>
  </si>
  <si>
    <t>VALVULA RELAY P/CARRETA RE-6 (281865) BENDIX</t>
  </si>
  <si>
    <t>PIÐON 20D - PASO 120</t>
  </si>
  <si>
    <t>CABLE CONCENTRICO 4 x 4</t>
  </si>
  <si>
    <t>CONDULEC TIPO I DE 1 1/2"</t>
  </si>
  <si>
    <t>TUBO GALV. DE 2" x 6MTS</t>
  </si>
  <si>
    <t>PERNO A/INOX DE 3/4" x 3" COMPLETOS</t>
  </si>
  <si>
    <t>VALVULA A/RAPIDA DE 2" DE 125 PSI</t>
  </si>
  <si>
    <t>CONTACTOR LC1-D95 DE 95 A 125AMP / 220V</t>
  </si>
  <si>
    <t>CONTACTOR LC1-D80 DE 80 A 125AMP / 220V</t>
  </si>
  <si>
    <t>EJE A/INOX DE 2" x 1MTS</t>
  </si>
  <si>
    <t>CONECTOR EMT DE 1-1/2"</t>
  </si>
  <si>
    <t>SANTIAGO DE 3PTS (PEQUEÐO)</t>
  </si>
  <si>
    <t>JUEGO DE BROCA HSS</t>
  </si>
  <si>
    <t>MANGUERA ANILLADA DE 3"</t>
  </si>
  <si>
    <t>CONDULECT TIPO "I"  DE 1"</t>
  </si>
  <si>
    <t>COLGANTE DELANTERO</t>
  </si>
  <si>
    <t>NUDO A/INOX DE 2"</t>
  </si>
  <si>
    <t>MANGUERA DE AIRE 1/4"</t>
  </si>
  <si>
    <t>PERNO H/N DE 7/8" x 6" COMPLETO</t>
  </si>
  <si>
    <t>PIN DE ZAPATA</t>
  </si>
  <si>
    <t>EJE ACERO TRANSMICION DE 2" X 90 CMTRS LARGO</t>
  </si>
  <si>
    <t>LOCTITE 609</t>
  </si>
  <si>
    <t>CABLE CONCENTRICO 4 x 18 AWG</t>
  </si>
  <si>
    <t>CABLE CONCENTRICO 2 x 18 AWG</t>
  </si>
  <si>
    <t>CABLE FLEXIBLE #14</t>
  </si>
  <si>
    <t>BRIDA SOLDABLE DE 8"</t>
  </si>
  <si>
    <t>ANGULO DE H/N 3" X 1/4"</t>
  </si>
  <si>
    <t>NEPLO A/INOX DE 3" x 6"</t>
  </si>
  <si>
    <t>ELECTROVALVULA DE 1" - 240V</t>
  </si>
  <si>
    <t>PLATINA H/N DE 1/4" x 1-1/2" x 6MTS</t>
  </si>
  <si>
    <t>CONECTOR EMT DE 3/4"</t>
  </si>
  <si>
    <t>TUERCA A/INOX DE 1"</t>
  </si>
  <si>
    <t>VALVULA PRINCIPAL PEDAL DE FRENO</t>
  </si>
  <si>
    <t>RULIMAN KOYO 567</t>
  </si>
  <si>
    <t>RETENEDOR 20022 NATIONAL</t>
  </si>
  <si>
    <t>UNION UNIVERSAL H/N DE 2"</t>
  </si>
  <si>
    <t>TEE GALV. DE 2"</t>
  </si>
  <si>
    <t>ANGULO DE H/N 40MM X 6MM</t>
  </si>
  <si>
    <t>TEE H/N SOLDABLE DE 8" CEL 40</t>
  </si>
  <si>
    <t>VALVULA DE COMPUERTA DE 6" BRIDADA</t>
  </si>
  <si>
    <t>EXTENSION DE 5" MANDO 1/2"</t>
  </si>
  <si>
    <t>EXTENSION DE 10" MANDO 1/2"</t>
  </si>
  <si>
    <t>CONDULEC TIPO "I" DE 3/4</t>
  </si>
  <si>
    <t>PORTA RETENEDOR RUEDA POSTERIOR</t>
  </si>
  <si>
    <t>BUSCAPINA (CAPSULA)</t>
  </si>
  <si>
    <t>MARTILLO POSTERIORES</t>
  </si>
  <si>
    <t>TUBO GALVANIZADO DE 3/4" x 6MTS</t>
  </si>
  <si>
    <t>NEPLO GALV. 3" x 4"</t>
  </si>
  <si>
    <t>CHUMACERA DE PARED DE 2-1/2"</t>
  </si>
  <si>
    <t>ABRAZADERA</t>
  </si>
  <si>
    <t>OXIDO DE MAGNESIO</t>
  </si>
  <si>
    <t>PERNO DE 14MM</t>
  </si>
  <si>
    <t>CONECTOR EMT DE 2"</t>
  </si>
  <si>
    <t>PERNO A/INOX DE 1/2" x 2-1/2" COMPLETO</t>
  </si>
  <si>
    <t>PLANCHA CORRUGADA H/N DE 4MM x 1.22MTS x 2.44MTS</t>
  </si>
  <si>
    <t>SENSOR RPM/TDC 20706327</t>
  </si>
  <si>
    <t>RULIMAN B17-102DG3</t>
  </si>
  <si>
    <t>TUERCA DE PUNTA DE EJE</t>
  </si>
  <si>
    <t>SWITCH DLINK</t>
  </si>
  <si>
    <t>SELENOIDE</t>
  </si>
  <si>
    <t>CONECTOR EMT DE 1-1/4"</t>
  </si>
  <si>
    <t>TABLERO PLASTICO ALTO 50CM x ANCHO 40CM x 20CM PROFUNDIDAD</t>
  </si>
  <si>
    <t>PIN SET (JUEGO PINES)</t>
  </si>
  <si>
    <t>PLANCHA H/N DE 25MM X 1,2M X 2,4M</t>
  </si>
  <si>
    <t>PLANCHA H/N DE 10MM x 1.22MTS x 2.44MTS</t>
  </si>
  <si>
    <t>VENTOZA PARA PULMON</t>
  </si>
  <si>
    <t>EJE ACERO TRANSMISION DE 3" x 900MM LARGO</t>
  </si>
  <si>
    <t>ESPARRAGO S/MUESTRA</t>
  </si>
  <si>
    <t>PUNTA EXTERIOR 15KV PARA CABLE N║ 2</t>
  </si>
  <si>
    <t>POLEA TIPO C DE 8" DE 6 CANALES</t>
  </si>
  <si>
    <t>VALVULA A/R DE A/INOX DE 3"</t>
  </si>
  <si>
    <t>FILTRO VAPOR ORGANICO 3M 6001 (2UND)</t>
  </si>
  <si>
    <t>RETENEDOR 85 X 105 X 10</t>
  </si>
  <si>
    <t>BROCA COBALTO DE 3/8"</t>
  </si>
  <si>
    <t>VALVULA RELAY WABCO #4734730</t>
  </si>
  <si>
    <t>RULIMAN SET 422 (HM 516449/516410)</t>
  </si>
  <si>
    <t>CHAVETA</t>
  </si>
  <si>
    <t>VALVULA CEBADORA</t>
  </si>
  <si>
    <t>JERINGUILLA DE 3ML</t>
  </si>
  <si>
    <t>BOQUILLA DE PLASMA N║ 220670</t>
  </si>
  <si>
    <t>CABLE APANTALLADO 4 X 18</t>
  </si>
  <si>
    <t>REDUCCION A/INOX SOLDABLE DE 4" A 3"</t>
  </si>
  <si>
    <t>LIJA DE AGUA # 120</t>
  </si>
  <si>
    <t>NEPLO GALV. DE 2" x 4"</t>
  </si>
  <si>
    <t>TERMINAL DE OJO P/CABLE # 2</t>
  </si>
  <si>
    <t>JUEGO DE EMPAQUE</t>
  </si>
  <si>
    <t>MARTILLO DE FRENO</t>
  </si>
  <si>
    <t>BANDA 3VX 560 LISA</t>
  </si>
  <si>
    <t>UNION UNIVERSAL A/INOX DE 3/4"</t>
  </si>
  <si>
    <t>BREAKER DE 112 A 160 AMP REGULABLE</t>
  </si>
  <si>
    <t>PERNO CADMIADO DE 5/16" X 1 1/2" COMPLETO</t>
  </si>
  <si>
    <t>PERNO VALVULA DE 14MM</t>
  </si>
  <si>
    <t>TUBO A/INOX DE 3/4" x 6MTS - CED. 40</t>
  </si>
  <si>
    <t>PLANCHA DE A/INOX DE 2MM</t>
  </si>
  <si>
    <t>PLANCHA DE A/INOX DE 4MM</t>
  </si>
  <si>
    <t>ANGULO A/INOX DE 1/4" X 2"</t>
  </si>
  <si>
    <t>TERMINALES TIPO OJO PARA CABLE 1/0</t>
  </si>
  <si>
    <t>VIGA I IPN 160 X 74</t>
  </si>
  <si>
    <t>BOMBA PRINCIPAL SISTEMA CONTRA INCENDIO</t>
  </si>
  <si>
    <t>LAMPARA FLUORESCENTE DE 2 x 32W - 110V/220V</t>
  </si>
  <si>
    <t>TUBO DE EMT 1/2"</t>
  </si>
  <si>
    <t>CODO H/N SOLDABLE 5" X 90░</t>
  </si>
  <si>
    <t>PINES</t>
  </si>
  <si>
    <t>PLANCHA A/INOX  304  4MM x 1.22 x 2.44</t>
  </si>
  <si>
    <t>EJE DE ACERO TRANSMICION DE 3 1/2" X 1000 MM</t>
  </si>
  <si>
    <t>CONECTOR RAPIDO RECTO MACHO DE 1/4" X 8MM</t>
  </si>
  <si>
    <t>PLANCHA DE A/INOX DE 3MM</t>
  </si>
  <si>
    <t>PRISIONERO DE 1/2" X  1"</t>
  </si>
  <si>
    <t>BRIDA A/INOX DE 6"</t>
  </si>
  <si>
    <t>POVIDIN JABONOSO 1/4</t>
  </si>
  <si>
    <t>VIGA HEB 120</t>
  </si>
  <si>
    <t>PERNO A/INOX DE 5/8" x 6" COMPLETO</t>
  </si>
  <si>
    <t>VALVULA DE COMPUERTA BRIDADA DE 8" DE 150 PSI</t>
  </si>
  <si>
    <t>PERNO PARA ZINC 1/4"X2.1/2"</t>
  </si>
  <si>
    <t>EJE TRANSMICION DE 4"</t>
  </si>
  <si>
    <t>MOTORREDUCTOR DE 20HP - 220/440V</t>
  </si>
  <si>
    <t>FELPA GRUESA</t>
  </si>
  <si>
    <t>FELPA FINA</t>
  </si>
  <si>
    <t>PERNO H/N DE 1" X 8"</t>
  </si>
  <si>
    <t>CABLE FLEXIBLE # 2</t>
  </si>
  <si>
    <t>TUBO FLEXIBLE DE 5"</t>
  </si>
  <si>
    <t>RULIMAN 30314</t>
  </si>
  <si>
    <t>CORTINAS DE AIRE DE 110VLT</t>
  </si>
  <si>
    <t>RULIMAN 6014 M/C3</t>
  </si>
  <si>
    <t>RULIMAN 6015 M/C3</t>
  </si>
  <si>
    <t>ARRANCADOR SUAVE DE 75 HP A 480 VLT( ATS 48C14Y) SCHNEIDER</t>
  </si>
  <si>
    <t>CONECTORES PARA FUNDA SELLADA 3/4</t>
  </si>
  <si>
    <t>ANGULO H/N DE 1/4" x 2" x 2" x 6MTS</t>
  </si>
  <si>
    <t>TAPA GRASA DE RUEDA</t>
  </si>
  <si>
    <t>PERNO A/INOX DE 7/16" x 1" COMPLETO</t>
  </si>
  <si>
    <t>GATA HIDRAULICA</t>
  </si>
  <si>
    <t>VALVULA DE RETORNO DE COMBUSTIBLE</t>
  </si>
  <si>
    <t>BANDA A-68</t>
  </si>
  <si>
    <t>ESPARRAGO A/INOX DE 1" x 70CM</t>
  </si>
  <si>
    <t>PERNO H/N DE 3/4" x 2" COMPLETO</t>
  </si>
  <si>
    <t>PIÐON DE 22 DIENTES PASO 120</t>
  </si>
  <si>
    <t>PARCHE FRIO N░ 10</t>
  </si>
  <si>
    <t>FILTRO DE ACEITE CERBO TRANSMICION  581M7012</t>
  </si>
  <si>
    <t>PISTON STD</t>
  </si>
  <si>
    <t>TEE A/INOX SOLDABLE DE 4" - CED. 40</t>
  </si>
  <si>
    <t>VALVULA MARIPOSA DE 4" CON ACTUADOR NEUMATICO</t>
  </si>
  <si>
    <t>RETENEDOR 60 X 75 X 12</t>
  </si>
  <si>
    <t>TUBO FLUORESCENTE DE 32W</t>
  </si>
  <si>
    <t>NEPLO DE A/INOX DE 4" X 6"</t>
  </si>
  <si>
    <t>CANALETA T/ESCALERA GALV. DE 20CM ANCHO - COMPLETA</t>
  </si>
  <si>
    <t>GRASA ALBANIA RL3</t>
  </si>
  <si>
    <t>BANDA 5V900</t>
  </si>
  <si>
    <t>CAUCHO PLANO DE 50MM x 10MM</t>
  </si>
  <si>
    <t>RETENEDOR DE RUEDA</t>
  </si>
  <si>
    <t>ABRAZADERA T-504 (37-40)</t>
  </si>
  <si>
    <t>REDUCCION 8 - 6</t>
  </si>
  <si>
    <t>MALLA DE A/INOX 2MM ESP x 3MM PERF x 1MTS x 2MT</t>
  </si>
  <si>
    <t>GUARDAMOTOR GV3-P50 / GMTT352 DE 37 - 50 AMP</t>
  </si>
  <si>
    <t>ANGULO H/N DE 3/16" x 1-1/2" x 1-1/2" x 6MTS</t>
  </si>
  <si>
    <t>CODO ARMADO DE 3/8" x 3/8"</t>
  </si>
  <si>
    <t>REDUCCION EMT DE 1 1/4" A 1"</t>
  </si>
  <si>
    <t>CONDULEC TIPO I DE 1 1/4"</t>
  </si>
  <si>
    <t>SELLADORA PEDESTAL 60CM (ME-6010FDT)</t>
  </si>
  <si>
    <t>CILINDRO DOBLE</t>
  </si>
  <si>
    <t>KIT DE DIRECCION HIDRAULICA</t>
  </si>
  <si>
    <t>CABLE ELECTRICO NEGRO DE 15 PIE C/CONECTOR HEMBRA</t>
  </si>
  <si>
    <t>EJE A/INOX DE 3" x 3MTS</t>
  </si>
  <si>
    <t>UNION UNIVERSAL GALV. DE 3/4"</t>
  </si>
  <si>
    <t>CAUCHO DE MANITO</t>
  </si>
  <si>
    <t>PINTURA ANTICORROSIVO AZUL MARTILLADO</t>
  </si>
  <si>
    <t>REDUCCION BUSHING DE 2" A 1" EN A/INOX</t>
  </si>
  <si>
    <t>BROCA COBALTO DE 5/8"</t>
  </si>
  <si>
    <t>BROCA COBALTO DE 7/8"</t>
  </si>
  <si>
    <t>BALANZA C/PLATAFORMA/PISO</t>
  </si>
  <si>
    <t>AMOLADORA DeWALT DE 7"</t>
  </si>
  <si>
    <t>VIGA UPN DE 80 (80MM x 45MM x 6MM)</t>
  </si>
  <si>
    <t>CONCRETO REFRACTARIO SAIRSET(TACHO DE 55LBRS)</t>
  </si>
  <si>
    <t>TRAMPA P/VAPOR DE BALDE INVERTIDO DE 1-1/2"</t>
  </si>
  <si>
    <t>KIT ZAPATA</t>
  </si>
  <si>
    <t>TABLERO ELECTRICO</t>
  </si>
  <si>
    <t>SUPER HYBOND 80 ALTA ALUMINA 80.5%(CAJA DE 55 LBRS)</t>
  </si>
  <si>
    <t>RULIMAN 2309</t>
  </si>
  <si>
    <t>SEGURO DE CAPOT</t>
  </si>
  <si>
    <t>NEPLO DE 3/8" X 1/4" RECTO</t>
  </si>
  <si>
    <t>RULIMAN 33215</t>
  </si>
  <si>
    <t>PARCHE PARA LLANTA TUBULAR PEQUEÐO</t>
  </si>
  <si>
    <t>PATAS DE APOYO</t>
  </si>
  <si>
    <t>GUIAS ENCAUCHADAS GRANDE AMARILLA 24V</t>
  </si>
  <si>
    <t>GUIAS ENCAUCHADAS GRANDES ROJA 24V</t>
  </si>
  <si>
    <t>EMPAQUE DE  TAPA  DE VALVULAS</t>
  </si>
  <si>
    <t>BATERIA BOSCH S4 - 34HD - 70AH</t>
  </si>
  <si>
    <t>MOTOREDUCTOR DE 25 HP 220-440 VOLT.</t>
  </si>
  <si>
    <t>ZUNCHO PLASTICO BLANCO</t>
  </si>
  <si>
    <t>GRAPA C/PUPOS PARA ZUNCHO (X MILLAR)</t>
  </si>
  <si>
    <t>SELLADORA P/ZUNCHO</t>
  </si>
  <si>
    <t>TEMPLADORA DE ZUNCHO</t>
  </si>
  <si>
    <t>CODO DE 90 PARA INTERCOOLER</t>
  </si>
  <si>
    <t>ELEVADOR</t>
  </si>
  <si>
    <t>LONA IMPERMEABLE INDUSTRIAL DE 6MTS x 16MTS</t>
  </si>
  <si>
    <t>VALVULA MARIPOSA DE 6" C/ACTUADOR NEUMATICO DOBLE EFECTO</t>
  </si>
  <si>
    <t>PASADOR ROSCABLE DE PAQUETE DELANTERO MACK</t>
  </si>
  <si>
    <t>CODO 3/8 X 3/8</t>
  </si>
  <si>
    <t>MOTOR TRIFASICO DE 125HP - 440V</t>
  </si>
  <si>
    <t>RESORTE</t>
  </si>
  <si>
    <t>EJE DE A/INOX DE 1" DE DIAM X 2 MTRS</t>
  </si>
  <si>
    <t>VALVULA DE CORNETA DE PITO DE AIRE TIPO TECHO MP-5064HV</t>
  </si>
  <si>
    <t>PARARRAYO PORCELANA DE 15KVA</t>
  </si>
  <si>
    <t>ESPEJO LATERAL</t>
  </si>
  <si>
    <t>FILTRO TIPO Y DE 1-1/2" PARA VAPOR</t>
  </si>
  <si>
    <t>FIERRO DE ZAPATA POSTERIOR DEL MERCEDES 1924 REVESTIDO (2755)</t>
  </si>
  <si>
    <t>RACHE 10D. 1-1/2   #278323-N</t>
  </si>
  <si>
    <t>BASE DE ALUMINIO</t>
  </si>
  <si>
    <t>LIJA DE AGUA # 180</t>
  </si>
  <si>
    <t>ABRAZADERA ESCAPE</t>
  </si>
  <si>
    <t>BOCIN DE BRAZO DE BIELA ( BL84114)</t>
  </si>
  <si>
    <t>PULMON DE UNA ACCION 10X30</t>
  </si>
  <si>
    <t>COLLARIN DE MARCHA 00.168.053</t>
  </si>
  <si>
    <t>TEMPLADOR POST. DE CORONA  AT-368</t>
  </si>
  <si>
    <t>SILENCIADOR DE ESCAPE</t>
  </si>
  <si>
    <t>ORING 30675</t>
  </si>
  <si>
    <t>ORING 64102</t>
  </si>
  <si>
    <t>ORING 67033</t>
  </si>
  <si>
    <t>ORING 71866</t>
  </si>
  <si>
    <t>ORING 64810</t>
  </si>
  <si>
    <t>ORING 71162</t>
  </si>
  <si>
    <t>PLANCHA EMPAQUE DE ASBESTO C/ALAMBRE DE 1/8"</t>
  </si>
  <si>
    <t>CONTACTOR LC1-D50 DE 50 A 80AMP / 220V</t>
  </si>
  <si>
    <t>TUBO CUADRADO DE 2" X 2" X 4 MM H/N.</t>
  </si>
  <si>
    <t>RACHE DE FRENO DELANTERO  WB-4086</t>
  </si>
  <si>
    <t>GUIA DE AIRE DE 3/8</t>
  </si>
  <si>
    <t>GUIA DE STOP LED 12V.</t>
  </si>
  <si>
    <t>EMPAQUE FIBRA CERAMICA DE 1/4" X 2"</t>
  </si>
  <si>
    <t>EMPAQUE REGISTRO HAND-HOLE 12 X 16 X 1.1/4 METALICO</t>
  </si>
  <si>
    <t>TEFLON  DE  1"  PARA TEMPERATURA</t>
  </si>
  <si>
    <t>EMPAQUE REGISTRO HAND-HOLE 12 X 16 X 1.1/4  METALICO</t>
  </si>
  <si>
    <t>CEFALEXINA 500 G (CAPSULA)</t>
  </si>
  <si>
    <t>CHUMACERA DE PISO SE 518-615  EJE 2.1/2" (COMPLETA)</t>
  </si>
  <si>
    <t>VALVULA  PARA VAPOR  A/R. 1.1/2" X 150LBR.</t>
  </si>
  <si>
    <t>BOCIN DE TEMPLADOR TIPO OREJA</t>
  </si>
  <si>
    <t>BOCIN DE BALANCIN DE 1 PERNO</t>
  </si>
  <si>
    <t>PLANCHA H/N DE 4MM X 2,44 X 2,22</t>
  </si>
  <si>
    <t>VALVULA DOBLE</t>
  </si>
  <si>
    <t>VALVULA TIPO OJO DE CANGREJO  F238846</t>
  </si>
  <si>
    <t>GUIAS CUADRADAS DOBLE CARA 24 VOLT.</t>
  </si>
  <si>
    <t>BUSHING A/INOX DE 1" x 1/4"</t>
  </si>
  <si>
    <t>CABLE ELECTRICO 7 PUNTAS</t>
  </si>
  <si>
    <t>PAPEL ADHESIVO</t>
  </si>
  <si>
    <t>VENDAS ELASTICAS (ROLLO)</t>
  </si>
  <si>
    <t>MANGUERA DE 3/8" X 10 MTRS</t>
  </si>
  <si>
    <t>BOMBA DE HIDRAULICO DIRECCION</t>
  </si>
  <si>
    <t>COMPRESOR DE AIRE  OM-355  90mm.</t>
  </si>
  <si>
    <t>MOTOR ELECTRICO DE 40HP 220-440 V. 1750 RPM</t>
  </si>
  <si>
    <t>RETENEDOR DE CONO</t>
  </si>
  <si>
    <t>BRIDA DE CONO</t>
  </si>
  <si>
    <t>TAPON AUDITIVO</t>
  </si>
  <si>
    <t>HOJAS DE PAQUETES POSTERIOR</t>
  </si>
  <si>
    <t>PLANCHA  EMPAQUE ALAMBRADO ASBESTO 1/16"</t>
  </si>
  <si>
    <t>EMPAQUE REGISTRO DE CAUCHO 3" x 4" x 5/8"</t>
  </si>
  <si>
    <t>VALVULA ELECTRONEUMATICA  DE 2"</t>
  </si>
  <si>
    <t>VALVULA H/N A/RAPIDA DE 1" P/VAPOR</t>
  </si>
  <si>
    <t>AMARRA PLASTICA DE 400MM</t>
  </si>
  <si>
    <t>VARILLA CUADRADA PARA CUÐA 1/2 X 1MT</t>
  </si>
  <si>
    <t>VARILLA CUADRADA PARA CUÐA 5/8 X 1MT</t>
  </si>
  <si>
    <t>GUIA DE RUTA 12V TIPO LED COLOR AMARILLO</t>
  </si>
  <si>
    <t>VALVULA RELAY R-14 (745-103010X)</t>
  </si>
  <si>
    <t>ABRAZADERA CHANEL DE 2"</t>
  </si>
  <si>
    <t>PISTA DE RULIMAN DE CONO</t>
  </si>
  <si>
    <t>ARANDELA DE PLANETARIO  S-7638</t>
  </si>
  <si>
    <t>VARILLA A/INOX HILO CORRIDO DE 1"</t>
  </si>
  <si>
    <t>ABRAZADERA DE PAQUETES 7/8 x 4 X 22</t>
  </si>
  <si>
    <t>PLANCHA ESTIPANI  0.60  DE 6MTR (LARGO)</t>
  </si>
  <si>
    <t>RULIMAN POLEA CILINDRO CENTRAL</t>
  </si>
  <si>
    <t>ANGULO A/INOX DE 1/4" x 1-1/2" x 1-1/2" x 6MTS</t>
  </si>
  <si>
    <t>MALLA A/INOX. PERFORADA (2.5MM) DE  1.20MM X 1MTR X 2MTR.</t>
  </si>
  <si>
    <t>MALLA A/INOX. PERFORADA (2.MM) DE  1.20MM X 1MTR X 2MTR.</t>
  </si>
  <si>
    <t>GRASA BEL RAY SEMI FLUID  43520-PA</t>
  </si>
  <si>
    <t>FIBRA ZAPATA</t>
  </si>
  <si>
    <t>TUBO CUADRADO H/N DE 4MM x 50MM x 50MM x 6MTS</t>
  </si>
  <si>
    <t>PLANCHA H/N DE 3MM CON PERF. 3MM x 1.22MTS x 2.44MTS</t>
  </si>
  <si>
    <t>AIRE ACONDICIONADO SPLIT DE 24.000 BTU</t>
  </si>
  <si>
    <t>REDUCCION EMT DE 2 A 1"</t>
  </si>
  <si>
    <t>OREJA DE CARDAN</t>
  </si>
  <si>
    <t>O RING  5/8" TIPO CORDON</t>
  </si>
  <si>
    <t>TINTA HP COLOR AMARILLO (DESK-JET GT)</t>
  </si>
  <si>
    <t>TINTA HP COLOR CYAN (DESK-JET GT)</t>
  </si>
  <si>
    <t>TINTA HP COLOR MAGENTA (DESK-JET GT)</t>
  </si>
  <si>
    <t>ORALSEPT (TABLETAS)</t>
  </si>
  <si>
    <t>CLARITYNE (TABLETA)</t>
  </si>
  <si>
    <t>AGUA OXIGENADA 10VL - 100ML</t>
  </si>
  <si>
    <t>BLOCK  REPROCESOS BODEGA PT  A  PROD R-CC-008-1</t>
  </si>
  <si>
    <t>KETOROLACO (TABLETA)</t>
  </si>
  <si>
    <t>HILO NYLON 3/0</t>
  </si>
  <si>
    <t>RANITIDINA (AMPOLLA)</t>
  </si>
  <si>
    <t>ESPARADRAPO TRANSPORE</t>
  </si>
  <si>
    <t>DICLOXACILINA CAP. 500MG</t>
  </si>
  <si>
    <t>OMEPRAZOL CAP. 40MG</t>
  </si>
  <si>
    <t>EMPAQUE CABEZOTE 146A (MONTACARGA)</t>
  </si>
  <si>
    <t>BARRA NYLON DE 100MM x 700MM</t>
  </si>
  <si>
    <t>CAPUCHON CORTO WP-26    C/O┤RING</t>
  </si>
  <si>
    <t>MALLA A/INOXIDABLE  1,5mm(PERFORACION)  1mm(ESPESOR)  1 x 2mtr</t>
  </si>
  <si>
    <t>ORING PULGADA # 381</t>
  </si>
  <si>
    <t>TABLERO FUERZA Y CONTROL (INCLUYE EQUIPOS ELECTRICOS)</t>
  </si>
  <si>
    <t>HANSAPLAST (CURITAS)</t>
  </si>
  <si>
    <t>ZALDIAR (TABLETAS)</t>
  </si>
  <si>
    <t>JUEGO CONO Y GUIAS DE 1/4"</t>
  </si>
  <si>
    <t>MANGUERA</t>
  </si>
  <si>
    <t>PLANCHA PERFORADA A/INOX DE 0.8MM C/PERF. 1MM x 1.22MTS x 2.44MTS</t>
  </si>
  <si>
    <t>RETENEDOR 43 x 63 x 9</t>
  </si>
  <si>
    <t>BIOFREEZE SPRAY</t>
  </si>
  <si>
    <t>GEL CAP. MEDIUM 400/PK (502-382)</t>
  </si>
  <si>
    <t>COM-AID LIQUIDS 1 LB.  # 501-427</t>
  </si>
  <si>
    <t>REDUCCION A/INOX ROSCABLE DE 1" x 1/2"</t>
  </si>
  <si>
    <t>BUSHING A/INOX DE 2" x 3/4"</t>
  </si>
  <si>
    <t>PULMON DOBLE ACCION TIPO 30</t>
  </si>
  <si>
    <t>TUERCA DE MANDO</t>
  </si>
  <si>
    <t>VIGA HEB 160 x 6MTS</t>
  </si>
  <si>
    <t>CAPTOPRIL 50MG (TAB)</t>
  </si>
  <si>
    <t>BOMBA A/INOX.  5" x 4" TIPO RE-110</t>
  </si>
  <si>
    <t>CABLE MULTIHILO # 8</t>
  </si>
  <si>
    <t>TOMACORRIENTE POLARIZADO EMPOTRABLE ANARANJADO DE 110V. - COMPLETO</t>
  </si>
  <si>
    <t>BARNIZ EN SPRAY ROJO  DOLPHY ER-41</t>
  </si>
  <si>
    <t>CILINDRO MAESTRO FRENO P/MONTACARGA - 16A</t>
  </si>
  <si>
    <t>FILTRO REGULADOR AIRE DE 3/4"</t>
  </si>
  <si>
    <t>BOMBA NEUMATICA WILDEN DE 3" (XPS1520/AAAAA/ZWS/WF/WF)</t>
  </si>
  <si>
    <t>HOROMETRO</t>
  </si>
  <si>
    <t>EJE A/INOX DE 3" x 1MT</t>
  </si>
  <si>
    <t>BOMBA SUMERGIBLE 3" C/MOTOR 10HP - 460V</t>
  </si>
  <si>
    <t>KIT PRUEBAS DETECCION  PARA 5 SUSTANCIAS</t>
  </si>
  <si>
    <t>TANQUE ACUMULADOR AIRE 900LTR</t>
  </si>
  <si>
    <t>TAMIZ # 40 8" DE DIAMETRO X 2" ALTO</t>
  </si>
  <si>
    <t>TABLERO METALICO 200 x 100 x 60 C/2 PUERTAS</t>
  </si>
  <si>
    <t>EJE</t>
  </si>
  <si>
    <t>TUERCA</t>
  </si>
  <si>
    <t>JUNTA DE EXPANSION DE 3"</t>
  </si>
  <si>
    <t>SECCIONADOR MOD.ABB TIPO PALILLO 27 KB/200 AMP</t>
  </si>
  <si>
    <t>RULIMAN LATERAL</t>
  </si>
  <si>
    <t>TROMPO STOP SL-4</t>
  </si>
  <si>
    <t>SELLO MECANICO TIPO 21 DE 1.5/8"  R.F./S.F SILICON  CARBIDE EPDM</t>
  </si>
  <si>
    <t>NUDO TOMAFUERZA</t>
  </si>
  <si>
    <t>CODO DE BRONCE 1/4 x 3/8</t>
  </si>
  <si>
    <t>KIT TIPO COBRA REPARACION SISTEMA DE GAS (MONTACARGAS)</t>
  </si>
  <si>
    <t>KIT REPARTIDOR VFF30-2  SY58832-PRO (MONTACARGAS)</t>
  </si>
  <si>
    <t>INSERTO WNM6 080408-PM  4325 (CAJA x 10 UND.)</t>
  </si>
  <si>
    <t>CODO ADAPTADOR B-49 (3/8" x 1/4")</t>
  </si>
  <si>
    <t>SALIDA ESCAPE DE 3"</t>
  </si>
  <si>
    <t>KIT REGULADOR DE FRENO CHEVROLET 2300</t>
  </si>
  <si>
    <t>PLANCHA A/INOX DE 3MM x 1.22MTS x 4.88MTS</t>
  </si>
  <si>
    <t>VALVULA CHECK HORIZONTAL A/INOX DE 1"</t>
  </si>
  <si>
    <t>VALVULA CHECK A/INOX HORIZONTAL DE 3"</t>
  </si>
  <si>
    <t>PLANCHA A/INOX. DE 1/2 x 1,22 x 2,44</t>
  </si>
  <si>
    <t>ANGULO A/INOX.  3/16" x 1-1/4" x 1-1/4" x 6MTS</t>
  </si>
  <si>
    <t>VIGA UPN 120</t>
  </si>
  <si>
    <t>SELLO MECANICO DE 43mm TIPO 21 JHON CRANE EDPM</t>
  </si>
  <si>
    <t>CADENA P/MONTACARGA</t>
  </si>
  <si>
    <t>SUERO ORAL DE 45 (SOBRE)</t>
  </si>
  <si>
    <t>ADAPTADOR HIDRAULICO 8MP - 8MP</t>
  </si>
  <si>
    <t>DEXAMENTOSONA 8MG AMPOLLA.</t>
  </si>
  <si>
    <t>SELLO BLOCK</t>
  </si>
  <si>
    <t>ADAPTADOR 12MP - 12MP</t>
  </si>
  <si>
    <t>BATERIA FLEX POWER 12V - 9Ah</t>
  </si>
  <si>
    <t>REDUCCION A/INOX SOLDABLE DE 6" A 3"</t>
  </si>
  <si>
    <t>MASCARILLA REUTILIZABLE (AZUL)</t>
  </si>
  <si>
    <t>BOMBA CENTRIFUGA AIX 65/26  CAPACIDAD 72.4m3-HORA 15W - 1800RPM</t>
  </si>
  <si>
    <t>Molino Seco # 3</t>
  </si>
  <si>
    <t>KIT MARTILLO 1.1/2</t>
  </si>
  <si>
    <t>RACHE DE 37D.</t>
  </si>
  <si>
    <t>KIT DE BASE BOCIN DE MARTILLO</t>
  </si>
  <si>
    <t>KIT MARTILLO BOCINES  1.5/8</t>
  </si>
  <si>
    <t>TUBO REDONDO H/N  DE 1.1/4" x 1.5mm x 6mtr.</t>
  </si>
  <si>
    <t>RULIMAN C/PISTA  33118A</t>
  </si>
  <si>
    <t>Cabezal # 10</t>
  </si>
  <si>
    <t>MEDIDOR DE PH  ELECTRODO EXPERT  RANGO 0 - 14 / 0 - 100░C</t>
  </si>
  <si>
    <t>VIGA  "C"  EN A/INOX. 125 x 50 x 6</t>
  </si>
  <si>
    <t>TINTA NEGRA EPSON T-774</t>
  </si>
  <si>
    <t>TORQUIMETRO DE 25 a 150 NM</t>
  </si>
  <si>
    <t>MOTORREDUCTOR DE 47 HP 440V</t>
  </si>
  <si>
    <t>PLATINA A/INOX.  DE 5/16" x 8" x 6mtr</t>
  </si>
  <si>
    <t>Cabezal # 2</t>
  </si>
  <si>
    <t>Prensa # 3</t>
  </si>
  <si>
    <t>PRENSA DE 50 TON. ESTRUCTURA ACERO CARBONO</t>
  </si>
  <si>
    <t>CENTRIFUGA ALFA LAVAL 417  S#2997102</t>
  </si>
  <si>
    <t>FILTRO ROTATIVO MARCA REDOX/PROSEIN RRF-900/3000  3365 x 1617 x 1577mm.</t>
  </si>
  <si>
    <t>SEPARADORA DE SOLIDOS ALFA LAVAL 418</t>
  </si>
  <si>
    <t>DURALON</t>
  </si>
  <si>
    <t>TRANSFORMADOR NUCLEO DIVIDIDO CORRIENTE PRIMARIO 100AMP - CORRIENTE SECUNDARIO 1AMP POTENCIA 0,2VA</t>
  </si>
  <si>
    <t>CONVERTIDOR DE CORIENTE 0,1 A 0,5AMP. DC/AC WAG100679</t>
  </si>
  <si>
    <t>PERNO GRADO 8  M16 x 25mm PASO 2</t>
  </si>
  <si>
    <t>ING. AUGUSTO AGUIRRE</t>
  </si>
  <si>
    <t>BOCINES PLASTICOS DE MARTILLO 1-1/2"</t>
  </si>
  <si>
    <t>JUEGO CAMISAS MOTOR</t>
  </si>
  <si>
    <t>VIGA "C"  H/N  DE 120mm x 60mm x 3mm</t>
  </si>
  <si>
    <t>ALCOHOLIMETRO PRESTIGE //  0.00 - 0.40% BAC</t>
  </si>
  <si>
    <t>PRUEBAS DE BOQUILLA ALC.  PRESTIIGE</t>
  </si>
  <si>
    <t>PRUEBAS SENSOR ALC.  PRESTIGE</t>
  </si>
  <si>
    <t>CAMARA FRIGORIFICA DE 1,16mtr  x  1,16mtr</t>
  </si>
  <si>
    <t>Volqueta # 2</t>
  </si>
  <si>
    <t>BORNA DE 3 PISOS WAG-100287</t>
  </si>
  <si>
    <t>BARRA COLECTORA ESTAÐO  WAG-100141</t>
  </si>
  <si>
    <t>VALVULA MARIPOSA WAFER DE 2"  PRY-170080</t>
  </si>
  <si>
    <t>SOPORTE BARRA COLECTORA CU 10mm x 3mm  WAG-100641</t>
  </si>
  <si>
    <t>CONECTOR FUSIBLE LENG▄ETA TIPO G.5 x 20mm WAG-100336</t>
  </si>
  <si>
    <t>SOPORTE FIJACION APANTALLAMIENTO  WAG-100639</t>
  </si>
  <si>
    <t>UNIDAD DE MANTENIMIENTO COMBINADA G1/2.  FSTS-40357</t>
  </si>
  <si>
    <t>TUBO POLIURETANO AZUL TRASLUCIDO P/CLAVIJA FSTS-94232</t>
  </si>
  <si>
    <t>BORNA SENSORES  WAAG-100295</t>
  </si>
  <si>
    <t>TRANSFORMADOR NUCLEO DIVIDIDO CORRIENTE PRIM. 200A CORRIENTE SEC. 5A.</t>
  </si>
  <si>
    <t>BLOQUE DE 10 POSICIONES - 5 ELECTROVALVULAS 5/2</t>
  </si>
  <si>
    <t>EQUIPO TERMONEBULIZADOR</t>
  </si>
  <si>
    <t>PLANCHA H/N DE 1/2" x 1.22MTS x 2.44MTS</t>
  </si>
  <si>
    <t>TUBO A/INOX DE 4" x 6MTS - CED. 80</t>
  </si>
  <si>
    <t>ZAPATA # 65227</t>
  </si>
  <si>
    <t>AMORTIGUADOR SUPERIOR  # 529639-02</t>
  </si>
  <si>
    <t>ORING  # 223412-31</t>
  </si>
  <si>
    <t>ORING  # 223412-94</t>
  </si>
  <si>
    <t>JUNTA  # 190661</t>
  </si>
  <si>
    <t>VALVULA  # 31801-1444-1</t>
  </si>
  <si>
    <t>RESORTE  # 70340</t>
  </si>
  <si>
    <t>COMPRESSION TOOL SUPERIOR  # 538779-80</t>
  </si>
  <si>
    <t>JUNTA  # 223412-47</t>
  </si>
  <si>
    <t>JUNTA  #  223330-03</t>
  </si>
  <si>
    <t>JUNTA # 686076</t>
  </si>
  <si>
    <t>COMPRESSION TOOL INFERIOR  # 538777-01</t>
  </si>
  <si>
    <t>JUNTA # 73947</t>
  </si>
  <si>
    <t>JUNTA  # 190604</t>
  </si>
  <si>
    <t>JUNTA # 529763-01</t>
  </si>
  <si>
    <t>JUNTA # 538591</t>
  </si>
  <si>
    <t>ORING # 74634</t>
  </si>
  <si>
    <t>RULIMAN  7315BM/P63  #233215-10</t>
  </si>
  <si>
    <t>JUNTA  # 223412-51</t>
  </si>
  <si>
    <t>JUNTA  # 223412-50</t>
  </si>
  <si>
    <t>JUNTA  # 223412-06</t>
  </si>
  <si>
    <t>PROTECTOR ANTIDESGASTE DE DESCARGA/FANGO</t>
  </si>
  <si>
    <t>ORING  # 260190-06</t>
  </si>
  <si>
    <t>VALVULA PLUG  # 537838-06</t>
  </si>
  <si>
    <t>ORING  # 223412-25</t>
  </si>
  <si>
    <t>JUNTA  # 71162</t>
  </si>
  <si>
    <t>JUNTA  #  190991</t>
  </si>
  <si>
    <t>HERRAMIENTA DE COMPRESION  # 543135-06</t>
  </si>
  <si>
    <t>ORING  # 223412-53</t>
  </si>
  <si>
    <t>JUNTA # 65247</t>
  </si>
  <si>
    <t>JUNTA  # 223412-18</t>
  </si>
  <si>
    <t>AMORTIGUADOR INFERIOR  # 529639-02</t>
  </si>
  <si>
    <t>FILTRO  # 537321-80</t>
  </si>
  <si>
    <t>JUNTA  # 74067</t>
  </si>
  <si>
    <t>JUNTA  # 528117-01</t>
  </si>
  <si>
    <t>BOQUILLAS  # 538124-05</t>
  </si>
  <si>
    <t>JUNTA  #  223412-88</t>
  </si>
  <si>
    <t>JUNTA  # 223406-62</t>
  </si>
  <si>
    <t>JUNTA  # 223412-46</t>
  </si>
  <si>
    <t>ORING # 523116-04</t>
  </si>
  <si>
    <t>JUNTA  # 223412-52</t>
  </si>
  <si>
    <t>JUNTA  # 71068</t>
  </si>
  <si>
    <t>CORREA PLANA  # 260169-06</t>
  </si>
  <si>
    <t>KIT DE RULIMANES  # 539822-01</t>
  </si>
  <si>
    <t>JUNTA  # 529628-01</t>
  </si>
  <si>
    <t>ANILLO TEFLON  # 528086-01</t>
  </si>
  <si>
    <t>RULIMAN  NU  2214  EM1</t>
  </si>
  <si>
    <t>VALVULA ELECTRONEUMATICA DE 3"</t>
  </si>
  <si>
    <t>RULIMAN 6315 MP/C3</t>
  </si>
  <si>
    <t>ACOPLE DE BRONCE DE 1/4"</t>
  </si>
  <si>
    <t>Mantenimiento Centrifuga 417</t>
  </si>
  <si>
    <t>PAC # 1</t>
  </si>
  <si>
    <t>Mantenimiento de sistemas de arrastre</t>
  </si>
  <si>
    <t>Tanquero - Remolque</t>
  </si>
  <si>
    <t>CHISPIADOR M.740SZ</t>
  </si>
  <si>
    <t>PERNO CHISPIADOR LUBRICADOR PE.012W</t>
  </si>
  <si>
    <t>SWITCH HPE OFFICE CONNECT 192OS-24G-PoE + (370W)</t>
  </si>
  <si>
    <t>Exhaustor de vahos</t>
  </si>
  <si>
    <t>CODO H/N SOLDABLE DE 3" x 90║ - CED. 40</t>
  </si>
  <si>
    <t>VIGA  C  200mm X 50mm X 4MM</t>
  </si>
  <si>
    <t>TANQUERO SEMIREMOLQUE CAP 40TN MOD 2003 MARCA ANDITRAILERS</t>
  </si>
  <si>
    <t>PINTURA ANTICORROSIVA GRIS MATE</t>
  </si>
  <si>
    <t>VALVULA ACCI DIRECTO 3/2 - 220VAC CONEXIËN G1/4 x G1/4</t>
  </si>
  <si>
    <t>CONECTOR DIN 28mm</t>
  </si>
  <si>
    <t>RACOR RAPIDO ROSCADO RECTOR1/4 P/TUBO EXTERIOR 6mm</t>
  </si>
  <si>
    <t>TUBO POLIURETANO TRASLUCIDO P/CLAVIJA DIAM. EXT. 6mm RESISTENTE HIDROLI.</t>
  </si>
  <si>
    <t>VIGA UPN 160 (160 x 65 x 7.5)</t>
  </si>
  <si>
    <t>ARIANA PLUAS</t>
  </si>
  <si>
    <t>BUJE BARRA LEVA STD</t>
  </si>
  <si>
    <t>PIÐON 15D - PASO 120</t>
  </si>
  <si>
    <t>BANDA  120  TIPO "C"</t>
  </si>
  <si>
    <t>PALETA 11cmt (ALTO) x 14cmt (LARGO) x 50cmt. (ANCHO) x 1/4" (ESPESOR)</t>
  </si>
  <si>
    <t>PERFIL TIPO U PISO Y PUERTA</t>
  </si>
  <si>
    <t>Mobiliario para oficina de bodega de materiales</t>
  </si>
  <si>
    <t>Centrifuga # 4 - 417  (Reemplaza Req. # 2010-10)</t>
  </si>
  <si>
    <t>Para trabajos en Centrifuga 417 - Exhaustor de Rotatubo</t>
  </si>
  <si>
    <t>Mantenimiento de bombas y motores</t>
  </si>
  <si>
    <t>REDUCCION CAMPANA A/INOX.  6" A 4"</t>
  </si>
  <si>
    <t>COLMONOY 705</t>
  </si>
  <si>
    <t>CALENTADOR AGITADOR ANALOGO 6 PUESTOS 15 x 15 220V  HS15-26P</t>
  </si>
  <si>
    <t>ACOPLE MACHO x NPT HEMBRA SS-304     A-300</t>
  </si>
  <si>
    <t>ACOPLE HEMBRA x NPT HEMBRA SS-304   D-300</t>
  </si>
  <si>
    <t>Conexión de compresor de aire en area de hidrolizado</t>
  </si>
  <si>
    <t>Laboratorio</t>
  </si>
  <si>
    <t>P.T.A.R</t>
  </si>
  <si>
    <t>CODO H/N SOLDABLE DE 2" x 45║ - CED. 40</t>
  </si>
  <si>
    <t>ACETILCISTEINA 600mg</t>
  </si>
  <si>
    <t>IVEMECTINA DE 6mg</t>
  </si>
  <si>
    <t>GENTAMICINA CREMA</t>
  </si>
  <si>
    <t>LIDOCAIDA SIN EPINEFRINA (FRASCO)</t>
  </si>
  <si>
    <t>POVIDIN (LITRO)</t>
  </si>
  <si>
    <t>HOJAS PARA BISTURI</t>
  </si>
  <si>
    <t>CAT GUD 3/0</t>
  </si>
  <si>
    <t>CONECTOR DE COMPRESION 4/0 (MEDIA TENSION)</t>
  </si>
  <si>
    <t>CABLE RIGIDO # 6</t>
  </si>
  <si>
    <t>BOQUILLA SPRAY DRY A/INOX.  1/4-SV</t>
  </si>
  <si>
    <t>RECAMARA EN CARB. YM  # SVS10-YM</t>
  </si>
  <si>
    <t>ORIFICIO SPRAY DRY EN CARB. YM  # SV1-204-YM</t>
  </si>
  <si>
    <t>KIT DE REPARACION DE BOQUILLA SPRAY  # ABSV-ORING</t>
  </si>
  <si>
    <t>CABEZAL IMPRESORA DESKJET GT-5820</t>
  </si>
  <si>
    <t>Bañera # 4</t>
  </si>
  <si>
    <t>RACHE 10 ESTRIAS DE 1-1/2"</t>
  </si>
  <si>
    <t>SEGURO EXTERIOR DE 23mm</t>
  </si>
  <si>
    <t>BROCA DE COBALTO DE 26mm</t>
  </si>
  <si>
    <t>BARNIZ DOLPH'S TRANSPARENTE AC-43</t>
  </si>
  <si>
    <t>SEAL - OIL (MONTACARGA)</t>
  </si>
  <si>
    <t>REPAIR KIT CA50 + CA55 (MONTACARGA)</t>
  </si>
  <si>
    <t>GASKET - INTAKE/EXHAUST MANIFOL    (MONTACARGA)</t>
  </si>
  <si>
    <t>CAP - REAR HUB  (MONTACARGA)</t>
  </si>
  <si>
    <t>BEARING - TAPER RULLER CUP + CONE  (MONTACARGA)</t>
  </si>
  <si>
    <t>STROBE - AMBER 12-110 VDC  (MONTACARGA)</t>
  </si>
  <si>
    <t>BOMBA  AURORA  A/INOX.  5" x 6 "</t>
  </si>
  <si>
    <t>MOTOR ELECTRICO 75HP - 1765RPM  220/440V.</t>
  </si>
  <si>
    <t>MOTOR ELECTRICO 60HP - 1755RPM  220/440V.</t>
  </si>
  <si>
    <t>LAMINA ANTIABRASIVA 450HB ESPESOR 25MM x 2MTR x 50CMTR.</t>
  </si>
  <si>
    <t>PERNO H/N 45mm  X 85mm PASO 4,5</t>
  </si>
  <si>
    <t>Planta de hirolizado</t>
  </si>
  <si>
    <t>Prensa # 3 (50ton.)</t>
  </si>
  <si>
    <t>JUEGO BOCIN BARRA DE LEVA</t>
  </si>
  <si>
    <t>LOCTITE 271 (FIJADOR DE ROSCA)</t>
  </si>
  <si>
    <t>BOTAS INDUSTRIALES # 38</t>
  </si>
  <si>
    <t>BOTAS INDUSTRIALES # 39</t>
  </si>
  <si>
    <t>BOTAS INDUSTRIALES # 40</t>
  </si>
  <si>
    <t>BOTAS INDUSTRIALES N░ 41</t>
  </si>
  <si>
    <t>PERNO H/N DE 1/2" X 2" COMPLETO</t>
  </si>
  <si>
    <t>FAJA DE FUERZA INDUSTRIAL "M"</t>
  </si>
  <si>
    <t>SENSOR DE REVOLUCION RPM (VEHICULO)</t>
  </si>
  <si>
    <t>MAQUINA DE COSER SACOS MARCA NEWLONG</t>
  </si>
  <si>
    <t>CADENA PASO 120</t>
  </si>
  <si>
    <t>CANDADO SIMPLE PASO 120</t>
  </si>
  <si>
    <t>CANDADO MEDIO PASO 120</t>
  </si>
  <si>
    <t>BOTAS INDUSTRIALES N░ 42</t>
  </si>
  <si>
    <t>BOTA CAUCHO PTA. ACERO # 38</t>
  </si>
  <si>
    <t>BOTA CAUCHO PTA. ACERO # 39</t>
  </si>
  <si>
    <t>BOTA CAUCHO PTA. ACERO # 40</t>
  </si>
  <si>
    <t>BOTA CAUCHO PTA. ACERO # 41</t>
  </si>
  <si>
    <t>BOTA CAUCHO PTA. ACERO # 42</t>
  </si>
  <si>
    <t>PAQUETE DE RESORTE</t>
  </si>
  <si>
    <t>PINTURA DE ALUMINIO PARA ALTA TEMPERATURA</t>
  </si>
  <si>
    <t>ALTERNADOR MONTACARGA</t>
  </si>
  <si>
    <t>BOMBA DE AGUA</t>
  </si>
  <si>
    <t>BREAKER TRIFASICO PARA RIEL DE 125 AMP</t>
  </si>
  <si>
    <t>CONTACTOR LC1-D18 DE 18 A 32AMP / 220V</t>
  </si>
  <si>
    <t>CONTACTOR LC1-D25 DE 25 A 40AMP / 220V</t>
  </si>
  <si>
    <t>BOMBA DE AGUA DEL MACK  F010039</t>
  </si>
  <si>
    <t>FILTRO ACEITE (CL2102 / P723)</t>
  </si>
  <si>
    <t>FILTRO ACEITE B495</t>
  </si>
  <si>
    <t>FILTRO DE AIRE 25042054</t>
  </si>
  <si>
    <t>FILTRO DE AGUA F435B</t>
  </si>
  <si>
    <t>GUANTE DE CAUCHO  NITRI SOLVE 747-09</t>
  </si>
  <si>
    <t>GASTOXIN (FRASCO)</t>
  </si>
  <si>
    <t>TROMPO DE RETRO</t>
  </si>
  <si>
    <t>PERNO H/N GRADO 8 DE 3/4" x  2,1/2 COMPLETO</t>
  </si>
  <si>
    <t xml:space="preserve">BANDA LISA C-100_x000D_
</t>
  </si>
  <si>
    <t>BOCINES</t>
  </si>
  <si>
    <t>RODELA</t>
  </si>
  <si>
    <t>ASIENTOS DE VALVULA DE ADMISION</t>
  </si>
  <si>
    <t>ASIENTOS DE VALVULA DE ESCAPE</t>
  </si>
  <si>
    <t>PERNO H/N DE 1-1/4" x 5" COMPLETO</t>
  </si>
  <si>
    <t>POLEA TIPO "C"  4 CANALES x 11¢" (DIAMETRO) EJE 60mm</t>
  </si>
  <si>
    <t>POLEA TIPO "C"  4 CANALES x 11¥" (DIAMETRO) EJE 60mm</t>
  </si>
  <si>
    <t>GATA DE 30 TONELADA</t>
  </si>
  <si>
    <t>PERNO ALLEN A/INOX.  20mm X 65mm PASO 2,5</t>
  </si>
  <si>
    <t>PERNO ALLEN A/INOX.   24mm X 90mm PASO 3</t>
  </si>
  <si>
    <t>PERNO ALLEN A/INOX.  1" x 3¢  GRADO 8</t>
  </si>
  <si>
    <t>PERNO ALLEN A/INOX DE 5/8" X 2"</t>
  </si>
  <si>
    <t>DEXOSIDANTE</t>
  </si>
  <si>
    <t>SELLO MECANICO 1.1/4 TIPO 21  R.F./S.F SILICON  CARBIDE EPDM</t>
  </si>
  <si>
    <t>FAJA DE FUERZA INDUSTRIAL "XL"</t>
  </si>
  <si>
    <t>PINTURA EN SPRAY NEGRO</t>
  </si>
  <si>
    <t>PINTURA EN SPRAY AZUL</t>
  </si>
  <si>
    <t>PINTURA EN SPRAY ROJO</t>
  </si>
  <si>
    <t>PINTURA EN SPRAY VERDE</t>
  </si>
  <si>
    <t>CHISPERO</t>
  </si>
  <si>
    <t>CEPILLO COPA ALAMBRE TRENZADO 4-1/2", ROSCA DE 5/8"</t>
  </si>
  <si>
    <t>PINZA TIERRA 500AMP</t>
  </si>
  <si>
    <t>BANDA A - 50</t>
  </si>
  <si>
    <t>TAMBOR FRENO DE MANO</t>
  </si>
  <si>
    <t>BRAZO DE DIRECCION</t>
  </si>
  <si>
    <t>PLANCHA ACRILICA DE 6MM DE 1.25 X 2.44</t>
  </si>
  <si>
    <t>EJE ACERO INOX DE DIAM 1-1/4" x 105CM LARGO</t>
  </si>
  <si>
    <t>CRIBA H/N  10mm(ESPESOR) x 15mm (PERFOR) DE 810 x 645mm</t>
  </si>
  <si>
    <t>CRIBA H/N  10mm(ESPESOR) x 15mm (PERFOR) DE 810 x 780mm</t>
  </si>
  <si>
    <t>CRIBA H/N  10mm(ESPESOR) x 15mm (PERFOR) DE 810 x 800mm</t>
  </si>
  <si>
    <t>CRIBA H/N  10mm(ESPESOR) x 15mm (PERFOR) DE 810 x 805mm</t>
  </si>
  <si>
    <t>CRIBA H/N  10mm(ESPESOR) x 15mm (PERFOR) DE 810 x 890mm</t>
  </si>
  <si>
    <t>CRIBA H/N  10mm(ESPESOR) x 15mm (PERFOR) DE 810 x 900mm</t>
  </si>
  <si>
    <t>CRIBA H/N  10mm(ESPESOR) x 15mm (PERFOR) DE 810 x 910mm</t>
  </si>
  <si>
    <t>CRIBA H/N  10mm(ESPESOR) x 15mm (PERFOR) DE 810 x 930mm</t>
  </si>
  <si>
    <t>CRIBA H/N  10mm(ESPESOR) x 15mm (PERFOR) DE 810 x 935mm</t>
  </si>
  <si>
    <t>CRIBA H/N  10mm(ESPESOR) x 15mm (PERFOR) DE 810 x 940mm</t>
  </si>
  <si>
    <t>CRIBA H/N  10mm(ESPESOR) x 24mm (PERFOR) DE 810 x 695mm</t>
  </si>
  <si>
    <t>CRIBA H/N  10mm(ESPESOR) x 24mm (PERFOR) DE 810 x 700mm</t>
  </si>
  <si>
    <t>CRIBA H/N  10mm(ESPESOR) x 24mm (PERFOR) DE 810 x 770mm</t>
  </si>
  <si>
    <t>CRIBA H/N  10mm(ESPESOR) x 24mm (PERFOR) DE 810 x 780mm</t>
  </si>
  <si>
    <t>CRIBA H/N  8mm(ESPESOR) x 24mm (PERFOR) DE 810 x 640mm</t>
  </si>
  <si>
    <t>CRIBA H/N  8mm(ESPESOR) x 24mm (PERFOR) DE 810 x 780mm</t>
  </si>
  <si>
    <t>CRIBA H/N  9mm(ESPESOR) x 15mm (PERFOR) DE 810 x 800mm</t>
  </si>
  <si>
    <t>CRIBA H/N  9mm(ESPESOR) x 15mm (PERFOR) DE 810 x 895mm</t>
  </si>
  <si>
    <t>CRIBA H/N  9mm(ESPESOR) x 24mm (PERFOR) DE 810 x 775mm</t>
  </si>
  <si>
    <t>VALVULA A/R DE 2" VAPOR 150 PSI</t>
  </si>
  <si>
    <t>MEDIDOR DE AGUA DE 2" - 20M3</t>
  </si>
  <si>
    <t>MEDIDOR DE AGUA DE 1/2</t>
  </si>
  <si>
    <t>BUSHING BRONCE 1/2" x 1"</t>
  </si>
  <si>
    <t>ACOPLE MACHO DE ALUMINIO 3"  E-300</t>
  </si>
  <si>
    <t>ACOPLE  HEMBRA DE ALUMINO 3"  C-300</t>
  </si>
  <si>
    <t>PERA DE PIPETA</t>
  </si>
  <si>
    <t>GRADILLA P/TUBO PLASTICO EPPENDORF</t>
  </si>
  <si>
    <t>PINZA P/BURETA DOBLE T/MARIPOSA</t>
  </si>
  <si>
    <t>EMBUDO PLASTICO DE 75ML</t>
  </si>
  <si>
    <t>CAJA PETRI VIDRIO DE 100 x 15MM</t>
  </si>
  <si>
    <t>CAJA PETRI VIDRIO DE 6 x 15MM</t>
  </si>
  <si>
    <t>CRISOL DE PORCELANA DE 54mm</t>
  </si>
  <si>
    <t>CRISOL DE PORCELANA DE 38mm</t>
  </si>
  <si>
    <t>CAUCHO P/MATRIMONIO LOVEJOY L-190</t>
  </si>
  <si>
    <t>HIDROXIDO DE SODIO SOLIDO</t>
  </si>
  <si>
    <t>TAPON GERBAL - F (PARA BURTIROMETRO)</t>
  </si>
  <si>
    <t>PINZA DE 20cmt EN A/INOX.  PARA CRISOL</t>
  </si>
  <si>
    <t>TAPON DE GOMA # 9</t>
  </si>
  <si>
    <t>TAPON DE GOMA # 12</t>
  </si>
  <si>
    <t>QUARTZ WOOL STRIPS 15"  # 608-709</t>
  </si>
  <si>
    <t>FRASCO PLASTICO TRANSPARENTE DE 1LT.</t>
  </si>
  <si>
    <t>Cubierta de area humeda</t>
  </si>
  <si>
    <t>Bomba de diafragma</t>
  </si>
  <si>
    <t>Instalacion lineas de agua en area de hidrolizado</t>
  </si>
  <si>
    <t>Suministros para laboratorio</t>
  </si>
  <si>
    <t>ARMANDO BLANCO</t>
  </si>
  <si>
    <t>RULIMAN SKF 6218 M C3</t>
  </si>
  <si>
    <t>PORTACARBON  1179/4  12V.</t>
  </si>
  <si>
    <t>AMORTIGUADOR POSTERIOR</t>
  </si>
  <si>
    <t>PALANCA DIRECCIONAL</t>
  </si>
  <si>
    <t>VALVULA CHECK DE 2" HORIZONTAL</t>
  </si>
  <si>
    <t>TERMINAL DE OJO P/CABLE 500MCM (SC240-16L)</t>
  </si>
  <si>
    <t>ACEITE 3 EN 1 (MAQUINA DE COSER SACOS)</t>
  </si>
  <si>
    <t>SACA GRAPA</t>
  </si>
  <si>
    <t>REFRACTOMETRO DIGITAL  DE 0║ - 85║ BRIX</t>
  </si>
  <si>
    <t>MAQUINA ELEVADORA DE VIDRIO</t>
  </si>
  <si>
    <t>FILTRO DE ACEITE E251H D11</t>
  </si>
  <si>
    <t>FILTRO DE CENTRIFUGA 57GC2187</t>
  </si>
  <si>
    <t>CABLE CONCENTRICO 4 x 8</t>
  </si>
  <si>
    <t>EJE ACERO TRANSMISION DIAM 4"  X  1.20 MTR. DE LARGO</t>
  </si>
  <si>
    <t>MANUBRIO ELEVAVIDRIO</t>
  </si>
  <si>
    <t>CRIBA H/N DE 4MM ESPESOR X 4MM DE PERFORACION DE 1,22 X 2,44</t>
  </si>
  <si>
    <t>AGUA ACIDULADA</t>
  </si>
  <si>
    <t>BLOCK HOJA DE RUTA VEHICULOS PARTICULARES</t>
  </si>
  <si>
    <t>MATRIMONIO DE MACK</t>
  </si>
  <si>
    <t>CINTA DE EMBALAJE CAFE  ABRO</t>
  </si>
  <si>
    <t>SELLO MECANICO TIPO 21 DE 1.3/4"  R.F./S.F SILICON  CARBIDE EPDM</t>
  </si>
  <si>
    <t>RULIMAN 22210 EK/C3</t>
  </si>
  <si>
    <t>CIPROFLOXACINO 500MG (TABLETA)</t>
  </si>
  <si>
    <t>SHAFT  CODIGO: 15-3805-03  (BOMBA WILDEN PS1520)</t>
  </si>
  <si>
    <t>BRAZO PITMAN</t>
  </si>
  <si>
    <t>TERMINAL DE BARRA DE DIRECCION</t>
  </si>
  <si>
    <t>MULTIPLE DE ESCAPE</t>
  </si>
  <si>
    <t>AMORTIGUADOR TRASERO</t>
  </si>
  <si>
    <t>EMPAQUE DEL MULTIPLE DE ESCAPE</t>
  </si>
  <si>
    <t>EMPAQUE MULTIPLE</t>
  </si>
  <si>
    <t>EMPAQUE DE TUBO DE ESCAPE</t>
  </si>
  <si>
    <t>TAMBOR EJE CUADRADO</t>
  </si>
  <si>
    <t>KIT DE RODILLO</t>
  </si>
  <si>
    <t>PIÐON DE 24 DIENTES  PASO 120</t>
  </si>
  <si>
    <t>BROCA COBALTO DE 5/16"</t>
  </si>
  <si>
    <t>VALVULA DE COMPUERTA DE 1.1/2" VAPOR</t>
  </si>
  <si>
    <t>VALVULA COMPUERTA BRIDADA P/VAPOR DE 2"</t>
  </si>
  <si>
    <t>BRIDA H/N SOLDABLE DE 2"</t>
  </si>
  <si>
    <t>PLANCHA DIPANEL DE 0.60 ESP. x 6MTS</t>
  </si>
  <si>
    <t>TUBO RECTANGULAR H/N 150X50X4MM</t>
  </si>
  <si>
    <t>PLANCHA DIPANEL DP5 DE 0,40 x 3mtr.</t>
  </si>
  <si>
    <t>TUBO CUADRADO H/N DE 4MM x 100MM x 100MM x 6MTS</t>
  </si>
  <si>
    <t>TUBO H/N DE 1-1/4" x 6MTS - CED. 40</t>
  </si>
  <si>
    <t>RULIMAN 22224 CK/W33 SKF</t>
  </si>
  <si>
    <t>BUJE H-3124</t>
  </si>
  <si>
    <t>ARANDELA DE SEGURIDAD HB-24</t>
  </si>
  <si>
    <t>SELLO OBTURADOR 524-G</t>
  </si>
  <si>
    <t>RETENEDOR 140 x 170 x 13</t>
  </si>
  <si>
    <t>PERNO DE 7/8" X 4 1/2" GRADO 8 COMPLETO</t>
  </si>
  <si>
    <t>TUBO H/N DE 3/4" x 6MTS - CED 40</t>
  </si>
  <si>
    <t>Poza # 5</t>
  </si>
  <si>
    <t>Tornillos Helicoidales</t>
  </si>
  <si>
    <t>Confeccion de pistones para mangueras</t>
  </si>
  <si>
    <t>BAÑERAS</t>
  </si>
  <si>
    <t>CAMIONES</t>
  </si>
  <si>
    <t>CABEZALES</t>
  </si>
  <si>
    <t>COD</t>
  </si>
  <si>
    <t>I82</t>
  </si>
  <si>
    <t>J82</t>
  </si>
  <si>
    <t>R03</t>
  </si>
  <si>
    <t>G87</t>
  </si>
  <si>
    <t>J32</t>
  </si>
  <si>
    <t>J48</t>
  </si>
  <si>
    <t>G88</t>
  </si>
  <si>
    <t>J08</t>
  </si>
  <si>
    <t>I24</t>
  </si>
  <si>
    <t>H79</t>
  </si>
  <si>
    <t>H11</t>
  </si>
  <si>
    <t>H13</t>
  </si>
  <si>
    <t>I12</t>
  </si>
  <si>
    <t>OTROS</t>
  </si>
  <si>
    <t>B81</t>
  </si>
  <si>
    <t>J92</t>
  </si>
  <si>
    <t>J04</t>
  </si>
  <si>
    <t>I69</t>
  </si>
  <si>
    <t>J03</t>
  </si>
  <si>
    <t>G82</t>
  </si>
  <si>
    <t>H53</t>
  </si>
  <si>
    <t>H10</t>
  </si>
  <si>
    <t>I09</t>
  </si>
  <si>
    <t>I10</t>
  </si>
  <si>
    <t>I25</t>
  </si>
  <si>
    <t>G41</t>
  </si>
  <si>
    <t>G75</t>
  </si>
  <si>
    <t>K20</t>
  </si>
  <si>
    <t>CAMIONETA DIMAX</t>
  </si>
  <si>
    <t>J60</t>
  </si>
  <si>
    <t>I51</t>
  </si>
  <si>
    <t>CAMIONETA MAHINDRA</t>
  </si>
  <si>
    <t>FORD 150 - NEGRO</t>
  </si>
  <si>
    <t>FORD 150 - VERDE</t>
  </si>
  <si>
    <t>J14</t>
  </si>
  <si>
    <t>I66</t>
  </si>
  <si>
    <t>K25</t>
  </si>
  <si>
    <t>FORD EXPEDITION</t>
  </si>
  <si>
    <t>(GERENCIA DE PLANTA)</t>
  </si>
  <si>
    <t>TANQUEROS</t>
  </si>
  <si>
    <t>TANQUERO 10,000 GAL # 1</t>
  </si>
  <si>
    <t>TANQUERO 10,000 GAL # 2</t>
  </si>
  <si>
    <t>TANQUERO REMOLQUE # 3</t>
  </si>
  <si>
    <t>J18</t>
  </si>
  <si>
    <t>K12</t>
  </si>
  <si>
    <t>K53</t>
  </si>
  <si>
    <t>KIA (MUELE)</t>
  </si>
  <si>
    <t>I52</t>
  </si>
  <si>
    <t>TALLER AUTOMOTRIZ</t>
  </si>
  <si>
    <t>CAJA REDUCTORA DE 200 KW - 1500RPM</t>
  </si>
  <si>
    <t>MOTOR ELECTRICO DE 115HP - 50HZ</t>
  </si>
  <si>
    <t>MOTORREDUCTOR DE 15HP - 440V</t>
  </si>
  <si>
    <t>MOTOR ELECTRICO DE 20HP - 220/440V</t>
  </si>
  <si>
    <t>MOTOR ELECTRICO DE 15HP - 220/440V</t>
  </si>
  <si>
    <t>MOTORREDUCTOR  DE 12HP - 440 VOLT</t>
  </si>
  <si>
    <t>SHAFT SEAL RING NBR # 1112.054.60</t>
  </si>
  <si>
    <t>RULIMAN NKI 85/26</t>
  </si>
  <si>
    <t>SEAL RING 6120735501</t>
  </si>
  <si>
    <t>VALVULA DE GLOBO PARA VAPOR DE 2"</t>
  </si>
  <si>
    <t>CODO H/N SOLDABLE DE 2" CEL. 40</t>
  </si>
  <si>
    <t>TAPON HEMBRA A/INOX DE 3"</t>
  </si>
  <si>
    <t>MANOMETRO DE 0 A 100 DE 2" C/GLICERINA CONECTOR 1/4"</t>
  </si>
  <si>
    <t>TUBO RABO DE CHANCHO A/INOX DE 1/4"</t>
  </si>
  <si>
    <t>UNION SIMPLE A/INOX DE 1/4"</t>
  </si>
  <si>
    <t>GUIA REDONDA DE TECHO TIPO LED 24V  (AMARILLO)</t>
  </si>
  <si>
    <t>GUIAS CUADRADAS  BLANCO/AMARILLO TIPO LED</t>
  </si>
  <si>
    <t>GUIA DE RUTA REDONDA PEQUEÐA</t>
  </si>
  <si>
    <t>CHAPA DE PUERTA</t>
  </si>
  <si>
    <t>FELPA DE PARABRISA</t>
  </si>
  <si>
    <t>FELPA DE PUERTA</t>
  </si>
  <si>
    <t>TUBO PVC DE 1-1/2" x 6 MTS. REFORZADO</t>
  </si>
  <si>
    <t>CODO A/INOX SOLDABLE DE 2" x 90║ CED. 40</t>
  </si>
  <si>
    <t>TUBO H/N DE 2" x 6MTS. - CED 40</t>
  </si>
  <si>
    <t>TRAMPA DE BALDE INVERTIDO DE 2"</t>
  </si>
  <si>
    <t>FILTRO TIPO Y DE 2"</t>
  </si>
  <si>
    <t>VALVULA DE COMPUERTA DE 2"</t>
  </si>
  <si>
    <t>TUBO GALV. DE 1" x 6MTS</t>
  </si>
  <si>
    <t>BOMBIN</t>
  </si>
  <si>
    <t>TAMBOR DELANTERO</t>
  </si>
  <si>
    <t>RODILLO DE ZAPATA DE 1-1/2"</t>
  </si>
  <si>
    <t>CRUCETA MIXTA DE 7"</t>
  </si>
  <si>
    <t>NUDO CENTRAL  NC-5TEX</t>
  </si>
  <si>
    <t>TUERCA DE FUNDA</t>
  </si>
  <si>
    <t>MATRIMONIO DE CARDAN</t>
  </si>
  <si>
    <t>OREJA DE CRUCETA</t>
  </si>
  <si>
    <t>MATRIMONIO CARDAN</t>
  </si>
  <si>
    <t>ACOPLADA</t>
  </si>
  <si>
    <t>TUBO CARDAN DE 3-1/2"</t>
  </si>
  <si>
    <t>RULIMAN DE CARDAN DEL CENTRO</t>
  </si>
  <si>
    <t>NUDO CENTRAL DE 6"</t>
  </si>
  <si>
    <t>FLANGER DE 4 HUECOS</t>
  </si>
  <si>
    <t>VALVULA DE PEDAL  1 ACCION  E-3  #277863W</t>
  </si>
  <si>
    <t>VALVULA DE FRENO MAQUINA</t>
  </si>
  <si>
    <t>PLUMAS</t>
  </si>
  <si>
    <t>BRAZO DE FORD PARA PLUMA</t>
  </si>
  <si>
    <t>DIAFRAGMA DE PULMON T-16</t>
  </si>
  <si>
    <t>RODILLO DE CAJA</t>
  </si>
  <si>
    <t>CANALETA PLASTICA RANURADA 80 x 60</t>
  </si>
  <si>
    <t>CANALETA PLASTICA RANURADA  60 x 60 x 20</t>
  </si>
  <si>
    <t>3RQ3065 - 1SM30 RELE DE SALIDA 1NA SIRIUS 24VDC</t>
  </si>
  <si>
    <t>MULTIMETRO DIGITAL INDUSTRIAL FLUKE87V+IMSK</t>
  </si>
  <si>
    <t>PINTURA ANTICORROSIVO AZUL FRANCES</t>
  </si>
  <si>
    <t>TUBO EMT DE 1/2" x 3MTR</t>
  </si>
  <si>
    <t>CONDULECT TIPO "L"  DE 3/4"</t>
  </si>
  <si>
    <t>FUNDA SELLADA DE 1/2" PARA CABLE ELECTRICO</t>
  </si>
  <si>
    <t>REDUCCION EMT 1" A 1/2"</t>
  </si>
  <si>
    <t>REDUCCION DE 1" A 3/4" EMT</t>
  </si>
  <si>
    <t>REDUCCION EMT DE 3/4" A 1/2"</t>
  </si>
  <si>
    <t>UNION EMT DE 1/2"</t>
  </si>
  <si>
    <t>CONDULEC TIPO I DE 1/2"</t>
  </si>
  <si>
    <t>CONECTOR EMT DE 1"</t>
  </si>
  <si>
    <t>CONECTOR  EMT  3/4"</t>
  </si>
  <si>
    <t>CONECTOR  EMT  1/2"</t>
  </si>
  <si>
    <t>CABLE CONCENTRICO 24 x 18</t>
  </si>
  <si>
    <t>CABLE APANTALLADO 12 x 18</t>
  </si>
  <si>
    <t>CABLE APANTALLADO 3 X 20</t>
  </si>
  <si>
    <t>CARTUCHO M21-750-595-WT 19.5MM</t>
  </si>
  <si>
    <t>RACOR RECTO QS-3/8-12</t>
  </si>
  <si>
    <t>RACOR L ORIENTABLE QSL-1/4"-6</t>
  </si>
  <si>
    <t>RACOR RECTO DE 1/4" x 6MM</t>
  </si>
  <si>
    <t>BRIDA A/INOX DE 1-1/2"</t>
  </si>
  <si>
    <t>TUBO A/INOX DE 1-1/2" x 6MTS - CED. 40</t>
  </si>
  <si>
    <t>CANALETA GALV. TIPO ESCALERA DE 15cmt - 10cmt</t>
  </si>
  <si>
    <t>UPS  5KVA IN-220 VAC  OUT-220/110VAC</t>
  </si>
  <si>
    <t>RELE SUPERVISOR DE VOLTAJE 3UG4615-1CR29</t>
  </si>
  <si>
    <t>CARTUCHO M21-750-595-YL 19.5MM</t>
  </si>
  <si>
    <t>TENAZA DE CRIMPADO DE 0,25mm 4mm</t>
  </si>
  <si>
    <t>TENAZA CORTA HILO / CABLE DE COBRE / ALUMINIO  DE 35mm</t>
  </si>
  <si>
    <t>TENAZA QUICKTRIP 10; 0,02mm - 10mm</t>
  </si>
  <si>
    <t>RACOR FESTO QSL 3/8 - 12mm</t>
  </si>
  <si>
    <t>SOPORTE BARRA COLECTORA Cu 10mm X 3mm/ ACODADO - ENCLAVABLE SOBRE DIN 35</t>
  </si>
  <si>
    <t>SOPORTE FIJACION APANTALLAMIENTO 27mm(ANCHO) 6mm A 24mm</t>
  </si>
  <si>
    <t>TAPON CIEGO CASQUILLO ENCHUFABLE QS-6  FESTO</t>
  </si>
  <si>
    <t>BLOQUE 10 POSICIONES - 10 ELECTROVALVULAS 24VDC  FESTO</t>
  </si>
  <si>
    <t>VALVULA DE BOLA A/INOX. DE 3/4" C/INDICADOR DE POSICION</t>
  </si>
  <si>
    <t>VALVULA P/VAPOR  ASIENTO INCLINADO DE 1,1/2"  FESTO</t>
  </si>
  <si>
    <t>VALVULA NEUMATICA TIPO CUCHILLA DE 6" C/INDICADOR DE POSICION - FESTO</t>
  </si>
  <si>
    <t>VALVULA NEUMATICA TIPO CUCHILLA DE 3" C/INDICADOR DE POSICION - FESTO</t>
  </si>
  <si>
    <t>VALVULA NEUMATICA TIPO CUCHILLA DE 2" C/INDICADOR DE POSICION - FESTO</t>
  </si>
  <si>
    <t>PERNO A/INOX DE 1/2 x 2,3/4 COMPLETO</t>
  </si>
  <si>
    <t>PERNO A/INOX DE 3/4 x 3,3/4 COMPLETO</t>
  </si>
  <si>
    <t>VARIADOR DE VELOCIDADSINAMICS 10 HP PM/240/380-480VAC 6SL-3210-IPE21</t>
  </si>
  <si>
    <t>UNIDAD DE CONTROL CU240 E-2 PROFINET/ETHERNET IP 6SL3244-0BB12-1FA0</t>
  </si>
  <si>
    <t>PANEL OPERADOR IOP-2 P/SINAMIC G120C/G120 6SL3255-0AA00-4JA2</t>
  </si>
  <si>
    <t>CABLE DE PROGRAMACION USB 6SL3255-0AA00-2CA0</t>
  </si>
  <si>
    <t>TABLERO A/INOX. 800mm(ALTO) X 600mm(ANCHO) X 300mm(FONDO)</t>
  </si>
  <si>
    <t>PONCHADOR HIDRAULICO P/PERFORAR METAL</t>
  </si>
  <si>
    <t>PALETAS PLEGADAS DE 4"</t>
  </si>
  <si>
    <t>VALVULA REALY TIPO TORTUGA R6 #279180X</t>
  </si>
  <si>
    <t>REDUCCION H/N SOLDABLE DE 2" A 3/4"</t>
  </si>
  <si>
    <t>TUBO DE H/N DE 3/4" CEL 40</t>
  </si>
  <si>
    <t>ACOPLE MACHO SS-304 F-300</t>
  </si>
  <si>
    <t>ACOPLE HEMBRA SS-304 C-300</t>
  </si>
  <si>
    <t>ACOPLE MACHO SS-304 E-100</t>
  </si>
  <si>
    <t>ACOPLE HEMBRA SS-304 D-100</t>
  </si>
  <si>
    <t>BROCA DE COBALTO DE 20mm</t>
  </si>
  <si>
    <t>SOPORTE DE RUEDA POSTERIOR</t>
  </si>
  <si>
    <t>CONECTOR DE 1/2" PARA FUNDA SELLADA</t>
  </si>
  <si>
    <t>CONECTOR DE 3/4" PARA FUNDA SELLADA</t>
  </si>
  <si>
    <t>CONECTOR CURVO DE 1" PARA FUNDA SELLADA</t>
  </si>
  <si>
    <t>CONECTOR CURVO DE 1-1/4" PARA FUNDA SELLADA</t>
  </si>
  <si>
    <t>ACIDO CITRICO</t>
  </si>
  <si>
    <t>ACIDO ASCORBICO</t>
  </si>
  <si>
    <t>SORBATO DE POTASIO</t>
  </si>
  <si>
    <t>Separadora # 2</t>
  </si>
  <si>
    <t>Reactore de hidrolizado</t>
  </si>
  <si>
    <t>Planta de hidrolizado</t>
  </si>
  <si>
    <t>Instalacion de bomba neumaticas - area hidrolizado</t>
  </si>
  <si>
    <t>PLATINA A/INOX DE 50MM x 9MM</t>
  </si>
  <si>
    <t>PLANCHA A/INOX PERF. DE 0.5MM x ESP 0.5MM x 1.22MTS x 2.44MTS</t>
  </si>
  <si>
    <t>QUINTA RUEDA (TORTUGA)</t>
  </si>
  <si>
    <t>PERNO ALLEN A/INOX 5/16" x 1"</t>
  </si>
  <si>
    <t>ACEITE DIELECTRICO</t>
  </si>
  <si>
    <t>SELLO MECANICO DE 20mm T-21 (R.F./S.F. SILICON.CARBIDE - EPDM) MONO RESORTE</t>
  </si>
  <si>
    <t>Instalaciones electricas Area de Hidrolizados</t>
  </si>
  <si>
    <t>Valvulas Neumaticas Area de Hidrolizado</t>
  </si>
  <si>
    <t>AUTOMATICO ARRANQUE DE 12V</t>
  </si>
  <si>
    <t>PISTOLA P/ENGRASA NEUM C/BOQUILLA</t>
  </si>
  <si>
    <t>MANGUERA DE CAUCHO Y LONA DE 2"  DIAM.</t>
  </si>
  <si>
    <t>PLANCHA A/INOX DE 10MM x 1.22MTS x 2.44MTS</t>
  </si>
  <si>
    <t>PLATINA A/INOX DE 4MM x 1" x 6MTS</t>
  </si>
  <si>
    <t>ESCOBA</t>
  </si>
  <si>
    <t>CEPILLO T/ESCOBA C/MANGO</t>
  </si>
  <si>
    <t>ACOPLE R┴PIDO ADAPTADOR MACHO X ROSCA HEMBRA 10-C  DE 1"</t>
  </si>
  <si>
    <t>ACOPLE R┴PIDO HEMBRA X ESPIGA PARA MANGUERA 10-A  DE 1"</t>
  </si>
  <si>
    <t>EMPAQUE MERGOLLAR GRAFITO EXPANDIDO DE 3/4"</t>
  </si>
  <si>
    <t>MERGOLLAR GRAFITADO DE 1" x 1"</t>
  </si>
  <si>
    <t>MERGOLLAR GRAFITADO DE 1/2"</t>
  </si>
  <si>
    <t>VALVULA DE PURGA DE 1/2" ROSCABLE</t>
  </si>
  <si>
    <t>MAQ. SOLDAR PLASMA MOD. PAK10 - 220/440V</t>
  </si>
  <si>
    <t>Mantenimiento de calderos 1 y 2</t>
  </si>
  <si>
    <t>Equipo para Taller de Mantenimiento</t>
  </si>
  <si>
    <t>CRIBA H/N  DE 8mm(ESPESOR) x 1"(PERFORACION) x 800mm(LARGO)</t>
  </si>
  <si>
    <t>CRIBA H/N  DE 8mm(ESPESOR) x 3/4"(PERFORACION) x 800mm(LARGO)</t>
  </si>
  <si>
    <t>PRISIONERO ALLEN H/N DE 1/2" x 1"</t>
  </si>
  <si>
    <t>PRISIONERO ALLEN H/N DE 3/8" x 1"</t>
  </si>
  <si>
    <t>PRISIONERO ALLEN DE 1/4" X 3/4"</t>
  </si>
  <si>
    <t>EMPAQUE CINTA DE ASBESTO DE 2" X 1/4"</t>
  </si>
  <si>
    <t>GATO HIDRAULICO DE 3 ETAPA 6"</t>
  </si>
  <si>
    <t>PIPETA GRADUADA VIDRIO DE 5ML</t>
  </si>
  <si>
    <t>BALANZA ANALITICA DE 0 - 200 GR.</t>
  </si>
  <si>
    <t>TERMO-BALANZA METHER TOLEDO  MC-103</t>
  </si>
  <si>
    <t>CENTRIFUGA OMAUS FC-5706   6000RPM</t>
  </si>
  <si>
    <t>AGITADOR MAGNETICO DE 3CM</t>
  </si>
  <si>
    <t>MICROPIPETA  DE 0 - 100 UL</t>
  </si>
  <si>
    <t>MICROPIPETA  DE 0 - 200 UL</t>
  </si>
  <si>
    <t>PALETA</t>
  </si>
  <si>
    <t>RULIMAN 6309-2RS</t>
  </si>
  <si>
    <t>Volqueta # 3</t>
  </si>
  <si>
    <t>CABEZA PARA MARTILLO BRICKEL CHRONIT DE 25mm</t>
  </si>
  <si>
    <t>EMPAQUE VITON P/FERRULE DE 3"</t>
  </si>
  <si>
    <t>MANGUERA ABRASIVA DE 3/8</t>
  </si>
  <si>
    <t>RULIMAN N-219 ECM</t>
  </si>
  <si>
    <t>DETERGENTE INDUSTRIAL - ASEPOL</t>
  </si>
  <si>
    <t>RULIMAN 6310 MC3</t>
  </si>
  <si>
    <t>RODAMIENTO 2305 M</t>
  </si>
  <si>
    <t>MANUBRIO DE PUERTA</t>
  </si>
  <si>
    <t>CHAPA PUERTA</t>
  </si>
  <si>
    <t>MANIJA DE ABRIR PUERTA</t>
  </si>
  <si>
    <t>OREJA DE PUERTA</t>
  </si>
  <si>
    <t>CAUCHO DE PUERTA VEHICULO</t>
  </si>
  <si>
    <t>CINTURON DE SEGURIDAD</t>
  </si>
  <si>
    <t>PARABRISA</t>
  </si>
  <si>
    <t>BASE DE MOTOR</t>
  </si>
  <si>
    <t>BASE DELANTERA DE MOTOR</t>
  </si>
  <si>
    <t>CANALETA A/INOX 360MM ALTURA X 330 MM INTERIOR X 4 MM ESPESOR</t>
  </si>
  <si>
    <t>REDUCCION A/INOX SOLDABLE DE 2-1/2" A 2"</t>
  </si>
  <si>
    <t>TUBO ROLADO A/INOX 4mm(ESPESOR) X 8"(DIAMETRO INTERIOR)</t>
  </si>
  <si>
    <t>Planta de Hidrolizado</t>
  </si>
  <si>
    <t>Pulidoras de aceite</t>
  </si>
  <si>
    <t>Prensa # 3, Desaguador</t>
  </si>
  <si>
    <t>FILTRO REGULADOR AIRE COMPRIMIDO DE 1/2"</t>
  </si>
  <si>
    <t>BOMBA A/INOX. DE 2,5" x 3"  C/MOTOR 20HP  220/440V</t>
  </si>
  <si>
    <t>HOJA PAQUETE 1ERA.</t>
  </si>
  <si>
    <t>HOJA PAQUETE 2DA.</t>
  </si>
  <si>
    <t>HOJA PAQUETE PRINCIPAL</t>
  </si>
  <si>
    <t>ABRAZADERA DE PAQUETE 3/4 x 2-3/4</t>
  </si>
  <si>
    <t>RACHET DE 10"</t>
  </si>
  <si>
    <t>LADRILLO REFRACTARIO PARA CALDERO</t>
  </si>
  <si>
    <t>JUEGO MATRIMONIO LOVEJOY L-190</t>
  </si>
  <si>
    <t>JUEGO MATRIMONIO LOVEJOY L-225</t>
  </si>
  <si>
    <t>TABLERO A/INOX. 600mm(ALTO) X 400mm(ANCHO) X 300mm(FONDO)</t>
  </si>
  <si>
    <t>LAMPARA TIPO LED DE 400W/220V</t>
  </si>
  <si>
    <t>BALASTRO 2 x 32W DE 110/220V</t>
  </si>
  <si>
    <t>BOMBA DE DIAFRAGMA WILDER MOD.005160-20</t>
  </si>
  <si>
    <t>UNIDAD MANTENIMIENTO DE AIRE DE 1/4" (COMPLETO)</t>
  </si>
  <si>
    <t>CANALETA A/NAVAL 500MM(ALTURA) X 500MM(INTERIOR) X 1,22MTR.(LARGO) 8MM ESPESOR</t>
  </si>
  <si>
    <t>FILTRO DE COMBUSTIBLE  SHOGUN #2230 (MAHINDRA)</t>
  </si>
  <si>
    <t>FILTRO DE AIRE 57MD33</t>
  </si>
  <si>
    <t>FILTRO COMBUSTIBLE  # 33002 (CAMIONETA CHEVROLET)</t>
  </si>
  <si>
    <t>FILTRO DE COMBUSTIBLE E10KP D10</t>
  </si>
  <si>
    <t>FILTRO DE COMBUSTIBLE  P554471 (483GB471M)</t>
  </si>
  <si>
    <t>FILTRO DE COMBUSTIBLE  P550219 (483GB444)</t>
  </si>
  <si>
    <t>RULIMAN 6210-2RS</t>
  </si>
  <si>
    <t>RULIMAN 6202-2RS</t>
  </si>
  <si>
    <t>CHUMACERA DE PIE DE 2-1/2" (P215)</t>
  </si>
  <si>
    <t>RULIMAN 6009-2RS</t>
  </si>
  <si>
    <t>ACIDO FOSFORICO</t>
  </si>
  <si>
    <t>VALVULA NEUMATICA DE 2" DE BRONCE</t>
  </si>
  <si>
    <t>MOTORREDUCTOR DE 10HP - 220/440V</t>
  </si>
  <si>
    <t>MONTACARGA</t>
  </si>
  <si>
    <t>BOWL DISK N║ 516371-93</t>
  </si>
  <si>
    <t>TUERCA DE CIERRE - CENTRIFUGA 413</t>
  </si>
  <si>
    <t>MOTOR BRIDADO DE 40HP - CENTRIFUGA 413</t>
  </si>
  <si>
    <t>BOMBA CENTRIFUGA A/INOX. 3" x 2"  220/440V</t>
  </si>
  <si>
    <t>TAPA P/CANALETA T/ESCALERA DE 30CM</t>
  </si>
  <si>
    <t>TEE A/INOX SOLDABLE DE 2"</t>
  </si>
  <si>
    <t>PLATINA H/N DE 8MM x 2" x 6 MTS</t>
  </si>
  <si>
    <t>CODO H/N SOLDABLE DE 1-1/4" x 90║</t>
  </si>
  <si>
    <t>TEE H/N SOLDABLE DE 1-1/4"</t>
  </si>
  <si>
    <t>BRIDA SOLDABLE DE 1 1/4"</t>
  </si>
  <si>
    <t>Instalacion de tromel  (Reemplaza al pedido 2101-103)</t>
  </si>
  <si>
    <t>Linea de vapor en area de tanques de hidrolizado</t>
  </si>
  <si>
    <t>Instalacion de luminarias en  taller automotriz</t>
  </si>
  <si>
    <t>FRESA DE CARBUTO TUGSTENO DE 1/4</t>
  </si>
  <si>
    <t>FRESA DE CARBUTO TUGSTENO DE 1/2</t>
  </si>
  <si>
    <t>FRESA DE CARBUTO TUGSTENO DE 5/8</t>
  </si>
  <si>
    <t>FRESA DE CARBUTO TUGSTENO DE 3/4</t>
  </si>
  <si>
    <t>BROCA COBALTO DE 3/16"</t>
  </si>
  <si>
    <t>REMACHE/COBRE</t>
  </si>
  <si>
    <t>PERNO DE 16 MM X 30 MM EN A/INOX COMPLETO</t>
  </si>
  <si>
    <t>PERNO ALLEN A/INOX 5/8" X 1 1/2"</t>
  </si>
  <si>
    <t>ENCAUCHADO</t>
  </si>
  <si>
    <t>EMPAQUE DE CAUCHO PARA VIDRIO VISOR 5/8" (853-115)</t>
  </si>
  <si>
    <t>TUBO VISOR 5/8" X 265MM 250PSI (FRANJA ROJA)</t>
  </si>
  <si>
    <t>TUBO VISOR PYREX 5/8" X 305MM 250PSI (FRANJA ROJA)</t>
  </si>
  <si>
    <t>LLANTA N║ 11.00-20</t>
  </si>
  <si>
    <t>TUBO DE LLANTA 1100</t>
  </si>
  <si>
    <t>DEFENSA DE LLANTA N║ 11.00</t>
  </si>
  <si>
    <t>ARO COVECCIONALES</t>
  </si>
  <si>
    <t>Camion # 7</t>
  </si>
  <si>
    <t>CUCHILLA PUNTA DE CARBURO DE TUSTEGNO 1/2" X 4"</t>
  </si>
  <si>
    <t>CUCHILLA PUNTA DE CARBURO DE TUSTEGNO 3/8" X 4"</t>
  </si>
  <si>
    <t>CUCHILLA DE PUNTA CARBURO DE TUGSTENO DE 1/4</t>
  </si>
  <si>
    <t>TRANSMISOR PRESION DIFERENCIAL  DELTABAR  S-FMD78</t>
  </si>
  <si>
    <t>CAJA CHUMACERA DE PIE  SNL-522 TA</t>
  </si>
  <si>
    <t>SEGURO EXTERIOR</t>
  </si>
  <si>
    <t>VENTILADOR PARA MOTOR</t>
  </si>
  <si>
    <t>CAUCHO SOPORTE MOTOR</t>
  </si>
  <si>
    <t>ADAPTADOR DE ALUMINIO AL-F400  4" MACHO x NPT</t>
  </si>
  <si>
    <t>SELLO MECANICO TIPO 192 + BDINS  DE 55MM</t>
  </si>
  <si>
    <t>DADO DE 10MM</t>
  </si>
  <si>
    <t>MOTOR DE ARRANQUE 12V</t>
  </si>
  <si>
    <t>PERNO</t>
  </si>
  <si>
    <t>BROCA P/METAL DE 3/16"</t>
  </si>
  <si>
    <t>Efecto 1 de PAC# 2</t>
  </si>
  <si>
    <t>TUBO H/N DE 1/2" x 6MTS - CED 40</t>
  </si>
  <si>
    <t>CODO H/N SOLDABLE DE 1/2" CEL 40</t>
  </si>
  <si>
    <t>CODO H/N SOLDABLE DE 3/4" x 90░</t>
  </si>
  <si>
    <t>PERNO H/N DE 7/8" x 4" COMPLETO</t>
  </si>
  <si>
    <t>PERNO DE 5/8" X 3 1/2" H/N COMPLETO</t>
  </si>
  <si>
    <t>PERNO A/INOX DE 5/16" x 1-1/2" COMPLETO</t>
  </si>
  <si>
    <t>PIEDRA DE ESMERIL 6 x 1.1/4 x 1.1/4 GRANO FINO</t>
  </si>
  <si>
    <t>PIEDRA DE ESMERIL 6 x 1.1/4 x 1.1/4 AFILAR TUGSTENO</t>
  </si>
  <si>
    <t>MONOGAFAS TRANSPARENTE MOD. 2235R</t>
  </si>
  <si>
    <t>CHUMACERA DE CAJA 4" COMPLETA - 522</t>
  </si>
  <si>
    <t>BANDA UNITTA 160XL  037</t>
  </si>
  <si>
    <t>BATERIA N 200 HDS3</t>
  </si>
  <si>
    <t>CASCO PROTECCION ANARANJADO</t>
  </si>
  <si>
    <t>DESINFECTANTE BV-QUAT (AMONIO CUATERNARIO)</t>
  </si>
  <si>
    <t>ARO DE RUEDA 8.25 X 22.5</t>
  </si>
  <si>
    <t>PLANCHA DIPANEL DP5 PREPINTADA AZUL DE 0,4mm X 5mtr</t>
  </si>
  <si>
    <t>PLANCHA DIPANEL DP5 PREPINTADA AZUL DE 0,4mm X 3,55mtr</t>
  </si>
  <si>
    <t>PLANCHA DIPANEL DP5 PREPINTADA AZUL DE 0,4mm X 3,20mtr</t>
  </si>
  <si>
    <t>PLANCHA DIPANEL DP5 PREPINTADA AZUL DE 0,4mm X 4,5mtr</t>
  </si>
  <si>
    <t>PLANCHA DIPANEL DP5 PREPINTADA AZUL DE 0,4mm X 3mtr</t>
  </si>
  <si>
    <t>RADIADOR</t>
  </si>
  <si>
    <t>ALAMBRE ESMALTADO N║ 17</t>
  </si>
  <si>
    <t>BARNIZ TRANSPARENTE SECADO AL AIRE DOLPHIS AC43</t>
  </si>
  <si>
    <t>CINTA POLIESTES (D-H-S-I)</t>
  </si>
  <si>
    <t>ESPAGUETTY FIBRA DE VIDRIO DE 3MM</t>
  </si>
  <si>
    <t>RETENEDOR 30 X 45 X 8</t>
  </si>
  <si>
    <t>RETENEDOR 52 X 75 X 12</t>
  </si>
  <si>
    <t>TERMOMETRO INFRARROJO FLUKE 561</t>
  </si>
  <si>
    <t>CHUMACERA DE CAJA DE 3-1/2" COMPLETO - 520</t>
  </si>
  <si>
    <t>RULIMAN 22220EK/C3</t>
  </si>
  <si>
    <t>BUJE H-320</t>
  </si>
  <si>
    <t>SELLO DE GOMA P/CHUMACERA DE CAJA 3-1/2" - TSN520L</t>
  </si>
  <si>
    <t>ANILLO FIJACION FRB 12/180</t>
  </si>
  <si>
    <t>PERNO H/N DE 1" x 4" COMPLETO</t>
  </si>
  <si>
    <t>CADENA PASO 120 DOBLE</t>
  </si>
  <si>
    <t>TERMINAL DE OJO P/CABLE 250MCM (SC150-12L)</t>
  </si>
  <si>
    <t>TABLERO BANCO DE CAPACITORES 360 KVA 800AMP / 440VAC / 3F</t>
  </si>
  <si>
    <t>BREAKER 1000AMP NS100N</t>
  </si>
  <si>
    <t>Artículo</t>
  </si>
  <si>
    <t>Cliente/Proveedor</t>
  </si>
  <si>
    <t>Cantidad</t>
  </si>
  <si>
    <t>Ingreso Numero</t>
  </si>
  <si>
    <t>FACT.# 001-001-1167 PINO SALTOS ROBERT</t>
  </si>
  <si>
    <t>G.R. #  001-001-1179 PICO SALTOS ROBERT ITALO</t>
  </si>
  <si>
    <t>FACT.# 001-001-1175 PINO SALTOS ROBERT</t>
  </si>
  <si>
    <t>FACT.# 001-001-0089 CORAL GUERRERO MARCELA</t>
  </si>
  <si>
    <t>G.R,# 001-001-1198 PICO SALTOS ROBERT</t>
  </si>
  <si>
    <t>G.R. # 001-001-1195 PICO SALTOS ROBERT</t>
  </si>
  <si>
    <t>G.R,# 001-001-1196 PICO SALTOS ROBERT</t>
  </si>
  <si>
    <t>NOTA VENTA # 001-001-11397 MANUEL BOLAÑOS</t>
  </si>
  <si>
    <r>
      <t xml:space="preserve">G.R. #  001-002-007  NOVAL INTEGRAL </t>
    </r>
    <r>
      <rPr>
        <b/>
        <i/>
        <sz val="9"/>
        <color rgb="FFFF0000"/>
        <rFont val="Arial"/>
        <family val="2"/>
      </rPr>
      <t xml:space="preserve"> (FACT.# 001-002-0048)</t>
    </r>
  </si>
  <si>
    <t>FACT.# 001-002-0049 NOVA INTEGRAL</t>
  </si>
  <si>
    <t>FACT.# 001-002-0050 NOVA INTEGRAL</t>
  </si>
  <si>
    <t>Fecha de Ingreso</t>
  </si>
  <si>
    <t>G.R,# 001-001-1200 PICO SALTOS ROBERT</t>
  </si>
  <si>
    <t>Requisicion #</t>
  </si>
  <si>
    <t>2101-83 (110 U.)</t>
  </si>
  <si>
    <t>2102-66 (200 U.)</t>
  </si>
  <si>
    <t>2102-124 (50 U.)</t>
  </si>
  <si>
    <t>Total Recibido</t>
  </si>
  <si>
    <t>2102-128 (20 U.)</t>
  </si>
  <si>
    <t>G.R.# 001-001-0013 RECICLANDO ENVASES Y ALGO MAS</t>
  </si>
  <si>
    <t>CODO A/INOX SOLDABLE DE 4" x 90║ CED. 40</t>
  </si>
  <si>
    <t>MIRILLA VIDRIO POSTERIOR C/TAPON ROSCADA DE 2"</t>
  </si>
  <si>
    <t>EMPAQUE DE ADMISION</t>
  </si>
  <si>
    <t>MOTOR TRIFASICO DE 25HP - 1200RPM - 220/440V</t>
  </si>
  <si>
    <t>VENTILADOR DE 8 ASPAS</t>
  </si>
  <si>
    <t>MOTOR DE 20HP - 1700RPM - 220/440V</t>
  </si>
  <si>
    <t>EJE DE RUEDA</t>
  </si>
  <si>
    <t>ACEITE SAE 40</t>
  </si>
  <si>
    <t>LLANTAS MICHELIN 12-22,5XZE2 DELANTERAS</t>
  </si>
  <si>
    <t>GASKET N║ PARTE 6958400</t>
  </si>
  <si>
    <t>FILTRO TIPO "Y"   DE 2.1/2"</t>
  </si>
  <si>
    <t>PLANCHA NAVAL A/INOX DE 5MM x 1.50MTS x 6MTS</t>
  </si>
  <si>
    <t>CHUMACERA/PARED 2.1/2" SKF</t>
  </si>
  <si>
    <t>VASO HUMIDIFICADOR</t>
  </si>
  <si>
    <t>CANULA DE OXIGENO PARA ADULTO</t>
  </si>
  <si>
    <t>BUJE PARA EJE 100mm</t>
  </si>
  <si>
    <t>TROMPO DE ACEITE</t>
  </si>
  <si>
    <t>TROMPO TEMPERATURA</t>
  </si>
  <si>
    <t>BINS PARA PESCADO</t>
  </si>
  <si>
    <t>Motor 25HP del ventilador de torre de enfriamiento</t>
  </si>
  <si>
    <t>Transportador de Poza # 3</t>
  </si>
  <si>
    <t>Mantenimiento prestrainer de Rotadisco</t>
  </si>
  <si>
    <t>FACT.# 001-001-0090 CORAL GUERRERO MARCELA</t>
  </si>
  <si>
    <t>ANGULO H/N DE 6MM x 1-1/2" x 1-1/2" x 6MTS</t>
  </si>
  <si>
    <t>ANGULO H/N DE 6MM x 1" x 1" x 6MTS</t>
  </si>
  <si>
    <t>PLATINA A/INOX DE 50MM x 3MM</t>
  </si>
  <si>
    <t>VALVULA A/INOX A/RAPIDA DE 1/2"</t>
  </si>
  <si>
    <t>UNION UNIVERSAL A/INOX DE 1/2"</t>
  </si>
  <si>
    <t>BARNIZ DIALECTRICO</t>
  </si>
  <si>
    <t>PLANCHA NAVAL DE 6MM x 1.50MTS x 6MTS</t>
  </si>
  <si>
    <t>TUBO FLEXIBLE DE 3 1/2"</t>
  </si>
  <si>
    <t>EMPAQUE CORDON DE 1"</t>
  </si>
  <si>
    <t>EMPAQUE REGISTRO HAND-HOLE 3 X 4 X 9/16"</t>
  </si>
  <si>
    <t>EMPAQUE MANHOLE 11 x 15 x 1-1/4" (853-618)</t>
  </si>
  <si>
    <t>EMPAQUE DEFLECTOR POSTERIOR N░ 853-987</t>
  </si>
  <si>
    <t>CEMENTO DE CONTACTO</t>
  </si>
  <si>
    <t>PINTURA ANTC ROJO OXIDO</t>
  </si>
  <si>
    <t>PINTURA ESMALTE NEGRO</t>
  </si>
  <si>
    <t>PERNO H/N DE 1/2" X 1" HILO GRUESO COMPLETO</t>
  </si>
  <si>
    <t>VACUOMETRO DE 0 A 30 DE 2" DIAL C/GLICERINA</t>
  </si>
  <si>
    <t>MANOVACUOMETRO C/GLICERINA DE 4" DIAM. -30 IN HG 0 -100LBS / IN PARA 1/4"</t>
  </si>
  <si>
    <t>TAPON MACHO A/INOX DE 1/2"</t>
  </si>
  <si>
    <t>VALVULA DE COMPUERTA DE 6" DE 300 PSI VAPOR</t>
  </si>
  <si>
    <t>TUBO PVC DE 2" x 6 MTS. REFORZADO</t>
  </si>
  <si>
    <t>CODO PVC ROSCABLE DE 2" x 90║</t>
  </si>
  <si>
    <t>UNION UNIVERSAL PVC DE 2"</t>
  </si>
  <si>
    <t>UNION SIMPLE ROSC 2" PVC</t>
  </si>
  <si>
    <t>VALVULA BRONCE A/RAPIDA DE 2"</t>
  </si>
  <si>
    <t>TARRAJA</t>
  </si>
  <si>
    <t>GRASERO RECTO DE 1/4"</t>
  </si>
  <si>
    <t>MOTOR TRIFASICO BRIDADO DE 2HP - 1700RPM - 220/440V</t>
  </si>
  <si>
    <t>PLATO DE EMBRAGUE</t>
  </si>
  <si>
    <t>BROCA COBALTO DE 1/8"</t>
  </si>
  <si>
    <t>BROCA COBALTO DE 1/4"</t>
  </si>
  <si>
    <t>BROCA COBALTO 7/16"</t>
  </si>
  <si>
    <t>BROCA COBALTO DE 1/2"</t>
  </si>
  <si>
    <t>JUNTA FLEXIBLE DE EXPANSION DE 3" X 590mm (JOINT SINGLE)</t>
  </si>
  <si>
    <t>PERNO H/N DE 3/8" x 1" COMPLETO H/FINO</t>
  </si>
  <si>
    <t>SENSOR TEMPERATURA DISPLAY PT-1000 G1/2 D 6mm L100 MM 2 SALIDAS</t>
  </si>
  <si>
    <t>TUBO DE PROTECCION PARA SENSORES DE TEMPERATURA</t>
  </si>
  <si>
    <t>CABLE CONECTOR APANTALLADO HEMBRA RECTO M12 5PIN 5M</t>
  </si>
  <si>
    <t>MAESTRO I/O LINKCON INTERFAX PROFINET CONEX. 8 DISPOSITIVOS I/O-LINK IP67</t>
  </si>
  <si>
    <t>FUENTE DE ALIMENTACION 24V. DC - 10AMP</t>
  </si>
  <si>
    <t>TERMOPOZO DE PROTECCION PARA SENSOR DE TEMPERATURA</t>
  </si>
  <si>
    <t>CABLE CONECTOR APANTALLADO HEMBRA ANGULAR M12 5PIN 20M</t>
  </si>
  <si>
    <t>CONECTOR MACHO RECTO M12 EXTERIOR 5 PIN</t>
  </si>
  <si>
    <t>CABLE CONECTOR HEMBRA RECTO M12 5HILOS 2M</t>
  </si>
  <si>
    <t>CONECTOR MACHO RECTO M12 4 POLOS D-CODE IP67</t>
  </si>
  <si>
    <t>SENSOR DE PRESION DISPLAY 50-1000 MBAR G1A ASEPTOFLEXPNP/NPN 1XNA/NC + 1 ANALOGA CONEXIËN M12X4 PIN</t>
  </si>
  <si>
    <t>ADAPTADOR PARA SOLDAR INOX. D60/G1</t>
  </si>
  <si>
    <t>MODULO DE ENTRADA Y SALIDA DIGITAL 6ES7223 1PL32 OXBO</t>
  </si>
  <si>
    <t>Secador Rotatubo,</t>
  </si>
  <si>
    <t>Mantenimiento de separadoras 418</t>
  </si>
  <si>
    <t>FACT.# 001-001-1179 PICO SALTOS ROBERT ITALO</t>
  </si>
  <si>
    <t>PAC # 2</t>
  </si>
  <si>
    <t>Tromel del area de hidrolizado</t>
  </si>
  <si>
    <t>Linea de agua dulce de Labratorio</t>
  </si>
  <si>
    <t>Instalacion de Medidores de temperatura PAC # 2</t>
  </si>
  <si>
    <t>MATRAZ DE EBULLICION DE 250ML</t>
  </si>
  <si>
    <t>BANDA 160XL P/MAQ. COSER</t>
  </si>
  <si>
    <t>BASE DELANTERA</t>
  </si>
  <si>
    <t>PERNO GRADO 8  DE 6" X 1" HILO FINO</t>
  </si>
  <si>
    <t>GUIAS ENCAUCHADAS GRANDES ROJA DE 12V</t>
  </si>
  <si>
    <t>GUIAS ENCAUCHADAS GRANDES AMARILLA 12V</t>
  </si>
  <si>
    <t>TROMPO DE TEMPERATURA</t>
  </si>
  <si>
    <t>ACOPLE T/ESPIGA 16-12FJX</t>
  </si>
  <si>
    <t>CONECTOR RAPIDO HEMBRA/MACHO DE 1"</t>
  </si>
  <si>
    <t>FERRULA</t>
  </si>
  <si>
    <t>MANGUERA HIDRAULICA 1"</t>
  </si>
  <si>
    <t>VALVULA BOLA H/N P/VAPOR DE 2"</t>
  </si>
  <si>
    <t>CARBONES DE JUNTAS JONSON</t>
  </si>
  <si>
    <t>VALVULA BRONCE A/RAPIDA DE 3"</t>
  </si>
  <si>
    <t>PERNO ALLEN A/INOX 12MM X 50MM</t>
  </si>
  <si>
    <t>RULIMAN 6407</t>
  </si>
  <si>
    <t>SOLDADURA HIERRO FUNDIDO 1/8"  NIQUEL-100</t>
  </si>
  <si>
    <t>LOOPER FOR 243102  (PIEZA DE MAQUINA/COSER)</t>
  </si>
  <si>
    <t>TORNILLO # 9/64S40005  (MAQUINA DE COSER)</t>
  </si>
  <si>
    <t>DESTILADOR VELP</t>
  </si>
  <si>
    <t>VALVULA SELENOIDE P/VAPOR DE 1/2"</t>
  </si>
  <si>
    <t>VALVULA REGULADORA DE VAPOR DE 1/2"</t>
  </si>
  <si>
    <t>BOTA CAUCHO PTA. ACERO # 43</t>
  </si>
  <si>
    <t>BOTAS INDUSTRIALES N░ 37</t>
  </si>
  <si>
    <t>BOTA CAUCHO PTA. ACERO # 37</t>
  </si>
  <si>
    <t>EMPAQUE DE CARBON CHESTERTON 477-1  DE 3/4"</t>
  </si>
  <si>
    <t>EMPAQUE DE CARBON CHESTERTON 477-1  DE 1/2"</t>
  </si>
  <si>
    <t>EMPAQUE DE CARBON CHESTERTON  477-1  DE 1"</t>
  </si>
  <si>
    <t>BOTAS INDUSTRIALES N░ 43</t>
  </si>
  <si>
    <t>BOTA INDUSTRIAL N║ 44</t>
  </si>
  <si>
    <t>CASCO PROTECCION AMARILLO</t>
  </si>
  <si>
    <t>Tanques de aceite # 10 - 11</t>
  </si>
  <si>
    <t>KIT HUMEDO DE 3"/D/A/ZWS (15-9826-58-209)</t>
  </si>
  <si>
    <t>LIQUIDO DE FRENO</t>
  </si>
  <si>
    <t>MASCARILLA 3M - 6800</t>
  </si>
  <si>
    <t>TERMINAL DE OJO 5/16" (VF-5.5-8)</t>
  </si>
  <si>
    <t>TERMINAL DE OJO 3/16" (VF-5.5-5)</t>
  </si>
  <si>
    <t>TERMINAL AISLADO / ENCHUFE # 14</t>
  </si>
  <si>
    <t>CODO A/INOX SOLDABLE DE 1-1/2" x 90║ - CED. 40</t>
  </si>
  <si>
    <t>PINTURA ANTICORROSIVO BLANCO HUESO</t>
  </si>
  <si>
    <t>RULIMAN 6205</t>
  </si>
  <si>
    <t>RULIMAN 6206-2RS</t>
  </si>
  <si>
    <t>RULIMAN 6209 C3 CON SELLO DE CAUCHO</t>
  </si>
  <si>
    <t>TERMINAL DE OJO P/CABLE #4</t>
  </si>
  <si>
    <t>TERMINAL TIPO OJO PARA CABLE # 4/0</t>
  </si>
  <si>
    <t>ASPIRADORA DE MANO</t>
  </si>
  <si>
    <t>BREAKER TRIFASICO 150 AMP CAJA MOLDEADA</t>
  </si>
  <si>
    <t>BREAKER TRIFASICO 200 AMP CAJA MOLDEADA</t>
  </si>
  <si>
    <t>BREAKER TRIFASICO DE 250AMP CAJA MOLDEADA</t>
  </si>
  <si>
    <t>BREAKER DE 180 A 3P TIPO CAJA MOLDEADA</t>
  </si>
  <si>
    <t>FUNDA SELLADA DE 1-1/2" PARA CABLE ELECTRICO</t>
  </si>
  <si>
    <t>RULIMAN 6214-2RS</t>
  </si>
  <si>
    <t>TABLERO ELECTRICO PLASTICO 30 X 30 X 20</t>
  </si>
  <si>
    <t>CONTACTOR LC1-D40 DE 40 A 60AMP / 220V</t>
  </si>
  <si>
    <t>INTERRUPTOR ELECTRICO MANUAL 100AMP</t>
  </si>
  <si>
    <t>RULIMAN 6215 N 2RS</t>
  </si>
  <si>
    <t>RULIMAN 6314-2RS</t>
  </si>
  <si>
    <t>RULIMAN 6315/C3</t>
  </si>
  <si>
    <t>CODO A/INOX SOLDABLE DE 3" x 45║</t>
  </si>
  <si>
    <t>Mantenimiento electrico general</t>
  </si>
  <si>
    <t>RULIMAN RUEDA POSTERIOR</t>
  </si>
  <si>
    <t>CAUCHO(EMPAQUE) PARA ACOPLE</t>
  </si>
  <si>
    <t>BOCIN DE MOTOR DE ARRANQUE</t>
  </si>
  <si>
    <t>MANGUERA HIDRAULICA DE 1/4"</t>
  </si>
  <si>
    <t>ABRAZADERA T-513 (78-84)</t>
  </si>
  <si>
    <t>FILTRO RESPIRADOR DE SECANTE DE SILICA CONEXIËN 1,1/2"</t>
  </si>
  <si>
    <t>GRASERO RECTO DE 1/8"</t>
  </si>
  <si>
    <t>CILINDRO DE OXIGENO MEDICINAL 6M3</t>
  </si>
  <si>
    <t>TAPAS PLASTICAS</t>
  </si>
  <si>
    <t>DISTRIBUIDOR ELECTRONICO MOTOR K25</t>
  </si>
  <si>
    <t>MOTOR DE ARRANQUE MONTACARGA K21/25</t>
  </si>
  <si>
    <t>POLEA TIPO B 260MM DE 4 CANALES</t>
  </si>
  <si>
    <t>POLEA</t>
  </si>
  <si>
    <t>REFLECTOR DE 400W - 220V</t>
  </si>
  <si>
    <t>CABLE CONCENTRICO 2 X 14</t>
  </si>
  <si>
    <t>BREAKER DE 2 X 20AMP</t>
  </si>
  <si>
    <t>BASE P/FOTOCELULA</t>
  </si>
  <si>
    <t>FOTOCELULA</t>
  </si>
  <si>
    <t>LAMPARA TUMBADO LED DE 4 x 18W</t>
  </si>
  <si>
    <t>CODO PVC DE 1/2" ELECTRICO</t>
  </si>
  <si>
    <t>TUBO DE PVC ELECTRICO DE 1/2"</t>
  </si>
  <si>
    <t>CAJA PVC OCTOGONAL EMPOTRABLE</t>
  </si>
  <si>
    <t>RULIMAN PILOTO</t>
  </si>
  <si>
    <t>CODO P/MANGUERA</t>
  </si>
  <si>
    <t>ABRAZADERA P/TUBO-CODO</t>
  </si>
  <si>
    <t>RULIMAN 6201-2RS</t>
  </si>
  <si>
    <t>Pac # 1</t>
  </si>
  <si>
    <t>Instalacion en prensa # 3</t>
  </si>
  <si>
    <t>Manifold y Rotatubo</t>
  </si>
  <si>
    <t>CODO GALV. DE 4" x 45║</t>
  </si>
  <si>
    <t>TUBO GALVANIZADO 4"</t>
  </si>
  <si>
    <t>RODILLO DE ALIMENTACION P/IMPRESORA</t>
  </si>
  <si>
    <t>ACCESS POINT TP-LINK 300MBPS - 3ANTENAS</t>
  </si>
  <si>
    <t>MARTILLO ROMPE PAVIMENTO</t>
  </si>
  <si>
    <t>VENTILADOR DE CABINA MACK</t>
  </si>
  <si>
    <t>ABRAZADERA GALV. DE 1"</t>
  </si>
  <si>
    <t>GRASERO DE 1/4  X  45░</t>
  </si>
  <si>
    <t>PLATINA DE HIERRO DE 3/8" X 2"</t>
  </si>
  <si>
    <t>VIGA UPN 100</t>
  </si>
  <si>
    <t>VIGA HEB 200 x 6MTS</t>
  </si>
  <si>
    <t>Sala de Ensaque</t>
  </si>
  <si>
    <t>Impresora Bodega PT</t>
  </si>
  <si>
    <t>PENDIENTE</t>
  </si>
  <si>
    <t>RECIBIDO PARCIAL</t>
  </si>
  <si>
    <t>RECIBIDO TOTAL</t>
  </si>
  <si>
    <t>RULIMAN CAJA 118L</t>
  </si>
  <si>
    <t>EMPAQUE SUPERIOR DE MACK(JUEGO)</t>
  </si>
  <si>
    <t>EMPAQUE DE TURBO</t>
  </si>
  <si>
    <t>PALANCA DE CAMBIO DE LUCES</t>
  </si>
  <si>
    <t>RELAY DE LUCES DE 24 VOLT</t>
  </si>
  <si>
    <t>FUSIBLE UÐA</t>
  </si>
  <si>
    <t>TERMINAL DE OJO</t>
  </si>
  <si>
    <t>AMORTIGUADOR DE CABINA 1924-DT</t>
  </si>
  <si>
    <t>PORTA DIODO</t>
  </si>
  <si>
    <t>REGULADOR DE ALTERNADOR</t>
  </si>
  <si>
    <t>RULIMAN 6305-C3</t>
  </si>
  <si>
    <t>TRIODO</t>
  </si>
  <si>
    <t>AISLADORES PEQUEÐO</t>
  </si>
  <si>
    <t>CADENA TRANSPORTADORA PASO 6" 15000LBS</t>
  </si>
  <si>
    <t>PIÐON (SPROCKET) DE 8 DIENTES CON MASA DE UN SOLO LADO</t>
  </si>
  <si>
    <t>PERNO GR. 8,8 M20 x 120mm PASO 2,5</t>
  </si>
  <si>
    <t>MOTOR LIMPIA PARABRISA</t>
  </si>
  <si>
    <t>VALVULA CHECK TIPO Y DE 1"</t>
  </si>
  <si>
    <t>MANOMETRO HORIZONTAL DIAL 2.5" DE 0-100PSI, C/TOMA DE 1/4"</t>
  </si>
  <si>
    <t>POLEA TIPO "B" DE 4 CANALES PARA EJE DE 62mm</t>
  </si>
  <si>
    <t>PERNO 5/8 X 3" GRADO 8 COMPLETO</t>
  </si>
  <si>
    <t>VALVULA H/N DE ACCION RAPIDA DE 1/4"</t>
  </si>
  <si>
    <t>BANDA B-72</t>
  </si>
  <si>
    <t>BOCIN BRAZO BIELA</t>
  </si>
  <si>
    <t>BOMBA DE ACEITE</t>
  </si>
  <si>
    <t>GUIA DE VALVULA DE ADMISION</t>
  </si>
  <si>
    <t>MEDIA LUNA</t>
  </si>
  <si>
    <t>JUEGO PISTONES</t>
  </si>
  <si>
    <t>JUEGO RINES</t>
  </si>
  <si>
    <t>RULIMAN PUNTA CIGUEÐAL</t>
  </si>
  <si>
    <t>VALVULA</t>
  </si>
  <si>
    <t>MANGAS DE CUERO PARA SOLDAR</t>
  </si>
  <si>
    <t>Mantenimiento de rastras pozas 1 y 2</t>
  </si>
  <si>
    <t>Prensa # 2</t>
  </si>
  <si>
    <t>Rotatubo</t>
  </si>
  <si>
    <t>camion # 6</t>
  </si>
  <si>
    <t>ABRAZADERA T-503 (32-35)</t>
  </si>
  <si>
    <t>KIT OVERHAUL COMPLETO (REPARACION MOTOR)</t>
  </si>
  <si>
    <t>VALVULA DE ADMISION</t>
  </si>
  <si>
    <t>VALVULA DE ESCAPE</t>
  </si>
  <si>
    <t>RETENEDOR EMBRAGUE</t>
  </si>
  <si>
    <t>BUJE DE ARBOL DE LEVA</t>
  </si>
  <si>
    <t>VALVULA DE PRESION DE ACEITE</t>
  </si>
  <si>
    <t>VALVULA DE DESCARGA TP-3</t>
  </si>
  <si>
    <t>CAPSULAS DE INYECTORES</t>
  </si>
  <si>
    <t>EMPAQUE DE CARTER</t>
  </si>
  <si>
    <t>RETENEDOR DELANTERO</t>
  </si>
  <si>
    <t>RETENEDOR POSTERIOR</t>
  </si>
  <si>
    <t>REGULACIONES</t>
  </si>
  <si>
    <t>KIT PARA BOMBA HIDRAULICA</t>
  </si>
  <si>
    <t>RULIMAN DE MASA DE LA DOBLE</t>
  </si>
  <si>
    <t>SINCRONIZADOR DE CAJA</t>
  </si>
  <si>
    <t>JUEGO CAUCHO Y RETENEDOR CILINDRO DUAL</t>
  </si>
  <si>
    <t>JUEGO EMPAQUE DE CAJA</t>
  </si>
  <si>
    <t>KIT RETENEDORES (4 UND)</t>
  </si>
  <si>
    <t>PIÐA 2" DE CAJA FULLER # 16118</t>
  </si>
  <si>
    <t>PIÐON DE MAZA  CORRERIZA</t>
  </si>
  <si>
    <t>PIÐON EJE MOTRIZ</t>
  </si>
  <si>
    <t>TUERCA DE EJE MOTRIZ CAJA FULLER</t>
  </si>
  <si>
    <t>PIÐON DEL EJE</t>
  </si>
  <si>
    <t>RODELA DE PIÐON</t>
  </si>
  <si>
    <t>EJE MOTRIZ</t>
  </si>
  <si>
    <t>TAPA DE EJE MOTRIZ</t>
  </si>
  <si>
    <t>RETENEDOR EJE CUADRADO 0024</t>
  </si>
  <si>
    <t>RETENEDOR EJE CUADRADO 0065</t>
  </si>
  <si>
    <t>RULIMAN DE EJE MOTRIZ</t>
  </si>
  <si>
    <t>VARILLA EJE CORREDIZO CAJA FULLER # 17119</t>
  </si>
  <si>
    <t>BOCIN DEL EJE MOTRIZ</t>
  </si>
  <si>
    <t>FIJADOR/LOCTITE</t>
  </si>
  <si>
    <t>TERMOSTATO</t>
  </si>
  <si>
    <t>DISCO DE PARADA</t>
  </si>
  <si>
    <t>KIT DE REPARACION TOBERAS (SV) - PS2018</t>
  </si>
  <si>
    <t>BOBINA DE ENCENDIDO</t>
  </si>
  <si>
    <t>PLACA POSTERIOR</t>
  </si>
  <si>
    <t>KIT DE REPARACION</t>
  </si>
  <si>
    <t>VALVULA DUAL DE AIRE (SAP173507)</t>
  </si>
  <si>
    <t>MEDIDOR DE FLUJO MINI OVAL</t>
  </si>
  <si>
    <t>BANDA B-47</t>
  </si>
  <si>
    <t>MANGUERA DE 7/8"</t>
  </si>
  <si>
    <t>ABRAZADERA A/INOX DE 7/8"</t>
  </si>
  <si>
    <t>MANGUERA FLEXIBLE 3 x 20</t>
  </si>
  <si>
    <t>CREMALLERA</t>
  </si>
  <si>
    <t>MANOMETRO TEMPERATURA MECANICA</t>
  </si>
  <si>
    <t>TECLE PARA SUBIR LLANTA EMERGENCIA</t>
  </si>
  <si>
    <t>LLAVE DE RUEDA</t>
  </si>
  <si>
    <t>TUBO H/N DE 2-1/2" x 6MTS. - CED 40</t>
  </si>
  <si>
    <t>CODO H/N SOLDABLE DE 2-1/2" x 90║ - CED 40</t>
  </si>
  <si>
    <t>BRIDA H/N SOLDABLE DE 2-1/2"</t>
  </si>
  <si>
    <t>VALVULA CHECK TIPO WAFER 3" CLASE 150 G-158</t>
  </si>
  <si>
    <t>NEPLO H/N DE 2-1/2" x 10"</t>
  </si>
  <si>
    <t>TERMINAL DE BARRA CENTRAL</t>
  </si>
  <si>
    <t>TERMINAL</t>
  </si>
  <si>
    <t>TERMINAL MACHO 16-22</t>
  </si>
  <si>
    <t>CODO A/INOX ROSCABLE DE 1/2" x 90║</t>
  </si>
  <si>
    <t>PLATINA DE H/N DE 50MM X 6MM</t>
  </si>
  <si>
    <t>ANGULO H/N DE 6MM x 4" x 4" x 6MTS</t>
  </si>
  <si>
    <t>PLANCHA ANTIDESLIZANTE 1,22 X 2,44 X 3MM</t>
  </si>
  <si>
    <t>LLANTA 10.00 - 20 DELANTERA</t>
  </si>
  <si>
    <t>TUBO DE LLANTA 10.00-20</t>
  </si>
  <si>
    <t>DEFENSA DE LLANTA 10-20</t>
  </si>
  <si>
    <t>CANDADO VIRO 60MM</t>
  </si>
  <si>
    <t>JUEGO BROCA DE COBALTO EN PULGADAS</t>
  </si>
  <si>
    <t>ORING DE 6MM (CORDON)</t>
  </si>
  <si>
    <t>JUEGO MACHUELO DE 6MM x 1.00NC</t>
  </si>
  <si>
    <t>KING PIN</t>
  </si>
  <si>
    <t>LLANTA  205/75  R-17,5</t>
  </si>
  <si>
    <t>DEFENSA 11.00 - 20</t>
  </si>
  <si>
    <t>GREENOX  AB (TANQUE DE 200L.)</t>
  </si>
  <si>
    <t>RETENEDOR 370025</t>
  </si>
  <si>
    <t>BOMBA CENTRIFUGA DE PRESION AIX 100/20</t>
  </si>
  <si>
    <t>RULIMAN 6300</t>
  </si>
  <si>
    <t>BOTA SOLDADOR PTA. ACERO # 39</t>
  </si>
  <si>
    <t>BOTA SOLDADOR PTA. ACERO # 40</t>
  </si>
  <si>
    <t>BOTA SOLDADOR PTA. ACERO # 44</t>
  </si>
  <si>
    <t>BOTA SOLDADOR PTA. ACERO # 41</t>
  </si>
  <si>
    <t>BLOCK DE COMPROBANTE DE EGRESO PLANTA DATA</t>
  </si>
  <si>
    <t>BLOCK DE TRANSFERENCIA DE PRODUCTO TERMINADO PLANTA A BODEGA</t>
  </si>
  <si>
    <t>Instalacion Calderos 1 y 3</t>
  </si>
  <si>
    <t>Mantenimiento linea de trampeo Rotatubo</t>
  </si>
  <si>
    <t>Mantenimiento en Plataformas y Bañeras</t>
  </si>
  <si>
    <t>Camion # 6</t>
  </si>
  <si>
    <t>Camion # 10</t>
  </si>
  <si>
    <t>Bañera # 1</t>
  </si>
  <si>
    <t>Instalacion en Bodega de Materiales</t>
  </si>
  <si>
    <t>BRAZO TEMPLADOR REGULABLE</t>
  </si>
  <si>
    <t>BRAZO TEMPLADOR FIJO</t>
  </si>
  <si>
    <t>TERMINAL DE OJO P/CABLE 2/0</t>
  </si>
  <si>
    <t>PERNO CADMIADO DE 3/8" x 1" COMPLETO</t>
  </si>
  <si>
    <t>TRANSFORMADOR DE CORRIENTE 150/5A</t>
  </si>
  <si>
    <t>CABLE FLEXIBLE 2/0</t>
  </si>
  <si>
    <t>TERMINAL DOBLE COMPRESION P/CABLE # 18</t>
  </si>
  <si>
    <t>TUBO DE EMT DE 2"</t>
  </si>
  <si>
    <t>BREAKER REGULABLE DE 175/250</t>
  </si>
  <si>
    <t>TEMPORIZADOR DEL 0 A 60 MINUTO</t>
  </si>
  <si>
    <t>CABLE CONCENTRICO 2 x 16</t>
  </si>
  <si>
    <t>BORNERA 2 NIVELES WAG100284 P/CABLE DE CONTROL</t>
  </si>
  <si>
    <t>SOCKET</t>
  </si>
  <si>
    <t>ABRAZADERA DE PAQUETE 7/8 x 20 x 4</t>
  </si>
  <si>
    <t>ARO TUBULAR 10 HUECOS</t>
  </si>
  <si>
    <t>TUBO A/INOX DE 1/4" x 6MTS</t>
  </si>
  <si>
    <t>TERMOMETRO BIMETALICO C/GLICERINA DIAL 4" DE 0 A 150║C, BULBO DE 4" C/NEPLO 1/2"</t>
  </si>
  <si>
    <t>PERNO ACERO NEGRO DE 1.1/2" X 4" PASO 6</t>
  </si>
  <si>
    <t>TUERCA ACERO NEGRO DE 9 x 11 x 50cmt HILO 1.1/2"  PASO 6</t>
  </si>
  <si>
    <t>BANDA 5VX630</t>
  </si>
  <si>
    <t>GLASS TUBE N║ 74462(002273)</t>
  </si>
  <si>
    <t>RULIMAN 608 - 2RS</t>
  </si>
  <si>
    <t>RETENEDOR 7/16 x 7/8 x 3/16</t>
  </si>
  <si>
    <t>SOLDADURA A/INOX. DE 3/32"</t>
  </si>
  <si>
    <t>POSICIONADOR BURKERT  SIDECONTROL NAMUR</t>
  </si>
  <si>
    <t>KIT ADAPTADOR POSICIONADOR NAMUR/ENCODER NAMUR</t>
  </si>
  <si>
    <t>PUENTE DE MONTAJE POSICIONADOR NAMUR / ENCODER NAMUR</t>
  </si>
  <si>
    <t>CABLE CONECTOR HEMBRA ANGULAR APANTALLADO M12 5PIN 20M</t>
  </si>
  <si>
    <t>CONECTOR RECTO MACHO M12 EXTERIOR 5 PIN</t>
  </si>
  <si>
    <t>CONECTOR RECTO HEMBRA M12 EXTERIOR 5 PIN</t>
  </si>
  <si>
    <t>ELECTROVALVULA FESTO 5/2 MONOESTABLE G14 BOBINA 24VDC</t>
  </si>
  <si>
    <t>TAPON CIEGO CASQUILLO ENCHUFABLE QS-6</t>
  </si>
  <si>
    <t>TABLERO A/INOX. 600 x 600 x 200mm USO EXTERIOR IP66K</t>
  </si>
  <si>
    <t>BASE DE CABINA 1924</t>
  </si>
  <si>
    <t>CORNETA DE 24 V.</t>
  </si>
  <si>
    <t>RELAY DE 24 V</t>
  </si>
  <si>
    <t>SOQUE DE PITO</t>
  </si>
  <si>
    <t>SWICHT OJO DE CANGREJO</t>
  </si>
  <si>
    <t>TERMINAL DE ENCHUFE HEMBRA</t>
  </si>
  <si>
    <t>TERMINAL DE OJO 1/4" (VF-2-6)</t>
  </si>
  <si>
    <t>PLANCHA DE EMPAQUE CAUCHO Y LONA DE 1/2" x 1 x 2.44mtr</t>
  </si>
  <si>
    <t>JUEGO DE MACHUELO 1/2"</t>
  </si>
  <si>
    <t>JUEGO MACHUELO DE 3/8"NC</t>
  </si>
  <si>
    <t>JUEGO DE MACHUELO 5/8" NC</t>
  </si>
  <si>
    <t>TEE A/INOX SOLDABLE DE 1"</t>
  </si>
  <si>
    <t>CODO A/INOX SOLDABLE DE 1" x 90║ - CEL. 40</t>
  </si>
  <si>
    <t>VALVULA H/N A/RAPIDA DE 1/2" P/VAPOR</t>
  </si>
  <si>
    <t>TUBO A/INOX DE 1/2" x 6MTS - CED. 40</t>
  </si>
  <si>
    <t>BOTA CUERO PTA. DIELECTRICA # 39</t>
  </si>
  <si>
    <t>BOTA CUERO PTA. DIELECTRICA # 40</t>
  </si>
  <si>
    <t>BOTA CUERO PTA. DIELECTRICA # 41</t>
  </si>
  <si>
    <t>CALIBRADOR DIGITAL STAINLESS</t>
  </si>
  <si>
    <t>RELOJ COMPARADOR</t>
  </si>
  <si>
    <t>BASE MAGNETICA PARA RELOJ COMPARADOR</t>
  </si>
  <si>
    <t>CALIBRADOR PIE D/REY DE 12" (300MM)</t>
  </si>
  <si>
    <t>VOLANTE Y CINTA DE 15"  VL5789</t>
  </si>
  <si>
    <t>MANGUERA CAUCHO Y LONA DE 3" TIPO ABRASIVA (SODA Y ACIDO)</t>
  </si>
  <si>
    <t>RETENEDOR 40 x 60 x 10</t>
  </si>
  <si>
    <t>TERMOMETRO DIAL 5" DE 0 - 150░ CONEXIËN POST. 1/2 NPT</t>
  </si>
  <si>
    <t>TERMOMETRO DIAL 5" DE 0 - 150░ CONEXIËN VERTICAL. 1/2 NPT</t>
  </si>
  <si>
    <t>CONVERTIDOR DE CORRIENTE KLEMSAN SP3-AC-24V</t>
  </si>
  <si>
    <t>TERMINAL DE COMPRESION P/CABLE # 18</t>
  </si>
  <si>
    <t>CONTACTOR DLC1-D95 DE 95 A 125AMP</t>
  </si>
  <si>
    <t>RELAY TERMICO DE 63 A 100 AMP. TRIFASICO</t>
  </si>
  <si>
    <t>CONDULEC TIPO T DE 3/4"</t>
  </si>
  <si>
    <t>CONECTOR EMT DE 1/2"</t>
  </si>
  <si>
    <t>PRESOSTOPA DE 1/2"</t>
  </si>
  <si>
    <t>TUBO CUADRADO H/N DE 3MM x 50MM x 50MM x 6MTS</t>
  </si>
  <si>
    <t>TUBO H/N DE 1-1/4" x 6MTS</t>
  </si>
  <si>
    <t>PLATINA H/N DE 5/8 x 3"</t>
  </si>
  <si>
    <t>TUBO H/N DE 1/2" CEL 40</t>
  </si>
  <si>
    <t>TERMOMETRO DE 0 - 100░ DIAL 2.1/2" BULBO 2" CONEXIËN POSTERIOR DE 1/2" NPT</t>
  </si>
  <si>
    <t>TUBO FLUORESCENTE LED DE 18W</t>
  </si>
  <si>
    <t>LAMPARA TUMBADO LED DE 2 x 18W</t>
  </si>
  <si>
    <t>MANGUERA DE CAUCHO Y LONA 1/2"</t>
  </si>
  <si>
    <t>BOQUILLA 10706-HSS 0.21 5000PSI 2.4</t>
  </si>
  <si>
    <t>PANTALON JEAN C/REFLECTIVO - TALLA 30</t>
  </si>
  <si>
    <t>PANTALON JEAN C/REFLECTIVO - TALLA 32</t>
  </si>
  <si>
    <t>PANTALON JEAN C/REFLECTIVO - TALLA 34</t>
  </si>
  <si>
    <t>PANTALON JEAN C/REFLECTIVO - TALLA 36</t>
  </si>
  <si>
    <t>PANTALON JEAN C/REFLECTIVO - TALLA 38</t>
  </si>
  <si>
    <t>PANTALON JEAN C/REFLECTIVO - TALLA 40</t>
  </si>
  <si>
    <t>PANTALON JEAN C/LOGO FORTIDEX - TALLA 44</t>
  </si>
  <si>
    <t>Equipo de Bombeo en area de Centrifugas</t>
  </si>
  <si>
    <t>Torno # 2</t>
  </si>
  <si>
    <t>Suministros epp 2021</t>
  </si>
  <si>
    <t>Bañera # 3</t>
  </si>
  <si>
    <t>Totatubo</t>
  </si>
  <si>
    <t>Mantenimiento de tricantes</t>
  </si>
  <si>
    <t>Mantenimiento de centrifuga 417</t>
  </si>
  <si>
    <t>Volquea # 2</t>
  </si>
  <si>
    <t>Volquea # 3</t>
  </si>
  <si>
    <t>Mantenimiento de rastras</t>
  </si>
  <si>
    <t>Reparacion de centrifuga</t>
  </si>
  <si>
    <t>Camara de Fuego</t>
  </si>
  <si>
    <t>Dotacion para Taller de torno</t>
  </si>
  <si>
    <t>Dotacion de uniformes 2021</t>
  </si>
  <si>
    <t>FOCO 24V 100/90</t>
  </si>
  <si>
    <t>FOCO CUCUYA DE 24V - 1PTO (4052)</t>
  </si>
  <si>
    <t>CAUCHO TUBULAR P/PUERTA</t>
  </si>
  <si>
    <t>GUIA POSTERIOR</t>
  </si>
  <si>
    <t>PEGAMENTO EPOXICO 2 TONELADA</t>
  </si>
  <si>
    <t>CUCHILLA FIJA PARA MOLINO 800 x 100 x 24mm  800M  ACERO KRONIX</t>
  </si>
  <si>
    <t>CUCHILLA PARA MOLINO 250 x 100 x 24mm  800M ACERO KRONIX</t>
  </si>
  <si>
    <t>BUZO C/LOGO AMARILLO TALLA 44</t>
  </si>
  <si>
    <t>BUZO C/LOGO AMARILLO TALLA 42</t>
  </si>
  <si>
    <t>BUZO C/LOGO AMARILLO TALLA 40</t>
  </si>
  <si>
    <t>CAMISETA T/POLO C/LOGO FORTIDEX</t>
  </si>
  <si>
    <t>CAMISETA CUELLO REDONDO C/REFLECTIVO</t>
  </si>
  <si>
    <t>PIÐON DE 40 DIENTES PASO 120</t>
  </si>
  <si>
    <t>RULIMAN 4307 2RS</t>
  </si>
  <si>
    <t>PLATINA A/INOX DE 75MM X 6MM</t>
  </si>
  <si>
    <t>PERNO A/INOX DE 1/2" x 1-1/4" COMPLETOS</t>
  </si>
  <si>
    <t>PERNO H/N DE 35 x 100 mm GRADO 8</t>
  </si>
  <si>
    <t>QUICK DISCONNECT TUBE  # 601-390</t>
  </si>
  <si>
    <t>LUB GRASA VACUUM 5.3oz (501-241)</t>
  </si>
  <si>
    <t>FIBRA TERMICA</t>
  </si>
  <si>
    <t>RULIMAN 6205-2RS</t>
  </si>
  <si>
    <t>AUTOMATICO ARRANQUE DE 24V</t>
  </si>
  <si>
    <t>MANOMETRO DE 0 - 14 BAR</t>
  </si>
  <si>
    <t>CHECK HORIZONTAL A/INOX DE 1/4"</t>
  </si>
  <si>
    <t>FILTRO TIPO "Y" A/INOX. DE 1/4"</t>
  </si>
  <si>
    <t>CODO A/INOX ROSCABLE DE 1/4" x 90║</t>
  </si>
  <si>
    <t>TEE A/INOX ROSCABLE DE 1/4"</t>
  </si>
  <si>
    <t>UNION UNIVERSAL A/INOX DE 1/4"</t>
  </si>
  <si>
    <t>RELE TERMICO LRD-3361</t>
  </si>
  <si>
    <t>EMPAQUE DE 1/4" P/JUNTAS EN SILICON  SILC-60 200░T.</t>
  </si>
  <si>
    <t>RULIMAN AXIAL DE BOLA 51105</t>
  </si>
  <si>
    <t>CALCE 22214-30321</t>
  </si>
  <si>
    <t>ANILLO  23654-32161</t>
  </si>
  <si>
    <t>TUERCA M20 x 1,55  B4223-0020</t>
  </si>
  <si>
    <t>MUELLE DE SUSPENSION 24433-70090GL</t>
  </si>
  <si>
    <t>PERNO GUIA DE ZAPATA  24433-71000</t>
  </si>
  <si>
    <t>CUP  A01C3-72111</t>
  </si>
  <si>
    <t>RULIMAN  Z-7211E</t>
  </si>
  <si>
    <t>TAPA DE PUNTA  DE EJE  A21B4-32231</t>
  </si>
  <si>
    <t>RETENEDOR DE ACEITE  23654-32081</t>
  </si>
  <si>
    <t>TUERCA M60 x 2  B4732-00060</t>
  </si>
  <si>
    <t>RETENEDOR fb 100 x 125 x 12d</t>
  </si>
  <si>
    <t>PAQUETE  A22A3-02031</t>
  </si>
  <si>
    <t>RULIMAN  H24C4-32061</t>
  </si>
  <si>
    <t>PIN A2184-32261A</t>
  </si>
  <si>
    <t>BOCINAS H24C4-12003</t>
  </si>
  <si>
    <t>RESORTE DE ZAPATA  24433-70060</t>
  </si>
  <si>
    <t>MUELLE DE SUSPENSION 24433-73000</t>
  </si>
  <si>
    <t>RETENEDOR DE ACEITE Z6301-08524</t>
  </si>
  <si>
    <t>EMPAQUE B5512-0060</t>
  </si>
  <si>
    <t>RESORTE  24433-7030</t>
  </si>
  <si>
    <t>COJINETE EMPUJE MONTACARGA (Z51208)</t>
  </si>
  <si>
    <t>PIN DE DIRECCION  A2184-32221</t>
  </si>
  <si>
    <t>RULIMAN Z943-32</t>
  </si>
  <si>
    <t>BOCINAS DE RULIMAN A2184-12001</t>
  </si>
  <si>
    <t>CILINDRO DE FRENO DE RUEDA IZQ. 2 Y 2,5 TON 24433-76000G</t>
  </si>
  <si>
    <t>PIN  A01C3-72091</t>
  </si>
  <si>
    <t>TUERCA M10 x 1,25  B4223-00010</t>
  </si>
  <si>
    <t>SEGURO DE VINCHA  B5310-00030</t>
  </si>
  <si>
    <t>RETENEDOR  22493-00030G</t>
  </si>
  <si>
    <t>RETENEDOR DE ACEITE  24453-01221G</t>
  </si>
  <si>
    <t>RULIMAN 30214</t>
  </si>
  <si>
    <t>SEGURO PIN  20314-30161</t>
  </si>
  <si>
    <t>RULIMAN Z-7207E</t>
  </si>
  <si>
    <t>SEGURO  22493-00020G</t>
  </si>
  <si>
    <t>RULIMAN CON RETENEDOR DE ACEITE  23453-02071</t>
  </si>
  <si>
    <t>LEVAS DE REGULADOR  24433-70100</t>
  </si>
  <si>
    <t>PRUEBAS RAPIDAS DE ANTIGENO COVID-19</t>
  </si>
  <si>
    <t>PUNTA PARA MARTILLO ROMPEPAVIMENTO D25980 B-3</t>
  </si>
  <si>
    <t>PUNTA HEXAGONAL PARA MARTILLO ROMPEPAVIMENTO DW 5960 20"</t>
  </si>
  <si>
    <t>PLANCHA A/INOX NAVAL DE 6MM x 1.50MTS x 6MTS</t>
  </si>
  <si>
    <t>TECLE DE 2TN.</t>
  </si>
  <si>
    <t>ABRAZADERA GALV. DE 3/8"</t>
  </si>
  <si>
    <t>VALVULA DE 6" DE COMPUERTA BRIDADA</t>
  </si>
  <si>
    <t>EMPAQUE DE ASBESTO CON ALAMBRE DE 1/8"</t>
  </si>
  <si>
    <t>PERNO DE 1" x 3 1/2" GRADO 8 COMPLETO</t>
  </si>
  <si>
    <t>HOJA DE SIERRA</t>
  </si>
  <si>
    <t>ANTENA LATERAL</t>
  </si>
  <si>
    <t>BOCIN DE BRONCE DE 4"(DIAMETRO EXT.) x 2,1/2"(DIAMETRO INTERIOR)</t>
  </si>
  <si>
    <t>CAPACITOR</t>
  </si>
  <si>
    <t>CUCHILLA PEQUEÐA</t>
  </si>
  <si>
    <t>TORNILLO SOP. CUCHILLAS</t>
  </si>
  <si>
    <t>TORNILLO REGULADOR</t>
  </si>
  <si>
    <t>CUCHILLA FIJA # 246071  (MAQUINA DE COSER)</t>
  </si>
  <si>
    <t>CUCHILLA MOVIBLE</t>
  </si>
  <si>
    <t>CUCHILLA ESTATICA</t>
  </si>
  <si>
    <t>Cocina # 4 - prestreiner</t>
  </si>
  <si>
    <t>Acometida Centrifuga 417</t>
  </si>
  <si>
    <t>Gusano molino seco # 3</t>
  </si>
  <si>
    <t>Cabezal # 6</t>
  </si>
  <si>
    <t>Intercambiador de calor</t>
  </si>
  <si>
    <t>Area de hidrolizado</t>
  </si>
  <si>
    <t>Hidrolavadoras</t>
  </si>
  <si>
    <t>Embarque de harina</t>
  </si>
  <si>
    <t>Centrifuga 417</t>
  </si>
  <si>
    <t>Sellado de vahos</t>
  </si>
  <si>
    <t>Montacarga 4</t>
  </si>
  <si>
    <t>Montacarga 1</t>
  </si>
  <si>
    <t>PAC # 1 y Molinos</t>
  </si>
  <si>
    <t>Equipo de oxicorte</t>
  </si>
  <si>
    <t>Confeccion de ducto</t>
  </si>
  <si>
    <t>Cambio de valvula en manifor de vapor Area de Cocinas</t>
  </si>
  <si>
    <t>Caja Reductora de Prensa # 2</t>
  </si>
  <si>
    <t>Acometida electrica de poste principal</t>
  </si>
  <si>
    <t>RULIMAN SET 409 45280/45220</t>
  </si>
  <si>
    <t>RETENEDOR DE EJE DE RUEDA</t>
  </si>
  <si>
    <t>RULIMAN HM212049/HM212011</t>
  </si>
  <si>
    <t>SELLO MECANICO DE 3/4" TIPO 21 (R.F./S.F. SILICON.CARBIDE - EPDM)</t>
  </si>
  <si>
    <t>FILTRO BFP811 FELPA</t>
  </si>
  <si>
    <t>RESALTADOR</t>
  </si>
  <si>
    <t>OREJERA PELTOR P/CASCOS OPTIME III</t>
  </si>
  <si>
    <t>CASCO PROTECCION BLANCO C/OREJERAS</t>
  </si>
  <si>
    <t>FILTRO  3M  P100  #2097</t>
  </si>
  <si>
    <t>PAPEL ALUMINIO</t>
  </si>
  <si>
    <t>ACEITE 80W90</t>
  </si>
  <si>
    <t>ANILLO OBTURADOR # 67675</t>
  </si>
  <si>
    <t>RETENEDOR 25 x 40 x 7</t>
  </si>
  <si>
    <t>BANDA B-85</t>
  </si>
  <si>
    <t>SENSOR DE COMBUSTIBLE</t>
  </si>
  <si>
    <t>Cabezal # 12</t>
  </si>
  <si>
    <t>Bañera # 13</t>
  </si>
  <si>
    <t>Centrifuga # 3</t>
  </si>
  <si>
    <t>Compresor de aire del area de calderos</t>
  </si>
  <si>
    <t>Bombas de intercambiadores de calor</t>
  </si>
  <si>
    <t>AUTORIZADAS Y ENVIADAS A GUAYAQUIL</t>
  </si>
  <si>
    <t>Cabezal # 8</t>
  </si>
  <si>
    <t>Boma de aceite de centrifuga</t>
  </si>
  <si>
    <t>ANILLO INFERIOR DE ARMAZON # 524216-90</t>
  </si>
  <si>
    <t>ANILLO SUPERIOR DE ARMAZON # 516352-80</t>
  </si>
  <si>
    <t>CORREDERA DE MANIOBRA # 539740-80</t>
  </si>
  <si>
    <t>TAPA DEL ARMAZON # 535417-80</t>
  </si>
  <si>
    <t>ANILLO INTERMEDIO # 535358-01</t>
  </si>
  <si>
    <t>ANILLO DE DOSIFICACION # 539615-01</t>
  </si>
  <si>
    <t>CASCO PROTECCION AZUL</t>
  </si>
  <si>
    <t>CASCO PROTECCION BLANCO</t>
  </si>
  <si>
    <t>CAMISETA AZUL MARINO CON REFLECTIVO Y LOGO FORTIDEX TALLA 44</t>
  </si>
  <si>
    <t>CAMISETA AZUL MARINO CON REFLECTIVO Y LOGO FORTIDEX TALLA 40</t>
  </si>
  <si>
    <t>CAMISETA AZUL MARINO CON REFLECTIVO Y LOGO FORTIDEX TALLA 42</t>
  </si>
  <si>
    <t>SWICHT DE 2 TIEMPOS</t>
  </si>
  <si>
    <t>JARRA PLASTICA 1000ml</t>
  </si>
  <si>
    <t>BOTELLA PLASTICA AMBAR 1000 ml.</t>
  </si>
  <si>
    <t>JARRA PLASTICA 500ml</t>
  </si>
  <si>
    <t>TUBO ENSAYO PLASTICO DE 10ML</t>
  </si>
  <si>
    <t>DENSIMETRO DE VIDRIO BAUME DE 0 - 70%</t>
  </si>
  <si>
    <t>AGITADOR MAGNETICO DE 6CM</t>
  </si>
  <si>
    <t>UPS 10KVA DE 120V/240V</t>
  </si>
  <si>
    <t>FILTRO DE AIRE PARA CARRO</t>
  </si>
  <si>
    <t>DISCO DE FRICCION (MONTACARGA)</t>
  </si>
  <si>
    <t>RULIMAN CAJA CAMBIO</t>
  </si>
  <si>
    <t>FILTRO DE AIRE FSA 025</t>
  </si>
  <si>
    <t>FILTRO HIDRAULICO</t>
  </si>
  <si>
    <t>ORING 034</t>
  </si>
  <si>
    <t>FILTRO DE AIRE N║ AF872</t>
  </si>
  <si>
    <t>SELLO COLOP</t>
  </si>
  <si>
    <t>CLUTCH DETENT COD.22328 (EMBRAGUE)</t>
  </si>
  <si>
    <t>PINTURA TRAFICO AMARILLO</t>
  </si>
  <si>
    <t>SOLDADURA</t>
  </si>
  <si>
    <t>CEMENTO ROCAFUERTE</t>
  </si>
  <si>
    <t>CUARTONES SEMIDUROS</t>
  </si>
  <si>
    <t>RUEDA K25 P/MONTACARGA</t>
  </si>
  <si>
    <t>Dotacion anual de uniforme</t>
  </si>
  <si>
    <t>Mantenimiento motorreductores</t>
  </si>
  <si>
    <t>Molino area Hidrolizado</t>
  </si>
  <si>
    <t>Proteccion de equipos de Laboatorio</t>
  </si>
  <si>
    <t>Montacarga # 4 - Muelle</t>
  </si>
  <si>
    <t>Montacarga # 1</t>
  </si>
  <si>
    <t>Cabezal # 10, Cabezal # 3, Volqueta # 2</t>
  </si>
  <si>
    <t>GRASERO CURVO DE 10MM</t>
  </si>
  <si>
    <t>MANGUERA GEMELA P/OXICORTE</t>
  </si>
  <si>
    <t>PIN DE PASADOR</t>
  </si>
  <si>
    <t>SELLADORA PEDESTAL 80CM (ME-805FDT)</t>
  </si>
  <si>
    <t>TERMOHIGROMETRO C/SONDA EXTERNA ELC (TH-0510)</t>
  </si>
  <si>
    <t>CHILLER DE RECIRCULACION FL300</t>
  </si>
  <si>
    <t>RETENEDOR 70 x 90 x 10</t>
  </si>
  <si>
    <t>RETENEDOR 38 x 65 x 10</t>
  </si>
  <si>
    <t>Equipos para el Area de Control de Calidad</t>
  </si>
  <si>
    <t>Mantenimiento de retenedores y motores</t>
  </si>
  <si>
    <t>Almacenamiento de hidrolizado</t>
  </si>
  <si>
    <t>Cocina # 3</t>
  </si>
  <si>
    <t>MANGUERA CAUCHO Y LONA DE 2"</t>
  </si>
  <si>
    <t>ABRAZADERA DE 2"</t>
  </si>
  <si>
    <t>CARTUCHOS</t>
  </si>
  <si>
    <t>SEGURO E 20</t>
  </si>
  <si>
    <t>SEGURO</t>
  </si>
  <si>
    <t>ACOPLE RAPIDO 3/8"</t>
  </si>
  <si>
    <t>ACOPLE RAPIDO 1/4"</t>
  </si>
  <si>
    <t>ACOPLE MANGUERA DE 1/2"</t>
  </si>
  <si>
    <t>PERNO H/N 5/8" X 4" COMPLETO</t>
  </si>
  <si>
    <t>MOTORREDUCTOR DE 5HP - 220/440V - 100RPM</t>
  </si>
  <si>
    <t>LLAVE ESFERICA DE 1/2"</t>
  </si>
  <si>
    <t>RETENEDOR 40 x 65 x 10</t>
  </si>
  <si>
    <t>RULIMAN 6307-2RS</t>
  </si>
  <si>
    <t>RETENEDOR 35 X 50 X 9</t>
  </si>
  <si>
    <t>EJE DE BRONCE DULCE DE 3"</t>
  </si>
  <si>
    <t>EJE DE BRONCE DULCE DE 1.1/2"</t>
  </si>
  <si>
    <t>CABLE CONCENTRICO 4 x 14</t>
  </si>
  <si>
    <t>BOTONERA ARRANQUE Y PARE</t>
  </si>
  <si>
    <t>NIVEL DE 18" STANLEY</t>
  </si>
  <si>
    <t>ESCUADRA</t>
  </si>
  <si>
    <t>CABLE CONCENTRICO 2 X 12</t>
  </si>
  <si>
    <t>ESPONJA</t>
  </si>
  <si>
    <t>VIAJE DE RELLENO</t>
  </si>
  <si>
    <t>VIAJE DE ARENA</t>
  </si>
  <si>
    <t>BATERIA</t>
  </si>
  <si>
    <t>PANTALON JEAN C/LOGO FORTIDEX - TALLA 12 (MUJER)</t>
  </si>
  <si>
    <t>PANTALON JEAN C/LOGO FORTIDEX - TALLA 10 (MUJER)</t>
  </si>
  <si>
    <t>BUZO CUELLO REDONDO C/REFLECTIVO</t>
  </si>
  <si>
    <t>LIJA DE HIERRO # 36</t>
  </si>
  <si>
    <t>LIJA DE AGUA # 80</t>
  </si>
  <si>
    <t>LIJA DE AGUA # 240</t>
  </si>
  <si>
    <t>CORNETA LARGA REDONDA DE AIRE</t>
  </si>
  <si>
    <t>LUZ PILOTO 12V</t>
  </si>
  <si>
    <t>ALTENADOR DE HINO</t>
  </si>
  <si>
    <t>PALAS CARBONERAS METALICAS</t>
  </si>
  <si>
    <t>VARILLA DE ACERO INOXIDABLE 5/16"</t>
  </si>
  <si>
    <t>CODO GALV. DE 1" x 90║</t>
  </si>
  <si>
    <t>BUSHING GALV. DE 2" A 1"</t>
  </si>
  <si>
    <t>TUBO VISOR PYREX 5/8" X 275MM 250PSI (FRANJA ROJA)</t>
  </si>
  <si>
    <t>EMPAQUETADURA VITON DE 5/8" (PRESION - TEMPARATURA)</t>
  </si>
  <si>
    <t>TUERCA 22 MM</t>
  </si>
  <si>
    <t>ALCOHOL ANTISEPTICO (LT)</t>
  </si>
  <si>
    <t>RULIMAN 3307</t>
  </si>
  <si>
    <t>RULIMAN 6206</t>
  </si>
  <si>
    <t>BOMBA DE COMBUSTIBLE</t>
  </si>
  <si>
    <t>PULSADOR DE ARRANQUE</t>
  </si>
  <si>
    <t>SWICHT COMBINACION P/MONTACARGA (D09JK803HL)</t>
  </si>
  <si>
    <t>SWICHT DE DOS TIEMPO DE LUZ</t>
  </si>
  <si>
    <t>SOCKET DE 2 PTS</t>
  </si>
  <si>
    <t>GRILLETE P/CABLE DE 1/4"</t>
  </si>
  <si>
    <t>CABLE DE ACERO</t>
  </si>
  <si>
    <t>RELAY DE LUCES DE 12VOL</t>
  </si>
  <si>
    <t>PITO FLOSSER DE 12V.</t>
  </si>
  <si>
    <t>GUIA LED DE 24V.</t>
  </si>
  <si>
    <t>CARTUCHO HP 662 NEGRO</t>
  </si>
  <si>
    <t>GUANTE NITRILO</t>
  </si>
  <si>
    <t>CABLE ADAPTADOR PARALELO A USB</t>
  </si>
  <si>
    <t>CERRADURA DE PUERTA</t>
  </si>
  <si>
    <t>BORNE DE BATERIA</t>
  </si>
  <si>
    <t>PIEDRA # 56</t>
  </si>
  <si>
    <t>CALIZA  PIEDRA</t>
  </si>
  <si>
    <t>ARENA CALIZA UNIFICADA (0-5MM)</t>
  </si>
  <si>
    <t>ACEITE</t>
  </si>
  <si>
    <t>ACEITE HIDRAULICO MERCON/DEXRON-III</t>
  </si>
  <si>
    <t>FILTRO ACEITE</t>
  </si>
  <si>
    <t>REFRIGERANTE AUTOMOTRIZ</t>
  </si>
  <si>
    <t>DISCO DE FRENO</t>
  </si>
  <si>
    <t>TUBO H/N DE 6" x 6MTS - CED. 80</t>
  </si>
  <si>
    <t>PLANCHA ANTIDESLIZANTE 1.22 X 2.44 X 4MM</t>
  </si>
  <si>
    <t>VIGA HEB 100 x 6MTS</t>
  </si>
  <si>
    <t>PLANCHA NAVAL DE 6 MM DE 1.50 MTRS X 2.44 MTRS</t>
  </si>
  <si>
    <t>PLANCHA NAVAL A/INOX DE 4MM x 1.50MTS x 6MTS</t>
  </si>
  <si>
    <t>TUBO A/INOX.  3/8" X 6MTR.</t>
  </si>
  <si>
    <t>RETENEDOR 80 x 115 x 10</t>
  </si>
  <si>
    <t>RULIMAN 6307-C3</t>
  </si>
  <si>
    <t>RETENEDOR 50 x 62 x 7</t>
  </si>
  <si>
    <t>PLANCHAS DE PLYWOOD DE 12MM</t>
  </si>
  <si>
    <t>MALLA ELECTROSOLDADA DE 8MM x 15CM x 15CM</t>
  </si>
  <si>
    <t>TRAMPA DE BALDE INVERTIDO DE 1"</t>
  </si>
  <si>
    <t>SELLO MECANICO 50MM C/RESORTE LARGO TIPO 19</t>
  </si>
  <si>
    <t>JUNTA  # 190611</t>
  </si>
  <si>
    <t>PROTECTOR  # 236740-01</t>
  </si>
  <si>
    <t>JUNTA  # 528167-01</t>
  </si>
  <si>
    <t>SPRING  #  26008303</t>
  </si>
  <si>
    <t>PERNO  #  520401-04</t>
  </si>
  <si>
    <t>JUNTA  # 538591-57</t>
  </si>
  <si>
    <t>ORING  # 74654</t>
  </si>
  <si>
    <t>JUNTA  # 536423-04</t>
  </si>
  <si>
    <t>Trabajos en area de hidrolizado</t>
  </si>
  <si>
    <t>Oficina Gerencia de planta</t>
  </si>
  <si>
    <t>Mantenimiento de motores</t>
  </si>
  <si>
    <t>Mantenimiento automotriz</t>
  </si>
  <si>
    <t>Prensa # 4</t>
  </si>
  <si>
    <t>Acometida electrica PTAR</t>
  </si>
  <si>
    <t>Dotacion de herramientas taller automotriz</t>
  </si>
  <si>
    <t>Instalacion de luminarias perimetral externa</t>
  </si>
  <si>
    <t>Suministros para Laboaratorio</t>
  </si>
  <si>
    <t>Trabajos en area de poza de lavado de carros</t>
  </si>
  <si>
    <t>Cocinas y prestrainers</t>
  </si>
  <si>
    <t>Volqueta # 2, 3, Cabezal # 3</t>
  </si>
  <si>
    <t>Señaletica interna de planta</t>
  </si>
  <si>
    <t>Montacarga heester</t>
  </si>
  <si>
    <t>Mantenimiento de calderos</t>
  </si>
  <si>
    <t>Prensa # 4-417</t>
  </si>
  <si>
    <t>Mantenimiento en area de poza de lavado de carros</t>
  </si>
  <si>
    <t>Prensa # 2  (Reemplaza Req. 2103-254)</t>
  </si>
  <si>
    <t>Montacargas # 1 y 4</t>
  </si>
  <si>
    <t>Cabezal # 11</t>
  </si>
  <si>
    <t>Montacargas #  6</t>
  </si>
  <si>
    <t>Bañera # 8</t>
  </si>
  <si>
    <t>Mantenimiento de montacargas</t>
  </si>
  <si>
    <t>Contenedores</t>
  </si>
  <si>
    <t>Gerencia de Planta</t>
  </si>
  <si>
    <t>Bomba de sanguaza Pozas 1 y 2</t>
  </si>
  <si>
    <t>Cabina de Control</t>
  </si>
  <si>
    <t>Ford 150 Negro</t>
  </si>
  <si>
    <t>Area Administrativa</t>
  </si>
  <si>
    <t>Piso Prestrainer # 3</t>
  </si>
  <si>
    <t>Secador FAQ # 2</t>
  </si>
  <si>
    <t>Coladores para muestreo</t>
  </si>
  <si>
    <t>Mantenimiento de bombas de sanguazas</t>
  </si>
  <si>
    <t>Trabajjos en area de Poza de lavadao de carros</t>
  </si>
  <si>
    <t>DESDE 2104-75  HASTA  2104-141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</si>
</sst>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\-mm\-yy;@"/>
    <numFmt numFmtId="165" formatCode="dd/mm/yy;@"/>
  </numFmts>
  <fonts count="6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 Narrow"/>
      <family val="2"/>
    </font>
    <font>
      <b/>
      <sz val="12"/>
      <color theme="0"/>
      <name val="Arial Narrow"/>
      <family val="2"/>
    </font>
    <font>
      <i/>
      <sz val="12"/>
      <color theme="1"/>
      <name val="Arial Narrow"/>
      <family val="2"/>
    </font>
    <font>
      <b/>
      <sz val="12"/>
      <color theme="0"/>
      <name val="Berlin Sans FB Demi"/>
      <family val="2"/>
    </font>
    <font>
      <b/>
      <sz val="12"/>
      <color rgb="FFFF0000"/>
      <name val="Aharoni"/>
      <charset val="177"/>
    </font>
    <font>
      <sz val="12"/>
      <name val="Arial Narrow"/>
      <family val="2"/>
    </font>
    <font>
      <b/>
      <sz val="12"/>
      <color theme="0"/>
      <name val="Aharoni"/>
      <charset val="177"/>
    </font>
    <font>
      <sz val="12"/>
      <color rgb="FFFF0000"/>
      <name val="Arial Narrow"/>
      <family val="2"/>
    </font>
    <font>
      <sz val="10"/>
      <color theme="1"/>
      <name val="Arial Narrow"/>
      <family val="2"/>
    </font>
    <font>
      <sz val="10"/>
      <color theme="0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sz val="12"/>
      <name val="Arial Narrow"/>
      <family val="2"/>
    </font>
    <font>
      <sz val="10"/>
      <color theme="1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i/>
      <sz val="12"/>
      <color theme="1"/>
      <name val="Arial Narrow"/>
      <family val="2"/>
    </font>
    <font>
      <sz val="10"/>
      <color theme="1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sz val="8"/>
      <color theme="1"/>
      <name val="Arial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sz val="12"/>
      <name val="Arial Narrow"/>
      <family val="2"/>
    </font>
    <font>
      <sz val="12"/>
      <color theme="1"/>
      <name val="Arial Narrow"/>
      <family val="2"/>
    </font>
    <font>
      <sz val="10"/>
      <color theme="1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i/>
      <sz val="9"/>
      <color theme="1"/>
      <name val="Arial"/>
      <family val="2"/>
    </font>
    <font>
      <b/>
      <i/>
      <sz val="9"/>
      <color theme="1"/>
      <name val="Arial"/>
      <family val="2"/>
    </font>
    <font>
      <b/>
      <i/>
      <sz val="9"/>
      <color rgb="FFFF0000"/>
      <name val="Arial"/>
      <family val="2"/>
    </font>
    <font>
      <i/>
      <sz val="9"/>
      <name val="Arial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b/>
      <i/>
      <sz val="12"/>
      <color rgb="FFFF0000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sz val="10"/>
      <color theme="1"/>
      <name val="Arial Narrow"/>
      <family val="2"/>
    </font>
    <font>
      <sz val="12"/>
      <color theme="1"/>
      <name val="Arial Narrow"/>
      <family val="2"/>
    </font>
    <font>
      <sz val="12"/>
      <name val="Arial Narrow"/>
      <family val="2"/>
    </font>
    <font>
      <b/>
      <sz val="16"/>
      <name val="Arial Narrow"/>
      <family val="2"/>
    </font>
  </fonts>
  <fills count="4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medium">
        <color auto="1"/>
      </right>
      <top style="hair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43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0" fontId="4" fillId="0" borderId="10" applyNumberFormat="0" applyFill="0" applyAlignment="0" applyProtection="0"/>
    <xf numFmtId="0" fontId="5" fillId="0" borderId="11" applyNumberFormat="0" applyFill="0" applyAlignment="0" applyProtection="0"/>
    <xf numFmtId="0" fontId="6" fillId="0" borderId="12" applyNumberFormat="0" applyFill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13" applyNumberFormat="0" applyAlignment="0" applyProtection="0"/>
    <xf numFmtId="0" fontId="11" fillId="7" borderId="14" applyNumberFormat="0" applyAlignment="0" applyProtection="0"/>
    <xf numFmtId="0" fontId="12" fillId="7" borderId="13" applyNumberFormat="0" applyAlignment="0" applyProtection="0"/>
    <xf numFmtId="0" fontId="13" fillId="0" borderId="15" applyNumberFormat="0" applyFill="0" applyAlignment="0" applyProtection="0"/>
    <xf numFmtId="0" fontId="14" fillId="8" borderId="16" applyNumberFormat="0" applyAlignment="0" applyProtection="0"/>
    <xf numFmtId="0" fontId="15" fillId="0" borderId="0" applyNumberFormat="0" applyFill="0" applyBorder="0" applyAlignment="0" applyProtection="0"/>
    <xf numFmtId="0" fontId="1" fillId="9" borderId="17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18" applyNumberFormat="0" applyFill="0" applyAlignment="0" applyProtection="0"/>
    <xf numFmtId="0" fontId="18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33" borderId="0" applyNumberFormat="0" applyBorder="0" applyAlignment="0" applyProtection="0"/>
  </cellStyleXfs>
  <cellXfs count="275">
    <xf numFmtId="0" fontId="0" fillId="0" borderId="0" xfId="0"/>
    <xf numFmtId="0" fontId="21" fillId="0" borderId="0" xfId="0" applyFont="1"/>
    <xf numFmtId="0" fontId="21" fillId="0" borderId="0" xfId="0" applyFont="1" applyAlignment="1">
      <alignment horizontal="center"/>
    </xf>
    <xf numFmtId="0" fontId="21" fillId="2" borderId="19" xfId="0" applyFont="1" applyFill="1" applyBorder="1" applyAlignment="1">
      <alignment horizontal="center"/>
    </xf>
    <xf numFmtId="0" fontId="19" fillId="0" borderId="1" xfId="0" applyFont="1" applyFill="1" applyBorder="1" applyAlignment="1">
      <alignment vertical="center"/>
    </xf>
    <xf numFmtId="17" fontId="24" fillId="0" borderId="1" xfId="0" applyNumberFormat="1" applyFont="1" applyFill="1" applyBorder="1" applyAlignment="1">
      <alignment horizontal="center" vertical="center"/>
    </xf>
    <xf numFmtId="4" fontId="24" fillId="0" borderId="1" xfId="0" applyNumberFormat="1" applyFont="1" applyFill="1" applyBorder="1" applyAlignment="1">
      <alignment horizontal="center" vertical="center"/>
    </xf>
    <xf numFmtId="165" fontId="24" fillId="0" borderId="5" xfId="0" applyNumberFormat="1" applyFont="1" applyFill="1" applyBorder="1" applyAlignment="1">
      <alignment horizontal="center" vertical="center"/>
    </xf>
    <xf numFmtId="165" fontId="24" fillId="0" borderId="7" xfId="0" applyNumberFormat="1" applyFont="1" applyFill="1" applyBorder="1" applyAlignment="1">
      <alignment horizontal="center" vertical="center"/>
    </xf>
    <xf numFmtId="0" fontId="24" fillId="35" borderId="6" xfId="0" applyFont="1" applyFill="1" applyBorder="1" applyAlignment="1">
      <alignment horizontal="center" vertical="center"/>
    </xf>
    <xf numFmtId="165" fontId="24" fillId="35" borderId="7" xfId="0" applyNumberFormat="1" applyFont="1" applyFill="1" applyBorder="1" applyAlignment="1">
      <alignment horizontal="center" vertical="center"/>
    </xf>
    <xf numFmtId="1" fontId="24" fillId="35" borderId="2" xfId="0" applyNumberFormat="1" applyFont="1" applyFill="1" applyBorder="1" applyAlignment="1">
      <alignment horizontal="center" vertical="center"/>
    </xf>
    <xf numFmtId="0" fontId="24" fillId="0" borderId="6" xfId="0" applyFont="1" applyFill="1" applyBorder="1" applyAlignment="1">
      <alignment horizontal="center" vertical="center"/>
    </xf>
    <xf numFmtId="0" fontId="19" fillId="0" borderId="0" xfId="0" applyFont="1" applyFill="1"/>
    <xf numFmtId="4" fontId="19" fillId="0" borderId="0" xfId="0" applyNumberFormat="1" applyFont="1" applyFill="1"/>
    <xf numFmtId="0" fontId="19" fillId="0" borderId="0" xfId="0" applyFont="1" applyFill="1" applyAlignment="1">
      <alignment horizontal="center"/>
    </xf>
    <xf numFmtId="0" fontId="23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/>
    </xf>
    <xf numFmtId="0" fontId="19" fillId="0" borderId="0" xfId="0" applyFont="1" applyFill="1" applyAlignment="1">
      <alignment horizontal="center" vertical="center"/>
    </xf>
    <xf numFmtId="0" fontId="24" fillId="0" borderId="1" xfId="0" applyFont="1" applyFill="1" applyBorder="1" applyAlignment="1">
      <alignment horizontal="center" vertical="center"/>
    </xf>
    <xf numFmtId="0" fontId="24" fillId="0" borderId="6" xfId="0" applyFont="1" applyFill="1" applyBorder="1" applyAlignment="1">
      <alignment vertical="center"/>
    </xf>
    <xf numFmtId="0" fontId="24" fillId="0" borderId="5" xfId="0" applyFont="1" applyFill="1" applyBorder="1" applyAlignment="1">
      <alignment horizontal="center" vertical="center"/>
    </xf>
    <xf numFmtId="0" fontId="24" fillId="0" borderId="8" xfId="0" applyFont="1" applyFill="1" applyBorder="1" applyAlignment="1">
      <alignment horizontal="center" vertical="center"/>
    </xf>
    <xf numFmtId="0" fontId="24" fillId="0" borderId="7" xfId="0" applyFont="1" applyFill="1" applyBorder="1" applyAlignment="1">
      <alignment horizontal="center" vertical="center"/>
    </xf>
    <xf numFmtId="0" fontId="19" fillId="37" borderId="4" xfId="0" applyFont="1" applyFill="1" applyBorder="1" applyAlignment="1">
      <alignment horizontal="center"/>
    </xf>
    <xf numFmtId="0" fontId="24" fillId="37" borderId="9" xfId="0" applyFont="1" applyFill="1" applyBorder="1" applyAlignment="1">
      <alignment horizontal="center" vertical="center"/>
    </xf>
    <xf numFmtId="0" fontId="24" fillId="36" borderId="6" xfId="0" applyFont="1" applyFill="1" applyBorder="1" applyAlignment="1">
      <alignment horizontal="center" vertical="center"/>
    </xf>
    <xf numFmtId="165" fontId="24" fillId="36" borderId="7" xfId="0" applyNumberFormat="1" applyFont="1" applyFill="1" applyBorder="1" applyAlignment="1">
      <alignment horizontal="center" vertical="center"/>
    </xf>
    <xf numFmtId="1" fontId="24" fillId="36" borderId="2" xfId="0" applyNumberFormat="1" applyFont="1" applyFill="1" applyBorder="1" applyAlignment="1">
      <alignment horizontal="center" vertical="center"/>
    </xf>
    <xf numFmtId="165" fontId="20" fillId="38" borderId="20" xfId="0" applyNumberFormat="1" applyFont="1" applyFill="1" applyBorder="1" applyAlignment="1">
      <alignment horizontal="center" vertical="center"/>
    </xf>
    <xf numFmtId="0" fontId="20" fillId="38" borderId="20" xfId="0" applyFont="1" applyFill="1" applyBorder="1" applyAlignment="1">
      <alignment horizontal="center" vertical="center" wrapText="1"/>
    </xf>
    <xf numFmtId="0" fontId="20" fillId="38" borderId="20" xfId="0" applyFont="1" applyFill="1" applyBorder="1" applyAlignment="1">
      <alignment horizontal="center" vertical="center"/>
    </xf>
    <xf numFmtId="4" fontId="20" fillId="38" borderId="20" xfId="0" applyNumberFormat="1" applyFont="1" applyFill="1" applyBorder="1" applyAlignment="1">
      <alignment horizontal="center" vertical="center"/>
    </xf>
    <xf numFmtId="165" fontId="20" fillId="38" borderId="20" xfId="0" applyNumberFormat="1" applyFont="1" applyFill="1" applyBorder="1" applyAlignment="1">
      <alignment horizontal="center" vertical="center" wrapText="1"/>
    </xf>
    <xf numFmtId="1" fontId="20" fillId="38" borderId="20" xfId="0" applyNumberFormat="1" applyFont="1" applyFill="1" applyBorder="1" applyAlignment="1">
      <alignment horizontal="center" vertical="center" wrapText="1"/>
    </xf>
    <xf numFmtId="3" fontId="20" fillId="38" borderId="20" xfId="0" applyNumberFormat="1" applyFont="1" applyFill="1" applyBorder="1" applyAlignment="1">
      <alignment horizontal="center" vertical="center" wrapText="1"/>
    </xf>
    <xf numFmtId="3" fontId="20" fillId="38" borderId="20" xfId="0" applyNumberFormat="1" applyFont="1" applyFill="1" applyBorder="1" applyAlignment="1">
      <alignment horizontal="center" vertical="center"/>
    </xf>
    <xf numFmtId="17" fontId="24" fillId="0" borderId="2" xfId="0" applyNumberFormat="1" applyFont="1" applyFill="1" applyBorder="1" applyAlignment="1">
      <alignment horizontal="center" vertical="center"/>
    </xf>
    <xf numFmtId="0" fontId="19" fillId="0" borderId="2" xfId="0" applyFont="1" applyFill="1" applyBorder="1" applyAlignment="1">
      <alignment vertical="center"/>
    </xf>
    <xf numFmtId="4" fontId="24" fillId="0" borderId="2" xfId="0" applyNumberFormat="1" applyFont="1" applyFill="1" applyBorder="1" applyAlignment="1">
      <alignment horizontal="center" vertical="center"/>
    </xf>
    <xf numFmtId="0" fontId="24" fillId="0" borderId="0" xfId="0" applyFont="1" applyFill="1" applyBorder="1" applyAlignment="1">
      <alignment horizontal="center"/>
    </xf>
    <xf numFmtId="0" fontId="19" fillId="37" borderId="9" xfId="0" applyFont="1" applyFill="1" applyBorder="1" applyAlignment="1">
      <alignment horizontal="center"/>
    </xf>
    <xf numFmtId="0" fontId="27" fillId="0" borderId="0" xfId="0" applyFont="1" applyFill="1" applyAlignment="1">
      <alignment horizontal="center"/>
    </xf>
    <xf numFmtId="164" fontId="27" fillId="0" borderId="0" xfId="0" applyNumberFormat="1" applyFont="1" applyFill="1" applyAlignment="1">
      <alignment horizontal="center"/>
    </xf>
    <xf numFmtId="0" fontId="27" fillId="0" borderId="0" xfId="0" applyFont="1" applyFill="1"/>
    <xf numFmtId="0" fontId="27" fillId="0" borderId="0" xfId="0" applyFont="1" applyFill="1" applyAlignment="1">
      <alignment horizontal="center" vertical="center" wrapText="1"/>
    </xf>
    <xf numFmtId="0" fontId="27" fillId="0" borderId="0" xfId="0" applyFont="1" applyFill="1" applyAlignment="1">
      <alignment horizontal="center" vertical="top"/>
    </xf>
    <xf numFmtId="164" fontId="27" fillId="0" borderId="0" xfId="0" applyNumberFormat="1" applyFont="1" applyFill="1" applyAlignment="1">
      <alignment horizontal="center" vertical="top"/>
    </xf>
    <xf numFmtId="0" fontId="27" fillId="0" borderId="0" xfId="0" applyFont="1" applyFill="1" applyAlignment="1">
      <alignment vertical="top"/>
    </xf>
    <xf numFmtId="0" fontId="27" fillId="34" borderId="0" xfId="0" applyFont="1" applyFill="1" applyAlignment="1">
      <alignment vertical="top"/>
    </xf>
    <xf numFmtId="0" fontId="27" fillId="0" borderId="0" xfId="0" applyFont="1" applyFill="1" applyAlignment="1">
      <alignment vertical="top" wrapText="1"/>
    </xf>
    <xf numFmtId="164" fontId="28" fillId="39" borderId="3" xfId="0" applyNumberFormat="1" applyFont="1" applyFill="1" applyBorder="1" applyAlignment="1">
      <alignment horizontal="center" vertical="center" wrapText="1"/>
    </xf>
    <xf numFmtId="0" fontId="28" fillId="39" borderId="3" xfId="0" applyFont="1" applyFill="1" applyBorder="1" applyAlignment="1">
      <alignment horizontal="center" vertical="center" wrapText="1"/>
    </xf>
    <xf numFmtId="3" fontId="28" fillId="39" borderId="3" xfId="0" applyNumberFormat="1" applyFont="1" applyFill="1" applyBorder="1" applyAlignment="1">
      <alignment horizontal="center" vertical="center" wrapText="1"/>
    </xf>
    <xf numFmtId="0" fontId="29" fillId="0" borderId="0" xfId="0" applyFont="1" applyFill="1" applyAlignment="1">
      <alignment horizontal="center"/>
    </xf>
    <xf numFmtId="165" fontId="30" fillId="0" borderId="5" xfId="0" applyNumberFormat="1" applyFont="1" applyFill="1" applyBorder="1" applyAlignment="1">
      <alignment horizontal="center" vertical="center"/>
    </xf>
    <xf numFmtId="17" fontId="30" fillId="0" borderId="1" xfId="0" applyNumberFormat="1" applyFont="1" applyFill="1" applyBorder="1" applyAlignment="1">
      <alignment horizontal="center" vertical="center"/>
    </xf>
    <xf numFmtId="0" fontId="30" fillId="0" borderId="6" xfId="0" applyFont="1" applyFill="1" applyBorder="1" applyAlignment="1">
      <alignment horizontal="center" vertical="center"/>
    </xf>
    <xf numFmtId="0" fontId="30" fillId="0" borderId="5" xfId="0" applyFont="1" applyFill="1" applyBorder="1" applyAlignment="1">
      <alignment horizontal="center" vertical="center"/>
    </xf>
    <xf numFmtId="0" fontId="29" fillId="0" borderId="1" xfId="0" applyFont="1" applyFill="1" applyBorder="1" applyAlignment="1">
      <alignment vertical="center"/>
    </xf>
    <xf numFmtId="4" fontId="30" fillId="0" borderId="1" xfId="0" applyNumberFormat="1" applyFont="1" applyFill="1" applyBorder="1" applyAlignment="1">
      <alignment horizontal="center" vertical="center"/>
    </xf>
    <xf numFmtId="0" fontId="29" fillId="37" borderId="4" xfId="0" applyFont="1" applyFill="1" applyBorder="1" applyAlignment="1">
      <alignment horizontal="center"/>
    </xf>
    <xf numFmtId="0" fontId="31" fillId="0" borderId="1" xfId="0" applyFont="1" applyFill="1" applyBorder="1" applyAlignment="1">
      <alignment horizontal="center" vertical="center"/>
    </xf>
    <xf numFmtId="0" fontId="31" fillId="0" borderId="6" xfId="0" applyFont="1" applyFill="1" applyBorder="1" applyAlignment="1">
      <alignment vertical="center"/>
    </xf>
    <xf numFmtId="0" fontId="32" fillId="0" borderId="0" xfId="0" applyFont="1" applyFill="1" applyAlignment="1">
      <alignment horizontal="center" vertical="top"/>
    </xf>
    <xf numFmtId="164" fontId="32" fillId="0" borderId="0" xfId="0" applyNumberFormat="1" applyFont="1" applyFill="1" applyAlignment="1">
      <alignment horizontal="center" vertical="top"/>
    </xf>
    <xf numFmtId="0" fontId="32" fillId="0" borderId="0" xfId="0" applyFont="1" applyFill="1" applyAlignment="1">
      <alignment vertical="top"/>
    </xf>
    <xf numFmtId="0" fontId="32" fillId="0" borderId="0" xfId="0" applyFont="1" applyFill="1" applyAlignment="1">
      <alignment vertical="top" wrapText="1"/>
    </xf>
    <xf numFmtId="0" fontId="33" fillId="0" borderId="0" xfId="0" applyFont="1" applyFill="1" applyAlignment="1">
      <alignment horizontal="center"/>
    </xf>
    <xf numFmtId="165" fontId="34" fillId="0" borderId="5" xfId="0" applyNumberFormat="1" applyFont="1" applyFill="1" applyBorder="1" applyAlignment="1">
      <alignment horizontal="center" vertical="center"/>
    </xf>
    <xf numFmtId="17" fontId="34" fillId="0" borderId="1" xfId="0" applyNumberFormat="1" applyFont="1" applyFill="1" applyBorder="1" applyAlignment="1">
      <alignment horizontal="center" vertical="center"/>
    </xf>
    <xf numFmtId="0" fontId="34" fillId="0" borderId="6" xfId="0" applyFont="1" applyFill="1" applyBorder="1" applyAlignment="1">
      <alignment horizontal="center" vertical="center"/>
    </xf>
    <xf numFmtId="0" fontId="34" fillId="0" borderId="5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vertical="center"/>
    </xf>
    <xf numFmtId="4" fontId="34" fillId="0" borderId="1" xfId="0" applyNumberFormat="1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/>
    </xf>
    <xf numFmtId="0" fontId="34" fillId="0" borderId="6" xfId="0" applyFont="1" applyFill="1" applyBorder="1" applyAlignment="1">
      <alignment vertical="center"/>
    </xf>
    <xf numFmtId="0" fontId="35" fillId="0" borderId="0" xfId="0" applyFont="1"/>
    <xf numFmtId="0" fontId="36" fillId="0" borderId="0" xfId="0" applyFont="1" applyFill="1" applyAlignment="1">
      <alignment horizontal="center" vertical="top"/>
    </xf>
    <xf numFmtId="164" fontId="36" fillId="0" borderId="0" xfId="0" applyNumberFormat="1" applyFont="1" applyFill="1" applyAlignment="1">
      <alignment horizontal="center" vertical="top"/>
    </xf>
    <xf numFmtId="0" fontId="36" fillId="0" borderId="0" xfId="0" applyFont="1" applyFill="1" applyAlignment="1">
      <alignment vertical="top"/>
    </xf>
    <xf numFmtId="0" fontId="36" fillId="0" borderId="0" xfId="0" applyFont="1" applyFill="1" applyAlignment="1">
      <alignment vertical="top" wrapText="1"/>
    </xf>
    <xf numFmtId="0" fontId="37" fillId="0" borderId="0" xfId="0" applyFont="1" applyFill="1" applyAlignment="1">
      <alignment horizontal="center"/>
    </xf>
    <xf numFmtId="165" fontId="38" fillId="0" borderId="5" xfId="0" applyNumberFormat="1" applyFont="1" applyFill="1" applyBorder="1" applyAlignment="1">
      <alignment horizontal="center" vertical="center"/>
    </xf>
    <xf numFmtId="17" fontId="38" fillId="0" borderId="1" xfId="0" applyNumberFormat="1" applyFont="1" applyFill="1" applyBorder="1" applyAlignment="1">
      <alignment horizontal="center" vertical="center"/>
    </xf>
    <xf numFmtId="0" fontId="38" fillId="0" borderId="6" xfId="0" applyFont="1" applyFill="1" applyBorder="1" applyAlignment="1">
      <alignment horizontal="center" vertical="center"/>
    </xf>
    <xf numFmtId="0" fontId="38" fillId="0" borderId="5" xfId="0" applyFont="1" applyFill="1" applyBorder="1" applyAlignment="1">
      <alignment horizontal="center" vertical="center"/>
    </xf>
    <xf numFmtId="0" fontId="37" fillId="0" borderId="1" xfId="0" applyFont="1" applyFill="1" applyBorder="1" applyAlignment="1">
      <alignment vertical="center"/>
    </xf>
    <xf numFmtId="4" fontId="38" fillId="0" borderId="1" xfId="0" applyNumberFormat="1" applyFont="1" applyFill="1" applyBorder="1" applyAlignment="1">
      <alignment horizontal="center" vertical="center"/>
    </xf>
    <xf numFmtId="0" fontId="38" fillId="0" borderId="1" xfId="0" applyFont="1" applyFill="1" applyBorder="1" applyAlignment="1">
      <alignment horizontal="center" vertical="center"/>
    </xf>
    <xf numFmtId="0" fontId="38" fillId="0" borderId="6" xfId="0" applyFont="1" applyFill="1" applyBorder="1" applyAlignment="1">
      <alignment vertical="center"/>
    </xf>
    <xf numFmtId="0" fontId="37" fillId="0" borderId="0" xfId="0" applyFont="1" applyFill="1" applyBorder="1" applyAlignment="1">
      <alignment horizontal="center"/>
    </xf>
    <xf numFmtId="165" fontId="38" fillId="0" borderId="7" xfId="0" applyNumberFormat="1" applyFont="1" applyFill="1" applyBorder="1" applyAlignment="1">
      <alignment horizontal="center" vertical="center"/>
    </xf>
    <xf numFmtId="17" fontId="38" fillId="0" borderId="2" xfId="0" applyNumberFormat="1" applyFont="1" applyFill="1" applyBorder="1" applyAlignment="1">
      <alignment horizontal="center" vertical="center"/>
    </xf>
    <xf numFmtId="0" fontId="38" fillId="0" borderId="8" xfId="0" applyFont="1" applyFill="1" applyBorder="1" applyAlignment="1">
      <alignment horizontal="center" vertical="center"/>
    </xf>
    <xf numFmtId="0" fontId="38" fillId="0" borderId="7" xfId="0" applyFont="1" applyFill="1" applyBorder="1" applyAlignment="1">
      <alignment horizontal="center" vertical="center"/>
    </xf>
    <xf numFmtId="0" fontId="37" fillId="0" borderId="2" xfId="0" applyFont="1" applyFill="1" applyBorder="1" applyAlignment="1">
      <alignment vertical="center"/>
    </xf>
    <xf numFmtId="4" fontId="38" fillId="0" borderId="2" xfId="0" applyNumberFormat="1" applyFont="1" applyFill="1" applyBorder="1" applyAlignment="1">
      <alignment horizontal="center" vertical="center"/>
    </xf>
    <xf numFmtId="0" fontId="39" fillId="0" borderId="0" xfId="0" applyFont="1" applyAlignment="1">
      <alignment horizontal="center"/>
    </xf>
    <xf numFmtId="0" fontId="39" fillId="0" borderId="0" xfId="0" applyFont="1"/>
    <xf numFmtId="0" fontId="39" fillId="40" borderId="21" xfId="0" applyFont="1" applyFill="1" applyBorder="1" applyAlignment="1">
      <alignment horizontal="center"/>
    </xf>
    <xf numFmtId="0" fontId="39" fillId="41" borderId="21" xfId="0" applyFont="1" applyFill="1" applyBorder="1" applyAlignment="1">
      <alignment horizontal="center"/>
    </xf>
    <xf numFmtId="0" fontId="39" fillId="42" borderId="21" xfId="0" applyFont="1" applyFill="1" applyBorder="1" applyAlignment="1">
      <alignment horizontal="center"/>
    </xf>
    <xf numFmtId="0" fontId="39" fillId="43" borderId="21" xfId="0" applyFont="1" applyFill="1" applyBorder="1" applyAlignment="1">
      <alignment horizontal="center"/>
    </xf>
    <xf numFmtId="0" fontId="39" fillId="44" borderId="21" xfId="0" applyFont="1" applyFill="1" applyBorder="1" applyAlignment="1">
      <alignment horizontal="center"/>
    </xf>
    <xf numFmtId="0" fontId="39" fillId="0" borderId="0" xfId="0" applyFont="1" applyAlignment="1">
      <alignment horizontal="left"/>
    </xf>
    <xf numFmtId="0" fontId="40" fillId="0" borderId="0" xfId="0" applyFont="1" applyFill="1" applyAlignment="1">
      <alignment horizontal="center"/>
    </xf>
    <xf numFmtId="165" fontId="41" fillId="0" borderId="5" xfId="0" applyNumberFormat="1" applyFont="1" applyFill="1" applyBorder="1" applyAlignment="1">
      <alignment horizontal="center" vertical="center"/>
    </xf>
    <xf numFmtId="17" fontId="41" fillId="0" borderId="1" xfId="0" applyNumberFormat="1" applyFont="1" applyFill="1" applyBorder="1" applyAlignment="1">
      <alignment horizontal="center" vertical="center"/>
    </xf>
    <xf numFmtId="0" fontId="41" fillId="0" borderId="6" xfId="0" applyFont="1" applyFill="1" applyBorder="1" applyAlignment="1">
      <alignment horizontal="center" vertical="center"/>
    </xf>
    <xf numFmtId="0" fontId="41" fillId="0" borderId="5" xfId="0" applyFont="1" applyFill="1" applyBorder="1" applyAlignment="1">
      <alignment horizontal="center" vertical="center"/>
    </xf>
    <xf numFmtId="0" fontId="40" fillId="0" borderId="1" xfId="0" applyFont="1" applyFill="1" applyBorder="1" applyAlignment="1">
      <alignment vertical="center"/>
    </xf>
    <xf numFmtId="4" fontId="41" fillId="0" borderId="1" xfId="0" applyNumberFormat="1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center" vertical="center"/>
    </xf>
    <xf numFmtId="0" fontId="41" fillId="0" borderId="6" xfId="0" applyFont="1" applyFill="1" applyBorder="1" applyAlignment="1">
      <alignment vertical="center"/>
    </xf>
    <xf numFmtId="0" fontId="44" fillId="0" borderId="0" xfId="0" applyFont="1" applyFill="1" applyAlignment="1">
      <alignment horizontal="center" vertical="top"/>
    </xf>
    <xf numFmtId="164" fontId="44" fillId="0" borderId="0" xfId="0" applyNumberFormat="1" applyFont="1" applyFill="1" applyAlignment="1">
      <alignment horizontal="center" vertical="top"/>
    </xf>
    <xf numFmtId="0" fontId="44" fillId="0" borderId="0" xfId="0" applyFont="1" applyFill="1" applyAlignment="1">
      <alignment vertical="top"/>
    </xf>
    <xf numFmtId="0" fontId="43" fillId="0" borderId="0" xfId="0" applyFont="1" applyFill="1" applyAlignment="1">
      <alignment horizontal="center"/>
    </xf>
    <xf numFmtId="165" fontId="42" fillId="0" borderId="5" xfId="0" applyNumberFormat="1" applyFont="1" applyFill="1" applyBorder="1" applyAlignment="1">
      <alignment horizontal="center" vertical="center"/>
    </xf>
    <xf numFmtId="17" fontId="42" fillId="0" borderId="1" xfId="0" applyNumberFormat="1" applyFont="1" applyFill="1" applyBorder="1" applyAlignment="1">
      <alignment horizontal="center" vertical="center"/>
    </xf>
    <xf numFmtId="0" fontId="42" fillId="0" borderId="6" xfId="0" applyFont="1" applyFill="1" applyBorder="1" applyAlignment="1">
      <alignment horizontal="center" vertical="center"/>
    </xf>
    <xf numFmtId="0" fontId="42" fillId="0" borderId="5" xfId="0" applyFont="1" applyFill="1" applyBorder="1" applyAlignment="1">
      <alignment horizontal="center" vertical="center"/>
    </xf>
    <xf numFmtId="0" fontId="43" fillId="0" borderId="1" xfId="0" applyFont="1" applyFill="1" applyBorder="1" applyAlignment="1">
      <alignment vertical="center"/>
    </xf>
    <xf numFmtId="4" fontId="42" fillId="0" borderId="1" xfId="0" applyNumberFormat="1" applyFont="1" applyFill="1" applyBorder="1" applyAlignment="1">
      <alignment horizontal="center" vertical="center"/>
    </xf>
    <xf numFmtId="0" fontId="42" fillId="0" borderId="1" xfId="0" applyFont="1" applyFill="1" applyBorder="1" applyAlignment="1">
      <alignment horizontal="center" vertical="center"/>
    </xf>
    <xf numFmtId="0" fontId="42" fillId="0" borderId="6" xfId="0" applyFont="1" applyFill="1" applyBorder="1" applyAlignment="1">
      <alignment vertical="center"/>
    </xf>
    <xf numFmtId="0" fontId="24" fillId="0" borderId="1" xfId="0" applyFont="1" applyFill="1" applyBorder="1" applyAlignment="1">
      <alignment vertical="center"/>
    </xf>
    <xf numFmtId="0" fontId="45" fillId="0" borderId="0" xfId="0" applyFont="1" applyFill="1" applyAlignment="1">
      <alignment horizontal="center"/>
    </xf>
    <xf numFmtId="165" fontId="46" fillId="0" borderId="5" xfId="0" applyNumberFormat="1" applyFont="1" applyFill="1" applyBorder="1" applyAlignment="1">
      <alignment horizontal="center" vertical="center"/>
    </xf>
    <xf numFmtId="17" fontId="46" fillId="0" borderId="1" xfId="0" applyNumberFormat="1" applyFont="1" applyFill="1" applyBorder="1" applyAlignment="1">
      <alignment horizontal="center" vertical="center"/>
    </xf>
    <xf numFmtId="0" fontId="46" fillId="0" borderId="6" xfId="0" applyFont="1" applyFill="1" applyBorder="1" applyAlignment="1">
      <alignment horizontal="center" vertical="center"/>
    </xf>
    <xf numFmtId="0" fontId="46" fillId="0" borderId="5" xfId="0" applyFont="1" applyFill="1" applyBorder="1" applyAlignment="1">
      <alignment horizontal="center" vertical="center"/>
    </xf>
    <xf numFmtId="0" fontId="45" fillId="0" borderId="1" xfId="0" applyFont="1" applyFill="1" applyBorder="1" applyAlignment="1">
      <alignment vertical="center"/>
    </xf>
    <xf numFmtId="4" fontId="46" fillId="0" borderId="1" xfId="0" applyNumberFormat="1" applyFont="1" applyFill="1" applyBorder="1" applyAlignment="1">
      <alignment horizontal="center" vertical="center"/>
    </xf>
    <xf numFmtId="0" fontId="46" fillId="0" borderId="1" xfId="0" applyFont="1" applyFill="1" applyBorder="1" applyAlignment="1">
      <alignment horizontal="center" vertical="center"/>
    </xf>
    <xf numFmtId="0" fontId="46" fillId="0" borderId="6" xfId="0" applyFont="1" applyFill="1" applyBorder="1" applyAlignment="1">
      <alignment vertical="center"/>
    </xf>
    <xf numFmtId="165" fontId="46" fillId="35" borderId="7" xfId="0" applyNumberFormat="1" applyFont="1" applyFill="1" applyBorder="1" applyAlignment="1">
      <alignment horizontal="center" vertical="center"/>
    </xf>
    <xf numFmtId="1" fontId="46" fillId="35" borderId="2" xfId="0" applyNumberFormat="1" applyFont="1" applyFill="1" applyBorder="1" applyAlignment="1">
      <alignment horizontal="center" vertical="center"/>
    </xf>
    <xf numFmtId="0" fontId="46" fillId="35" borderId="6" xfId="0" applyFont="1" applyFill="1" applyBorder="1" applyAlignment="1">
      <alignment horizontal="center" vertical="center"/>
    </xf>
    <xf numFmtId="165" fontId="46" fillId="36" borderId="7" xfId="0" applyNumberFormat="1" applyFont="1" applyFill="1" applyBorder="1" applyAlignment="1">
      <alignment horizontal="center" vertical="center"/>
    </xf>
    <xf numFmtId="1" fontId="46" fillId="36" borderId="2" xfId="0" applyNumberFormat="1" applyFont="1" applyFill="1" applyBorder="1" applyAlignment="1">
      <alignment horizontal="center" vertical="center"/>
    </xf>
    <xf numFmtId="0" fontId="46" fillId="36" borderId="6" xfId="0" applyFont="1" applyFill="1" applyBorder="1" applyAlignment="1">
      <alignment horizontal="center" vertical="center"/>
    </xf>
    <xf numFmtId="0" fontId="46" fillId="37" borderId="9" xfId="0" applyFont="1" applyFill="1" applyBorder="1" applyAlignment="1">
      <alignment horizontal="center" vertical="center"/>
    </xf>
    <xf numFmtId="0" fontId="45" fillId="37" borderId="4" xfId="0" applyFont="1" applyFill="1" applyBorder="1" applyAlignment="1">
      <alignment horizontal="center"/>
    </xf>
    <xf numFmtId="0" fontId="47" fillId="0" borderId="0" xfId="0" applyFont="1" applyFill="1" applyAlignment="1">
      <alignment horizontal="center"/>
    </xf>
    <xf numFmtId="165" fontId="48" fillId="0" borderId="5" xfId="0" applyNumberFormat="1" applyFont="1" applyFill="1" applyBorder="1" applyAlignment="1">
      <alignment horizontal="center" vertical="center"/>
    </xf>
    <xf numFmtId="17" fontId="48" fillId="0" borderId="1" xfId="0" applyNumberFormat="1" applyFont="1" applyFill="1" applyBorder="1" applyAlignment="1">
      <alignment horizontal="center" vertical="center"/>
    </xf>
    <xf numFmtId="0" fontId="48" fillId="0" borderId="6" xfId="0" applyFont="1" applyFill="1" applyBorder="1" applyAlignment="1">
      <alignment horizontal="center" vertical="center"/>
    </xf>
    <xf numFmtId="0" fontId="48" fillId="0" borderId="5" xfId="0" applyFont="1" applyFill="1" applyBorder="1" applyAlignment="1">
      <alignment horizontal="center" vertical="center"/>
    </xf>
    <xf numFmtId="0" fontId="47" fillId="0" borderId="1" xfId="0" applyFont="1" applyFill="1" applyBorder="1" applyAlignment="1">
      <alignment vertical="center"/>
    </xf>
    <xf numFmtId="4" fontId="48" fillId="0" borderId="1" xfId="0" applyNumberFormat="1" applyFont="1" applyFill="1" applyBorder="1" applyAlignment="1">
      <alignment horizontal="center" vertical="center"/>
    </xf>
    <xf numFmtId="0" fontId="48" fillId="0" borderId="1" xfId="0" applyFont="1" applyFill="1" applyBorder="1" applyAlignment="1">
      <alignment horizontal="center" vertical="center"/>
    </xf>
    <xf numFmtId="0" fontId="48" fillId="0" borderId="6" xfId="0" applyFont="1" applyFill="1" applyBorder="1" applyAlignment="1">
      <alignment vertical="center"/>
    </xf>
    <xf numFmtId="0" fontId="47" fillId="0" borderId="0" xfId="0" applyFont="1" applyFill="1" applyBorder="1" applyAlignment="1">
      <alignment horizontal="center"/>
    </xf>
    <xf numFmtId="165" fontId="48" fillId="0" borderId="7" xfId="0" applyNumberFormat="1" applyFont="1" applyFill="1" applyBorder="1" applyAlignment="1">
      <alignment horizontal="center" vertical="center"/>
    </xf>
    <xf numFmtId="17" fontId="48" fillId="0" borderId="2" xfId="0" applyNumberFormat="1" applyFont="1" applyFill="1" applyBorder="1" applyAlignment="1">
      <alignment horizontal="center" vertical="center"/>
    </xf>
    <xf numFmtId="0" fontId="48" fillId="0" borderId="8" xfId="0" applyFont="1" applyFill="1" applyBorder="1" applyAlignment="1">
      <alignment horizontal="center" vertical="center"/>
    </xf>
    <xf numFmtId="0" fontId="48" fillId="0" borderId="7" xfId="0" applyFont="1" applyFill="1" applyBorder="1" applyAlignment="1">
      <alignment horizontal="center" vertical="center"/>
    </xf>
    <xf numFmtId="0" fontId="47" fillId="0" borderId="2" xfId="0" applyFont="1" applyFill="1" applyBorder="1" applyAlignment="1">
      <alignment vertical="center"/>
    </xf>
    <xf numFmtId="4" fontId="48" fillId="0" borderId="2" xfId="0" applyNumberFormat="1" applyFont="1" applyFill="1" applyBorder="1" applyAlignment="1">
      <alignment horizontal="center" vertical="center"/>
    </xf>
    <xf numFmtId="0" fontId="49" fillId="0" borderId="0" xfId="0" applyFont="1"/>
    <xf numFmtId="0" fontId="49" fillId="0" borderId="0" xfId="0" applyFont="1" applyAlignment="1">
      <alignment horizontal="center"/>
    </xf>
    <xf numFmtId="0" fontId="49" fillId="0" borderId="24" xfId="0" applyFont="1" applyBorder="1"/>
    <xf numFmtId="14" fontId="49" fillId="0" borderId="25" xfId="0" applyNumberFormat="1" applyFont="1" applyBorder="1" applyAlignment="1">
      <alignment horizontal="center"/>
    </xf>
    <xf numFmtId="0" fontId="49" fillId="0" borderId="25" xfId="0" applyFont="1" applyBorder="1" applyAlignment="1">
      <alignment horizontal="center"/>
    </xf>
    <xf numFmtId="0" fontId="49" fillId="0" borderId="5" xfId="0" applyFont="1" applyBorder="1"/>
    <xf numFmtId="14" fontId="49" fillId="0" borderId="1" xfId="0" applyNumberFormat="1" applyFont="1" applyBorder="1" applyAlignment="1">
      <alignment horizontal="center"/>
    </xf>
    <xf numFmtId="0" fontId="49" fillId="0" borderId="1" xfId="0" applyFont="1" applyBorder="1" applyAlignment="1">
      <alignment horizontal="center"/>
    </xf>
    <xf numFmtId="0" fontId="49" fillId="0" borderId="27" xfId="0" applyFont="1" applyBorder="1"/>
    <xf numFmtId="0" fontId="49" fillId="0" borderId="28" xfId="0" applyFont="1" applyBorder="1" applyAlignment="1">
      <alignment horizontal="center"/>
    </xf>
    <xf numFmtId="0" fontId="50" fillId="0" borderId="3" xfId="0" applyFont="1" applyBorder="1" applyAlignment="1">
      <alignment horizontal="center" vertical="center"/>
    </xf>
    <xf numFmtId="0" fontId="50" fillId="0" borderId="3" xfId="0" applyFont="1" applyBorder="1" applyAlignment="1">
      <alignment horizontal="center" vertical="center" wrapText="1"/>
    </xf>
    <xf numFmtId="0" fontId="49" fillId="0" borderId="19" xfId="0" applyFont="1" applyBorder="1" applyAlignment="1">
      <alignment horizontal="center" vertical="center" wrapText="1"/>
    </xf>
    <xf numFmtId="0" fontId="49" fillId="0" borderId="25" xfId="0" applyFont="1" applyFill="1" applyBorder="1" applyAlignment="1">
      <alignment horizontal="left"/>
    </xf>
    <xf numFmtId="0" fontId="49" fillId="0" borderId="26" xfId="0" applyFont="1" applyFill="1" applyBorder="1" applyAlignment="1">
      <alignment horizontal="center"/>
    </xf>
    <xf numFmtId="0" fontId="49" fillId="0" borderId="1" xfId="0" applyFont="1" applyFill="1" applyBorder="1" applyAlignment="1">
      <alignment horizontal="left"/>
    </xf>
    <xf numFmtId="0" fontId="49" fillId="0" borderId="6" xfId="0" applyFont="1" applyFill="1" applyBorder="1" applyAlignment="1">
      <alignment horizontal="center"/>
    </xf>
    <xf numFmtId="0" fontId="49" fillId="0" borderId="29" xfId="0" applyFont="1" applyFill="1" applyBorder="1" applyAlignment="1">
      <alignment horizontal="center"/>
    </xf>
    <xf numFmtId="14" fontId="49" fillId="0" borderId="25" xfId="0" applyNumberFormat="1" applyFont="1" applyFill="1" applyBorder="1" applyAlignment="1">
      <alignment horizontal="center"/>
    </xf>
    <xf numFmtId="0" fontId="49" fillId="0" borderId="24" xfId="0" applyFont="1" applyFill="1" applyBorder="1"/>
    <xf numFmtId="0" fontId="49" fillId="0" borderId="25" xfId="0" applyFont="1" applyFill="1" applyBorder="1" applyAlignment="1">
      <alignment horizontal="center"/>
    </xf>
    <xf numFmtId="0" fontId="49" fillId="0" borderId="25" xfId="0" applyFont="1" applyBorder="1" applyAlignment="1">
      <alignment horizontal="center" vertical="center"/>
    </xf>
    <xf numFmtId="0" fontId="49" fillId="0" borderId="25" xfId="0" applyFont="1" applyBorder="1" applyAlignment="1">
      <alignment horizontal="left"/>
    </xf>
    <xf numFmtId="14" fontId="49" fillId="0" borderId="28" xfId="0" applyNumberFormat="1" applyFont="1" applyBorder="1" applyAlignment="1">
      <alignment horizontal="center"/>
    </xf>
    <xf numFmtId="0" fontId="49" fillId="0" borderId="28" xfId="0" applyFont="1" applyBorder="1" applyAlignment="1">
      <alignment horizontal="center" vertical="center"/>
    </xf>
    <xf numFmtId="0" fontId="49" fillId="0" borderId="28" xfId="0" applyFont="1" applyBorder="1" applyAlignment="1">
      <alignment horizontal="left"/>
    </xf>
    <xf numFmtId="0" fontId="49" fillId="0" borderId="7" xfId="0" applyFont="1" applyBorder="1"/>
    <xf numFmtId="14" fontId="49" fillId="0" borderId="2" xfId="0" applyNumberFormat="1" applyFont="1" applyBorder="1" applyAlignment="1">
      <alignment horizontal="center"/>
    </xf>
    <xf numFmtId="0" fontId="49" fillId="0" borderId="2" xfId="0" applyFont="1" applyBorder="1" applyAlignment="1">
      <alignment horizontal="center"/>
    </xf>
    <xf numFmtId="0" fontId="49" fillId="0" borderId="8" xfId="0" applyFont="1" applyFill="1" applyBorder="1" applyAlignment="1">
      <alignment horizontal="center"/>
    </xf>
    <xf numFmtId="0" fontId="49" fillId="0" borderId="29" xfId="0" applyFont="1" applyBorder="1" applyAlignment="1">
      <alignment vertical="center" wrapText="1"/>
    </xf>
    <xf numFmtId="0" fontId="49" fillId="0" borderId="26" xfId="0" applyFont="1" applyBorder="1" applyAlignment="1">
      <alignment horizontal="center" vertical="center" wrapText="1"/>
    </xf>
    <xf numFmtId="0" fontId="49" fillId="0" borderId="23" xfId="0" applyFont="1" applyBorder="1" applyAlignment="1">
      <alignment vertical="center" wrapText="1"/>
    </xf>
    <xf numFmtId="0" fontId="49" fillId="0" borderId="28" xfId="0" applyFont="1" applyFill="1" applyBorder="1" applyAlignment="1">
      <alignment horizontal="left"/>
    </xf>
    <xf numFmtId="0" fontId="52" fillId="0" borderId="1" xfId="0" applyFont="1" applyFill="1" applyBorder="1" applyAlignment="1">
      <alignment horizontal="left"/>
    </xf>
    <xf numFmtId="0" fontId="24" fillId="0" borderId="2" xfId="0" applyFont="1" applyFill="1" applyBorder="1" applyAlignment="1">
      <alignment horizontal="center" vertical="center"/>
    </xf>
    <xf numFmtId="0" fontId="24" fillId="0" borderId="8" xfId="0" applyFont="1" applyFill="1" applyBorder="1" applyAlignment="1">
      <alignment vertical="center"/>
    </xf>
    <xf numFmtId="0" fontId="53" fillId="0" borderId="0" xfId="0" applyFont="1" applyFill="1" applyAlignment="1">
      <alignment horizontal="center"/>
    </xf>
    <xf numFmtId="165" fontId="54" fillId="0" borderId="5" xfId="0" applyNumberFormat="1" applyFont="1" applyFill="1" applyBorder="1" applyAlignment="1">
      <alignment horizontal="center" vertical="center"/>
    </xf>
    <xf numFmtId="17" fontId="54" fillId="0" borderId="1" xfId="0" applyNumberFormat="1" applyFont="1" applyFill="1" applyBorder="1" applyAlignment="1">
      <alignment horizontal="center" vertical="center"/>
    </xf>
    <xf numFmtId="0" fontId="54" fillId="0" borderId="6" xfId="0" applyFont="1" applyFill="1" applyBorder="1" applyAlignment="1">
      <alignment horizontal="center" vertical="center"/>
    </xf>
    <xf numFmtId="0" fontId="54" fillId="0" borderId="5" xfId="0" applyFont="1" applyFill="1" applyBorder="1" applyAlignment="1">
      <alignment horizontal="center" vertical="center"/>
    </xf>
    <xf numFmtId="0" fontId="53" fillId="0" borderId="1" xfId="0" applyFont="1" applyFill="1" applyBorder="1" applyAlignment="1">
      <alignment vertical="center"/>
    </xf>
    <xf numFmtId="4" fontId="54" fillId="0" borderId="1" xfId="0" applyNumberFormat="1" applyFont="1" applyFill="1" applyBorder="1" applyAlignment="1">
      <alignment horizontal="center" vertical="center"/>
    </xf>
    <xf numFmtId="0" fontId="54" fillId="0" borderId="1" xfId="0" applyFont="1" applyFill="1" applyBorder="1" applyAlignment="1">
      <alignment horizontal="center" vertical="center"/>
    </xf>
    <xf numFmtId="0" fontId="54" fillId="0" borderId="6" xfId="0" applyFont="1" applyFill="1" applyBorder="1" applyAlignment="1">
      <alignment vertical="center"/>
    </xf>
    <xf numFmtId="0" fontId="19" fillId="45" borderId="0" xfId="0" applyNumberFormat="1" applyFont="1" applyFill="1" applyAlignment="1">
      <alignment horizontal="center"/>
    </xf>
    <xf numFmtId="0" fontId="55" fillId="45" borderId="0" xfId="0" applyFont="1" applyFill="1" applyAlignment="1">
      <alignment horizontal="center"/>
    </xf>
    <xf numFmtId="0" fontId="26" fillId="0" borderId="0" xfId="0" applyFont="1" applyFill="1"/>
    <xf numFmtId="0" fontId="24" fillId="35" borderId="8" xfId="0" applyFont="1" applyFill="1" applyBorder="1" applyAlignment="1">
      <alignment horizontal="center" vertical="center"/>
    </xf>
    <xf numFmtId="0" fontId="24" fillId="36" borderId="8" xfId="0" applyFont="1" applyFill="1" applyBorder="1" applyAlignment="1">
      <alignment horizontal="center" vertical="center"/>
    </xf>
    <xf numFmtId="0" fontId="56" fillId="0" borderId="0" xfId="0" applyFont="1" applyFill="1" applyAlignment="1">
      <alignment horizontal="center"/>
    </xf>
    <xf numFmtId="0" fontId="57" fillId="0" borderId="5" xfId="0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vertical="center"/>
    </xf>
    <xf numFmtId="4" fontId="57" fillId="0" borderId="1" xfId="0" applyNumberFormat="1" applyFont="1" applyFill="1" applyBorder="1" applyAlignment="1">
      <alignment horizontal="center" vertical="center"/>
    </xf>
    <xf numFmtId="0" fontId="57" fillId="0" borderId="6" xfId="0" applyFont="1" applyFill="1" applyBorder="1" applyAlignment="1">
      <alignment vertical="center"/>
    </xf>
    <xf numFmtId="165" fontId="57" fillId="35" borderId="7" xfId="0" applyNumberFormat="1" applyFont="1" applyFill="1" applyBorder="1" applyAlignment="1">
      <alignment horizontal="center" vertical="center"/>
    </xf>
    <xf numFmtId="1" fontId="57" fillId="35" borderId="2" xfId="0" applyNumberFormat="1" applyFont="1" applyFill="1" applyBorder="1" applyAlignment="1">
      <alignment horizontal="center" vertical="center"/>
    </xf>
    <xf numFmtId="0" fontId="57" fillId="35" borderId="8" xfId="0" applyFont="1" applyFill="1" applyBorder="1" applyAlignment="1">
      <alignment horizontal="center" vertical="center"/>
    </xf>
    <xf numFmtId="165" fontId="57" fillId="36" borderId="7" xfId="0" applyNumberFormat="1" applyFont="1" applyFill="1" applyBorder="1" applyAlignment="1">
      <alignment horizontal="center" vertical="center"/>
    </xf>
    <xf numFmtId="1" fontId="57" fillId="36" borderId="2" xfId="0" applyNumberFormat="1" applyFont="1" applyFill="1" applyBorder="1" applyAlignment="1">
      <alignment horizontal="center" vertical="center"/>
    </xf>
    <xf numFmtId="0" fontId="57" fillId="36" borderId="8" xfId="0" applyFont="1" applyFill="1" applyBorder="1" applyAlignment="1">
      <alignment horizontal="center" vertical="center"/>
    </xf>
    <xf numFmtId="0" fontId="57" fillId="37" borderId="9" xfId="0" applyFont="1" applyFill="1" applyBorder="1" applyAlignment="1">
      <alignment horizontal="center" vertical="center"/>
    </xf>
    <xf numFmtId="0" fontId="56" fillId="37" borderId="4" xfId="0" applyFont="1" applyFill="1" applyBorder="1" applyAlignment="1">
      <alignment horizontal="center"/>
    </xf>
    <xf numFmtId="165" fontId="24" fillId="41" borderId="5" xfId="0" applyNumberFormat="1" applyFont="1" applyFill="1" applyBorder="1" applyAlignment="1">
      <alignment horizontal="center" vertical="center"/>
    </xf>
    <xf numFmtId="17" fontId="24" fillId="41" borderId="1" xfId="0" applyNumberFormat="1" applyFont="1" applyFill="1" applyBorder="1" applyAlignment="1">
      <alignment horizontal="center" vertical="center"/>
    </xf>
    <xf numFmtId="0" fontId="24" fillId="41" borderId="6" xfId="0" applyFont="1" applyFill="1" applyBorder="1" applyAlignment="1">
      <alignment horizontal="center" vertical="center"/>
    </xf>
    <xf numFmtId="0" fontId="24" fillId="41" borderId="5" xfId="0" applyFont="1" applyFill="1" applyBorder="1" applyAlignment="1">
      <alignment horizontal="center" vertical="center"/>
    </xf>
    <xf numFmtId="0" fontId="19" fillId="41" borderId="1" xfId="0" applyFont="1" applyFill="1" applyBorder="1" applyAlignment="1">
      <alignment vertical="center"/>
    </xf>
    <xf numFmtId="4" fontId="24" fillId="41" borderId="1" xfId="0" applyNumberFormat="1" applyFont="1" applyFill="1" applyBorder="1" applyAlignment="1">
      <alignment horizontal="center" vertical="center"/>
    </xf>
    <xf numFmtId="0" fontId="24" fillId="41" borderId="1" xfId="0" applyFont="1" applyFill="1" applyBorder="1" applyAlignment="1">
      <alignment horizontal="center" vertical="center"/>
    </xf>
    <xf numFmtId="0" fontId="24" fillId="41" borderId="6" xfId="0" applyFont="1" applyFill="1" applyBorder="1" applyAlignment="1">
      <alignment vertical="center"/>
    </xf>
    <xf numFmtId="0" fontId="55" fillId="41" borderId="0" xfId="0" applyFont="1" applyFill="1" applyAlignment="1">
      <alignment horizontal="center"/>
    </xf>
    <xf numFmtId="165" fontId="24" fillId="41" borderId="7" xfId="0" applyNumberFormat="1" applyFont="1" applyFill="1" applyBorder="1" applyAlignment="1">
      <alignment horizontal="center" vertical="center"/>
    </xf>
    <xf numFmtId="17" fontId="24" fillId="41" borderId="2" xfId="0" applyNumberFormat="1" applyFont="1" applyFill="1" applyBorder="1" applyAlignment="1">
      <alignment horizontal="center" vertical="center"/>
    </xf>
    <xf numFmtId="0" fontId="24" fillId="41" borderId="8" xfId="0" applyFont="1" applyFill="1" applyBorder="1" applyAlignment="1">
      <alignment horizontal="center" vertical="center"/>
    </xf>
    <xf numFmtId="0" fontId="24" fillId="41" borderId="7" xfId="0" applyFont="1" applyFill="1" applyBorder="1" applyAlignment="1">
      <alignment horizontal="center" vertical="center"/>
    </xf>
    <xf numFmtId="0" fontId="19" fillId="41" borderId="2" xfId="0" applyFont="1" applyFill="1" applyBorder="1" applyAlignment="1">
      <alignment vertical="center"/>
    </xf>
    <xf numFmtId="4" fontId="24" fillId="41" borderId="2" xfId="0" applyNumberFormat="1" applyFont="1" applyFill="1" applyBorder="1" applyAlignment="1">
      <alignment horizontal="center" vertical="center"/>
    </xf>
    <xf numFmtId="0" fontId="24" fillId="41" borderId="2" xfId="0" applyFont="1" applyFill="1" applyBorder="1" applyAlignment="1">
      <alignment horizontal="center" vertical="center"/>
    </xf>
    <xf numFmtId="0" fontId="24" fillId="41" borderId="8" xfId="0" applyFont="1" applyFill="1" applyBorder="1" applyAlignment="1">
      <alignment vertical="center"/>
    </xf>
    <xf numFmtId="165" fontId="57" fillId="0" borderId="5" xfId="0" applyNumberFormat="1" applyFont="1" applyFill="1" applyBorder="1" applyAlignment="1">
      <alignment horizontal="center" vertical="center"/>
    </xf>
    <xf numFmtId="17" fontId="57" fillId="0" borderId="1" xfId="0" applyNumberFormat="1" applyFont="1" applyFill="1" applyBorder="1" applyAlignment="1">
      <alignment horizontal="center" vertical="center"/>
    </xf>
    <xf numFmtId="0" fontId="57" fillId="0" borderId="6" xfId="0" applyFont="1" applyFill="1" applyBorder="1" applyAlignment="1">
      <alignment horizontal="center" vertical="center"/>
    </xf>
    <xf numFmtId="0" fontId="57" fillId="0" borderId="1" xfId="0" applyFont="1" applyFill="1" applyBorder="1" applyAlignment="1">
      <alignment horizontal="center" vertical="center"/>
    </xf>
    <xf numFmtId="0" fontId="57" fillId="41" borderId="5" xfId="0" applyFont="1" applyFill="1" applyBorder="1" applyAlignment="1">
      <alignment horizontal="center" vertical="center"/>
    </xf>
    <xf numFmtId="0" fontId="56" fillId="41" borderId="1" xfId="0" applyFont="1" applyFill="1" applyBorder="1" applyAlignment="1">
      <alignment vertical="center"/>
    </xf>
    <xf numFmtId="4" fontId="57" fillId="41" borderId="1" xfId="0" applyNumberFormat="1" applyFont="1" applyFill="1" applyBorder="1" applyAlignment="1">
      <alignment horizontal="center" vertical="center"/>
    </xf>
    <xf numFmtId="0" fontId="57" fillId="41" borderId="6" xfId="0" applyFont="1" applyFill="1" applyBorder="1" applyAlignment="1">
      <alignment vertical="center"/>
    </xf>
    <xf numFmtId="165" fontId="57" fillId="34" borderId="5" xfId="0" applyNumberFormat="1" applyFont="1" applyFill="1" applyBorder="1" applyAlignment="1">
      <alignment horizontal="center" vertical="center"/>
    </xf>
    <xf numFmtId="0" fontId="58" fillId="0" borderId="0" xfId="0" applyFont="1" applyFill="1" applyAlignment="1">
      <alignment horizontal="center" vertical="top"/>
    </xf>
    <xf numFmtId="164" fontId="58" fillId="0" borderId="0" xfId="0" applyNumberFormat="1" applyFont="1" applyFill="1" applyAlignment="1">
      <alignment horizontal="center" vertical="top"/>
    </xf>
    <xf numFmtId="0" fontId="58" fillId="0" borderId="0" xfId="0" applyFont="1" applyFill="1" applyAlignment="1">
      <alignment vertical="top"/>
    </xf>
    <xf numFmtId="0" fontId="59" fillId="0" borderId="0" xfId="0" applyFont="1" applyFill="1" applyAlignment="1">
      <alignment horizontal="center"/>
    </xf>
    <xf numFmtId="165" fontId="60" fillId="0" borderId="5" xfId="0" applyNumberFormat="1" applyFont="1" applyFill="1" applyBorder="1" applyAlignment="1">
      <alignment horizontal="center" vertical="center"/>
    </xf>
    <xf numFmtId="17" fontId="60" fillId="0" borderId="1" xfId="0" applyNumberFormat="1" applyFont="1" applyFill="1" applyBorder="1" applyAlignment="1">
      <alignment horizontal="center" vertical="center"/>
    </xf>
    <xf numFmtId="0" fontId="60" fillId="0" borderId="6" xfId="0" applyFont="1" applyFill="1" applyBorder="1" applyAlignment="1">
      <alignment horizontal="center" vertical="center"/>
    </xf>
    <xf numFmtId="0" fontId="60" fillId="0" borderId="5" xfId="0" applyFont="1" applyFill="1" applyBorder="1" applyAlignment="1">
      <alignment horizontal="center" vertical="center"/>
    </xf>
    <xf numFmtId="0" fontId="59" fillId="0" borderId="1" xfId="0" applyFont="1" applyFill="1" applyBorder="1" applyAlignment="1">
      <alignment vertical="center"/>
    </xf>
    <xf numFmtId="4" fontId="60" fillId="0" borderId="1" xfId="0" applyNumberFormat="1" applyFont="1" applyFill="1" applyBorder="1" applyAlignment="1">
      <alignment horizontal="center" vertical="center"/>
    </xf>
    <xf numFmtId="0" fontId="60" fillId="0" borderId="1" xfId="0" applyFont="1" applyFill="1" applyBorder="1" applyAlignment="1">
      <alignment horizontal="center" vertical="center"/>
    </xf>
    <xf numFmtId="0" fontId="60" fillId="0" borderId="6" xfId="0" applyFont="1" applyFill="1" applyBorder="1" applyAlignment="1">
      <alignment vertical="center"/>
    </xf>
    <xf numFmtId="0" fontId="61" fillId="0" borderId="0" xfId="0" applyFont="1" applyFill="1" applyAlignment="1">
      <alignment horizontal="center"/>
    </xf>
    <xf numFmtId="165" fontId="24" fillId="34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horizontal="center"/>
    </xf>
    <xf numFmtId="0" fontId="22" fillId="0" borderId="0" xfId="0" applyFont="1" applyFill="1" applyBorder="1" applyAlignment="1">
      <alignment horizontal="center"/>
    </xf>
    <xf numFmtId="0" fontId="49" fillId="0" borderId="26" xfId="0" applyFont="1" applyBorder="1" applyAlignment="1">
      <alignment horizontal="center" vertical="center" wrapText="1"/>
    </xf>
    <xf numFmtId="0" fontId="49" fillId="0" borderId="29" xfId="0" applyFont="1" applyBorder="1" applyAlignment="1">
      <alignment horizontal="center" vertical="center" wrapText="1"/>
    </xf>
    <xf numFmtId="0" fontId="49" fillId="0" borderId="3" xfId="0" applyFont="1" applyBorder="1" applyAlignment="1">
      <alignment horizontal="center" vertical="center"/>
    </xf>
    <xf numFmtId="0" fontId="49" fillId="0" borderId="19" xfId="0" applyFont="1" applyBorder="1" applyAlignment="1">
      <alignment horizontal="center" vertical="center" wrapText="1"/>
    </xf>
    <xf numFmtId="0" fontId="49" fillId="0" borderId="23" xfId="0" applyFont="1" applyBorder="1" applyAlignment="1">
      <alignment horizontal="center" vertical="center" wrapText="1"/>
    </xf>
    <xf numFmtId="0" fontId="49" fillId="0" borderId="19" xfId="0" applyFont="1" applyFill="1" applyBorder="1" applyAlignment="1">
      <alignment horizontal="center" vertical="center" wrapText="1"/>
    </xf>
    <xf numFmtId="0" fontId="49" fillId="0" borderId="22" xfId="0" applyFont="1" applyFill="1" applyBorder="1" applyAlignment="1">
      <alignment horizontal="center" vertical="center" wrapText="1"/>
    </xf>
    <xf numFmtId="0" fontId="49" fillId="0" borderId="23" xfId="0" applyFont="1" applyFill="1" applyBorder="1" applyAlignment="1">
      <alignment horizontal="center" vertical="center" wrapText="1"/>
    </xf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a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rmal 4" xfId="1"/>
    <cellStyle name="Notas" xfId="16" builtinId="10" customBuiltin="1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2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" formatCode="0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65" formatCode="dd/mm/yy;@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" formatCode="0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65" formatCode="dd/mm/yy;@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hair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22" formatCode="mmm\-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 Narrow"/>
        <scheme val="none"/>
      </font>
      <numFmt numFmtId="165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  <color theme="4" tint="-0.499984740745262"/>
      </font>
      <fill>
        <patternFill>
          <bgColor theme="6" tint="0.79998168889431442"/>
        </patternFill>
      </fill>
    </dxf>
    <dxf>
      <font>
        <b/>
        <i/>
        <color theme="4" tint="-0.499984740745262"/>
      </font>
      <fill>
        <patternFill>
          <bgColor theme="9" tint="0.59996337778862885"/>
        </patternFill>
      </fill>
    </dxf>
    <dxf>
      <font>
        <b/>
        <i/>
        <color theme="4" tint="-0.499984740745262"/>
      </font>
      <fill>
        <patternFill>
          <bgColor theme="7" tint="0.59996337778862885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 val="0"/>
      </font>
      <fill>
        <patternFill>
          <bgColor theme="8" tint="0.59996337778862885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/>
        <i/>
      </font>
      <fill>
        <patternFill>
          <bgColor theme="3" tint="0.79998168889431442"/>
        </patternFill>
      </fill>
    </dxf>
    <dxf>
      <font>
        <b/>
        <i/>
      </font>
      <fill>
        <patternFill>
          <bgColor theme="2" tint="-9.9948118533890809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164" formatCode="dd\-mm\-yy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164" formatCode="dd\-mm\-yy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none">
          <fgColor indexed="64"/>
          <bgColor auto="1"/>
        </patternFill>
      </fill>
      <alignment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164" formatCode="dd\-mm\-yy;@"/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</dxf>
    <dxf>
      <font>
        <i val="0"/>
        <strike val="0"/>
        <outline val="0"/>
        <shadow val="0"/>
        <u val="none"/>
        <vertAlign val="baseline"/>
        <sz val="10"/>
        <name val="Arial Narrow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border outline="0">
        <top style="medium">
          <color auto="1"/>
        </top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theme="1"/>
        <name val="Arial Narrow"/>
        <scheme val="none"/>
      </font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9D9D9"/>
          <bgColor rgb="FFD9D9D9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000000"/>
        </top>
      </border>
    </dxf>
    <dxf>
      <font>
        <b/>
        <color rgb="FFFFFFFF"/>
      </font>
      <fill>
        <patternFill patternType="solid">
          <fgColor rgb="FF000000"/>
          <bgColor rgb="FF000000"/>
        </patternFill>
      </fill>
    </dxf>
    <dxf>
      <font>
        <color rgb="FF000000"/>
      </font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horizontal style="thin">
          <color rgb="FF000000"/>
        </horizontal>
      </border>
    </dxf>
  </dxfs>
  <tableStyles count="1" defaultTableStyle="TableStyleMedium2" defaultPivotStyle="PivotStyleLight16">
    <tableStyle name="TableStyleMedium1 2" pivot="0" count="7">
      <tableStyleElement type="wholeTable" dxfId="294"/>
      <tableStyleElement type="headerRow" dxfId="293"/>
      <tableStyleElement type="totalRow" dxfId="292"/>
      <tableStyleElement type="firstColumn" dxfId="291"/>
      <tableStyleElement type="lastColumn" dxfId="290"/>
      <tableStyleElement type="firstRowStripe" dxfId="289"/>
      <tableStyleElement type="firstColumnStripe" dxfId="288"/>
    </tableStyle>
  </tableStyles>
  <colors>
    <mruColors>
      <color rgb="FFFFFFCC"/>
      <color rgb="FFFFFF66"/>
      <color rgb="FFFFFF99"/>
      <color rgb="FFFF3300"/>
      <color rgb="FFFF5050"/>
      <color rgb="FFCCFFFF"/>
      <color rgb="FFFF6600"/>
      <color rgb="FFFF9933"/>
      <color rgb="FF006600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18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0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5.xml"/><Relationship Id="rId20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microsoft.com/office/2007/relationships/customDataProps" Target="customData/itemProps1.xml"/><Relationship Id="rId19" Type="http://schemas.openxmlformats.org/officeDocument/2006/relationships/customXml" Target="../customXml/item8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ustomData/_rels/itemProps1.xml.rels><?xml version="1.0" encoding="UTF-8" standalone="yes"?>
<Relationships xmlns="http://schemas.openxmlformats.org/package/2006/relationships"><Relationship Id="rId1" Type="http://schemas.microsoft.com/office/2007/relationships/customData" Target="item1.data"/></Relationships>
</file>

<file path=xl/customData/itemProps1.xml><?xml version="1.0" encoding="utf-8"?>
<datastoreItem xmlns="http://schemas.microsoft.com/office/spreadsheetml/2009/9/main" id="Microsoft_SQLServer_AnalysisServices"/>
</file>

<file path=xl/tables/table1.xml><?xml version="1.0" encoding="utf-8"?>
<table xmlns="http://schemas.openxmlformats.org/spreadsheetml/2006/main" id="1" name="Tabla1" displayName="Tabla1" ref="C10:C32" totalsRowShown="0" headerRowDxfId="287" dataDxfId="286" tableBorderDxfId="285">
  <sortState ref="C11:C25">
    <sortCondition ref="C11:C25"/>
  </sortState>
  <tableColumns count="1">
    <tableColumn id="1" name="ALFONSO ARIAS" dataDxfId="284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9" name="Tabla9" displayName="Tabla9" ref="B11:M3702" totalsRowShown="0" headerRowDxfId="283" dataDxfId="282">
  <autoFilter ref="B11:M3702"/>
  <sortState ref="B12:M1644">
    <sortCondition ref="C12:C1644"/>
    <sortCondition ref="D12:D1644"/>
  </sortState>
  <tableColumns count="12">
    <tableColumn id="1" name="BUSQUEDA" dataDxfId="281">
      <calculatedColumnFormula>TEXT(C12,"yy") &amp; TEXT(C12,"mm") &amp;"-"&amp;(D12) &amp;"-"&amp;(F12)</calculatedColumnFormula>
    </tableColumn>
    <tableColumn id="2" name="FECHA DEL PEDIDO" dataDxfId="280"/>
    <tableColumn id="3" name="REQ. No." dataDxfId="279"/>
    <tableColumn id="4" name="CANTIDAD" dataDxfId="278"/>
    <tableColumn id="5" name="CODIGO" dataDxfId="277"/>
    <tableColumn id="6" name="PRODUCTO" dataDxfId="276"/>
    <tableColumn id="7" name="FECHA ORDEN DE COMPRA" dataDxfId="275"/>
    <tableColumn id="8" name="ORDEN No." dataDxfId="274"/>
    <tableColumn id="9" name="CANTIDAD2" dataDxfId="273"/>
    <tableColumn id="10" name="FECHA INGRESO A BODEGA" dataDxfId="272"/>
    <tableColumn id="11" name="INGRESO No." dataDxfId="271"/>
    <tableColumn id="12" name="CANTIDAD3" dataDxfId="270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B7:R923" totalsRowShown="0">
  <autoFilter ref="B7:R923"/>
  <sortState ref="B8:R1218">
    <sortCondition descending="1" ref="G7:G872"/>
  </sortState>
  <tableColumns count="17">
    <tableColumn id="1" name="BUSQUEDA" dataDxfId="16">
      <calculatedColumnFormula>IFERROR(TEXT(C8,"yy") &amp; TEXT(C8,"mm") &amp;"-"&amp;(E8) &amp;"-"&amp;(F8),"")</calculatedColumnFormula>
    </tableColumn>
    <tableColumn id="2" name="FECHA" dataDxfId="15"/>
    <tableColumn id="3" name="REQUI.#" dataDxfId="14">
      <calculatedColumnFormula>IF(BD_DETALLE!$E8&gt;=1,CONCATENATE(TEXT(BD_DETALLE!$C8,"YY"),TEXT(BD_DETALLE!$C8,"MM"),"-",BD_DETALLE!$E8),"")</calculatedColumnFormula>
    </tableColumn>
    <tableColumn id="4" name="REQ.#" dataDxfId="13"/>
    <tableColumn id="5" name="CODIGO" dataDxfId="12"/>
    <tableColumn id="6" name="DESCRIPCION DEL PRODUCTO SOLICITADO" dataDxfId="11">
      <calculatedColumnFormula>IFERROR(VLOOKUP(BD_DETALLE!$B8,Tabla9[],6,0),"")</calculatedColumnFormula>
    </tableColumn>
    <tableColumn id="7" name="CANT" dataDxfId="10">
      <calculatedColumnFormula>IFERROR(VLOOKUP(BD_DETALLE!$B8,Tabla9[],4,0),0)</calculatedColumnFormula>
    </tableColumn>
    <tableColumn id="8" name="SOLICITANTE" dataDxfId="9"/>
    <tableColumn id="9" name="USO   O  DESTINO DE APLICACION DE LO SOLICITADO" dataDxfId="8"/>
    <tableColumn id="10" name="FECHA DE ORDEN" dataDxfId="7">
      <calculatedColumnFormula>IFERROR(VLOOKUP(BD_DETALLE!$B8,Tabla9[],7,0),"")</calculatedColumnFormula>
    </tableColumn>
    <tableColumn id="11" name="ORDEN de COMPRA" dataDxfId="6">
      <calculatedColumnFormula>IFERROR(VLOOKUP(BD_DETALLE!$B8,Tabla9[],8,0),"")</calculatedColumnFormula>
    </tableColumn>
    <tableColumn id="12" name="CANTIDAD ORDENADA" dataDxfId="5">
      <calculatedColumnFormula>IFERROR(SUMIF(Tabla9[],BD_DETALLE!$B8,Tabla9[CANTIDAD2]),"")</calculatedColumnFormula>
    </tableColumn>
    <tableColumn id="13" name="FECHA INGRESO" dataDxfId="4">
      <calculatedColumnFormula>IFERROR(IF(BD_DETALLE!$B8&gt;0,VLOOKUP(BD_DETALLE!$B8,Tabla9[],10,0),""),"")</calculatedColumnFormula>
    </tableColumn>
    <tableColumn id="14" name="INGRESO #" dataDxfId="3">
      <calculatedColumnFormula>IFERROR(VLOOKUP(BD_DETALLE!$B8,Tabla9[],11,0),0)</calculatedColumnFormula>
    </tableColumn>
    <tableColumn id="15" name="CANTIDAD RECIBIDA" dataDxfId="2">
      <calculatedColumnFormula>SUMIF(Tabla9[],BD_DETALLE!$B8,Tabla9[CANTIDAD3])</calculatedColumnFormula>
    </tableColumn>
    <tableColumn id="16" name="STATUS" dataDxfId="1">
      <calculatedColumnFormula>IF(BD_DETALLE!$P8&lt;=0,0,IF(BD_DETALLE!$P8=BD_DETALLE!$H8,2,1))</calculatedColumnFormula>
    </tableColumn>
    <tableColumn id="17" name="DIAS DE ATRAZO" dataDxfId="0">
      <calculatedColumnFormula>IF(BD_DETALLE!$C8&gt;0,(IF(BD_DETALLE!$N8=0,TODAY()-BD_DETALLE!$C8,BD_DETALLE!$N8-BD_DETALLE!$C8)),"")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C8:C32"/>
  <sheetViews>
    <sheetView topLeftCell="A13" zoomScaleNormal="100" workbookViewId="0">
      <selection activeCell="C23" sqref="C23"/>
    </sheetView>
  </sheetViews>
  <sheetFormatPr baseColWidth="10" defaultColWidth="11.42578125" defaultRowHeight="15.75" x14ac:dyDescent="0.25"/>
  <cols>
    <col min="1" max="1" width="61.140625" style="1" customWidth="1"/>
    <col min="2" max="2" width="6.7109375" style="1" customWidth="1"/>
    <col min="3" max="3" width="24.7109375" style="1" customWidth="1"/>
    <col min="4" max="4" width="15.7109375" style="1" customWidth="1"/>
    <col min="5" max="5" width="63.7109375" style="1" customWidth="1"/>
    <col min="6" max="6" width="50.140625" style="1" customWidth="1"/>
    <col min="7" max="16384" width="11.42578125" style="1"/>
  </cols>
  <sheetData>
    <row r="8" spans="3:3" ht="16.5" thickBot="1" x14ac:dyDescent="0.3"/>
    <row r="9" spans="3:3" s="2" customFormat="1" x14ac:dyDescent="0.25">
      <c r="C9" s="3" t="s">
        <v>0</v>
      </c>
    </row>
    <row r="10" spans="3:3" x14ac:dyDescent="0.25">
      <c r="C10" s="1" t="s">
        <v>1</v>
      </c>
    </row>
    <row r="11" spans="3:3" x14ac:dyDescent="0.25">
      <c r="C11" s="1" t="s">
        <v>2</v>
      </c>
    </row>
    <row r="12" spans="3:3" x14ac:dyDescent="0.25">
      <c r="C12" s="1" t="s">
        <v>3</v>
      </c>
    </row>
    <row r="13" spans="3:3" x14ac:dyDescent="0.25">
      <c r="C13" s="1" t="s">
        <v>4</v>
      </c>
    </row>
    <row r="14" spans="3:3" x14ac:dyDescent="0.25">
      <c r="C14" s="1" t="s">
        <v>5</v>
      </c>
    </row>
    <row r="15" spans="3:3" x14ac:dyDescent="0.25">
      <c r="C15" s="1" t="s">
        <v>6</v>
      </c>
    </row>
    <row r="16" spans="3:3" x14ac:dyDescent="0.25">
      <c r="C16" s="1" t="s">
        <v>7</v>
      </c>
    </row>
    <row r="17" spans="3:3" x14ac:dyDescent="0.25">
      <c r="C17" s="1" t="s">
        <v>8</v>
      </c>
    </row>
    <row r="18" spans="3:3" x14ac:dyDescent="0.25">
      <c r="C18" s="1" t="s">
        <v>9</v>
      </c>
    </row>
    <row r="19" spans="3:3" x14ac:dyDescent="0.25">
      <c r="C19" s="1" t="s">
        <v>10</v>
      </c>
    </row>
    <row r="20" spans="3:3" x14ac:dyDescent="0.25">
      <c r="C20" s="1" t="s">
        <v>969</v>
      </c>
    </row>
    <row r="21" spans="3:3" x14ac:dyDescent="0.25">
      <c r="C21" s="1" t="s">
        <v>11</v>
      </c>
    </row>
    <row r="22" spans="3:3" x14ac:dyDescent="0.25">
      <c r="C22" s="77" t="s">
        <v>1218</v>
      </c>
    </row>
    <row r="23" spans="3:3" x14ac:dyDescent="0.25">
      <c r="C23" s="1" t="s">
        <v>12</v>
      </c>
    </row>
    <row r="24" spans="3:3" x14ac:dyDescent="0.25">
      <c r="C24" s="1" t="s">
        <v>1059</v>
      </c>
    </row>
    <row r="25" spans="3:3" x14ac:dyDescent="0.25">
      <c r="C25" s="1" t="s">
        <v>13</v>
      </c>
    </row>
    <row r="26" spans="3:3" x14ac:dyDescent="0.25">
      <c r="C26" s="1" t="s">
        <v>14</v>
      </c>
    </row>
    <row r="27" spans="3:3" x14ac:dyDescent="0.25">
      <c r="C27" s="1" t="s">
        <v>15</v>
      </c>
    </row>
    <row r="28" spans="3:3" x14ac:dyDescent="0.25">
      <c r="C28" s="1" t="s">
        <v>16</v>
      </c>
    </row>
    <row r="29" spans="3:3" x14ac:dyDescent="0.25">
      <c r="C29" s="1" t="s">
        <v>17</v>
      </c>
    </row>
    <row r="30" spans="3:3" x14ac:dyDescent="0.25">
      <c r="C30" s="1" t="s">
        <v>18</v>
      </c>
    </row>
    <row r="31" spans="3:3" x14ac:dyDescent="0.25">
      <c r="C31" s="1" t="s">
        <v>19</v>
      </c>
    </row>
    <row r="32" spans="3:3" x14ac:dyDescent="0.25">
      <c r="C32" s="1" t="s">
        <v>20</v>
      </c>
    </row>
  </sheetData>
  <sortState ref="C10:C19">
    <sortCondition ref="C10:C19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O3702"/>
  <sheetViews>
    <sheetView showGridLines="0" zoomScale="90" zoomScaleNormal="90" workbookViewId="0">
      <pane xSplit="2" ySplit="11" topLeftCell="C3685" activePane="bottomRight" state="frozen"/>
      <selection pane="topRight" activeCell="C1" sqref="C1"/>
      <selection pane="bottomLeft" activeCell="A12" sqref="A12"/>
      <selection pane="bottomRight" activeCell="G3696" sqref="G3696"/>
    </sheetView>
  </sheetViews>
  <sheetFormatPr baseColWidth="10" defaultColWidth="11.42578125" defaultRowHeight="14.1" customHeight="1" x14ac:dyDescent="0.25"/>
  <cols>
    <col min="1" max="1" width="4.140625" style="48" customWidth="1"/>
    <col min="2" max="2" width="18.7109375" style="46" hidden="1" customWidth="1"/>
    <col min="3" max="3" width="13.140625" style="47" customWidth="1"/>
    <col min="4" max="4" width="9.28515625" style="46" customWidth="1"/>
    <col min="5" max="5" width="11.140625" style="46" customWidth="1"/>
    <col min="6" max="6" width="11.5703125" style="46" customWidth="1"/>
    <col min="7" max="7" width="70.28515625" style="48" customWidth="1"/>
    <col min="8" max="8" width="15" style="47" customWidth="1"/>
    <col min="9" max="9" width="12.42578125" style="46" customWidth="1"/>
    <col min="10" max="10" width="15" style="46" customWidth="1"/>
    <col min="11" max="11" width="14.28515625" style="47" customWidth="1"/>
    <col min="12" max="12" width="13" style="46" customWidth="1"/>
    <col min="13" max="13" width="12.140625" style="46" customWidth="1"/>
    <col min="14" max="14" width="52" style="48" customWidth="1"/>
    <col min="15" max="16384" width="11.42578125" style="48"/>
  </cols>
  <sheetData>
    <row r="1" spans="2:13" s="44" customFormat="1" ht="12.75" x14ac:dyDescent="0.2">
      <c r="B1" s="42"/>
      <c r="C1" s="43"/>
      <c r="D1" s="42"/>
      <c r="E1" s="42"/>
      <c r="F1" s="42"/>
      <c r="H1" s="43"/>
      <c r="I1" s="42"/>
      <c r="J1" s="42"/>
      <c r="K1" s="43"/>
      <c r="L1" s="42"/>
      <c r="M1" s="42"/>
    </row>
    <row r="2" spans="2:13" s="44" customFormat="1" ht="12.75" x14ac:dyDescent="0.2">
      <c r="B2" s="42"/>
      <c r="C2" s="43"/>
      <c r="D2" s="42"/>
      <c r="E2" s="42"/>
      <c r="F2" s="42"/>
      <c r="H2" s="43"/>
      <c r="I2" s="42"/>
      <c r="J2" s="42"/>
      <c r="K2" s="43"/>
      <c r="L2" s="42"/>
      <c r="M2" s="42"/>
    </row>
    <row r="3" spans="2:13" s="44" customFormat="1" ht="12.75" x14ac:dyDescent="0.2">
      <c r="B3" s="42"/>
      <c r="C3" s="43"/>
      <c r="D3" s="42"/>
      <c r="E3" s="42"/>
      <c r="F3" s="42"/>
      <c r="H3" s="43"/>
      <c r="I3" s="42"/>
      <c r="J3" s="42"/>
      <c r="K3" s="43"/>
      <c r="L3" s="42"/>
      <c r="M3" s="42"/>
    </row>
    <row r="4" spans="2:13" s="44" customFormat="1" ht="12.75" x14ac:dyDescent="0.2">
      <c r="B4" s="42"/>
      <c r="C4" s="43"/>
      <c r="D4" s="42"/>
      <c r="E4" s="42"/>
      <c r="F4" s="42"/>
      <c r="H4" s="43"/>
      <c r="I4" s="42"/>
      <c r="J4" s="42"/>
      <c r="K4" s="43"/>
      <c r="L4" s="42"/>
      <c r="M4" s="42"/>
    </row>
    <row r="5" spans="2:13" s="44" customFormat="1" ht="12.75" x14ac:dyDescent="0.2">
      <c r="B5" s="42"/>
      <c r="C5" s="43"/>
      <c r="D5" s="42"/>
      <c r="E5" s="42"/>
      <c r="F5" s="42"/>
      <c r="H5" s="43"/>
      <c r="I5" s="42"/>
      <c r="J5" s="42"/>
      <c r="K5" s="43"/>
      <c r="L5" s="42"/>
      <c r="M5" s="42"/>
    </row>
    <row r="6" spans="2:13" s="44" customFormat="1" ht="12.75" x14ac:dyDescent="0.2">
      <c r="B6" s="42"/>
      <c r="C6" s="43"/>
      <c r="D6" s="42"/>
      <c r="E6" s="42"/>
      <c r="F6" s="42"/>
      <c r="H6" s="43"/>
      <c r="I6" s="42"/>
      <c r="J6" s="42"/>
      <c r="K6" s="43"/>
      <c r="L6" s="42"/>
      <c r="M6" s="42"/>
    </row>
    <row r="7" spans="2:13" s="44" customFormat="1" ht="12.75" x14ac:dyDescent="0.2">
      <c r="B7" s="42"/>
      <c r="C7" s="43"/>
      <c r="D7" s="42"/>
      <c r="E7" s="42"/>
      <c r="F7" s="42"/>
      <c r="H7" s="43"/>
      <c r="I7" s="42"/>
      <c r="J7" s="42"/>
      <c r="K7" s="43"/>
      <c r="L7" s="42"/>
      <c r="M7" s="42"/>
    </row>
    <row r="8" spans="2:13" s="44" customFormat="1" ht="12.75" x14ac:dyDescent="0.2">
      <c r="B8" s="42"/>
      <c r="C8" s="43"/>
      <c r="D8" s="42"/>
      <c r="E8" s="42"/>
      <c r="F8" s="42"/>
      <c r="H8" s="43"/>
      <c r="I8" s="42"/>
      <c r="J8" s="42"/>
      <c r="K8" s="43"/>
      <c r="L8" s="42"/>
      <c r="M8" s="42"/>
    </row>
    <row r="9" spans="2:13" s="44" customFormat="1" ht="12.75" x14ac:dyDescent="0.2">
      <c r="B9" s="42"/>
      <c r="C9" s="43"/>
      <c r="D9" s="42"/>
      <c r="E9" s="42"/>
      <c r="F9" s="42"/>
      <c r="H9" s="43"/>
      <c r="I9" s="42"/>
      <c r="J9" s="42"/>
      <c r="K9" s="43"/>
      <c r="L9" s="42"/>
      <c r="M9" s="42"/>
    </row>
    <row r="10" spans="2:13" s="44" customFormat="1" ht="13.5" thickBot="1" x14ac:dyDescent="0.25">
      <c r="B10" s="42"/>
      <c r="C10" s="43"/>
      <c r="D10" s="42"/>
      <c r="E10" s="42"/>
      <c r="F10" s="42"/>
      <c r="H10" s="43"/>
      <c r="I10" s="42"/>
      <c r="J10" s="42"/>
      <c r="K10" s="43"/>
      <c r="L10" s="42"/>
      <c r="M10" s="42"/>
    </row>
    <row r="11" spans="2:13" s="44" customFormat="1" ht="26.25" thickBot="1" x14ac:dyDescent="0.25">
      <c r="B11" s="45" t="s">
        <v>21</v>
      </c>
      <c r="C11" s="51" t="s">
        <v>22</v>
      </c>
      <c r="D11" s="52" t="s">
        <v>23</v>
      </c>
      <c r="E11" s="53" t="s">
        <v>24</v>
      </c>
      <c r="F11" s="52" t="s">
        <v>25</v>
      </c>
      <c r="G11" s="52" t="s">
        <v>26</v>
      </c>
      <c r="H11" s="51" t="s">
        <v>27</v>
      </c>
      <c r="I11" s="52" t="s">
        <v>28</v>
      </c>
      <c r="J11" s="53" t="s">
        <v>29</v>
      </c>
      <c r="K11" s="51" t="s">
        <v>30</v>
      </c>
      <c r="L11" s="52" t="s">
        <v>31</v>
      </c>
      <c r="M11" s="53" t="s">
        <v>32</v>
      </c>
    </row>
    <row r="12" spans="2:13" ht="14.1" customHeight="1" x14ac:dyDescent="0.25">
      <c r="B12" s="46" t="str">
        <f t="shared" ref="B12:B75" si="0">TEXT(C12,"yy") &amp; TEXT(C12,"mm") &amp;"-"&amp;(D12) &amp;"-"&amp;(F12)</f>
        <v>2009-1-318060</v>
      </c>
      <c r="C12" s="47">
        <v>44075</v>
      </c>
      <c r="D12" s="46">
        <v>1</v>
      </c>
      <c r="E12" s="46">
        <v>4</v>
      </c>
      <c r="F12" s="46">
        <v>318060</v>
      </c>
      <c r="G12" s="48" t="s">
        <v>917</v>
      </c>
      <c r="H12" s="47">
        <v>44075</v>
      </c>
      <c r="I12" s="46">
        <v>49557</v>
      </c>
      <c r="J12" s="46">
        <v>4</v>
      </c>
      <c r="K12" s="47">
        <v>44076</v>
      </c>
      <c r="L12" s="46">
        <v>9741</v>
      </c>
      <c r="M12" s="46">
        <v>4</v>
      </c>
    </row>
    <row r="13" spans="2:13" ht="14.1" customHeight="1" x14ac:dyDescent="0.25">
      <c r="B13" s="46" t="str">
        <f t="shared" si="0"/>
        <v>2009-1-314423</v>
      </c>
      <c r="C13" s="47">
        <v>44075</v>
      </c>
      <c r="D13" s="46">
        <v>1</v>
      </c>
      <c r="E13" s="46">
        <v>4</v>
      </c>
      <c r="F13" s="46">
        <v>314423</v>
      </c>
      <c r="G13" s="48" t="s">
        <v>853</v>
      </c>
      <c r="H13" s="47">
        <v>44075</v>
      </c>
      <c r="I13" s="46">
        <v>49556</v>
      </c>
      <c r="J13" s="46">
        <v>4</v>
      </c>
      <c r="K13" s="47">
        <v>44090</v>
      </c>
      <c r="L13" s="46">
        <v>9856</v>
      </c>
      <c r="M13" s="46">
        <v>4</v>
      </c>
    </row>
    <row r="14" spans="2:13" ht="14.1" customHeight="1" x14ac:dyDescent="0.25">
      <c r="B14" s="46" t="str">
        <f t="shared" si="0"/>
        <v>2009-2-200751</v>
      </c>
      <c r="C14" s="47">
        <v>44075</v>
      </c>
      <c r="D14" s="46">
        <v>2</v>
      </c>
      <c r="E14" s="46">
        <v>30000</v>
      </c>
      <c r="F14" s="46">
        <v>200751</v>
      </c>
      <c r="G14" s="48" t="s">
        <v>151</v>
      </c>
      <c r="H14" s="47">
        <v>44077</v>
      </c>
      <c r="I14" s="46">
        <v>49628</v>
      </c>
      <c r="J14" s="46">
        <v>10000</v>
      </c>
      <c r="K14" s="47">
        <v>44076</v>
      </c>
      <c r="L14" s="46">
        <v>9750</v>
      </c>
      <c r="M14" s="46">
        <v>10000</v>
      </c>
    </row>
    <row r="15" spans="2:13" ht="14.1" customHeight="1" x14ac:dyDescent="0.25">
      <c r="B15" s="46" t="str">
        <f t="shared" si="0"/>
        <v>2009-2-200751</v>
      </c>
      <c r="C15" s="47">
        <v>44075</v>
      </c>
      <c r="D15" s="46">
        <v>2</v>
      </c>
      <c r="E15" s="46">
        <v>30000</v>
      </c>
      <c r="F15" s="46">
        <v>200751</v>
      </c>
      <c r="G15" s="48" t="s">
        <v>151</v>
      </c>
      <c r="H15" s="47">
        <v>44077</v>
      </c>
      <c r="I15" s="46">
        <v>49628</v>
      </c>
      <c r="J15" s="46">
        <v>10000</v>
      </c>
      <c r="K15" s="47">
        <v>44078</v>
      </c>
      <c r="L15" s="46">
        <v>9771</v>
      </c>
      <c r="M15" s="46">
        <v>10000</v>
      </c>
    </row>
    <row r="16" spans="2:13" ht="14.1" customHeight="1" x14ac:dyDescent="0.25">
      <c r="B16" s="46" t="str">
        <f t="shared" si="0"/>
        <v>2009-2-200751</v>
      </c>
      <c r="C16" s="47">
        <v>44075</v>
      </c>
      <c r="D16" s="46">
        <v>2</v>
      </c>
      <c r="E16" s="46">
        <v>30000</v>
      </c>
      <c r="F16" s="46">
        <v>200751</v>
      </c>
      <c r="G16" s="48" t="s">
        <v>151</v>
      </c>
      <c r="H16" s="47">
        <v>44077</v>
      </c>
      <c r="I16" s="46">
        <v>49628</v>
      </c>
      <c r="J16" s="46">
        <v>10000</v>
      </c>
      <c r="K16" s="47">
        <v>44081</v>
      </c>
      <c r="L16" s="46">
        <v>9782</v>
      </c>
      <c r="M16" s="46">
        <v>10000</v>
      </c>
    </row>
    <row r="17" spans="1:13" ht="14.1" customHeight="1" x14ac:dyDescent="0.25">
      <c r="B17" s="46" t="str">
        <f t="shared" si="0"/>
        <v>2009-2-200751</v>
      </c>
      <c r="C17" s="47">
        <v>44075</v>
      </c>
      <c r="D17" s="46">
        <v>2</v>
      </c>
      <c r="E17" s="46">
        <v>30000</v>
      </c>
      <c r="F17" s="46">
        <v>200751</v>
      </c>
      <c r="G17" s="48" t="s">
        <v>151</v>
      </c>
      <c r="H17" s="47">
        <v>44077</v>
      </c>
      <c r="I17" s="46">
        <v>49625</v>
      </c>
      <c r="J17" s="46">
        <v>10000</v>
      </c>
      <c r="K17" s="47">
        <v>44076</v>
      </c>
      <c r="L17" s="46">
        <v>9750</v>
      </c>
      <c r="M17" s="46">
        <v>10000</v>
      </c>
    </row>
    <row r="18" spans="1:13" ht="14.1" customHeight="1" x14ac:dyDescent="0.25">
      <c r="B18" s="46" t="str">
        <f t="shared" si="0"/>
        <v>2009-2-200751</v>
      </c>
      <c r="C18" s="47">
        <v>44075</v>
      </c>
      <c r="D18" s="46">
        <v>2</v>
      </c>
      <c r="E18" s="46">
        <v>30000</v>
      </c>
      <c r="F18" s="46">
        <v>200751</v>
      </c>
      <c r="G18" s="48" t="s">
        <v>151</v>
      </c>
      <c r="H18" s="47">
        <v>44077</v>
      </c>
      <c r="I18" s="46">
        <v>49625</v>
      </c>
      <c r="J18" s="46">
        <v>10000</v>
      </c>
      <c r="K18" s="47">
        <v>44078</v>
      </c>
      <c r="L18" s="46">
        <v>9771</v>
      </c>
      <c r="M18" s="46">
        <v>10000</v>
      </c>
    </row>
    <row r="19" spans="1:13" ht="14.1" customHeight="1" x14ac:dyDescent="0.25">
      <c r="A19" s="49"/>
      <c r="B19" s="46" t="str">
        <f t="shared" si="0"/>
        <v>2009-2-200751</v>
      </c>
      <c r="C19" s="47">
        <v>44075</v>
      </c>
      <c r="D19" s="46">
        <v>2</v>
      </c>
      <c r="E19" s="46">
        <v>30000</v>
      </c>
      <c r="F19" s="46">
        <v>200751</v>
      </c>
      <c r="G19" s="48" t="s">
        <v>151</v>
      </c>
      <c r="H19" s="47">
        <v>44077</v>
      </c>
      <c r="I19" s="46">
        <v>49625</v>
      </c>
      <c r="J19" s="46">
        <v>10000</v>
      </c>
      <c r="K19" s="47">
        <v>44081</v>
      </c>
      <c r="L19" s="46">
        <v>9782</v>
      </c>
      <c r="M19" s="46">
        <v>10000</v>
      </c>
    </row>
    <row r="20" spans="1:13" ht="14.1" customHeight="1" x14ac:dyDescent="0.25">
      <c r="B20" s="46" t="str">
        <f t="shared" si="0"/>
        <v>2009-2-200751</v>
      </c>
      <c r="C20" s="47">
        <v>44075</v>
      </c>
      <c r="D20" s="46">
        <v>2</v>
      </c>
      <c r="E20" s="46">
        <v>30000</v>
      </c>
      <c r="F20" s="46">
        <v>200751</v>
      </c>
      <c r="G20" s="48" t="s">
        <v>151</v>
      </c>
      <c r="H20" s="47">
        <v>44082</v>
      </c>
      <c r="I20" s="46">
        <v>49665</v>
      </c>
      <c r="J20" s="46">
        <v>10000</v>
      </c>
      <c r="K20" s="47">
        <v>44076</v>
      </c>
      <c r="L20" s="46">
        <v>9750</v>
      </c>
      <c r="M20" s="46">
        <v>10000</v>
      </c>
    </row>
    <row r="21" spans="1:13" ht="14.1" customHeight="1" x14ac:dyDescent="0.25">
      <c r="B21" s="46" t="str">
        <f t="shared" si="0"/>
        <v>2009-2-200751</v>
      </c>
      <c r="C21" s="47">
        <v>44075</v>
      </c>
      <c r="D21" s="46">
        <v>2</v>
      </c>
      <c r="E21" s="46">
        <v>30000</v>
      </c>
      <c r="F21" s="46">
        <v>200751</v>
      </c>
      <c r="G21" s="48" t="s">
        <v>151</v>
      </c>
      <c r="H21" s="47">
        <v>44082</v>
      </c>
      <c r="I21" s="46">
        <v>49665</v>
      </c>
      <c r="J21" s="46">
        <v>10000</v>
      </c>
      <c r="K21" s="47">
        <v>44078</v>
      </c>
      <c r="L21" s="46">
        <v>9771</v>
      </c>
      <c r="M21" s="46">
        <v>10000</v>
      </c>
    </row>
    <row r="22" spans="1:13" ht="14.1" customHeight="1" x14ac:dyDescent="0.25">
      <c r="B22" s="46" t="str">
        <f t="shared" si="0"/>
        <v>2009-2-200751</v>
      </c>
      <c r="C22" s="47">
        <v>44075</v>
      </c>
      <c r="D22" s="46">
        <v>2</v>
      </c>
      <c r="E22" s="46">
        <v>30000</v>
      </c>
      <c r="F22" s="46">
        <v>200751</v>
      </c>
      <c r="G22" s="48" t="s">
        <v>151</v>
      </c>
      <c r="H22" s="47">
        <v>44082</v>
      </c>
      <c r="I22" s="46">
        <v>49665</v>
      </c>
      <c r="J22" s="46">
        <v>10000</v>
      </c>
      <c r="K22" s="47">
        <v>44081</v>
      </c>
      <c r="L22" s="46">
        <v>9782</v>
      </c>
      <c r="M22" s="46">
        <v>10000</v>
      </c>
    </row>
    <row r="23" spans="1:13" ht="14.1" customHeight="1" x14ac:dyDescent="0.25">
      <c r="B23" s="46" t="str">
        <f t="shared" si="0"/>
        <v>2009-6-200683</v>
      </c>
      <c r="C23" s="47">
        <v>44076</v>
      </c>
      <c r="D23" s="46">
        <v>6</v>
      </c>
      <c r="E23" s="46">
        <v>20</v>
      </c>
      <c r="F23" s="46">
        <v>200683</v>
      </c>
      <c r="G23" s="48" t="s">
        <v>493</v>
      </c>
      <c r="H23" s="47">
        <v>44091</v>
      </c>
      <c r="I23" s="46">
        <v>49743</v>
      </c>
      <c r="J23" s="46">
        <v>20</v>
      </c>
      <c r="K23" s="47">
        <v>44104</v>
      </c>
      <c r="L23" s="46">
        <v>9993</v>
      </c>
      <c r="M23" s="46">
        <v>20</v>
      </c>
    </row>
    <row r="24" spans="1:13" ht="14.1" customHeight="1" x14ac:dyDescent="0.25">
      <c r="B24" s="46" t="str">
        <f t="shared" si="0"/>
        <v>2009-6-200265</v>
      </c>
      <c r="C24" s="47">
        <v>44076</v>
      </c>
      <c r="D24" s="46">
        <v>6</v>
      </c>
      <c r="E24" s="46">
        <v>12</v>
      </c>
      <c r="F24" s="46">
        <v>200265</v>
      </c>
      <c r="G24" s="48" t="s">
        <v>489</v>
      </c>
      <c r="H24" s="47">
        <v>44091</v>
      </c>
      <c r="I24" s="46">
        <v>49743</v>
      </c>
      <c r="J24" s="46">
        <v>12</v>
      </c>
      <c r="K24" s="47">
        <v>44104</v>
      </c>
      <c r="L24" s="46">
        <v>9993</v>
      </c>
      <c r="M24" s="46">
        <v>12</v>
      </c>
    </row>
    <row r="25" spans="1:13" ht="14.1" customHeight="1" x14ac:dyDescent="0.25">
      <c r="B25" s="46" t="str">
        <f t="shared" si="0"/>
        <v>2009-7-310449</v>
      </c>
      <c r="C25" s="47">
        <v>44076</v>
      </c>
      <c r="D25" s="46">
        <v>7</v>
      </c>
      <c r="E25" s="46">
        <v>2</v>
      </c>
      <c r="F25" s="46">
        <v>310449</v>
      </c>
      <c r="G25" s="48" t="s">
        <v>771</v>
      </c>
      <c r="H25" s="47">
        <v>44075</v>
      </c>
      <c r="I25" s="46">
        <v>49621</v>
      </c>
      <c r="J25" s="46">
        <v>2</v>
      </c>
      <c r="K25" s="47">
        <v>44076</v>
      </c>
      <c r="L25" s="46">
        <v>9736</v>
      </c>
      <c r="M25" s="46">
        <v>2</v>
      </c>
    </row>
    <row r="26" spans="1:13" ht="14.1" customHeight="1" x14ac:dyDescent="0.25">
      <c r="B26" s="46" t="str">
        <f t="shared" si="0"/>
        <v>2009-8-309108</v>
      </c>
      <c r="C26" s="47">
        <v>44076</v>
      </c>
      <c r="D26" s="46">
        <v>8</v>
      </c>
      <c r="E26" s="46">
        <v>1</v>
      </c>
      <c r="F26" s="46">
        <v>309108</v>
      </c>
      <c r="G26" s="48" t="s">
        <v>337</v>
      </c>
      <c r="H26" s="47">
        <v>44075</v>
      </c>
      <c r="I26" s="46">
        <v>49623</v>
      </c>
      <c r="J26" s="46">
        <v>1</v>
      </c>
      <c r="K26" s="47">
        <v>44076</v>
      </c>
      <c r="L26" s="46">
        <v>9737</v>
      </c>
      <c r="M26" s="46">
        <v>1</v>
      </c>
    </row>
    <row r="27" spans="1:13" ht="14.1" customHeight="1" x14ac:dyDescent="0.25">
      <c r="B27" s="46" t="str">
        <f t="shared" si="0"/>
        <v>2009-8-205193</v>
      </c>
      <c r="C27" s="47">
        <v>44076</v>
      </c>
      <c r="D27" s="46">
        <v>8</v>
      </c>
      <c r="E27" s="46">
        <v>1</v>
      </c>
      <c r="F27" s="46">
        <v>205193</v>
      </c>
      <c r="G27" s="48" t="s">
        <v>471</v>
      </c>
      <c r="H27" s="47">
        <v>44075</v>
      </c>
      <c r="I27" s="46">
        <v>49623</v>
      </c>
      <c r="J27" s="46">
        <v>1</v>
      </c>
      <c r="K27" s="47">
        <v>44076</v>
      </c>
      <c r="L27" s="46">
        <v>9737</v>
      </c>
      <c r="M27" s="46">
        <v>1</v>
      </c>
    </row>
    <row r="28" spans="1:13" ht="14.1" customHeight="1" x14ac:dyDescent="0.25">
      <c r="B28" s="46" t="str">
        <f t="shared" si="0"/>
        <v>2009-8-308497</v>
      </c>
      <c r="C28" s="47">
        <v>44076</v>
      </c>
      <c r="D28" s="46">
        <v>8</v>
      </c>
      <c r="E28" s="46">
        <v>1</v>
      </c>
      <c r="F28" s="46">
        <v>308497</v>
      </c>
      <c r="G28" s="48" t="s">
        <v>745</v>
      </c>
      <c r="H28" s="47">
        <v>44075</v>
      </c>
      <c r="I28" s="46">
        <v>49623</v>
      </c>
      <c r="J28" s="46">
        <v>1</v>
      </c>
      <c r="K28" s="47">
        <v>44076</v>
      </c>
      <c r="L28" s="46">
        <v>9737</v>
      </c>
      <c r="M28" s="46">
        <v>1</v>
      </c>
    </row>
    <row r="29" spans="1:13" ht="14.1" customHeight="1" x14ac:dyDescent="0.25">
      <c r="B29" s="46" t="str">
        <f t="shared" si="0"/>
        <v>2009-9-316054</v>
      </c>
      <c r="C29" s="47">
        <v>44076</v>
      </c>
      <c r="D29" s="46">
        <v>9</v>
      </c>
      <c r="E29" s="46">
        <v>1</v>
      </c>
      <c r="F29" s="46">
        <v>316054</v>
      </c>
      <c r="G29" s="48" t="s">
        <v>887</v>
      </c>
      <c r="H29" s="47">
        <v>44075</v>
      </c>
      <c r="I29" s="46">
        <v>49624</v>
      </c>
      <c r="J29" s="46">
        <v>1</v>
      </c>
      <c r="K29" s="47">
        <v>44076</v>
      </c>
      <c r="L29" s="46">
        <v>9739</v>
      </c>
      <c r="M29" s="46">
        <v>1</v>
      </c>
    </row>
    <row r="30" spans="1:13" ht="14.1" customHeight="1" x14ac:dyDescent="0.25">
      <c r="B30" s="46" t="str">
        <f t="shared" si="0"/>
        <v>2009-9-302128</v>
      </c>
      <c r="C30" s="47">
        <v>44076</v>
      </c>
      <c r="D30" s="46">
        <v>9</v>
      </c>
      <c r="E30" s="46">
        <v>4</v>
      </c>
      <c r="F30" s="46">
        <v>302128</v>
      </c>
      <c r="G30" s="48" t="s">
        <v>636</v>
      </c>
      <c r="H30" s="47">
        <v>44075</v>
      </c>
      <c r="I30" s="46">
        <v>49624</v>
      </c>
      <c r="J30" s="46">
        <v>4</v>
      </c>
      <c r="K30" s="47">
        <v>44076</v>
      </c>
      <c r="L30" s="46">
        <v>9739</v>
      </c>
      <c r="M30" s="46">
        <v>4</v>
      </c>
    </row>
    <row r="31" spans="1:13" ht="14.1" customHeight="1" x14ac:dyDescent="0.25">
      <c r="B31" s="46" t="str">
        <f t="shared" si="0"/>
        <v>2009-15-312187</v>
      </c>
      <c r="C31" s="47">
        <v>44076</v>
      </c>
      <c r="D31" s="46">
        <v>15</v>
      </c>
      <c r="E31" s="46">
        <v>2</v>
      </c>
      <c r="F31" s="46">
        <v>312187</v>
      </c>
      <c r="G31" s="48" t="s">
        <v>805</v>
      </c>
      <c r="H31" s="47">
        <v>44090</v>
      </c>
      <c r="I31" s="46">
        <v>49728</v>
      </c>
      <c r="J31" s="46">
        <v>2</v>
      </c>
      <c r="K31" s="47">
        <v>44162</v>
      </c>
      <c r="L31" s="46">
        <v>10505</v>
      </c>
      <c r="M31" s="46">
        <v>2</v>
      </c>
    </row>
    <row r="32" spans="1:13" ht="14.1" customHeight="1" x14ac:dyDescent="0.25">
      <c r="B32" s="46" t="str">
        <f t="shared" si="0"/>
        <v>2009-15-312186</v>
      </c>
      <c r="C32" s="47">
        <v>44076</v>
      </c>
      <c r="D32" s="46">
        <v>15</v>
      </c>
      <c r="E32" s="46">
        <v>2</v>
      </c>
      <c r="F32" s="46">
        <v>312186</v>
      </c>
      <c r="G32" s="48" t="s">
        <v>804</v>
      </c>
      <c r="H32" s="47">
        <v>44090</v>
      </c>
      <c r="I32" s="46">
        <v>49728</v>
      </c>
      <c r="J32" s="46">
        <v>2</v>
      </c>
      <c r="K32" s="47">
        <v>44162</v>
      </c>
      <c r="L32" s="46">
        <v>10505</v>
      </c>
      <c r="M32" s="46">
        <v>2</v>
      </c>
    </row>
    <row r="33" spans="2:13" ht="14.1" customHeight="1" x14ac:dyDescent="0.25">
      <c r="B33" s="46" t="str">
        <f t="shared" si="0"/>
        <v>2009-15-312183</v>
      </c>
      <c r="C33" s="47">
        <v>44076</v>
      </c>
      <c r="D33" s="46">
        <v>15</v>
      </c>
      <c r="E33" s="46">
        <v>2</v>
      </c>
      <c r="F33" s="46">
        <v>312183</v>
      </c>
      <c r="G33" s="48" t="s">
        <v>801</v>
      </c>
      <c r="H33" s="47">
        <v>44090</v>
      </c>
      <c r="I33" s="46">
        <v>49728</v>
      </c>
      <c r="J33" s="46">
        <v>2</v>
      </c>
      <c r="K33" s="47">
        <v>44162</v>
      </c>
      <c r="L33" s="46">
        <v>10505</v>
      </c>
      <c r="M33" s="46">
        <v>2</v>
      </c>
    </row>
    <row r="34" spans="2:13" ht="14.1" customHeight="1" x14ac:dyDescent="0.25">
      <c r="B34" s="46" t="str">
        <f t="shared" si="0"/>
        <v>2009-15-312184</v>
      </c>
      <c r="C34" s="47">
        <v>44076</v>
      </c>
      <c r="D34" s="46">
        <v>15</v>
      </c>
      <c r="E34" s="46">
        <v>3</v>
      </c>
      <c r="F34" s="46">
        <v>312184</v>
      </c>
      <c r="G34" s="48" t="s">
        <v>802</v>
      </c>
      <c r="H34" s="47">
        <v>44090</v>
      </c>
      <c r="I34" s="46">
        <v>49728</v>
      </c>
      <c r="J34" s="46">
        <v>3</v>
      </c>
      <c r="K34" s="47">
        <v>44162</v>
      </c>
      <c r="L34" s="46">
        <v>10505</v>
      </c>
      <c r="M34" s="46">
        <v>3</v>
      </c>
    </row>
    <row r="35" spans="2:13" ht="14.1" customHeight="1" x14ac:dyDescent="0.25">
      <c r="B35" s="46" t="str">
        <f t="shared" si="0"/>
        <v>2009-15-312189</v>
      </c>
      <c r="C35" s="47">
        <v>44076</v>
      </c>
      <c r="D35" s="46">
        <v>15</v>
      </c>
      <c r="E35" s="46">
        <v>3</v>
      </c>
      <c r="F35" s="46">
        <v>312189</v>
      </c>
      <c r="G35" s="48" t="s">
        <v>806</v>
      </c>
      <c r="H35" s="47">
        <v>44090</v>
      </c>
      <c r="I35" s="46">
        <v>49728</v>
      </c>
      <c r="J35" s="46">
        <v>3</v>
      </c>
      <c r="K35" s="47">
        <v>44162</v>
      </c>
      <c r="L35" s="46">
        <v>10505</v>
      </c>
      <c r="M35" s="46">
        <v>3</v>
      </c>
    </row>
    <row r="36" spans="2:13" ht="14.1" customHeight="1" x14ac:dyDescent="0.25">
      <c r="B36" s="46" t="str">
        <f t="shared" si="0"/>
        <v>2009-15-312185</v>
      </c>
      <c r="C36" s="47">
        <v>44076</v>
      </c>
      <c r="D36" s="46">
        <v>15</v>
      </c>
      <c r="E36" s="46">
        <v>2</v>
      </c>
      <c r="F36" s="46">
        <v>312185</v>
      </c>
      <c r="G36" s="48" t="s">
        <v>803</v>
      </c>
      <c r="H36" s="47">
        <v>44090</v>
      </c>
      <c r="I36" s="46">
        <v>49728</v>
      </c>
      <c r="J36" s="46">
        <v>2</v>
      </c>
      <c r="K36" s="47">
        <v>44162</v>
      </c>
      <c r="L36" s="46">
        <v>10505</v>
      </c>
      <c r="M36" s="46">
        <v>2</v>
      </c>
    </row>
    <row r="37" spans="2:13" ht="14.1" customHeight="1" x14ac:dyDescent="0.25">
      <c r="B37" s="46" t="str">
        <f t="shared" si="0"/>
        <v>2009-16-203593</v>
      </c>
      <c r="C37" s="47">
        <v>44076</v>
      </c>
      <c r="D37" s="46">
        <v>16</v>
      </c>
      <c r="E37" s="46">
        <v>20000</v>
      </c>
      <c r="F37" s="46">
        <v>203593</v>
      </c>
      <c r="G37" s="48" t="s">
        <v>211</v>
      </c>
      <c r="H37" s="47">
        <v>44076</v>
      </c>
      <c r="I37" s="46">
        <v>49627</v>
      </c>
      <c r="J37" s="46">
        <v>20000</v>
      </c>
      <c r="K37" s="47">
        <v>44076</v>
      </c>
      <c r="L37" s="46">
        <v>9751</v>
      </c>
      <c r="M37" s="46">
        <v>20000</v>
      </c>
    </row>
    <row r="38" spans="2:13" ht="14.1" customHeight="1" x14ac:dyDescent="0.25">
      <c r="B38" s="46" t="str">
        <f t="shared" si="0"/>
        <v>2009-17-315274</v>
      </c>
      <c r="C38" s="47">
        <v>44077</v>
      </c>
      <c r="D38" s="46">
        <v>17</v>
      </c>
      <c r="E38" s="46">
        <v>1</v>
      </c>
      <c r="F38" s="46">
        <v>315274</v>
      </c>
      <c r="G38" s="48" t="s">
        <v>865</v>
      </c>
      <c r="H38" s="47">
        <v>44088</v>
      </c>
      <c r="I38" s="46">
        <v>49688</v>
      </c>
      <c r="J38" s="46">
        <v>1</v>
      </c>
      <c r="K38" s="47">
        <v>44092</v>
      </c>
      <c r="L38" s="46">
        <v>9878</v>
      </c>
      <c r="M38" s="46">
        <v>1</v>
      </c>
    </row>
    <row r="39" spans="2:13" ht="14.1" customHeight="1" x14ac:dyDescent="0.25">
      <c r="B39" s="46" t="str">
        <f t="shared" si="0"/>
        <v>2009-17-315276</v>
      </c>
      <c r="C39" s="47">
        <v>44077</v>
      </c>
      <c r="D39" s="46">
        <v>17</v>
      </c>
      <c r="E39" s="46">
        <v>1</v>
      </c>
      <c r="F39" s="46">
        <v>315276</v>
      </c>
      <c r="G39" s="48" t="s">
        <v>867</v>
      </c>
      <c r="H39" s="47">
        <v>44088</v>
      </c>
      <c r="I39" s="46">
        <v>49688</v>
      </c>
      <c r="J39" s="46">
        <v>1</v>
      </c>
      <c r="K39" s="47">
        <v>44092</v>
      </c>
      <c r="L39" s="46">
        <v>9878</v>
      </c>
      <c r="M39" s="46">
        <v>1</v>
      </c>
    </row>
    <row r="40" spans="2:13" ht="14.1" customHeight="1" x14ac:dyDescent="0.25">
      <c r="B40" s="46" t="str">
        <f t="shared" si="0"/>
        <v>2009-17-200339</v>
      </c>
      <c r="C40" s="47">
        <v>44077</v>
      </c>
      <c r="D40" s="46">
        <v>17</v>
      </c>
      <c r="E40" s="46">
        <v>10</v>
      </c>
      <c r="F40" s="46">
        <v>200339</v>
      </c>
      <c r="G40" s="48" t="s">
        <v>491</v>
      </c>
      <c r="H40" s="47">
        <v>44088</v>
      </c>
      <c r="I40" s="46">
        <v>49688</v>
      </c>
      <c r="J40" s="46">
        <v>10</v>
      </c>
      <c r="K40" s="47">
        <v>44092</v>
      </c>
      <c r="L40" s="46">
        <v>9878</v>
      </c>
      <c r="M40" s="46">
        <v>10</v>
      </c>
    </row>
    <row r="41" spans="2:13" ht="14.1" customHeight="1" x14ac:dyDescent="0.25">
      <c r="B41" s="46" t="str">
        <f t="shared" si="0"/>
        <v>2009-17-203547</v>
      </c>
      <c r="C41" s="47">
        <v>44077</v>
      </c>
      <c r="D41" s="46">
        <v>17</v>
      </c>
      <c r="E41" s="46">
        <v>30</v>
      </c>
      <c r="F41" s="46">
        <v>203547</v>
      </c>
      <c r="G41" s="48" t="s">
        <v>303</v>
      </c>
      <c r="H41" s="47">
        <v>44084</v>
      </c>
      <c r="I41" s="46">
        <v>49682</v>
      </c>
      <c r="J41" s="46">
        <v>30</v>
      </c>
      <c r="K41" s="47">
        <v>44092</v>
      </c>
      <c r="L41" s="46">
        <v>9877</v>
      </c>
      <c r="M41" s="46">
        <v>30</v>
      </c>
    </row>
    <row r="42" spans="2:13" ht="14.1" customHeight="1" x14ac:dyDescent="0.25">
      <c r="B42" s="46" t="str">
        <f t="shared" si="0"/>
        <v>2009-17-311570</v>
      </c>
      <c r="C42" s="47">
        <v>44077</v>
      </c>
      <c r="D42" s="46">
        <v>17</v>
      </c>
      <c r="E42" s="46">
        <v>5</v>
      </c>
      <c r="F42" s="46">
        <v>311570</v>
      </c>
      <c r="G42" s="48" t="s">
        <v>251</v>
      </c>
      <c r="H42" s="47">
        <v>44088</v>
      </c>
      <c r="I42" s="46">
        <v>49688</v>
      </c>
      <c r="J42" s="46">
        <v>5</v>
      </c>
      <c r="K42" s="47">
        <v>44092</v>
      </c>
      <c r="L42" s="46">
        <v>9878</v>
      </c>
      <c r="M42" s="46">
        <v>5</v>
      </c>
    </row>
    <row r="43" spans="2:13" ht="14.1" customHeight="1" x14ac:dyDescent="0.25">
      <c r="B43" s="46" t="str">
        <f t="shared" si="0"/>
        <v>2009-17-315275</v>
      </c>
      <c r="C43" s="47">
        <v>44077</v>
      </c>
      <c r="D43" s="46">
        <v>17</v>
      </c>
      <c r="E43" s="46">
        <v>2</v>
      </c>
      <c r="F43" s="46">
        <v>315275</v>
      </c>
      <c r="G43" s="48" t="s">
        <v>866</v>
      </c>
      <c r="H43" s="47">
        <v>44088</v>
      </c>
      <c r="I43" s="46">
        <v>49688</v>
      </c>
      <c r="J43" s="46">
        <v>2</v>
      </c>
      <c r="K43" s="47">
        <v>44092</v>
      </c>
      <c r="L43" s="46">
        <v>9878</v>
      </c>
      <c r="M43" s="46">
        <v>2</v>
      </c>
    </row>
    <row r="44" spans="2:13" ht="14.1" customHeight="1" x14ac:dyDescent="0.25">
      <c r="B44" s="46" t="str">
        <f t="shared" si="0"/>
        <v>2009-17-304395</v>
      </c>
      <c r="C44" s="47">
        <v>44077</v>
      </c>
      <c r="D44" s="46">
        <v>17</v>
      </c>
      <c r="E44" s="46">
        <v>15</v>
      </c>
      <c r="F44" s="46">
        <v>304395</v>
      </c>
      <c r="G44" s="48" t="s">
        <v>237</v>
      </c>
      <c r="H44" s="47">
        <v>44084</v>
      </c>
      <c r="I44" s="46">
        <v>49682</v>
      </c>
      <c r="J44" s="46">
        <v>15</v>
      </c>
      <c r="K44" s="47">
        <v>44092</v>
      </c>
      <c r="L44" s="46">
        <v>9877</v>
      </c>
      <c r="M44" s="46">
        <v>15</v>
      </c>
    </row>
    <row r="45" spans="2:13" ht="14.1" customHeight="1" x14ac:dyDescent="0.25">
      <c r="B45" s="46" t="str">
        <f t="shared" si="0"/>
        <v>2009-17-105301</v>
      </c>
      <c r="C45" s="47">
        <v>44077</v>
      </c>
      <c r="D45" s="46">
        <v>17</v>
      </c>
      <c r="E45" s="46">
        <v>10</v>
      </c>
      <c r="F45" s="46">
        <v>105301</v>
      </c>
      <c r="G45" s="48" t="s">
        <v>311</v>
      </c>
      <c r="H45" s="47">
        <v>44088</v>
      </c>
      <c r="I45" s="46">
        <v>49688</v>
      </c>
      <c r="J45" s="46">
        <v>10</v>
      </c>
      <c r="K45" s="47">
        <v>44092</v>
      </c>
      <c r="L45" s="46">
        <v>9878</v>
      </c>
      <c r="M45" s="46">
        <v>10</v>
      </c>
    </row>
    <row r="46" spans="2:13" ht="14.1" customHeight="1" x14ac:dyDescent="0.25">
      <c r="B46" s="46" t="str">
        <f t="shared" si="0"/>
        <v>2009-18-106545</v>
      </c>
      <c r="C46" s="47">
        <v>44077</v>
      </c>
      <c r="D46" s="46">
        <v>18</v>
      </c>
      <c r="E46" s="46">
        <v>2</v>
      </c>
      <c r="F46" s="46">
        <v>106545</v>
      </c>
      <c r="G46" s="48" t="s">
        <v>359</v>
      </c>
      <c r="I46" s="46">
        <v>0</v>
      </c>
      <c r="J46" s="46">
        <v>0</v>
      </c>
      <c r="L46" s="46">
        <v>0</v>
      </c>
      <c r="M46" s="46">
        <v>0</v>
      </c>
    </row>
    <row r="47" spans="2:13" ht="14.1" customHeight="1" x14ac:dyDescent="0.25">
      <c r="B47" s="46" t="str">
        <f t="shared" si="0"/>
        <v>2009-18-300424</v>
      </c>
      <c r="C47" s="47">
        <v>44077</v>
      </c>
      <c r="D47" s="46">
        <v>18</v>
      </c>
      <c r="E47" s="46">
        <v>2</v>
      </c>
      <c r="F47" s="46">
        <v>300424</v>
      </c>
      <c r="G47" s="48" t="s">
        <v>368</v>
      </c>
      <c r="I47" s="46">
        <v>0</v>
      </c>
      <c r="J47" s="46">
        <v>0</v>
      </c>
      <c r="L47" s="46">
        <v>0</v>
      </c>
      <c r="M47" s="46">
        <v>0</v>
      </c>
    </row>
    <row r="48" spans="2:13" ht="14.1" customHeight="1" x14ac:dyDescent="0.25">
      <c r="B48" s="46" t="str">
        <f t="shared" si="0"/>
        <v>2009-19-305761</v>
      </c>
      <c r="C48" s="47">
        <v>44077</v>
      </c>
      <c r="D48" s="46">
        <v>19</v>
      </c>
      <c r="E48" s="46">
        <v>200</v>
      </c>
      <c r="F48" s="46">
        <v>305761</v>
      </c>
      <c r="G48" s="48" t="s">
        <v>700</v>
      </c>
      <c r="H48" s="47">
        <v>44097</v>
      </c>
      <c r="I48" s="46">
        <v>49818</v>
      </c>
      <c r="J48" s="46">
        <v>200</v>
      </c>
      <c r="K48" s="47">
        <v>44125</v>
      </c>
      <c r="L48" s="46">
        <v>10141</v>
      </c>
      <c r="M48" s="46">
        <v>200</v>
      </c>
    </row>
    <row r="49" spans="2:13" ht="14.1" customHeight="1" x14ac:dyDescent="0.25">
      <c r="B49" s="46" t="str">
        <f t="shared" si="0"/>
        <v>2009-19-314338</v>
      </c>
      <c r="C49" s="47">
        <v>44077</v>
      </c>
      <c r="D49" s="46">
        <v>19</v>
      </c>
      <c r="E49" s="46">
        <v>2</v>
      </c>
      <c r="F49" s="46">
        <v>314338</v>
      </c>
      <c r="G49" s="48" t="s">
        <v>852</v>
      </c>
      <c r="H49" s="47">
        <v>44097</v>
      </c>
      <c r="I49" s="46">
        <v>49818</v>
      </c>
      <c r="J49" s="46">
        <v>2</v>
      </c>
      <c r="K49" s="47">
        <v>44125</v>
      </c>
      <c r="L49" s="46">
        <v>10141</v>
      </c>
      <c r="M49" s="46">
        <v>2</v>
      </c>
    </row>
    <row r="50" spans="2:13" ht="14.1" customHeight="1" x14ac:dyDescent="0.25">
      <c r="B50" s="46" t="str">
        <f t="shared" si="0"/>
        <v>2009-22-316889</v>
      </c>
      <c r="C50" s="47">
        <v>44077</v>
      </c>
      <c r="D50" s="46">
        <v>22</v>
      </c>
      <c r="E50" s="46">
        <v>1</v>
      </c>
      <c r="F50" s="46">
        <v>316889</v>
      </c>
      <c r="G50" s="48" t="s">
        <v>903</v>
      </c>
      <c r="H50" s="47">
        <v>44084</v>
      </c>
      <c r="I50" s="46">
        <v>49683</v>
      </c>
      <c r="J50" s="46">
        <v>1</v>
      </c>
      <c r="K50" s="47">
        <v>44118</v>
      </c>
      <c r="L50" s="46">
        <v>10088</v>
      </c>
      <c r="M50" s="46">
        <v>1</v>
      </c>
    </row>
    <row r="51" spans="2:13" ht="14.1" customHeight="1" x14ac:dyDescent="0.25">
      <c r="B51" s="46" t="str">
        <f t="shared" si="0"/>
        <v>2009-29-303671</v>
      </c>
      <c r="C51" s="47">
        <v>44078</v>
      </c>
      <c r="D51" s="46">
        <v>29</v>
      </c>
      <c r="E51" s="46">
        <v>1</v>
      </c>
      <c r="F51" s="46">
        <v>303671</v>
      </c>
      <c r="G51" s="48" t="s">
        <v>660</v>
      </c>
      <c r="H51" s="47">
        <v>44175</v>
      </c>
      <c r="I51" s="46">
        <v>50834</v>
      </c>
      <c r="J51" s="46">
        <v>1</v>
      </c>
      <c r="K51" s="47">
        <v>44200</v>
      </c>
      <c r="L51" s="46">
        <v>10794</v>
      </c>
      <c r="M51" s="46">
        <v>1</v>
      </c>
    </row>
    <row r="52" spans="2:13" ht="14.1" customHeight="1" x14ac:dyDescent="0.25">
      <c r="B52" s="46" t="str">
        <f t="shared" si="0"/>
        <v>2009-29-309081</v>
      </c>
      <c r="C52" s="47">
        <v>44078</v>
      </c>
      <c r="D52" s="46">
        <v>29</v>
      </c>
      <c r="E52" s="46">
        <v>1</v>
      </c>
      <c r="F52" s="46">
        <v>309081</v>
      </c>
      <c r="G52" s="48" t="s">
        <v>753</v>
      </c>
      <c r="H52" s="47">
        <v>44175</v>
      </c>
      <c r="I52" s="46">
        <v>50834</v>
      </c>
      <c r="J52" s="46">
        <v>1</v>
      </c>
      <c r="K52" s="47">
        <v>44200</v>
      </c>
      <c r="L52" s="46">
        <v>10794</v>
      </c>
      <c r="M52" s="46">
        <v>1</v>
      </c>
    </row>
    <row r="53" spans="2:13" ht="14.1" customHeight="1" x14ac:dyDescent="0.25">
      <c r="B53" s="46" t="str">
        <f t="shared" si="0"/>
        <v>2009-29-309082</v>
      </c>
      <c r="C53" s="47">
        <v>44078</v>
      </c>
      <c r="D53" s="46">
        <v>29</v>
      </c>
      <c r="E53" s="46">
        <v>2</v>
      </c>
      <c r="F53" s="46">
        <v>309082</v>
      </c>
      <c r="G53" s="48" t="s">
        <v>754</v>
      </c>
      <c r="H53" s="47">
        <v>44175</v>
      </c>
      <c r="I53" s="46">
        <v>50834</v>
      </c>
      <c r="J53" s="46">
        <v>2</v>
      </c>
      <c r="K53" s="47">
        <v>44200</v>
      </c>
      <c r="L53" s="46">
        <v>10794</v>
      </c>
      <c r="M53" s="46">
        <v>2</v>
      </c>
    </row>
    <row r="54" spans="2:13" ht="14.1" customHeight="1" x14ac:dyDescent="0.25">
      <c r="B54" s="46" t="str">
        <f t="shared" si="0"/>
        <v>2009-29-315260</v>
      </c>
      <c r="C54" s="47">
        <v>44078</v>
      </c>
      <c r="D54" s="46">
        <v>29</v>
      </c>
      <c r="E54" s="46">
        <v>40</v>
      </c>
      <c r="F54" s="46">
        <v>315260</v>
      </c>
      <c r="G54" s="48" t="s">
        <v>864</v>
      </c>
      <c r="H54" s="47">
        <v>44175</v>
      </c>
      <c r="I54" s="46">
        <v>50835</v>
      </c>
      <c r="J54" s="46">
        <v>40</v>
      </c>
      <c r="K54" s="47">
        <v>44180</v>
      </c>
      <c r="L54" s="46">
        <v>10693</v>
      </c>
      <c r="M54" s="46">
        <v>40</v>
      </c>
    </row>
    <row r="55" spans="2:13" ht="14.1" customHeight="1" x14ac:dyDescent="0.25">
      <c r="B55" s="46" t="str">
        <f t="shared" si="0"/>
        <v>2009-30-300685</v>
      </c>
      <c r="C55" s="47">
        <v>44078</v>
      </c>
      <c r="D55" s="46">
        <v>30</v>
      </c>
      <c r="E55" s="46">
        <v>2000</v>
      </c>
      <c r="F55" s="46">
        <v>300685</v>
      </c>
      <c r="G55" s="48" t="s">
        <v>108</v>
      </c>
      <c r="H55" s="47">
        <v>44084</v>
      </c>
      <c r="I55" s="46">
        <v>49686</v>
      </c>
      <c r="J55" s="46">
        <v>2000</v>
      </c>
      <c r="K55" s="47">
        <v>44095</v>
      </c>
      <c r="L55" s="46">
        <v>9884</v>
      </c>
      <c r="M55" s="46">
        <v>2000</v>
      </c>
    </row>
    <row r="56" spans="2:13" ht="14.1" customHeight="1" x14ac:dyDescent="0.25">
      <c r="B56" s="46" t="str">
        <f t="shared" si="0"/>
        <v>2009-30-315720</v>
      </c>
      <c r="C56" s="47">
        <v>44078</v>
      </c>
      <c r="D56" s="46">
        <v>30</v>
      </c>
      <c r="E56" s="46">
        <v>2000</v>
      </c>
      <c r="F56" s="46">
        <v>315720</v>
      </c>
      <c r="G56" s="48" t="s">
        <v>105</v>
      </c>
      <c r="H56" s="47">
        <v>44084</v>
      </c>
      <c r="I56" s="46">
        <v>49686</v>
      </c>
      <c r="J56" s="46">
        <v>2000</v>
      </c>
      <c r="K56" s="47">
        <v>44095</v>
      </c>
      <c r="L56" s="46">
        <v>9884</v>
      </c>
      <c r="M56" s="46">
        <v>2000</v>
      </c>
    </row>
    <row r="57" spans="2:13" ht="14.1" customHeight="1" x14ac:dyDescent="0.25">
      <c r="B57" s="46" t="str">
        <f t="shared" si="0"/>
        <v>2009-30-311533</v>
      </c>
      <c r="C57" s="47">
        <v>44078</v>
      </c>
      <c r="D57" s="46">
        <v>30</v>
      </c>
      <c r="E57" s="46">
        <v>2000</v>
      </c>
      <c r="F57" s="46">
        <v>311533</v>
      </c>
      <c r="G57" s="48" t="s">
        <v>106</v>
      </c>
      <c r="H57" s="47">
        <v>44084</v>
      </c>
      <c r="I57" s="46">
        <v>49686</v>
      </c>
      <c r="J57" s="46">
        <v>2000</v>
      </c>
      <c r="K57" s="47">
        <v>44095</v>
      </c>
      <c r="L57" s="46">
        <v>9884</v>
      </c>
      <c r="M57" s="46">
        <v>2000</v>
      </c>
    </row>
    <row r="58" spans="2:13" ht="14.1" customHeight="1" x14ac:dyDescent="0.25">
      <c r="B58" s="46" t="str">
        <f t="shared" si="0"/>
        <v>2009-31-319359</v>
      </c>
      <c r="C58" s="47">
        <v>44078</v>
      </c>
      <c r="D58" s="46">
        <v>31</v>
      </c>
      <c r="E58" s="46">
        <v>2000</v>
      </c>
      <c r="F58" s="46">
        <v>319359</v>
      </c>
      <c r="G58" s="48" t="s">
        <v>210</v>
      </c>
      <c r="H58" s="47">
        <v>44082</v>
      </c>
      <c r="I58" s="46">
        <v>49648</v>
      </c>
      <c r="J58" s="46">
        <v>2000</v>
      </c>
      <c r="K58" s="47">
        <v>44084</v>
      </c>
      <c r="L58" s="46">
        <v>9801</v>
      </c>
      <c r="M58" s="46">
        <v>2000</v>
      </c>
    </row>
    <row r="59" spans="2:13" ht="14.1" customHeight="1" x14ac:dyDescent="0.25">
      <c r="B59" s="46" t="str">
        <f t="shared" si="0"/>
        <v>2009-32-300312</v>
      </c>
      <c r="C59" s="47">
        <v>44078</v>
      </c>
      <c r="D59" s="46">
        <v>32</v>
      </c>
      <c r="E59" s="46">
        <v>750</v>
      </c>
      <c r="F59" s="46">
        <v>300312</v>
      </c>
      <c r="G59" s="48" t="s">
        <v>186</v>
      </c>
      <c r="H59" s="47">
        <v>44105</v>
      </c>
      <c r="I59" s="46">
        <v>49893</v>
      </c>
      <c r="J59" s="46">
        <v>750</v>
      </c>
      <c r="K59" s="47">
        <v>44078</v>
      </c>
      <c r="L59" s="46">
        <v>9774</v>
      </c>
      <c r="M59" s="46">
        <v>500</v>
      </c>
    </row>
    <row r="60" spans="2:13" ht="14.1" customHeight="1" x14ac:dyDescent="0.25">
      <c r="B60" s="46" t="str">
        <f t="shared" si="0"/>
        <v>2009-32-300312</v>
      </c>
      <c r="C60" s="47">
        <v>44078</v>
      </c>
      <c r="D60" s="46">
        <v>32</v>
      </c>
      <c r="E60" s="46">
        <v>750</v>
      </c>
      <c r="F60" s="46">
        <v>300312</v>
      </c>
      <c r="G60" s="48" t="s">
        <v>186</v>
      </c>
      <c r="H60" s="47">
        <v>44105</v>
      </c>
      <c r="I60" s="46">
        <v>49893</v>
      </c>
      <c r="J60" s="46">
        <v>750</v>
      </c>
      <c r="K60" s="47">
        <v>44090</v>
      </c>
      <c r="L60" s="46">
        <v>9853</v>
      </c>
      <c r="M60" s="46">
        <v>250</v>
      </c>
    </row>
    <row r="61" spans="2:13" ht="14.1" customHeight="1" x14ac:dyDescent="0.25">
      <c r="B61" s="46" t="str">
        <f t="shared" si="0"/>
        <v>2009-32-304159</v>
      </c>
      <c r="C61" s="47">
        <v>44078</v>
      </c>
      <c r="D61" s="46">
        <v>32</v>
      </c>
      <c r="E61" s="46">
        <v>1800</v>
      </c>
      <c r="F61" s="46">
        <v>304159</v>
      </c>
      <c r="G61" s="50" t="s">
        <v>152</v>
      </c>
      <c r="H61" s="47">
        <v>44105</v>
      </c>
      <c r="I61" s="46">
        <v>49893</v>
      </c>
      <c r="J61" s="46">
        <v>1800</v>
      </c>
      <c r="K61" s="47">
        <v>44078</v>
      </c>
      <c r="L61" s="46">
        <v>9774</v>
      </c>
      <c r="M61" s="46">
        <v>1800</v>
      </c>
    </row>
    <row r="62" spans="2:13" ht="14.1" customHeight="1" x14ac:dyDescent="0.25">
      <c r="B62" s="46" t="str">
        <f t="shared" si="0"/>
        <v>2009-35-310934</v>
      </c>
      <c r="C62" s="47">
        <v>44081</v>
      </c>
      <c r="D62" s="46">
        <v>35</v>
      </c>
      <c r="E62" s="46">
        <v>1</v>
      </c>
      <c r="F62" s="46">
        <v>310934</v>
      </c>
      <c r="G62" s="50" t="s">
        <v>77</v>
      </c>
      <c r="H62" s="47">
        <v>44109</v>
      </c>
      <c r="I62" s="46">
        <v>49909</v>
      </c>
      <c r="J62" s="46">
        <v>1</v>
      </c>
      <c r="K62" s="47">
        <v>44126</v>
      </c>
      <c r="L62" s="46">
        <v>10169</v>
      </c>
      <c r="M62" s="46">
        <v>1</v>
      </c>
    </row>
    <row r="63" spans="2:13" ht="14.1" customHeight="1" x14ac:dyDescent="0.25">
      <c r="B63" s="46" t="str">
        <f t="shared" si="0"/>
        <v>2009-35-201163</v>
      </c>
      <c r="C63" s="47">
        <v>44081</v>
      </c>
      <c r="D63" s="46">
        <v>35</v>
      </c>
      <c r="E63" s="46">
        <v>5</v>
      </c>
      <c r="F63" s="46">
        <v>201163</v>
      </c>
      <c r="G63" s="50" t="s">
        <v>248</v>
      </c>
      <c r="H63" s="47">
        <v>44109</v>
      </c>
      <c r="I63" s="46">
        <v>49909</v>
      </c>
      <c r="J63" s="46">
        <v>5</v>
      </c>
      <c r="K63" s="47">
        <v>44126</v>
      </c>
      <c r="L63" s="46">
        <v>10169</v>
      </c>
      <c r="M63" s="46">
        <v>5</v>
      </c>
    </row>
    <row r="64" spans="2:13" ht="14.1" customHeight="1" x14ac:dyDescent="0.25">
      <c r="B64" s="46" t="str">
        <f t="shared" si="0"/>
        <v>2009-35-200336</v>
      </c>
      <c r="C64" s="47">
        <v>44081</v>
      </c>
      <c r="D64" s="46">
        <v>35</v>
      </c>
      <c r="E64" s="46">
        <v>3</v>
      </c>
      <c r="F64" s="46">
        <v>200336</v>
      </c>
      <c r="G64" s="50" t="s">
        <v>74</v>
      </c>
      <c r="H64" s="47">
        <v>44109</v>
      </c>
      <c r="I64" s="46">
        <v>49909</v>
      </c>
      <c r="J64" s="46">
        <v>3</v>
      </c>
      <c r="K64" s="47">
        <v>44126</v>
      </c>
      <c r="L64" s="46">
        <v>10169</v>
      </c>
      <c r="M64" s="46">
        <v>3</v>
      </c>
    </row>
    <row r="65" spans="2:15" ht="14.1" customHeight="1" x14ac:dyDescent="0.25">
      <c r="B65" s="46" t="str">
        <f t="shared" si="0"/>
        <v>2009-36-310867</v>
      </c>
      <c r="C65" s="47">
        <v>44081</v>
      </c>
      <c r="D65" s="46">
        <v>36</v>
      </c>
      <c r="E65" s="46">
        <v>30</v>
      </c>
      <c r="F65" s="46">
        <v>310867</v>
      </c>
      <c r="G65" s="48" t="s">
        <v>96</v>
      </c>
      <c r="H65" s="47">
        <v>44084</v>
      </c>
      <c r="I65" s="46">
        <v>49684</v>
      </c>
      <c r="J65" s="46">
        <v>30</v>
      </c>
      <c r="K65" s="47">
        <v>44092</v>
      </c>
      <c r="L65" s="46">
        <v>9879</v>
      </c>
      <c r="M65" s="46">
        <v>30</v>
      </c>
    </row>
    <row r="66" spans="2:15" ht="14.1" customHeight="1" x14ac:dyDescent="0.25">
      <c r="B66" s="46" t="str">
        <f t="shared" si="0"/>
        <v>2009-36-206218</v>
      </c>
      <c r="C66" s="47">
        <v>44081</v>
      </c>
      <c r="D66" s="46">
        <v>36</v>
      </c>
      <c r="E66" s="46">
        <v>4000</v>
      </c>
      <c r="F66" s="46">
        <v>206218</v>
      </c>
      <c r="G66" s="48" t="s">
        <v>213</v>
      </c>
      <c r="H66" s="47">
        <v>44082</v>
      </c>
      <c r="I66" s="46">
        <v>49653</v>
      </c>
      <c r="J66" s="46">
        <v>4000</v>
      </c>
      <c r="K66" s="47">
        <v>44085</v>
      </c>
      <c r="L66" s="46">
        <v>9820</v>
      </c>
      <c r="M66" s="46">
        <v>4000</v>
      </c>
    </row>
    <row r="67" spans="2:15" ht="14.1" customHeight="1" x14ac:dyDescent="0.25">
      <c r="B67" s="46" t="str">
        <f t="shared" si="0"/>
        <v>2009-41-305239</v>
      </c>
      <c r="C67" s="47">
        <v>44082</v>
      </c>
      <c r="D67" s="46">
        <v>41</v>
      </c>
      <c r="E67" s="46">
        <v>4</v>
      </c>
      <c r="F67" s="46">
        <v>305239</v>
      </c>
      <c r="G67" s="48" t="s">
        <v>690</v>
      </c>
      <c r="H67" s="47">
        <v>44082</v>
      </c>
      <c r="I67" s="46">
        <v>49654</v>
      </c>
      <c r="J67" s="46">
        <v>4</v>
      </c>
      <c r="K67" s="47">
        <v>44095</v>
      </c>
      <c r="L67" s="46">
        <v>9890</v>
      </c>
      <c r="M67" s="46">
        <v>4</v>
      </c>
    </row>
    <row r="68" spans="2:15" ht="14.1" customHeight="1" x14ac:dyDescent="0.25">
      <c r="B68" s="46" t="str">
        <f t="shared" si="0"/>
        <v>2009-44-205115</v>
      </c>
      <c r="C68" s="47">
        <v>44082</v>
      </c>
      <c r="D68" s="46">
        <v>44</v>
      </c>
      <c r="E68" s="46">
        <v>1</v>
      </c>
      <c r="F68" s="46">
        <v>205115</v>
      </c>
      <c r="G68" s="48" t="s">
        <v>282</v>
      </c>
      <c r="H68" s="47">
        <v>44096</v>
      </c>
      <c r="I68" s="46">
        <v>49797</v>
      </c>
      <c r="J68" s="46">
        <v>1</v>
      </c>
      <c r="K68" s="47">
        <v>44082</v>
      </c>
      <c r="L68" s="46">
        <v>9791</v>
      </c>
      <c r="M68" s="46">
        <v>1</v>
      </c>
    </row>
    <row r="69" spans="2:15" ht="14.1" customHeight="1" x14ac:dyDescent="0.25">
      <c r="B69" s="46" t="str">
        <f t="shared" si="0"/>
        <v>2009-45-105884</v>
      </c>
      <c r="C69" s="47">
        <v>44082</v>
      </c>
      <c r="D69" s="46">
        <v>45</v>
      </c>
      <c r="E69" s="46">
        <v>1</v>
      </c>
      <c r="F69" s="46">
        <v>105884</v>
      </c>
      <c r="G69" s="48" t="s">
        <v>440</v>
      </c>
      <c r="H69" s="47">
        <v>44077</v>
      </c>
      <c r="I69" s="46">
        <v>49675</v>
      </c>
      <c r="J69" s="46">
        <v>1</v>
      </c>
      <c r="K69" s="47">
        <v>44082</v>
      </c>
      <c r="L69" s="46">
        <v>9792</v>
      </c>
      <c r="M69" s="46">
        <v>1</v>
      </c>
    </row>
    <row r="70" spans="2:15" ht="14.1" customHeight="1" x14ac:dyDescent="0.25">
      <c r="B70" s="46" t="str">
        <f t="shared" si="0"/>
        <v>2009-45-315856</v>
      </c>
      <c r="C70" s="47">
        <v>44082</v>
      </c>
      <c r="D70" s="46">
        <v>45</v>
      </c>
      <c r="E70" s="46">
        <v>12</v>
      </c>
      <c r="F70" s="46">
        <v>315856</v>
      </c>
      <c r="G70" s="48" t="s">
        <v>886</v>
      </c>
      <c r="H70" s="47">
        <v>44077</v>
      </c>
      <c r="I70" s="46">
        <v>49675</v>
      </c>
      <c r="J70" s="46">
        <v>12</v>
      </c>
      <c r="K70" s="47">
        <v>44082</v>
      </c>
      <c r="L70" s="46">
        <v>9792</v>
      </c>
      <c r="M70" s="46">
        <v>12</v>
      </c>
    </row>
    <row r="71" spans="2:15" ht="14.1" customHeight="1" x14ac:dyDescent="0.25">
      <c r="B71" s="46" t="str">
        <f t="shared" si="0"/>
        <v>2009-45-312931</v>
      </c>
      <c r="C71" s="47">
        <v>44082</v>
      </c>
      <c r="D71" s="46">
        <v>45</v>
      </c>
      <c r="E71" s="46">
        <v>1</v>
      </c>
      <c r="F71" s="46">
        <v>312931</v>
      </c>
      <c r="G71" s="48" t="s">
        <v>824</v>
      </c>
      <c r="H71" s="47">
        <v>44077</v>
      </c>
      <c r="I71" s="46">
        <v>49675</v>
      </c>
      <c r="J71" s="46">
        <v>1</v>
      </c>
      <c r="K71" s="47">
        <v>44082</v>
      </c>
      <c r="L71" s="46">
        <v>9792</v>
      </c>
      <c r="M71" s="46">
        <v>1</v>
      </c>
    </row>
    <row r="72" spans="2:15" ht="14.1" customHeight="1" x14ac:dyDescent="0.25">
      <c r="B72" s="46" t="str">
        <f t="shared" si="0"/>
        <v>2009-45-105883</v>
      </c>
      <c r="C72" s="47">
        <v>44082</v>
      </c>
      <c r="D72" s="46">
        <v>45</v>
      </c>
      <c r="E72" s="46">
        <v>4</v>
      </c>
      <c r="F72" s="46">
        <v>105883</v>
      </c>
      <c r="G72" s="48" t="s">
        <v>439</v>
      </c>
      <c r="H72" s="47">
        <v>44077</v>
      </c>
      <c r="I72" s="46">
        <v>49675</v>
      </c>
      <c r="J72" s="46">
        <v>4</v>
      </c>
      <c r="K72" s="47">
        <v>44082</v>
      </c>
      <c r="L72" s="46">
        <v>9792</v>
      </c>
      <c r="M72" s="46">
        <v>4</v>
      </c>
    </row>
    <row r="73" spans="2:15" ht="14.1" customHeight="1" x14ac:dyDescent="0.25">
      <c r="B73" s="46" t="str">
        <f t="shared" si="0"/>
        <v>2009-45-300601</v>
      </c>
      <c r="C73" s="47">
        <v>44082</v>
      </c>
      <c r="D73" s="46">
        <v>45</v>
      </c>
      <c r="E73" s="46">
        <v>6</v>
      </c>
      <c r="F73" s="46">
        <v>300601</v>
      </c>
      <c r="G73" s="48" t="s">
        <v>604</v>
      </c>
      <c r="H73" s="47">
        <v>44077</v>
      </c>
      <c r="I73" s="46">
        <v>49675</v>
      </c>
      <c r="J73" s="46">
        <v>6</v>
      </c>
      <c r="K73" s="47">
        <v>44082</v>
      </c>
      <c r="L73" s="46">
        <v>9792</v>
      </c>
      <c r="M73" s="46">
        <v>6</v>
      </c>
    </row>
    <row r="74" spans="2:15" ht="14.1" customHeight="1" x14ac:dyDescent="0.25">
      <c r="B74" s="46" t="str">
        <f t="shared" si="0"/>
        <v>2009-46-313502</v>
      </c>
      <c r="C74" s="47">
        <v>44082</v>
      </c>
      <c r="D74" s="46">
        <v>46</v>
      </c>
      <c r="E74" s="46">
        <v>1</v>
      </c>
      <c r="F74" s="46">
        <v>313502</v>
      </c>
      <c r="G74" s="48" t="s">
        <v>835</v>
      </c>
      <c r="H74" s="47">
        <v>44082</v>
      </c>
      <c r="I74" s="46">
        <v>49652</v>
      </c>
      <c r="J74" s="46">
        <v>1</v>
      </c>
      <c r="K74" s="47">
        <v>44083</v>
      </c>
      <c r="L74" s="46">
        <v>9793</v>
      </c>
      <c r="M74" s="46">
        <v>1</v>
      </c>
    </row>
    <row r="75" spans="2:15" ht="14.1" customHeight="1" x14ac:dyDescent="0.25">
      <c r="B75" s="46" t="str">
        <f t="shared" si="0"/>
        <v>2009-46-204842</v>
      </c>
      <c r="C75" s="47">
        <v>44082</v>
      </c>
      <c r="D75" s="46">
        <v>46</v>
      </c>
      <c r="E75" s="46">
        <v>2</v>
      </c>
      <c r="F75" s="46">
        <v>204842</v>
      </c>
      <c r="G75" s="48" t="s">
        <v>546</v>
      </c>
      <c r="H75" s="47">
        <v>44082</v>
      </c>
      <c r="I75" s="46">
        <v>49652</v>
      </c>
      <c r="J75" s="46">
        <v>2</v>
      </c>
      <c r="K75" s="47">
        <v>44083</v>
      </c>
      <c r="L75" s="46">
        <v>9793</v>
      </c>
      <c r="M75" s="46">
        <v>2</v>
      </c>
    </row>
    <row r="76" spans="2:15" ht="14.1" customHeight="1" x14ac:dyDescent="0.25">
      <c r="B76" s="46" t="str">
        <f t="shared" ref="B76:B139" si="1">TEXT(C76,"yy") &amp; TEXT(C76,"mm") &amp;"-"&amp;(D76) &amp;"-"&amp;(F76)</f>
        <v>2009-46-313501</v>
      </c>
      <c r="C76" s="47">
        <v>44082</v>
      </c>
      <c r="D76" s="46">
        <v>46</v>
      </c>
      <c r="E76" s="46">
        <v>1</v>
      </c>
      <c r="F76" s="46">
        <v>313501</v>
      </c>
      <c r="G76" s="48" t="s">
        <v>834</v>
      </c>
      <c r="H76" s="47">
        <v>44082</v>
      </c>
      <c r="I76" s="46">
        <v>49652</v>
      </c>
      <c r="J76" s="46">
        <v>1</v>
      </c>
      <c r="K76" s="47">
        <v>44083</v>
      </c>
      <c r="L76" s="46">
        <v>9793</v>
      </c>
      <c r="M76" s="46">
        <v>1</v>
      </c>
    </row>
    <row r="77" spans="2:15" ht="14.1" customHeight="1" x14ac:dyDescent="0.25">
      <c r="B77" s="46" t="str">
        <f t="shared" si="1"/>
        <v>2009-47-205829</v>
      </c>
      <c r="C77" s="47">
        <v>44082</v>
      </c>
      <c r="D77" s="46">
        <v>47</v>
      </c>
      <c r="E77" s="46">
        <v>16</v>
      </c>
      <c r="F77" s="46">
        <v>205829</v>
      </c>
      <c r="G77" s="48" t="s">
        <v>571</v>
      </c>
      <c r="H77" s="47">
        <v>44084</v>
      </c>
      <c r="I77" s="46">
        <v>49671</v>
      </c>
      <c r="J77" s="46">
        <v>16</v>
      </c>
      <c r="K77" s="47">
        <v>44084</v>
      </c>
      <c r="L77" s="46">
        <v>9802</v>
      </c>
      <c r="M77" s="46">
        <v>16</v>
      </c>
      <c r="O77" s="48">
        <f>25*30</f>
        <v>750</v>
      </c>
    </row>
    <row r="78" spans="2:15" ht="14.1" customHeight="1" x14ac:dyDescent="0.25">
      <c r="B78" s="46" t="str">
        <f t="shared" si="1"/>
        <v>2009-47-303324</v>
      </c>
      <c r="C78" s="47">
        <v>44082</v>
      </c>
      <c r="D78" s="46">
        <v>47</v>
      </c>
      <c r="E78" s="46">
        <v>16</v>
      </c>
      <c r="F78" s="46">
        <v>303324</v>
      </c>
      <c r="G78" s="48" t="s">
        <v>654</v>
      </c>
      <c r="H78" s="47">
        <v>44084</v>
      </c>
      <c r="I78" s="46">
        <v>49671</v>
      </c>
      <c r="J78" s="46">
        <v>16</v>
      </c>
      <c r="K78" s="47">
        <v>44084</v>
      </c>
      <c r="L78" s="46">
        <v>9802</v>
      </c>
      <c r="M78" s="46">
        <v>16</v>
      </c>
    </row>
    <row r="79" spans="2:15" ht="14.1" customHeight="1" x14ac:dyDescent="0.25">
      <c r="B79" s="46" t="str">
        <f t="shared" si="1"/>
        <v>2009-47-315729</v>
      </c>
      <c r="C79" s="47">
        <v>44082</v>
      </c>
      <c r="D79" s="46">
        <v>47</v>
      </c>
      <c r="E79" s="46">
        <v>2</v>
      </c>
      <c r="F79" s="46">
        <v>315729</v>
      </c>
      <c r="G79" s="48" t="s">
        <v>882</v>
      </c>
      <c r="I79" s="46">
        <v>0</v>
      </c>
      <c r="J79" s="46">
        <v>0</v>
      </c>
      <c r="L79" s="46">
        <v>0</v>
      </c>
      <c r="M79" s="46">
        <v>0</v>
      </c>
    </row>
    <row r="80" spans="2:15" ht="14.1" customHeight="1" x14ac:dyDescent="0.25">
      <c r="B80" s="46" t="str">
        <f t="shared" si="1"/>
        <v>2009-47-307100</v>
      </c>
      <c r="C80" s="47">
        <v>44082</v>
      </c>
      <c r="D80" s="46">
        <v>47</v>
      </c>
      <c r="E80" s="46">
        <v>40</v>
      </c>
      <c r="F80" s="46">
        <v>307100</v>
      </c>
      <c r="G80" s="48" t="s">
        <v>721</v>
      </c>
      <c r="H80" s="47">
        <v>44084</v>
      </c>
      <c r="I80" s="46">
        <v>49671</v>
      </c>
      <c r="J80" s="46">
        <v>40</v>
      </c>
      <c r="K80" s="47">
        <v>44084</v>
      </c>
      <c r="L80" s="46">
        <v>9802</v>
      </c>
      <c r="M80" s="46">
        <v>40</v>
      </c>
    </row>
    <row r="81" spans="2:13" ht="14.1" customHeight="1" x14ac:dyDescent="0.25">
      <c r="B81" s="46" t="str">
        <f t="shared" si="1"/>
        <v>2009-48-320185</v>
      </c>
      <c r="C81" s="47">
        <v>44082</v>
      </c>
      <c r="D81" s="46">
        <v>48</v>
      </c>
      <c r="E81" s="46">
        <v>1</v>
      </c>
      <c r="F81" s="46">
        <v>320185</v>
      </c>
      <c r="G81" s="48" t="s">
        <v>953</v>
      </c>
      <c r="H81" s="47">
        <v>44105</v>
      </c>
      <c r="I81" s="46">
        <v>49895</v>
      </c>
      <c r="J81" s="46">
        <v>1</v>
      </c>
      <c r="L81" s="46">
        <v>0</v>
      </c>
      <c r="M81" s="46">
        <v>0</v>
      </c>
    </row>
    <row r="82" spans="2:13" ht="14.1" customHeight="1" x14ac:dyDescent="0.25">
      <c r="B82" s="46" t="str">
        <f t="shared" si="1"/>
        <v>2009-49-205957</v>
      </c>
      <c r="C82" s="47">
        <v>44082</v>
      </c>
      <c r="D82" s="46">
        <v>49</v>
      </c>
      <c r="E82" s="46">
        <v>4</v>
      </c>
      <c r="F82" s="46">
        <v>205957</v>
      </c>
      <c r="G82" s="48" t="s">
        <v>43</v>
      </c>
      <c r="H82" s="47">
        <v>44096</v>
      </c>
      <c r="I82" s="46">
        <v>49798</v>
      </c>
      <c r="J82" s="46">
        <v>4</v>
      </c>
      <c r="K82" s="47">
        <v>44104</v>
      </c>
      <c r="L82" s="46">
        <v>9981</v>
      </c>
      <c r="M82" s="46">
        <v>4</v>
      </c>
    </row>
    <row r="83" spans="2:13" ht="14.1" customHeight="1" x14ac:dyDescent="0.25">
      <c r="B83" s="46" t="str">
        <f t="shared" si="1"/>
        <v>2009-49-320184</v>
      </c>
      <c r="C83" s="47">
        <v>44082</v>
      </c>
      <c r="D83" s="46">
        <v>49</v>
      </c>
      <c r="E83" s="46">
        <v>2</v>
      </c>
      <c r="F83" s="46">
        <v>320184</v>
      </c>
      <c r="G83" s="48" t="s">
        <v>954</v>
      </c>
      <c r="H83" s="47">
        <v>44096</v>
      </c>
      <c r="I83" s="46">
        <v>49798</v>
      </c>
      <c r="J83" s="46">
        <v>2</v>
      </c>
      <c r="K83" s="47">
        <v>44104</v>
      </c>
      <c r="L83" s="46">
        <v>9981</v>
      </c>
      <c r="M83" s="46">
        <v>1</v>
      </c>
    </row>
    <row r="84" spans="2:13" ht="14.1" customHeight="1" x14ac:dyDescent="0.25">
      <c r="B84" s="46" t="str">
        <f t="shared" si="1"/>
        <v>2009-49-320184</v>
      </c>
      <c r="C84" s="47">
        <v>44082</v>
      </c>
      <c r="D84" s="46">
        <v>49</v>
      </c>
      <c r="E84" s="46">
        <v>2</v>
      </c>
      <c r="F84" s="46">
        <v>320184</v>
      </c>
      <c r="G84" s="48" t="s">
        <v>954</v>
      </c>
      <c r="H84" s="47">
        <v>44096</v>
      </c>
      <c r="I84" s="46">
        <v>49798</v>
      </c>
      <c r="J84" s="46">
        <v>2</v>
      </c>
      <c r="K84" s="47">
        <v>44119</v>
      </c>
      <c r="L84" s="46">
        <v>10103</v>
      </c>
      <c r="M84" s="46">
        <v>1</v>
      </c>
    </row>
    <row r="85" spans="2:13" ht="14.1" customHeight="1" x14ac:dyDescent="0.25">
      <c r="B85" s="46" t="str">
        <f t="shared" si="1"/>
        <v>2009-50-320187</v>
      </c>
      <c r="C85" s="47">
        <v>44083</v>
      </c>
      <c r="D85" s="46">
        <v>50</v>
      </c>
      <c r="E85" s="46">
        <v>4</v>
      </c>
      <c r="F85" s="46">
        <v>320187</v>
      </c>
      <c r="G85" s="48" t="s">
        <v>955</v>
      </c>
      <c r="H85" s="47">
        <v>44096</v>
      </c>
      <c r="I85" s="46">
        <v>49811</v>
      </c>
      <c r="J85" s="46">
        <v>4</v>
      </c>
      <c r="K85" s="47">
        <v>44104</v>
      </c>
      <c r="L85" s="46">
        <v>9995</v>
      </c>
      <c r="M85" s="46">
        <v>4</v>
      </c>
    </row>
    <row r="86" spans="2:13" ht="14.1" customHeight="1" x14ac:dyDescent="0.25">
      <c r="B86" s="46" t="str">
        <f t="shared" si="1"/>
        <v>2009-51-319608</v>
      </c>
      <c r="C86" s="47">
        <v>44083</v>
      </c>
      <c r="D86" s="46">
        <v>51</v>
      </c>
      <c r="E86" s="46">
        <v>50</v>
      </c>
      <c r="F86" s="46">
        <v>319608</v>
      </c>
      <c r="G86" s="48" t="s">
        <v>230</v>
      </c>
      <c r="H86" s="47">
        <v>44091</v>
      </c>
      <c r="I86" s="46">
        <v>49732</v>
      </c>
      <c r="J86" s="46">
        <v>50</v>
      </c>
      <c r="K86" s="47">
        <v>44104</v>
      </c>
      <c r="L86" s="46">
        <v>9971</v>
      </c>
      <c r="M86" s="46">
        <v>50</v>
      </c>
    </row>
    <row r="87" spans="2:13" ht="14.1" customHeight="1" x14ac:dyDescent="0.25">
      <c r="B87" s="46" t="str">
        <f t="shared" si="1"/>
        <v>2009-52-310416</v>
      </c>
      <c r="C87" s="47">
        <v>44083</v>
      </c>
      <c r="D87" s="46">
        <v>52</v>
      </c>
      <c r="E87" s="46">
        <v>30</v>
      </c>
      <c r="F87" s="46">
        <v>310416</v>
      </c>
      <c r="G87" s="48" t="s">
        <v>240</v>
      </c>
      <c r="H87" s="47">
        <v>44091</v>
      </c>
      <c r="I87" s="46">
        <v>49737</v>
      </c>
      <c r="J87" s="46">
        <v>30</v>
      </c>
      <c r="K87" s="47">
        <v>44110</v>
      </c>
      <c r="L87" s="46">
        <v>10019</v>
      </c>
      <c r="M87" s="46">
        <v>30</v>
      </c>
    </row>
    <row r="88" spans="2:13" ht="14.1" customHeight="1" x14ac:dyDescent="0.25">
      <c r="B88" s="46" t="str">
        <f t="shared" si="1"/>
        <v>2009-52-201460</v>
      </c>
      <c r="C88" s="47">
        <v>44083</v>
      </c>
      <c r="D88" s="46">
        <v>52</v>
      </c>
      <c r="E88" s="46">
        <v>30</v>
      </c>
      <c r="F88" s="46">
        <v>201460</v>
      </c>
      <c r="G88" s="48" t="s">
        <v>298</v>
      </c>
      <c r="H88" s="47">
        <v>44091</v>
      </c>
      <c r="I88" s="46">
        <v>49737</v>
      </c>
      <c r="J88" s="46">
        <v>30</v>
      </c>
      <c r="K88" s="47">
        <v>44110</v>
      </c>
      <c r="L88" s="46">
        <v>10019</v>
      </c>
      <c r="M88" s="46">
        <v>30</v>
      </c>
    </row>
    <row r="89" spans="2:13" ht="14.1" customHeight="1" x14ac:dyDescent="0.25">
      <c r="B89" s="46" t="str">
        <f t="shared" si="1"/>
        <v>2009-52-105574</v>
      </c>
      <c r="C89" s="47">
        <v>44083</v>
      </c>
      <c r="D89" s="46">
        <v>52</v>
      </c>
      <c r="E89" s="46">
        <v>50</v>
      </c>
      <c r="F89" s="46">
        <v>105574</v>
      </c>
      <c r="G89" s="48" t="s">
        <v>434</v>
      </c>
      <c r="H89" s="47">
        <v>44092</v>
      </c>
      <c r="I89" s="46">
        <v>49753</v>
      </c>
      <c r="J89" s="46">
        <v>50</v>
      </c>
      <c r="K89" s="47">
        <v>44158</v>
      </c>
      <c r="L89" s="46">
        <v>10449</v>
      </c>
      <c r="M89" s="46">
        <v>50</v>
      </c>
    </row>
    <row r="90" spans="2:13" ht="14.1" customHeight="1" x14ac:dyDescent="0.25">
      <c r="B90" s="46" t="str">
        <f t="shared" si="1"/>
        <v>2009-56-308976</v>
      </c>
      <c r="C90" s="47">
        <v>44083</v>
      </c>
      <c r="D90" s="46">
        <v>56</v>
      </c>
      <c r="E90" s="46">
        <v>40</v>
      </c>
      <c r="F90" s="46">
        <v>308976</v>
      </c>
      <c r="G90" s="48" t="s">
        <v>750</v>
      </c>
      <c r="H90" s="47">
        <v>44148</v>
      </c>
      <c r="I90" s="46">
        <v>50488</v>
      </c>
      <c r="J90" s="46">
        <v>40</v>
      </c>
      <c r="K90" s="47">
        <v>44173</v>
      </c>
      <c r="L90" s="46">
        <v>10618</v>
      </c>
      <c r="M90" s="46">
        <v>40</v>
      </c>
    </row>
    <row r="91" spans="2:13" ht="14.1" customHeight="1" x14ac:dyDescent="0.25">
      <c r="B91" s="46" t="str">
        <f t="shared" si="1"/>
        <v>2009-56-313289</v>
      </c>
      <c r="C91" s="47">
        <v>44083</v>
      </c>
      <c r="D91" s="46">
        <v>56</v>
      </c>
      <c r="E91" s="46">
        <v>2</v>
      </c>
      <c r="F91" s="46">
        <v>313289</v>
      </c>
      <c r="G91" s="48" t="s">
        <v>181</v>
      </c>
      <c r="H91" s="47">
        <v>44148</v>
      </c>
      <c r="I91" s="46">
        <v>50488</v>
      </c>
      <c r="J91" s="46">
        <v>2</v>
      </c>
      <c r="K91" s="47">
        <v>44173</v>
      </c>
      <c r="L91" s="46">
        <v>10618</v>
      </c>
      <c r="M91" s="46">
        <v>2</v>
      </c>
    </row>
    <row r="92" spans="2:13" ht="14.1" customHeight="1" x14ac:dyDescent="0.25">
      <c r="B92" s="46" t="str">
        <f t="shared" si="1"/>
        <v>2009-56-313470</v>
      </c>
      <c r="C92" s="47">
        <v>44083</v>
      </c>
      <c r="D92" s="46">
        <v>56</v>
      </c>
      <c r="E92" s="46">
        <v>2</v>
      </c>
      <c r="F92" s="46">
        <v>313470</v>
      </c>
      <c r="G92" s="48" t="s">
        <v>353</v>
      </c>
      <c r="H92" s="47">
        <v>44148</v>
      </c>
      <c r="I92" s="46">
        <v>50488</v>
      </c>
      <c r="J92" s="46">
        <v>2</v>
      </c>
      <c r="K92" s="47">
        <v>44173</v>
      </c>
      <c r="L92" s="46">
        <v>10618</v>
      </c>
      <c r="M92" s="46">
        <v>2</v>
      </c>
    </row>
    <row r="93" spans="2:13" ht="14.1" customHeight="1" x14ac:dyDescent="0.25">
      <c r="B93" s="46" t="str">
        <f t="shared" si="1"/>
        <v>2009-58-203506</v>
      </c>
      <c r="C93" s="47">
        <v>44083</v>
      </c>
      <c r="D93" s="46">
        <v>58</v>
      </c>
      <c r="E93" s="46">
        <v>1</v>
      </c>
      <c r="F93" s="46">
        <v>203506</v>
      </c>
      <c r="G93" s="48" t="s">
        <v>514</v>
      </c>
      <c r="H93" s="47">
        <v>44083</v>
      </c>
      <c r="I93" s="46">
        <v>49784</v>
      </c>
      <c r="J93" s="46">
        <v>1</v>
      </c>
      <c r="K93" s="47">
        <v>44096</v>
      </c>
      <c r="L93" s="46">
        <v>9902</v>
      </c>
      <c r="M93" s="46">
        <v>1</v>
      </c>
    </row>
    <row r="94" spans="2:13" ht="14.1" customHeight="1" x14ac:dyDescent="0.25">
      <c r="B94" s="46" t="str">
        <f t="shared" si="1"/>
        <v>2009-58-302645</v>
      </c>
      <c r="C94" s="47">
        <v>44083</v>
      </c>
      <c r="D94" s="46">
        <v>58</v>
      </c>
      <c r="E94" s="46">
        <v>1</v>
      </c>
      <c r="F94" s="46">
        <v>302645</v>
      </c>
      <c r="G94" s="48" t="s">
        <v>643</v>
      </c>
      <c r="H94" s="47">
        <v>44083</v>
      </c>
      <c r="I94" s="46">
        <v>49784</v>
      </c>
      <c r="J94" s="46">
        <v>1</v>
      </c>
      <c r="K94" s="47">
        <v>44096</v>
      </c>
      <c r="L94" s="46">
        <v>9902</v>
      </c>
      <c r="M94" s="46">
        <v>1</v>
      </c>
    </row>
    <row r="95" spans="2:13" ht="14.1" customHeight="1" x14ac:dyDescent="0.25">
      <c r="B95" s="46" t="str">
        <f t="shared" si="1"/>
        <v>2009-58-315574</v>
      </c>
      <c r="C95" s="47">
        <v>44083</v>
      </c>
      <c r="D95" s="46">
        <v>58</v>
      </c>
      <c r="E95" s="46">
        <v>1</v>
      </c>
      <c r="F95" s="46">
        <v>315574</v>
      </c>
      <c r="G95" s="48" t="s">
        <v>880</v>
      </c>
      <c r="H95" s="47">
        <v>44083</v>
      </c>
      <c r="I95" s="46">
        <v>49784</v>
      </c>
      <c r="J95" s="46">
        <v>1</v>
      </c>
      <c r="K95" s="47">
        <v>44096</v>
      </c>
      <c r="L95" s="46">
        <v>9902</v>
      </c>
      <c r="M95" s="46">
        <v>1</v>
      </c>
    </row>
    <row r="96" spans="2:13" ht="14.1" customHeight="1" x14ac:dyDescent="0.25">
      <c r="B96" s="46" t="str">
        <f t="shared" si="1"/>
        <v>2009-58-311393</v>
      </c>
      <c r="C96" s="47">
        <v>44083</v>
      </c>
      <c r="D96" s="46">
        <v>58</v>
      </c>
      <c r="E96" s="46">
        <v>1</v>
      </c>
      <c r="F96" s="46">
        <v>311393</v>
      </c>
      <c r="G96" s="48" t="s">
        <v>334</v>
      </c>
      <c r="H96" s="47">
        <v>44083</v>
      </c>
      <c r="I96" s="46">
        <v>49784</v>
      </c>
      <c r="J96" s="46">
        <v>1</v>
      </c>
      <c r="K96" s="47">
        <v>44096</v>
      </c>
      <c r="L96" s="46">
        <v>9902</v>
      </c>
      <c r="M96" s="46">
        <v>1</v>
      </c>
    </row>
    <row r="97" spans="2:13" ht="14.1" customHeight="1" x14ac:dyDescent="0.25">
      <c r="B97" s="46" t="str">
        <f t="shared" si="1"/>
        <v>2009-59-319688</v>
      </c>
      <c r="C97" s="47">
        <v>44084</v>
      </c>
      <c r="D97" s="46">
        <v>59</v>
      </c>
      <c r="E97" s="46">
        <v>2000</v>
      </c>
      <c r="F97" s="46">
        <v>319688</v>
      </c>
      <c r="G97" s="48" t="s">
        <v>281</v>
      </c>
      <c r="H97" s="47">
        <v>44089</v>
      </c>
      <c r="I97" s="46">
        <v>49727</v>
      </c>
      <c r="J97" s="46">
        <v>2000</v>
      </c>
      <c r="K97" s="47">
        <v>44092</v>
      </c>
      <c r="L97" s="46">
        <v>9874</v>
      </c>
      <c r="M97" s="46">
        <v>2000</v>
      </c>
    </row>
    <row r="98" spans="2:13" ht="14.1" customHeight="1" x14ac:dyDescent="0.25">
      <c r="B98" s="46" t="str">
        <f t="shared" si="1"/>
        <v>2009-60-319359</v>
      </c>
      <c r="C98" s="47">
        <v>44084</v>
      </c>
      <c r="D98" s="46">
        <v>60</v>
      </c>
      <c r="E98" s="46">
        <v>2000</v>
      </c>
      <c r="F98" s="46">
        <v>319359</v>
      </c>
      <c r="G98" s="50" t="s">
        <v>210</v>
      </c>
      <c r="H98" s="47">
        <v>44095</v>
      </c>
      <c r="I98" s="46">
        <v>49779</v>
      </c>
      <c r="J98" s="46">
        <v>2000</v>
      </c>
      <c r="K98" s="47">
        <v>44098</v>
      </c>
      <c r="L98" s="46">
        <v>9920</v>
      </c>
      <c r="M98" s="46">
        <v>2000</v>
      </c>
    </row>
    <row r="99" spans="2:13" ht="14.1" customHeight="1" x14ac:dyDescent="0.25">
      <c r="B99" s="46" t="str">
        <f t="shared" si="1"/>
        <v>2009-61-204542</v>
      </c>
      <c r="C99" s="47">
        <v>44084</v>
      </c>
      <c r="D99" s="46">
        <v>61</v>
      </c>
      <c r="E99" s="46">
        <v>30</v>
      </c>
      <c r="F99" s="46">
        <v>204542</v>
      </c>
      <c r="G99" s="48" t="s">
        <v>148</v>
      </c>
      <c r="H99" s="47">
        <v>44084</v>
      </c>
      <c r="I99" s="46">
        <v>49679</v>
      </c>
      <c r="J99" s="46">
        <v>30</v>
      </c>
      <c r="K99" s="47">
        <v>44095</v>
      </c>
      <c r="L99" s="46">
        <v>9885</v>
      </c>
      <c r="M99" s="46">
        <v>30</v>
      </c>
    </row>
    <row r="100" spans="2:13" ht="14.1" customHeight="1" x14ac:dyDescent="0.25">
      <c r="B100" s="46" t="str">
        <f t="shared" si="1"/>
        <v>2009-61-310416</v>
      </c>
      <c r="C100" s="47">
        <v>44084</v>
      </c>
      <c r="D100" s="46">
        <v>61</v>
      </c>
      <c r="E100" s="46">
        <v>30</v>
      </c>
      <c r="F100" s="46">
        <v>310416</v>
      </c>
      <c r="G100" s="48" t="s">
        <v>240</v>
      </c>
      <c r="H100" s="47">
        <v>44084</v>
      </c>
      <c r="I100" s="46">
        <v>49678</v>
      </c>
      <c r="J100" s="46">
        <v>30</v>
      </c>
      <c r="K100" s="47">
        <v>44092</v>
      </c>
      <c r="L100" s="46">
        <v>9872</v>
      </c>
      <c r="M100" s="46">
        <v>30</v>
      </c>
    </row>
    <row r="101" spans="2:13" ht="14.1" customHeight="1" x14ac:dyDescent="0.25">
      <c r="B101" s="46" t="str">
        <f t="shared" si="1"/>
        <v>2009-61-201003</v>
      </c>
      <c r="C101" s="47">
        <v>44084</v>
      </c>
      <c r="D101" s="46">
        <v>61</v>
      </c>
      <c r="E101" s="46">
        <v>30</v>
      </c>
      <c r="F101" s="46">
        <v>201003</v>
      </c>
      <c r="G101" s="48" t="s">
        <v>110</v>
      </c>
      <c r="H101" s="47">
        <v>44084</v>
      </c>
      <c r="I101" s="46">
        <v>49679</v>
      </c>
      <c r="J101" s="46">
        <v>30</v>
      </c>
      <c r="K101" s="47">
        <v>44095</v>
      </c>
      <c r="L101" s="46">
        <v>9885</v>
      </c>
      <c r="M101" s="46">
        <v>30</v>
      </c>
    </row>
    <row r="102" spans="2:13" ht="14.1" customHeight="1" x14ac:dyDescent="0.25">
      <c r="B102" s="46" t="str">
        <f t="shared" si="1"/>
        <v>2009-62-320188</v>
      </c>
      <c r="C102" s="47">
        <v>44084</v>
      </c>
      <c r="D102" s="46">
        <v>62</v>
      </c>
      <c r="E102" s="46">
        <v>1</v>
      </c>
      <c r="F102" s="46">
        <v>320188</v>
      </c>
      <c r="G102" s="48" t="s">
        <v>956</v>
      </c>
      <c r="I102" s="46">
        <v>0</v>
      </c>
      <c r="J102" s="46">
        <v>0</v>
      </c>
      <c r="L102" s="46">
        <v>0</v>
      </c>
      <c r="M102" s="46">
        <v>0</v>
      </c>
    </row>
    <row r="103" spans="2:13" ht="14.1" customHeight="1" x14ac:dyDescent="0.25">
      <c r="B103" s="46" t="str">
        <f t="shared" si="1"/>
        <v>2009-63-100603</v>
      </c>
      <c r="C103" s="47">
        <v>44084</v>
      </c>
      <c r="D103" s="46">
        <v>63</v>
      </c>
      <c r="E103" s="46">
        <v>12</v>
      </c>
      <c r="F103" s="46">
        <v>100603</v>
      </c>
      <c r="G103" s="48" t="s">
        <v>56</v>
      </c>
      <c r="H103" s="47">
        <v>44148</v>
      </c>
      <c r="I103" s="46">
        <v>50493</v>
      </c>
      <c r="J103" s="46">
        <v>12</v>
      </c>
      <c r="K103" s="47">
        <v>44099</v>
      </c>
      <c r="L103" s="46">
        <v>9940</v>
      </c>
      <c r="M103" s="46">
        <v>12</v>
      </c>
    </row>
    <row r="104" spans="2:13" ht="14.1" customHeight="1" x14ac:dyDescent="0.25">
      <c r="B104" s="46" t="str">
        <f t="shared" si="1"/>
        <v>2009-63-300607</v>
      </c>
      <c r="C104" s="47">
        <v>44084</v>
      </c>
      <c r="D104" s="46">
        <v>63</v>
      </c>
      <c r="E104" s="46">
        <v>12</v>
      </c>
      <c r="F104" s="46">
        <v>300607</v>
      </c>
      <c r="G104" s="50" t="s">
        <v>605</v>
      </c>
      <c r="H104" s="47">
        <v>44148</v>
      </c>
      <c r="I104" s="46">
        <v>50493</v>
      </c>
      <c r="J104" s="46">
        <v>12</v>
      </c>
      <c r="K104" s="47">
        <v>44099</v>
      </c>
      <c r="L104" s="46">
        <v>9940</v>
      </c>
      <c r="M104" s="46">
        <v>12</v>
      </c>
    </row>
    <row r="105" spans="2:13" ht="14.1" customHeight="1" x14ac:dyDescent="0.25">
      <c r="B105" s="46" t="str">
        <f t="shared" si="1"/>
        <v>2009-64-105331</v>
      </c>
      <c r="C105" s="47">
        <v>44084</v>
      </c>
      <c r="D105" s="46">
        <v>64</v>
      </c>
      <c r="E105" s="46">
        <v>1</v>
      </c>
      <c r="F105" s="46">
        <v>105331</v>
      </c>
      <c r="G105" s="48" t="s">
        <v>432</v>
      </c>
      <c r="I105" s="46">
        <v>0</v>
      </c>
      <c r="J105" s="46">
        <v>0</v>
      </c>
      <c r="L105" s="46">
        <v>0</v>
      </c>
      <c r="M105" s="46">
        <v>0</v>
      </c>
    </row>
    <row r="106" spans="2:13" ht="14.1" customHeight="1" x14ac:dyDescent="0.25">
      <c r="B106" s="46" t="str">
        <f t="shared" si="1"/>
        <v>2009-66-311145</v>
      </c>
      <c r="C106" s="47">
        <v>44084</v>
      </c>
      <c r="D106" s="46">
        <v>66</v>
      </c>
      <c r="E106" s="46">
        <v>1</v>
      </c>
      <c r="F106" s="46">
        <v>311145</v>
      </c>
      <c r="G106" s="48" t="s">
        <v>784</v>
      </c>
      <c r="H106" s="47">
        <v>44095</v>
      </c>
      <c r="I106" s="46">
        <v>49772</v>
      </c>
      <c r="J106" s="46">
        <v>1</v>
      </c>
      <c r="K106" s="47">
        <v>44085</v>
      </c>
      <c r="L106" s="46">
        <v>9812</v>
      </c>
      <c r="M106" s="46">
        <v>1</v>
      </c>
    </row>
    <row r="107" spans="2:13" ht="14.1" customHeight="1" x14ac:dyDescent="0.25">
      <c r="B107" s="46" t="str">
        <f t="shared" si="1"/>
        <v>2009-66-317366</v>
      </c>
      <c r="C107" s="47">
        <v>44084</v>
      </c>
      <c r="D107" s="46">
        <v>66</v>
      </c>
      <c r="E107" s="46">
        <v>1</v>
      </c>
      <c r="F107" s="46">
        <v>317366</v>
      </c>
      <c r="G107" s="50" t="s">
        <v>908</v>
      </c>
      <c r="H107" s="47">
        <v>44095</v>
      </c>
      <c r="I107" s="46">
        <v>49772</v>
      </c>
      <c r="J107" s="46">
        <v>1</v>
      </c>
      <c r="K107" s="47">
        <v>44085</v>
      </c>
      <c r="L107" s="46">
        <v>9812</v>
      </c>
      <c r="M107" s="46">
        <v>1</v>
      </c>
    </row>
    <row r="108" spans="2:13" ht="14.1" customHeight="1" x14ac:dyDescent="0.25">
      <c r="B108" s="46" t="str">
        <f t="shared" si="1"/>
        <v>2009-66-305868</v>
      </c>
      <c r="C108" s="47">
        <v>44084</v>
      </c>
      <c r="D108" s="46">
        <v>66</v>
      </c>
      <c r="E108" s="46">
        <v>1</v>
      </c>
      <c r="F108" s="46">
        <v>305868</v>
      </c>
      <c r="G108" s="50" t="s">
        <v>702</v>
      </c>
      <c r="H108" s="47">
        <v>44095</v>
      </c>
      <c r="I108" s="46">
        <v>49772</v>
      </c>
      <c r="J108" s="46">
        <v>1</v>
      </c>
      <c r="K108" s="47">
        <v>44085</v>
      </c>
      <c r="L108" s="46">
        <v>9812</v>
      </c>
      <c r="M108" s="46">
        <v>1</v>
      </c>
    </row>
    <row r="109" spans="2:13" ht="14.1" customHeight="1" x14ac:dyDescent="0.25">
      <c r="B109" s="46" t="str">
        <f t="shared" si="1"/>
        <v>2009-66-205592</v>
      </c>
      <c r="C109" s="47">
        <v>44084</v>
      </c>
      <c r="D109" s="46">
        <v>66</v>
      </c>
      <c r="E109" s="46">
        <v>1</v>
      </c>
      <c r="F109" s="46">
        <v>205592</v>
      </c>
      <c r="G109" s="50" t="s">
        <v>568</v>
      </c>
      <c r="H109" s="47">
        <v>44095</v>
      </c>
      <c r="I109" s="46">
        <v>49772</v>
      </c>
      <c r="J109" s="46">
        <v>1</v>
      </c>
      <c r="K109" s="47">
        <v>44085</v>
      </c>
      <c r="L109" s="46">
        <v>9812</v>
      </c>
      <c r="M109" s="46">
        <v>1</v>
      </c>
    </row>
    <row r="110" spans="2:13" ht="14.1" customHeight="1" x14ac:dyDescent="0.25">
      <c r="B110" s="46" t="str">
        <f t="shared" si="1"/>
        <v>2009-66-320191</v>
      </c>
      <c r="C110" s="47">
        <v>44084</v>
      </c>
      <c r="D110" s="46">
        <v>66</v>
      </c>
      <c r="E110" s="46">
        <v>1</v>
      </c>
      <c r="F110" s="46">
        <v>320191</v>
      </c>
      <c r="G110" s="50" t="s">
        <v>957</v>
      </c>
      <c r="H110" s="47">
        <v>44095</v>
      </c>
      <c r="I110" s="46">
        <v>49772</v>
      </c>
      <c r="J110" s="46">
        <v>1</v>
      </c>
      <c r="K110" s="47">
        <v>44085</v>
      </c>
      <c r="L110" s="46">
        <v>9812</v>
      </c>
      <c r="M110" s="46">
        <v>1</v>
      </c>
    </row>
    <row r="111" spans="2:13" ht="14.1" customHeight="1" x14ac:dyDescent="0.25">
      <c r="B111" s="46" t="str">
        <f t="shared" si="1"/>
        <v>2009-66-205277</v>
      </c>
      <c r="C111" s="47">
        <v>44084</v>
      </c>
      <c r="D111" s="46">
        <v>66</v>
      </c>
      <c r="E111" s="46">
        <v>1</v>
      </c>
      <c r="F111" s="46">
        <v>205277</v>
      </c>
      <c r="G111" s="48" t="s">
        <v>556</v>
      </c>
      <c r="H111" s="47">
        <v>44095</v>
      </c>
      <c r="I111" s="46">
        <v>49772</v>
      </c>
      <c r="J111" s="46">
        <v>1</v>
      </c>
      <c r="K111" s="47">
        <v>44085</v>
      </c>
      <c r="L111" s="46">
        <v>9812</v>
      </c>
      <c r="M111" s="46">
        <v>1</v>
      </c>
    </row>
    <row r="112" spans="2:13" ht="14.1" customHeight="1" x14ac:dyDescent="0.25">
      <c r="B112" s="46" t="str">
        <f t="shared" si="1"/>
        <v>2009-71-200155</v>
      </c>
      <c r="C112" s="47">
        <v>44085</v>
      </c>
      <c r="D112" s="46">
        <v>71</v>
      </c>
      <c r="E112" s="46">
        <v>60</v>
      </c>
      <c r="F112" s="46">
        <v>200155</v>
      </c>
      <c r="G112" s="48" t="s">
        <v>356</v>
      </c>
      <c r="H112" s="47">
        <v>44088</v>
      </c>
      <c r="I112" s="46">
        <v>49766</v>
      </c>
      <c r="J112" s="46">
        <v>60</v>
      </c>
      <c r="K112" s="47">
        <v>44089</v>
      </c>
      <c r="L112" s="46">
        <v>9849</v>
      </c>
      <c r="M112" s="46">
        <v>60</v>
      </c>
    </row>
    <row r="113" spans="2:13" ht="14.1" customHeight="1" x14ac:dyDescent="0.25">
      <c r="B113" s="46" t="str">
        <f t="shared" si="1"/>
        <v>2009-72-313812</v>
      </c>
      <c r="C113" s="47">
        <v>44085</v>
      </c>
      <c r="D113" s="46">
        <v>72</v>
      </c>
      <c r="E113" s="46">
        <v>1</v>
      </c>
      <c r="F113" s="46">
        <v>313812</v>
      </c>
      <c r="G113" s="48" t="s">
        <v>225</v>
      </c>
      <c r="H113" s="47">
        <v>44099</v>
      </c>
      <c r="I113" s="46">
        <v>49844</v>
      </c>
      <c r="J113" s="46">
        <v>1</v>
      </c>
      <c r="K113" s="47">
        <v>44097</v>
      </c>
      <c r="L113" s="46">
        <v>9904</v>
      </c>
      <c r="M113" s="46">
        <v>1</v>
      </c>
    </row>
    <row r="114" spans="2:13" ht="14.1" customHeight="1" x14ac:dyDescent="0.25">
      <c r="B114" s="46" t="str">
        <f t="shared" si="1"/>
        <v>2009-72-313814</v>
      </c>
      <c r="C114" s="47">
        <v>44085</v>
      </c>
      <c r="D114" s="46">
        <v>72</v>
      </c>
      <c r="E114" s="46">
        <v>1</v>
      </c>
      <c r="F114" s="46">
        <v>313814</v>
      </c>
      <c r="G114" s="48" t="s">
        <v>224</v>
      </c>
      <c r="H114" s="47">
        <v>44099</v>
      </c>
      <c r="I114" s="46">
        <v>49844</v>
      </c>
      <c r="J114" s="46">
        <v>1</v>
      </c>
      <c r="K114" s="47">
        <v>44097</v>
      </c>
      <c r="L114" s="46">
        <v>9904</v>
      </c>
      <c r="M114" s="46">
        <v>1</v>
      </c>
    </row>
    <row r="115" spans="2:13" ht="14.1" customHeight="1" x14ac:dyDescent="0.25">
      <c r="B115" s="46" t="str">
        <f t="shared" si="1"/>
        <v>2009-72-303716</v>
      </c>
      <c r="C115" s="47">
        <v>44085</v>
      </c>
      <c r="D115" s="46">
        <v>72</v>
      </c>
      <c r="E115" s="46">
        <v>1</v>
      </c>
      <c r="F115" s="46">
        <v>303716</v>
      </c>
      <c r="G115" s="48" t="s">
        <v>35</v>
      </c>
      <c r="H115" s="47">
        <v>44090</v>
      </c>
      <c r="I115" s="46">
        <v>49765</v>
      </c>
      <c r="J115" s="46">
        <v>1</v>
      </c>
      <c r="K115" s="47">
        <v>44089</v>
      </c>
      <c r="L115" s="46">
        <v>9848</v>
      </c>
      <c r="M115" s="46">
        <v>1</v>
      </c>
    </row>
    <row r="116" spans="2:13" ht="14.1" customHeight="1" x14ac:dyDescent="0.25">
      <c r="B116" s="46" t="str">
        <f t="shared" si="1"/>
        <v>2009-73-200751</v>
      </c>
      <c r="C116" s="47">
        <v>44085</v>
      </c>
      <c r="D116" s="46">
        <v>73</v>
      </c>
      <c r="E116" s="46">
        <v>20000</v>
      </c>
      <c r="F116" s="46">
        <v>200751</v>
      </c>
      <c r="G116" s="48" t="s">
        <v>151</v>
      </c>
      <c r="H116" s="47">
        <v>44088</v>
      </c>
      <c r="I116" s="46">
        <v>49767</v>
      </c>
      <c r="J116" s="46">
        <v>10000</v>
      </c>
      <c r="K116" s="47">
        <v>44088</v>
      </c>
      <c r="L116" s="46">
        <v>9840</v>
      </c>
      <c r="M116" s="46">
        <v>10000</v>
      </c>
    </row>
    <row r="117" spans="2:13" ht="14.1" customHeight="1" x14ac:dyDescent="0.25">
      <c r="B117" s="46" t="str">
        <f t="shared" si="1"/>
        <v>2009-73-200751</v>
      </c>
      <c r="C117" s="47">
        <v>44085</v>
      </c>
      <c r="D117" s="46">
        <v>73</v>
      </c>
      <c r="E117" s="46">
        <v>20000</v>
      </c>
      <c r="F117" s="46">
        <v>200751</v>
      </c>
      <c r="G117" s="48" t="s">
        <v>151</v>
      </c>
      <c r="H117" s="47">
        <v>44088</v>
      </c>
      <c r="I117" s="46">
        <v>49767</v>
      </c>
      <c r="J117" s="46">
        <v>10000</v>
      </c>
      <c r="K117" s="47">
        <v>44090</v>
      </c>
      <c r="L117" s="46">
        <v>9850</v>
      </c>
      <c r="M117" s="46">
        <v>10000</v>
      </c>
    </row>
    <row r="118" spans="2:13" ht="14.1" customHeight="1" x14ac:dyDescent="0.25">
      <c r="B118" s="46" t="str">
        <f t="shared" si="1"/>
        <v>2009-73-200751</v>
      </c>
      <c r="C118" s="47">
        <v>44085</v>
      </c>
      <c r="D118" s="46">
        <v>73</v>
      </c>
      <c r="E118" s="46">
        <v>20000</v>
      </c>
      <c r="F118" s="46">
        <v>200751</v>
      </c>
      <c r="G118" s="48" t="s">
        <v>151</v>
      </c>
      <c r="H118" s="47">
        <v>44088</v>
      </c>
      <c r="I118" s="46">
        <v>49695</v>
      </c>
      <c r="J118" s="46">
        <v>10000</v>
      </c>
      <c r="K118" s="47">
        <v>44088</v>
      </c>
      <c r="L118" s="46">
        <v>9840</v>
      </c>
      <c r="M118" s="46">
        <v>10000</v>
      </c>
    </row>
    <row r="119" spans="2:13" ht="14.1" customHeight="1" x14ac:dyDescent="0.25">
      <c r="B119" s="46" t="str">
        <f t="shared" si="1"/>
        <v>2009-73-200751</v>
      </c>
      <c r="C119" s="47">
        <v>44085</v>
      </c>
      <c r="D119" s="46">
        <v>73</v>
      </c>
      <c r="E119" s="46">
        <v>20000</v>
      </c>
      <c r="F119" s="46">
        <v>200751</v>
      </c>
      <c r="G119" s="48" t="s">
        <v>151</v>
      </c>
      <c r="H119" s="47">
        <v>44088</v>
      </c>
      <c r="I119" s="46">
        <v>49695</v>
      </c>
      <c r="J119" s="46">
        <v>10000</v>
      </c>
      <c r="K119" s="47">
        <v>44090</v>
      </c>
      <c r="L119" s="46">
        <v>9850</v>
      </c>
      <c r="M119" s="46">
        <v>10000</v>
      </c>
    </row>
    <row r="120" spans="2:13" ht="14.1" customHeight="1" x14ac:dyDescent="0.25">
      <c r="B120" s="46" t="str">
        <f t="shared" si="1"/>
        <v>2009-74-205815</v>
      </c>
      <c r="C120" s="47">
        <v>44085</v>
      </c>
      <c r="D120" s="46">
        <v>74</v>
      </c>
      <c r="E120" s="46">
        <v>2</v>
      </c>
      <c r="F120" s="46">
        <v>205815</v>
      </c>
      <c r="G120" s="48" t="s">
        <v>220</v>
      </c>
      <c r="H120" s="47">
        <v>44083</v>
      </c>
      <c r="I120" s="46">
        <v>49699</v>
      </c>
      <c r="J120" s="46">
        <v>2</v>
      </c>
      <c r="K120" s="47">
        <v>44085</v>
      </c>
      <c r="L120" s="46">
        <v>9817</v>
      </c>
      <c r="M120" s="46">
        <v>2</v>
      </c>
    </row>
    <row r="121" spans="2:13" ht="14.1" customHeight="1" x14ac:dyDescent="0.25">
      <c r="B121" s="46" t="str">
        <f t="shared" si="1"/>
        <v>2009-75-314338</v>
      </c>
      <c r="C121" s="47">
        <v>44085</v>
      </c>
      <c r="D121" s="46">
        <v>75</v>
      </c>
      <c r="E121" s="46">
        <v>26</v>
      </c>
      <c r="F121" s="46">
        <v>314338</v>
      </c>
      <c r="G121" s="48" t="s">
        <v>852</v>
      </c>
      <c r="H121" s="47">
        <v>44097</v>
      </c>
      <c r="I121" s="46">
        <v>49818</v>
      </c>
      <c r="J121" s="46">
        <v>26</v>
      </c>
      <c r="K121" s="47">
        <v>44125</v>
      </c>
      <c r="L121" s="46">
        <v>10141</v>
      </c>
      <c r="M121" s="46">
        <v>26</v>
      </c>
    </row>
    <row r="122" spans="2:13" ht="14.1" customHeight="1" x14ac:dyDescent="0.25">
      <c r="B122" s="46" t="str">
        <f t="shared" si="1"/>
        <v>2009-75-305761</v>
      </c>
      <c r="C122" s="47">
        <v>44085</v>
      </c>
      <c r="D122" s="46">
        <v>75</v>
      </c>
      <c r="E122" s="46">
        <v>200</v>
      </c>
      <c r="F122" s="46">
        <v>305761</v>
      </c>
      <c r="G122" s="50" t="s">
        <v>700</v>
      </c>
      <c r="H122" s="47">
        <v>44097</v>
      </c>
      <c r="I122" s="46">
        <v>49818</v>
      </c>
      <c r="J122" s="46">
        <v>200</v>
      </c>
      <c r="K122" s="47">
        <v>44125</v>
      </c>
      <c r="L122" s="46">
        <v>10141</v>
      </c>
      <c r="M122" s="46">
        <v>200</v>
      </c>
    </row>
    <row r="123" spans="2:13" ht="14.1" customHeight="1" x14ac:dyDescent="0.25">
      <c r="B123" s="46" t="str">
        <f t="shared" si="1"/>
        <v>2009-83-203593</v>
      </c>
      <c r="C123" s="47">
        <v>44085</v>
      </c>
      <c r="D123" s="46">
        <v>83</v>
      </c>
      <c r="E123" s="46">
        <v>19307</v>
      </c>
      <c r="F123" s="46">
        <v>203593</v>
      </c>
      <c r="G123" s="50" t="s">
        <v>211</v>
      </c>
      <c r="H123" s="47">
        <v>44085</v>
      </c>
      <c r="I123" s="46">
        <v>49694</v>
      </c>
      <c r="J123" s="46">
        <v>19307</v>
      </c>
      <c r="K123" s="47">
        <v>44085</v>
      </c>
      <c r="L123" s="46">
        <v>9831</v>
      </c>
      <c r="M123" s="46">
        <v>19307</v>
      </c>
    </row>
    <row r="124" spans="2:13" ht="14.1" customHeight="1" x14ac:dyDescent="0.25">
      <c r="B124" s="46" t="str">
        <f t="shared" si="1"/>
        <v>2009-86-313005</v>
      </c>
      <c r="C124" s="47">
        <v>44088</v>
      </c>
      <c r="D124" s="46">
        <v>86</v>
      </c>
      <c r="E124" s="46">
        <v>2</v>
      </c>
      <c r="F124" s="46">
        <v>313005</v>
      </c>
      <c r="G124" s="50" t="s">
        <v>324</v>
      </c>
      <c r="H124" s="47">
        <v>44099</v>
      </c>
      <c r="I124" s="46">
        <v>49834</v>
      </c>
      <c r="J124" s="46">
        <v>2</v>
      </c>
      <c r="K124" s="47">
        <v>44103</v>
      </c>
      <c r="L124" s="46">
        <v>9961</v>
      </c>
      <c r="M124" s="46">
        <v>2</v>
      </c>
    </row>
    <row r="125" spans="2:13" ht="14.1" customHeight="1" x14ac:dyDescent="0.25">
      <c r="B125" s="46" t="str">
        <f t="shared" si="1"/>
        <v>2009-86-203973</v>
      </c>
      <c r="C125" s="47">
        <v>44088</v>
      </c>
      <c r="D125" s="46">
        <v>86</v>
      </c>
      <c r="E125" s="46">
        <v>2</v>
      </c>
      <c r="F125" s="46">
        <v>203973</v>
      </c>
      <c r="G125" s="48" t="s">
        <v>521</v>
      </c>
      <c r="H125" s="47">
        <v>44099</v>
      </c>
      <c r="I125" s="46">
        <v>49834</v>
      </c>
      <c r="J125" s="46">
        <v>2</v>
      </c>
      <c r="K125" s="47">
        <v>44103</v>
      </c>
      <c r="L125" s="46">
        <v>9961</v>
      </c>
      <c r="M125" s="46">
        <v>2</v>
      </c>
    </row>
    <row r="126" spans="2:13" ht="14.1" customHeight="1" x14ac:dyDescent="0.25">
      <c r="B126" s="46" t="str">
        <f t="shared" si="1"/>
        <v>2009-86-202690</v>
      </c>
      <c r="C126" s="47">
        <v>44088</v>
      </c>
      <c r="D126" s="46">
        <v>86</v>
      </c>
      <c r="E126" s="46">
        <v>4</v>
      </c>
      <c r="F126" s="46">
        <v>202690</v>
      </c>
      <c r="G126" s="48" t="s">
        <v>323</v>
      </c>
      <c r="H126" s="47">
        <v>44099</v>
      </c>
      <c r="I126" s="46">
        <v>49834</v>
      </c>
      <c r="J126" s="46">
        <v>4</v>
      </c>
      <c r="K126" s="47">
        <v>44103</v>
      </c>
      <c r="L126" s="46">
        <v>9961</v>
      </c>
      <c r="M126" s="46">
        <v>4</v>
      </c>
    </row>
    <row r="127" spans="2:13" ht="14.1" customHeight="1" x14ac:dyDescent="0.25">
      <c r="B127" s="46" t="str">
        <f t="shared" si="1"/>
        <v>2009-86-205182</v>
      </c>
      <c r="C127" s="47">
        <v>44088</v>
      </c>
      <c r="D127" s="46">
        <v>86</v>
      </c>
      <c r="E127" s="46">
        <v>1</v>
      </c>
      <c r="F127" s="46">
        <v>205182</v>
      </c>
      <c r="G127" s="48" t="s">
        <v>553</v>
      </c>
      <c r="H127" s="47">
        <v>44099</v>
      </c>
      <c r="I127" s="46">
        <v>49834</v>
      </c>
      <c r="J127" s="46">
        <v>1</v>
      </c>
      <c r="K127" s="47">
        <v>44103</v>
      </c>
      <c r="L127" s="46">
        <v>9961</v>
      </c>
      <c r="M127" s="46">
        <v>1</v>
      </c>
    </row>
    <row r="128" spans="2:13" ht="14.1" customHeight="1" x14ac:dyDescent="0.25">
      <c r="B128" s="46" t="str">
        <f t="shared" si="1"/>
        <v>2009-86-203224</v>
      </c>
      <c r="C128" s="47">
        <v>44088</v>
      </c>
      <c r="D128" s="46">
        <v>86</v>
      </c>
      <c r="E128" s="46">
        <v>2</v>
      </c>
      <c r="F128" s="46">
        <v>203224</v>
      </c>
      <c r="G128" s="48" t="s">
        <v>503</v>
      </c>
      <c r="H128" s="47">
        <v>44099</v>
      </c>
      <c r="I128" s="46">
        <v>49834</v>
      </c>
      <c r="J128" s="46">
        <v>2</v>
      </c>
      <c r="K128" s="47">
        <v>44103</v>
      </c>
      <c r="L128" s="46">
        <v>9961</v>
      </c>
      <c r="M128" s="46">
        <v>2</v>
      </c>
    </row>
    <row r="129" spans="2:13" ht="14.1" customHeight="1" x14ac:dyDescent="0.25">
      <c r="B129" s="46" t="str">
        <f t="shared" si="1"/>
        <v>2009-86-206097</v>
      </c>
      <c r="C129" s="47">
        <v>44088</v>
      </c>
      <c r="D129" s="46">
        <v>86</v>
      </c>
      <c r="E129" s="46">
        <v>12</v>
      </c>
      <c r="F129" s="46">
        <v>206097</v>
      </c>
      <c r="G129" s="48" t="s">
        <v>577</v>
      </c>
      <c r="H129" s="47">
        <v>44099</v>
      </c>
      <c r="I129" s="46">
        <v>49834</v>
      </c>
      <c r="J129" s="46">
        <v>12</v>
      </c>
      <c r="K129" s="47">
        <v>44103</v>
      </c>
      <c r="L129" s="46">
        <v>9961</v>
      </c>
      <c r="M129" s="46">
        <v>12</v>
      </c>
    </row>
    <row r="130" spans="2:13" ht="14.1" customHeight="1" x14ac:dyDescent="0.25">
      <c r="B130" s="46" t="str">
        <f t="shared" si="1"/>
        <v>2009-86-203372</v>
      </c>
      <c r="C130" s="47">
        <v>44088</v>
      </c>
      <c r="D130" s="46">
        <v>86</v>
      </c>
      <c r="E130" s="46">
        <v>60</v>
      </c>
      <c r="F130" s="46">
        <v>203372</v>
      </c>
      <c r="G130" s="48" t="s">
        <v>101</v>
      </c>
      <c r="H130" s="47">
        <v>44099</v>
      </c>
      <c r="I130" s="46">
        <v>49834</v>
      </c>
      <c r="J130" s="46">
        <v>60</v>
      </c>
      <c r="K130" s="47">
        <v>44103</v>
      </c>
      <c r="L130" s="46">
        <v>9961</v>
      </c>
      <c r="M130" s="46">
        <v>60</v>
      </c>
    </row>
    <row r="131" spans="2:13" ht="14.1" customHeight="1" x14ac:dyDescent="0.25">
      <c r="B131" s="46" t="str">
        <f t="shared" si="1"/>
        <v>2009-86-204423</v>
      </c>
      <c r="C131" s="47">
        <v>44088</v>
      </c>
      <c r="D131" s="46">
        <v>86</v>
      </c>
      <c r="E131" s="46">
        <v>1</v>
      </c>
      <c r="F131" s="46">
        <v>204423</v>
      </c>
      <c r="G131" s="48" t="s">
        <v>540</v>
      </c>
      <c r="H131" s="47">
        <v>44099</v>
      </c>
      <c r="I131" s="46">
        <v>49834</v>
      </c>
      <c r="J131" s="46">
        <v>1</v>
      </c>
      <c r="K131" s="47">
        <v>44103</v>
      </c>
      <c r="L131" s="46">
        <v>9961</v>
      </c>
      <c r="M131" s="46">
        <v>1</v>
      </c>
    </row>
    <row r="132" spans="2:13" ht="14.1" customHeight="1" x14ac:dyDescent="0.25">
      <c r="B132" s="46" t="str">
        <f t="shared" si="1"/>
        <v>2009-86-315742</v>
      </c>
      <c r="C132" s="47">
        <v>44088</v>
      </c>
      <c r="D132" s="46">
        <v>86</v>
      </c>
      <c r="E132" s="46">
        <v>1</v>
      </c>
      <c r="F132" s="46">
        <v>315742</v>
      </c>
      <c r="G132" s="50" t="s">
        <v>883</v>
      </c>
      <c r="H132" s="47">
        <v>44099</v>
      </c>
      <c r="I132" s="46">
        <v>49836</v>
      </c>
      <c r="J132" s="46">
        <v>1</v>
      </c>
      <c r="K132" s="47">
        <v>44112</v>
      </c>
      <c r="L132" s="46">
        <v>10046</v>
      </c>
      <c r="M132" s="46">
        <v>1</v>
      </c>
    </row>
    <row r="133" spans="2:13" ht="14.1" customHeight="1" x14ac:dyDescent="0.25">
      <c r="B133" s="46" t="str">
        <f t="shared" si="1"/>
        <v>2009-86-203232</v>
      </c>
      <c r="C133" s="47">
        <v>44088</v>
      </c>
      <c r="D133" s="46">
        <v>86</v>
      </c>
      <c r="E133" s="46">
        <v>3</v>
      </c>
      <c r="F133" s="46">
        <v>203232</v>
      </c>
      <c r="G133" s="48" t="s">
        <v>508</v>
      </c>
      <c r="H133" s="47">
        <v>44099</v>
      </c>
      <c r="I133" s="46">
        <v>49834</v>
      </c>
      <c r="J133" s="46">
        <v>3</v>
      </c>
      <c r="K133" s="47">
        <v>44103</v>
      </c>
      <c r="L133" s="46">
        <v>9961</v>
      </c>
      <c r="M133" s="46">
        <v>3</v>
      </c>
    </row>
    <row r="134" spans="2:13" ht="14.1" customHeight="1" x14ac:dyDescent="0.25">
      <c r="B134" s="46" t="str">
        <f t="shared" si="1"/>
        <v>2009-86-306105</v>
      </c>
      <c r="C134" s="47">
        <v>44088</v>
      </c>
      <c r="D134" s="46">
        <v>86</v>
      </c>
      <c r="E134" s="46">
        <v>50</v>
      </c>
      <c r="F134" s="46">
        <v>306105</v>
      </c>
      <c r="G134" s="48" t="s">
        <v>706</v>
      </c>
      <c r="H134" s="47">
        <v>44099</v>
      </c>
      <c r="I134" s="46">
        <v>49834</v>
      </c>
      <c r="J134" s="46">
        <v>50</v>
      </c>
      <c r="K134" s="47">
        <v>44103</v>
      </c>
      <c r="L134" s="46">
        <v>9961</v>
      </c>
      <c r="M134" s="46">
        <v>50</v>
      </c>
    </row>
    <row r="135" spans="2:13" ht="14.1" customHeight="1" x14ac:dyDescent="0.25">
      <c r="B135" s="46" t="str">
        <f t="shared" si="1"/>
        <v>2009-86-304779</v>
      </c>
      <c r="C135" s="47">
        <v>44088</v>
      </c>
      <c r="D135" s="46">
        <v>86</v>
      </c>
      <c r="E135" s="46">
        <v>12</v>
      </c>
      <c r="F135" s="46">
        <v>304779</v>
      </c>
      <c r="G135" s="48" t="s">
        <v>683</v>
      </c>
      <c r="H135" s="47">
        <v>44099</v>
      </c>
      <c r="I135" s="46">
        <v>49834</v>
      </c>
      <c r="J135" s="46">
        <v>12</v>
      </c>
      <c r="K135" s="47">
        <v>44103</v>
      </c>
      <c r="L135" s="46">
        <v>9961</v>
      </c>
      <c r="M135" s="46">
        <v>12</v>
      </c>
    </row>
    <row r="136" spans="2:13" ht="14.1" customHeight="1" x14ac:dyDescent="0.25">
      <c r="B136" s="46" t="str">
        <f t="shared" si="1"/>
        <v>2009-86-203234</v>
      </c>
      <c r="C136" s="47">
        <v>44088</v>
      </c>
      <c r="D136" s="46">
        <v>86</v>
      </c>
      <c r="E136" s="46">
        <v>2</v>
      </c>
      <c r="F136" s="46">
        <v>203234</v>
      </c>
      <c r="G136" s="48" t="s">
        <v>509</v>
      </c>
      <c r="H136" s="47">
        <v>44099</v>
      </c>
      <c r="I136" s="46">
        <v>49834</v>
      </c>
      <c r="J136" s="46">
        <v>2</v>
      </c>
      <c r="K136" s="47">
        <v>44103</v>
      </c>
      <c r="L136" s="46">
        <v>9961</v>
      </c>
      <c r="M136" s="46">
        <v>2</v>
      </c>
    </row>
    <row r="137" spans="2:13" ht="14.1" customHeight="1" x14ac:dyDescent="0.25">
      <c r="B137" s="46" t="str">
        <f t="shared" si="1"/>
        <v>2009-86-302829</v>
      </c>
      <c r="C137" s="47">
        <v>44088</v>
      </c>
      <c r="D137" s="46">
        <v>86</v>
      </c>
      <c r="E137" s="46">
        <v>2</v>
      </c>
      <c r="F137" s="46">
        <v>302829</v>
      </c>
      <c r="G137" s="48" t="s">
        <v>647</v>
      </c>
      <c r="H137" s="47">
        <v>44099</v>
      </c>
      <c r="I137" s="46">
        <v>49834</v>
      </c>
      <c r="J137" s="46">
        <v>2</v>
      </c>
      <c r="K137" s="47">
        <v>44103</v>
      </c>
      <c r="L137" s="46">
        <v>9961</v>
      </c>
      <c r="M137" s="46">
        <v>2</v>
      </c>
    </row>
    <row r="138" spans="2:13" ht="14.1" customHeight="1" x14ac:dyDescent="0.25">
      <c r="B138" s="46" t="str">
        <f t="shared" si="1"/>
        <v>2009-86-203972</v>
      </c>
      <c r="C138" s="47">
        <v>44088</v>
      </c>
      <c r="D138" s="46">
        <v>86</v>
      </c>
      <c r="E138" s="46">
        <v>4</v>
      </c>
      <c r="F138" s="46">
        <v>203972</v>
      </c>
      <c r="G138" s="48" t="s">
        <v>325</v>
      </c>
      <c r="H138" s="47">
        <v>44099</v>
      </c>
      <c r="I138" s="46">
        <v>49834</v>
      </c>
      <c r="J138" s="46">
        <v>4</v>
      </c>
      <c r="K138" s="47">
        <v>44118</v>
      </c>
      <c r="L138" s="46">
        <v>10080</v>
      </c>
      <c r="M138" s="46">
        <v>4</v>
      </c>
    </row>
    <row r="139" spans="2:13" ht="14.1" customHeight="1" x14ac:dyDescent="0.25">
      <c r="B139" s="46" t="str">
        <f t="shared" si="1"/>
        <v>2009-86-304563</v>
      </c>
      <c r="C139" s="47">
        <v>44088</v>
      </c>
      <c r="D139" s="46">
        <v>86</v>
      </c>
      <c r="E139" s="46">
        <v>12</v>
      </c>
      <c r="F139" s="46">
        <v>304563</v>
      </c>
      <c r="G139" s="48" t="s">
        <v>677</v>
      </c>
      <c r="H139" s="47">
        <v>44099</v>
      </c>
      <c r="I139" s="46">
        <v>49834</v>
      </c>
      <c r="J139" s="46">
        <v>12</v>
      </c>
      <c r="K139" s="47">
        <v>44118</v>
      </c>
      <c r="L139" s="46">
        <v>10080</v>
      </c>
      <c r="M139" s="46">
        <v>12</v>
      </c>
    </row>
    <row r="140" spans="2:13" ht="14.1" customHeight="1" x14ac:dyDescent="0.25">
      <c r="B140" s="46" t="str">
        <f t="shared" ref="B140:B203" si="2">TEXT(C140,"yy") &amp; TEXT(C140,"mm") &amp;"-"&amp;(D140) &amp;"-"&amp;(F140)</f>
        <v>2009-86-204416</v>
      </c>
      <c r="C140" s="47">
        <v>44088</v>
      </c>
      <c r="D140" s="46">
        <v>86</v>
      </c>
      <c r="E140" s="46">
        <v>6</v>
      </c>
      <c r="F140" s="46">
        <v>204416</v>
      </c>
      <c r="G140" s="48" t="s">
        <v>322</v>
      </c>
      <c r="H140" s="47">
        <v>44099</v>
      </c>
      <c r="I140" s="46">
        <v>49834</v>
      </c>
      <c r="J140" s="46">
        <v>6</v>
      </c>
      <c r="K140" s="47">
        <v>44103</v>
      </c>
      <c r="L140" s="46">
        <v>9961</v>
      </c>
      <c r="M140" s="46">
        <v>6</v>
      </c>
    </row>
    <row r="141" spans="2:13" ht="14.1" customHeight="1" x14ac:dyDescent="0.25">
      <c r="B141" s="46" t="str">
        <f t="shared" si="2"/>
        <v>2009-86-203260</v>
      </c>
      <c r="C141" s="47">
        <v>44088</v>
      </c>
      <c r="D141" s="46">
        <v>86</v>
      </c>
      <c r="E141" s="46">
        <v>4</v>
      </c>
      <c r="F141" s="46">
        <v>203260</v>
      </c>
      <c r="G141" s="48" t="s">
        <v>326</v>
      </c>
      <c r="H141" s="47">
        <v>44099</v>
      </c>
      <c r="I141" s="46">
        <v>49834</v>
      </c>
      <c r="J141" s="46">
        <v>4</v>
      </c>
      <c r="K141" s="47">
        <v>44103</v>
      </c>
      <c r="L141" s="46">
        <v>9961</v>
      </c>
      <c r="M141" s="46">
        <v>4</v>
      </c>
    </row>
    <row r="142" spans="2:13" ht="14.1" customHeight="1" x14ac:dyDescent="0.25">
      <c r="B142" s="46" t="str">
        <f t="shared" si="2"/>
        <v>2009-86-204189</v>
      </c>
      <c r="C142" s="47">
        <v>44088</v>
      </c>
      <c r="D142" s="46">
        <v>86</v>
      </c>
      <c r="E142" s="46">
        <v>150</v>
      </c>
      <c r="F142" s="46">
        <v>204189</v>
      </c>
      <c r="G142" s="48" t="s">
        <v>399</v>
      </c>
      <c r="H142" s="47">
        <v>44099</v>
      </c>
      <c r="I142" s="46">
        <v>49834</v>
      </c>
      <c r="J142" s="46">
        <v>150</v>
      </c>
      <c r="K142" s="47">
        <v>44103</v>
      </c>
      <c r="L142" s="46">
        <v>9961</v>
      </c>
      <c r="M142" s="46">
        <v>150</v>
      </c>
    </row>
    <row r="143" spans="2:13" ht="14.1" customHeight="1" x14ac:dyDescent="0.25">
      <c r="B143" s="46" t="str">
        <f t="shared" si="2"/>
        <v>2009-86-204418</v>
      </c>
      <c r="C143" s="47">
        <v>44088</v>
      </c>
      <c r="D143" s="46">
        <v>86</v>
      </c>
      <c r="E143" s="46">
        <v>3</v>
      </c>
      <c r="F143" s="46">
        <v>204418</v>
      </c>
      <c r="G143" s="48" t="s">
        <v>539</v>
      </c>
      <c r="H143" s="47">
        <v>44099</v>
      </c>
      <c r="I143" s="46">
        <v>49834</v>
      </c>
      <c r="J143" s="46">
        <v>3</v>
      </c>
      <c r="K143" s="47">
        <v>44103</v>
      </c>
      <c r="L143" s="46">
        <v>9961</v>
      </c>
      <c r="M143" s="46">
        <v>3</v>
      </c>
    </row>
    <row r="144" spans="2:13" ht="14.1" customHeight="1" x14ac:dyDescent="0.25">
      <c r="B144" s="46" t="str">
        <f t="shared" si="2"/>
        <v>2009-86-106611</v>
      </c>
      <c r="C144" s="47">
        <v>44088</v>
      </c>
      <c r="D144" s="46">
        <v>86</v>
      </c>
      <c r="E144" s="46">
        <v>2</v>
      </c>
      <c r="F144" s="46">
        <v>106611</v>
      </c>
      <c r="G144" s="48" t="s">
        <v>467</v>
      </c>
      <c r="H144" s="47">
        <v>44099</v>
      </c>
      <c r="I144" s="46">
        <v>49834</v>
      </c>
      <c r="J144" s="46">
        <v>2</v>
      </c>
      <c r="K144" s="47">
        <v>44103</v>
      </c>
      <c r="L144" s="46">
        <v>9961</v>
      </c>
      <c r="M144" s="46">
        <v>2</v>
      </c>
    </row>
    <row r="145" spans="2:13" ht="14.1" customHeight="1" x14ac:dyDescent="0.25">
      <c r="B145" s="46" t="str">
        <f t="shared" si="2"/>
        <v>2009-86-302338</v>
      </c>
      <c r="C145" s="47">
        <v>44088</v>
      </c>
      <c r="D145" s="46">
        <v>86</v>
      </c>
      <c r="E145" s="46">
        <v>2</v>
      </c>
      <c r="F145" s="46">
        <v>302338</v>
      </c>
      <c r="G145" s="50" t="s">
        <v>639</v>
      </c>
      <c r="H145" s="47">
        <v>44099</v>
      </c>
      <c r="I145" s="46">
        <v>49834</v>
      </c>
      <c r="J145" s="46">
        <v>2</v>
      </c>
      <c r="K145" s="47">
        <v>44103</v>
      </c>
      <c r="L145" s="46">
        <v>9961</v>
      </c>
      <c r="M145" s="46">
        <v>2</v>
      </c>
    </row>
    <row r="146" spans="2:13" ht="14.1" customHeight="1" x14ac:dyDescent="0.25">
      <c r="B146" s="46" t="str">
        <f t="shared" si="2"/>
        <v>2009-86-203223</v>
      </c>
      <c r="C146" s="47">
        <v>44088</v>
      </c>
      <c r="D146" s="46">
        <v>86</v>
      </c>
      <c r="E146" s="46">
        <v>3</v>
      </c>
      <c r="F146" s="46">
        <v>203223</v>
      </c>
      <c r="G146" s="48" t="s">
        <v>321</v>
      </c>
      <c r="H146" s="47">
        <v>44099</v>
      </c>
      <c r="I146" s="46">
        <v>49834</v>
      </c>
      <c r="J146" s="46">
        <v>3</v>
      </c>
      <c r="K146" s="47">
        <v>44103</v>
      </c>
      <c r="L146" s="46">
        <v>9961</v>
      </c>
      <c r="M146" s="46">
        <v>3</v>
      </c>
    </row>
    <row r="147" spans="2:13" ht="14.1" customHeight="1" x14ac:dyDescent="0.25">
      <c r="B147" s="46" t="str">
        <f t="shared" si="2"/>
        <v>2009-88-304892</v>
      </c>
      <c r="C147" s="47">
        <v>44088</v>
      </c>
      <c r="D147" s="46">
        <v>88</v>
      </c>
      <c r="E147" s="46">
        <v>2000</v>
      </c>
      <c r="F147" s="46">
        <v>304892</v>
      </c>
      <c r="G147" s="50" t="s">
        <v>198</v>
      </c>
      <c r="H147" s="47">
        <v>44096</v>
      </c>
      <c r="I147" s="46">
        <v>49791</v>
      </c>
      <c r="J147" s="46">
        <v>2000</v>
      </c>
      <c r="K147" s="47">
        <v>44088</v>
      </c>
      <c r="L147" s="46">
        <v>9842</v>
      </c>
      <c r="M147" s="46">
        <v>2000</v>
      </c>
    </row>
    <row r="148" spans="2:13" ht="14.1" customHeight="1" x14ac:dyDescent="0.25">
      <c r="B148" s="46" t="str">
        <f t="shared" si="2"/>
        <v>2009-89-300334</v>
      </c>
      <c r="C148" s="47">
        <v>44088</v>
      </c>
      <c r="D148" s="46">
        <v>89</v>
      </c>
      <c r="E148" s="46">
        <v>2</v>
      </c>
      <c r="F148" s="46">
        <v>300334</v>
      </c>
      <c r="G148" s="50" t="s">
        <v>46</v>
      </c>
      <c r="H148" s="47">
        <v>44103</v>
      </c>
      <c r="I148" s="46">
        <v>49858</v>
      </c>
      <c r="J148" s="46">
        <v>2</v>
      </c>
      <c r="K148" s="47">
        <v>44104</v>
      </c>
      <c r="L148" s="46">
        <v>9990</v>
      </c>
      <c r="M148" s="46">
        <v>2</v>
      </c>
    </row>
    <row r="149" spans="2:13" ht="14.1" customHeight="1" x14ac:dyDescent="0.25">
      <c r="B149" s="46" t="str">
        <f t="shared" si="2"/>
        <v>2009-89-203847</v>
      </c>
      <c r="C149" s="47">
        <v>44088</v>
      </c>
      <c r="D149" s="46">
        <v>89</v>
      </c>
      <c r="E149" s="46">
        <v>4</v>
      </c>
      <c r="F149" s="46">
        <v>203847</v>
      </c>
      <c r="G149" s="48" t="s">
        <v>518</v>
      </c>
      <c r="H149" s="47">
        <v>44103</v>
      </c>
      <c r="I149" s="46">
        <v>49856</v>
      </c>
      <c r="J149" s="46">
        <v>4</v>
      </c>
      <c r="K149" s="47">
        <v>44104</v>
      </c>
      <c r="L149" s="46">
        <v>9983</v>
      </c>
      <c r="M149" s="46">
        <v>4</v>
      </c>
    </row>
    <row r="150" spans="2:13" ht="14.1" customHeight="1" x14ac:dyDescent="0.25">
      <c r="B150" s="46" t="str">
        <f t="shared" si="2"/>
        <v>2009-89-309661</v>
      </c>
      <c r="C150" s="47">
        <v>44088</v>
      </c>
      <c r="D150" s="46">
        <v>89</v>
      </c>
      <c r="E150" s="46">
        <v>1</v>
      </c>
      <c r="F150" s="46">
        <v>309661</v>
      </c>
      <c r="G150" s="48" t="s">
        <v>757</v>
      </c>
      <c r="H150" s="47">
        <v>44103</v>
      </c>
      <c r="I150" s="46">
        <v>49856</v>
      </c>
      <c r="J150" s="46">
        <v>1</v>
      </c>
      <c r="K150" s="47">
        <v>44104</v>
      </c>
      <c r="L150" s="46">
        <v>9983</v>
      </c>
      <c r="M150" s="46">
        <v>1</v>
      </c>
    </row>
    <row r="151" spans="2:13" ht="14.1" customHeight="1" x14ac:dyDescent="0.25">
      <c r="B151" s="46" t="str">
        <f t="shared" si="2"/>
        <v>2009-89-301504</v>
      </c>
      <c r="C151" s="47">
        <v>44088</v>
      </c>
      <c r="D151" s="46">
        <v>89</v>
      </c>
      <c r="E151" s="46">
        <v>1</v>
      </c>
      <c r="F151" s="46">
        <v>301504</v>
      </c>
      <c r="G151" s="48" t="s">
        <v>625</v>
      </c>
      <c r="H151" s="47">
        <v>44103</v>
      </c>
      <c r="I151" s="46">
        <v>49858</v>
      </c>
      <c r="J151" s="46">
        <v>1</v>
      </c>
      <c r="K151" s="47">
        <v>44104</v>
      </c>
      <c r="L151" s="46">
        <v>9990</v>
      </c>
      <c r="M151" s="46">
        <v>1</v>
      </c>
    </row>
    <row r="152" spans="2:13" ht="14.1" customHeight="1" x14ac:dyDescent="0.25">
      <c r="B152" s="46" t="str">
        <f t="shared" si="2"/>
        <v>2009-89-320196</v>
      </c>
      <c r="C152" s="47">
        <v>44088</v>
      </c>
      <c r="D152" s="46">
        <v>89</v>
      </c>
      <c r="E152" s="46">
        <v>1</v>
      </c>
      <c r="F152" s="46">
        <v>320196</v>
      </c>
      <c r="G152" s="50" t="s">
        <v>958</v>
      </c>
      <c r="H152" s="47">
        <v>44103</v>
      </c>
      <c r="I152" s="46">
        <v>49857</v>
      </c>
      <c r="J152" s="46">
        <v>1</v>
      </c>
      <c r="K152" s="47">
        <v>44125</v>
      </c>
      <c r="L152" s="46">
        <v>10156</v>
      </c>
      <c r="M152" s="46">
        <v>1</v>
      </c>
    </row>
    <row r="153" spans="2:13" ht="14.1" customHeight="1" x14ac:dyDescent="0.25">
      <c r="B153" s="46" t="str">
        <f t="shared" si="2"/>
        <v>2009-89-205645</v>
      </c>
      <c r="C153" s="47">
        <v>44088</v>
      </c>
      <c r="D153" s="46">
        <v>89</v>
      </c>
      <c r="E153" s="46">
        <v>6</v>
      </c>
      <c r="F153" s="46">
        <v>205645</v>
      </c>
      <c r="G153" s="48" t="s">
        <v>85</v>
      </c>
      <c r="H153" s="47">
        <v>44103</v>
      </c>
      <c r="I153" s="46">
        <v>49856</v>
      </c>
      <c r="J153" s="46">
        <v>6</v>
      </c>
      <c r="K153" s="47">
        <v>44104</v>
      </c>
      <c r="L153" s="46">
        <v>9983</v>
      </c>
      <c r="M153" s="46">
        <v>6</v>
      </c>
    </row>
    <row r="154" spans="2:13" ht="14.1" customHeight="1" x14ac:dyDescent="0.25">
      <c r="B154" s="46" t="str">
        <f t="shared" si="2"/>
        <v>2009-89-205953</v>
      </c>
      <c r="C154" s="47">
        <v>44088</v>
      </c>
      <c r="D154" s="46">
        <v>89</v>
      </c>
      <c r="E154" s="46">
        <v>1</v>
      </c>
      <c r="F154" s="46">
        <v>205953</v>
      </c>
      <c r="G154" s="48" t="s">
        <v>574</v>
      </c>
      <c r="H154" s="47">
        <v>44103</v>
      </c>
      <c r="I154" s="46">
        <v>49856</v>
      </c>
      <c r="J154" s="46">
        <v>1</v>
      </c>
      <c r="K154" s="47">
        <v>44104</v>
      </c>
      <c r="L154" s="46">
        <v>9983</v>
      </c>
      <c r="M154" s="46">
        <v>1</v>
      </c>
    </row>
    <row r="155" spans="2:13" ht="14.1" customHeight="1" x14ac:dyDescent="0.25">
      <c r="B155" s="46" t="str">
        <f t="shared" si="2"/>
        <v>2009-89-305400</v>
      </c>
      <c r="C155" s="47">
        <v>44088</v>
      </c>
      <c r="D155" s="46">
        <v>89</v>
      </c>
      <c r="E155" s="46">
        <v>1</v>
      </c>
      <c r="F155" s="46">
        <v>305400</v>
      </c>
      <c r="G155" s="48" t="s">
        <v>693</v>
      </c>
      <c r="H155" s="47">
        <v>44103</v>
      </c>
      <c r="I155" s="46">
        <v>49856</v>
      </c>
      <c r="J155" s="46">
        <v>1</v>
      </c>
      <c r="K155" s="47">
        <v>44104</v>
      </c>
      <c r="L155" s="46">
        <v>9983</v>
      </c>
      <c r="M155" s="46">
        <v>1</v>
      </c>
    </row>
    <row r="156" spans="2:13" ht="14.1" customHeight="1" x14ac:dyDescent="0.25">
      <c r="B156" s="46" t="str">
        <f t="shared" si="2"/>
        <v>2009-89-305643</v>
      </c>
      <c r="C156" s="47">
        <v>44088</v>
      </c>
      <c r="D156" s="46">
        <v>89</v>
      </c>
      <c r="E156" s="46">
        <v>1</v>
      </c>
      <c r="F156" s="46">
        <v>305643</v>
      </c>
      <c r="G156" s="50" t="s">
        <v>699</v>
      </c>
      <c r="H156" s="47">
        <v>44103</v>
      </c>
      <c r="I156" s="46">
        <v>49858</v>
      </c>
      <c r="J156" s="46">
        <v>1</v>
      </c>
      <c r="K156" s="47">
        <v>44104</v>
      </c>
      <c r="L156" s="46">
        <v>9990</v>
      </c>
      <c r="M156" s="46">
        <v>1</v>
      </c>
    </row>
    <row r="157" spans="2:13" ht="14.1" customHeight="1" x14ac:dyDescent="0.25">
      <c r="B157" s="46" t="str">
        <f t="shared" si="2"/>
        <v>2009-89-205958</v>
      </c>
      <c r="C157" s="47">
        <v>44088</v>
      </c>
      <c r="D157" s="46">
        <v>89</v>
      </c>
      <c r="E157" s="46">
        <v>1</v>
      </c>
      <c r="F157" s="46">
        <v>205958</v>
      </c>
      <c r="G157" s="48" t="s">
        <v>122</v>
      </c>
      <c r="H157" s="47">
        <v>44103</v>
      </c>
      <c r="I157" s="46">
        <v>49856</v>
      </c>
      <c r="J157" s="46">
        <v>1</v>
      </c>
      <c r="K157" s="47">
        <v>44104</v>
      </c>
      <c r="L157" s="46">
        <v>9983</v>
      </c>
      <c r="M157" s="46">
        <v>1</v>
      </c>
    </row>
    <row r="158" spans="2:13" ht="14.1" customHeight="1" x14ac:dyDescent="0.25">
      <c r="B158" s="46" t="str">
        <f t="shared" si="2"/>
        <v>2009-89-301219</v>
      </c>
      <c r="C158" s="47">
        <v>44088</v>
      </c>
      <c r="D158" s="46">
        <v>89</v>
      </c>
      <c r="E158" s="46">
        <v>1</v>
      </c>
      <c r="F158" s="46">
        <v>301219</v>
      </c>
      <c r="G158" s="48" t="s">
        <v>121</v>
      </c>
      <c r="H158" s="47">
        <v>44103</v>
      </c>
      <c r="I158" s="46">
        <v>49856</v>
      </c>
      <c r="J158" s="46">
        <v>1</v>
      </c>
      <c r="K158" s="47">
        <v>44104</v>
      </c>
      <c r="L158" s="46">
        <v>9983</v>
      </c>
      <c r="M158" s="46">
        <v>1</v>
      </c>
    </row>
    <row r="159" spans="2:13" ht="14.1" customHeight="1" x14ac:dyDescent="0.25">
      <c r="B159" s="46" t="str">
        <f t="shared" si="2"/>
        <v>2009-89-304754</v>
      </c>
      <c r="C159" s="47">
        <v>44088</v>
      </c>
      <c r="D159" s="46">
        <v>89</v>
      </c>
      <c r="E159" s="46">
        <v>3</v>
      </c>
      <c r="F159" s="46">
        <v>304754</v>
      </c>
      <c r="G159" s="48" t="s">
        <v>681</v>
      </c>
      <c r="H159" s="47">
        <v>44103</v>
      </c>
      <c r="I159" s="46">
        <v>49858</v>
      </c>
      <c r="J159" s="46">
        <v>3</v>
      </c>
      <c r="K159" s="47">
        <v>44104</v>
      </c>
      <c r="L159" s="46">
        <v>9990</v>
      </c>
      <c r="M159" s="46">
        <v>3</v>
      </c>
    </row>
    <row r="160" spans="2:13" ht="14.1" customHeight="1" x14ac:dyDescent="0.25">
      <c r="B160" s="46" t="str">
        <f t="shared" si="2"/>
        <v>2009-89-300333</v>
      </c>
      <c r="C160" s="47">
        <v>44088</v>
      </c>
      <c r="D160" s="46">
        <v>89</v>
      </c>
      <c r="E160" s="46">
        <v>8</v>
      </c>
      <c r="F160" s="46">
        <v>300333</v>
      </c>
      <c r="G160" s="48" t="s">
        <v>294</v>
      </c>
      <c r="H160" s="47">
        <v>44103</v>
      </c>
      <c r="I160" s="46">
        <v>49858</v>
      </c>
      <c r="J160" s="46">
        <v>8</v>
      </c>
      <c r="K160" s="47">
        <v>44104</v>
      </c>
      <c r="L160" s="46">
        <v>9990</v>
      </c>
      <c r="M160" s="46">
        <v>8</v>
      </c>
    </row>
    <row r="161" spans="2:13" ht="14.1" customHeight="1" x14ac:dyDescent="0.25">
      <c r="B161" s="46" t="str">
        <f t="shared" si="2"/>
        <v>2009-89-203794</v>
      </c>
      <c r="C161" s="47">
        <v>44088</v>
      </c>
      <c r="D161" s="46">
        <v>89</v>
      </c>
      <c r="E161" s="46">
        <v>50</v>
      </c>
      <c r="F161" s="46">
        <v>203794</v>
      </c>
      <c r="G161" s="50" t="s">
        <v>258</v>
      </c>
      <c r="H161" s="47">
        <v>44103</v>
      </c>
      <c r="I161" s="46">
        <v>49859</v>
      </c>
      <c r="J161" s="46">
        <v>50</v>
      </c>
      <c r="K161" s="47">
        <v>44104</v>
      </c>
      <c r="L161" s="46">
        <v>9974</v>
      </c>
      <c r="M161" s="46">
        <v>50</v>
      </c>
    </row>
    <row r="162" spans="2:13" ht="14.1" customHeight="1" x14ac:dyDescent="0.25">
      <c r="B162" s="46" t="str">
        <f t="shared" si="2"/>
        <v>2009-89-205952</v>
      </c>
      <c r="C162" s="47">
        <v>44088</v>
      </c>
      <c r="D162" s="46">
        <v>89</v>
      </c>
      <c r="E162" s="46">
        <v>12</v>
      </c>
      <c r="F162" s="46">
        <v>205952</v>
      </c>
      <c r="G162" s="48" t="s">
        <v>256</v>
      </c>
      <c r="H162" s="47">
        <v>44103</v>
      </c>
      <c r="I162" s="46">
        <v>49856</v>
      </c>
      <c r="J162" s="46">
        <v>12</v>
      </c>
      <c r="K162" s="47">
        <v>44104</v>
      </c>
      <c r="L162" s="46">
        <v>9983</v>
      </c>
      <c r="M162" s="46">
        <v>12</v>
      </c>
    </row>
    <row r="163" spans="2:13" ht="14.1" customHeight="1" x14ac:dyDescent="0.25">
      <c r="B163" s="46" t="str">
        <f t="shared" si="2"/>
        <v>2009-89-300936</v>
      </c>
      <c r="C163" s="47">
        <v>44088</v>
      </c>
      <c r="D163" s="46">
        <v>89</v>
      </c>
      <c r="E163" s="46">
        <v>3</v>
      </c>
      <c r="F163" s="46">
        <v>300936</v>
      </c>
      <c r="G163" s="48" t="s">
        <v>612</v>
      </c>
      <c r="H163" s="47">
        <v>44103</v>
      </c>
      <c r="I163" s="46">
        <v>49856</v>
      </c>
      <c r="J163" s="46">
        <v>3</v>
      </c>
      <c r="K163" s="47">
        <v>44104</v>
      </c>
      <c r="L163" s="46">
        <v>9983</v>
      </c>
      <c r="M163" s="46">
        <v>3</v>
      </c>
    </row>
    <row r="164" spans="2:13" ht="14.1" customHeight="1" x14ac:dyDescent="0.25">
      <c r="B164" s="46" t="str">
        <f t="shared" si="2"/>
        <v>2009-89-308030</v>
      </c>
      <c r="C164" s="47">
        <v>44088</v>
      </c>
      <c r="D164" s="46">
        <v>89</v>
      </c>
      <c r="E164" s="46">
        <v>1</v>
      </c>
      <c r="F164" s="46">
        <v>308030</v>
      </c>
      <c r="G164" s="48" t="s">
        <v>737</v>
      </c>
      <c r="H164" s="47">
        <v>44103</v>
      </c>
      <c r="I164" s="46">
        <v>49858</v>
      </c>
      <c r="J164" s="46">
        <v>1</v>
      </c>
      <c r="K164" s="47">
        <v>44104</v>
      </c>
      <c r="L164" s="46">
        <v>9990</v>
      </c>
      <c r="M164" s="46">
        <v>1</v>
      </c>
    </row>
    <row r="165" spans="2:13" ht="14.1" customHeight="1" x14ac:dyDescent="0.25">
      <c r="B165" s="46" t="str">
        <f t="shared" si="2"/>
        <v>2009-89-312720</v>
      </c>
      <c r="C165" s="47">
        <v>44088</v>
      </c>
      <c r="D165" s="46">
        <v>89</v>
      </c>
      <c r="E165" s="46">
        <v>5</v>
      </c>
      <c r="F165" s="46">
        <v>312720</v>
      </c>
      <c r="G165" s="50" t="s">
        <v>296</v>
      </c>
      <c r="H165" s="47">
        <v>44103</v>
      </c>
      <c r="I165" s="46">
        <v>49856</v>
      </c>
      <c r="J165" s="46">
        <v>5</v>
      </c>
      <c r="K165" s="47">
        <v>44104</v>
      </c>
      <c r="L165" s="46">
        <v>9983</v>
      </c>
      <c r="M165" s="46">
        <v>5</v>
      </c>
    </row>
    <row r="166" spans="2:13" ht="14.1" customHeight="1" x14ac:dyDescent="0.25">
      <c r="B166" s="46" t="str">
        <f t="shared" si="2"/>
        <v>2009-89-319004</v>
      </c>
      <c r="C166" s="47">
        <v>44088</v>
      </c>
      <c r="D166" s="46">
        <v>89</v>
      </c>
      <c r="E166" s="46">
        <v>1</v>
      </c>
      <c r="F166" s="46">
        <v>319004</v>
      </c>
      <c r="G166" s="48" t="s">
        <v>930</v>
      </c>
      <c r="H166" s="47">
        <v>44103</v>
      </c>
      <c r="I166" s="46">
        <v>49856</v>
      </c>
      <c r="J166" s="46">
        <v>1</v>
      </c>
      <c r="K166" s="47">
        <v>44104</v>
      </c>
      <c r="L166" s="46">
        <v>9983</v>
      </c>
      <c r="M166" s="46">
        <v>1</v>
      </c>
    </row>
    <row r="167" spans="2:13" ht="14.1" customHeight="1" x14ac:dyDescent="0.25">
      <c r="B167" s="46" t="str">
        <f t="shared" si="2"/>
        <v>2009-89-319131</v>
      </c>
      <c r="C167" s="47">
        <v>44088</v>
      </c>
      <c r="D167" s="46">
        <v>89</v>
      </c>
      <c r="E167" s="46">
        <v>3</v>
      </c>
      <c r="F167" s="46">
        <v>319131</v>
      </c>
      <c r="G167" s="48" t="s">
        <v>933</v>
      </c>
      <c r="H167" s="47">
        <v>44103</v>
      </c>
      <c r="I167" s="46">
        <v>49856</v>
      </c>
      <c r="J167" s="46">
        <v>3</v>
      </c>
      <c r="K167" s="47">
        <v>44104</v>
      </c>
      <c r="L167" s="46">
        <v>9983</v>
      </c>
      <c r="M167" s="46">
        <v>3</v>
      </c>
    </row>
    <row r="168" spans="2:13" ht="14.1" customHeight="1" x14ac:dyDescent="0.25">
      <c r="B168" s="46" t="str">
        <f t="shared" si="2"/>
        <v>2009-89-105872</v>
      </c>
      <c r="C168" s="47">
        <v>44088</v>
      </c>
      <c r="D168" s="46">
        <v>89</v>
      </c>
      <c r="E168" s="46">
        <v>4</v>
      </c>
      <c r="F168" s="46">
        <v>105872</v>
      </c>
      <c r="G168" s="48" t="s">
        <v>257</v>
      </c>
      <c r="H168" s="47">
        <v>44103</v>
      </c>
      <c r="I168" s="46">
        <v>49856</v>
      </c>
      <c r="J168" s="46">
        <v>4</v>
      </c>
      <c r="K168" s="47">
        <v>44104</v>
      </c>
      <c r="L168" s="46">
        <v>9983</v>
      </c>
      <c r="M168" s="46">
        <v>4</v>
      </c>
    </row>
    <row r="169" spans="2:13" ht="14.1" customHeight="1" x14ac:dyDescent="0.25">
      <c r="B169" s="46" t="str">
        <f t="shared" si="2"/>
        <v>2009-89-303947</v>
      </c>
      <c r="C169" s="47">
        <v>44088</v>
      </c>
      <c r="D169" s="46">
        <v>89</v>
      </c>
      <c r="E169" s="46">
        <v>12</v>
      </c>
      <c r="F169" s="46">
        <v>303947</v>
      </c>
      <c r="G169" s="50" t="s">
        <v>203</v>
      </c>
      <c r="H169" s="47">
        <v>44103</v>
      </c>
      <c r="I169" s="46">
        <v>49858</v>
      </c>
      <c r="J169" s="46">
        <v>12</v>
      </c>
      <c r="K169" s="47">
        <v>44104</v>
      </c>
      <c r="L169" s="46">
        <v>9990</v>
      </c>
      <c r="M169" s="46">
        <v>12</v>
      </c>
    </row>
    <row r="170" spans="2:13" ht="14.1" customHeight="1" x14ac:dyDescent="0.25">
      <c r="B170" s="46" t="str">
        <f t="shared" si="2"/>
        <v>2009-89-300329</v>
      </c>
      <c r="C170" s="47">
        <v>44088</v>
      </c>
      <c r="D170" s="46">
        <v>89</v>
      </c>
      <c r="E170" s="46">
        <v>2</v>
      </c>
      <c r="F170" s="46">
        <v>300329</v>
      </c>
      <c r="G170" s="48" t="s">
        <v>593</v>
      </c>
      <c r="H170" s="47">
        <v>44103</v>
      </c>
      <c r="I170" s="46">
        <v>49856</v>
      </c>
      <c r="J170" s="46">
        <v>2</v>
      </c>
      <c r="K170" s="47">
        <v>44104</v>
      </c>
      <c r="L170" s="46">
        <v>9983</v>
      </c>
      <c r="M170" s="46">
        <v>2</v>
      </c>
    </row>
    <row r="171" spans="2:13" ht="14.1" customHeight="1" x14ac:dyDescent="0.25">
      <c r="B171" s="46" t="str">
        <f t="shared" si="2"/>
        <v>2009-89-203848</v>
      </c>
      <c r="C171" s="47">
        <v>44088</v>
      </c>
      <c r="D171" s="46">
        <v>89</v>
      </c>
      <c r="E171" s="46">
        <v>1</v>
      </c>
      <c r="F171" s="46">
        <v>203848</v>
      </c>
      <c r="G171" s="48" t="s">
        <v>438</v>
      </c>
      <c r="H171" s="47">
        <v>44103</v>
      </c>
      <c r="I171" s="46">
        <v>49856</v>
      </c>
      <c r="J171" s="46">
        <v>1</v>
      </c>
      <c r="K171" s="47">
        <v>44104</v>
      </c>
      <c r="L171" s="46">
        <v>9983</v>
      </c>
      <c r="M171" s="46">
        <v>1</v>
      </c>
    </row>
    <row r="172" spans="2:13" ht="14.1" customHeight="1" x14ac:dyDescent="0.25">
      <c r="B172" s="46" t="str">
        <f t="shared" si="2"/>
        <v>2009-89-204291</v>
      </c>
      <c r="C172" s="47">
        <v>44088</v>
      </c>
      <c r="D172" s="46">
        <v>89</v>
      </c>
      <c r="E172" s="46">
        <v>20</v>
      </c>
      <c r="F172" s="46">
        <v>204291</v>
      </c>
      <c r="G172" s="48" t="s">
        <v>533</v>
      </c>
      <c r="H172" s="47">
        <v>44103</v>
      </c>
      <c r="I172" s="46">
        <v>49859</v>
      </c>
      <c r="J172" s="46">
        <v>20</v>
      </c>
      <c r="K172" s="47">
        <v>44104</v>
      </c>
      <c r="L172" s="46">
        <v>9974</v>
      </c>
      <c r="M172" s="46">
        <v>20</v>
      </c>
    </row>
    <row r="173" spans="2:13" ht="14.1" customHeight="1" x14ac:dyDescent="0.25">
      <c r="B173" s="46" t="str">
        <f t="shared" si="2"/>
        <v>2009-89-306628</v>
      </c>
      <c r="C173" s="47">
        <v>44088</v>
      </c>
      <c r="D173" s="46">
        <v>89</v>
      </c>
      <c r="E173" s="46">
        <v>60</v>
      </c>
      <c r="F173" s="46">
        <v>306628</v>
      </c>
      <c r="G173" s="48" t="s">
        <v>204</v>
      </c>
      <c r="H173" s="47">
        <v>44103</v>
      </c>
      <c r="I173" s="46">
        <v>49859</v>
      </c>
      <c r="J173" s="46">
        <v>60</v>
      </c>
      <c r="K173" s="47">
        <v>44104</v>
      </c>
      <c r="L173" s="46">
        <v>9974</v>
      </c>
      <c r="M173" s="46">
        <v>60</v>
      </c>
    </row>
    <row r="174" spans="2:13" ht="14.1" customHeight="1" x14ac:dyDescent="0.25">
      <c r="B174" s="46" t="str">
        <f t="shared" si="2"/>
        <v>2009-89-306761</v>
      </c>
      <c r="C174" s="47">
        <v>44088</v>
      </c>
      <c r="D174" s="46">
        <v>89</v>
      </c>
      <c r="E174" s="46">
        <v>2</v>
      </c>
      <c r="F174" s="46">
        <v>306761</v>
      </c>
      <c r="G174" s="48" t="s">
        <v>714</v>
      </c>
      <c r="H174" s="47">
        <v>44103</v>
      </c>
      <c r="I174" s="46">
        <v>49856</v>
      </c>
      <c r="J174" s="46">
        <v>2</v>
      </c>
      <c r="K174" s="47">
        <v>44104</v>
      </c>
      <c r="L174" s="46">
        <v>9983</v>
      </c>
      <c r="M174" s="46">
        <v>2</v>
      </c>
    </row>
    <row r="175" spans="2:13" ht="14.1" customHeight="1" x14ac:dyDescent="0.25">
      <c r="B175" s="46" t="str">
        <f t="shared" si="2"/>
        <v>2009-89-205957</v>
      </c>
      <c r="C175" s="47">
        <v>44088</v>
      </c>
      <c r="D175" s="46">
        <v>89</v>
      </c>
      <c r="E175" s="46">
        <v>14</v>
      </c>
      <c r="F175" s="46">
        <v>205957</v>
      </c>
      <c r="G175" s="48" t="s">
        <v>43</v>
      </c>
      <c r="H175" s="47">
        <v>44103</v>
      </c>
      <c r="I175" s="46">
        <v>49856</v>
      </c>
      <c r="J175" s="46">
        <v>14</v>
      </c>
      <c r="K175" s="47">
        <v>44104</v>
      </c>
      <c r="L175" s="46">
        <v>9983</v>
      </c>
      <c r="M175" s="46">
        <v>14</v>
      </c>
    </row>
    <row r="176" spans="2:13" ht="14.1" customHeight="1" x14ac:dyDescent="0.25">
      <c r="B176" s="46" t="str">
        <f t="shared" si="2"/>
        <v>2009-89-307031</v>
      </c>
      <c r="C176" s="47">
        <v>44088</v>
      </c>
      <c r="D176" s="46">
        <v>89</v>
      </c>
      <c r="E176" s="46">
        <v>6</v>
      </c>
      <c r="F176" s="46">
        <v>307031</v>
      </c>
      <c r="G176" s="48" t="s">
        <v>263</v>
      </c>
      <c r="H176" s="47">
        <v>44103</v>
      </c>
      <c r="I176" s="46">
        <v>49856</v>
      </c>
      <c r="J176" s="46">
        <v>6</v>
      </c>
      <c r="K176" s="47">
        <v>44104</v>
      </c>
      <c r="L176" s="46">
        <v>9983</v>
      </c>
      <c r="M176" s="46">
        <v>6</v>
      </c>
    </row>
    <row r="177" spans="2:13" ht="14.1" customHeight="1" x14ac:dyDescent="0.25">
      <c r="B177" s="46" t="str">
        <f t="shared" si="2"/>
        <v>2009-89-301703</v>
      </c>
      <c r="C177" s="47">
        <v>44088</v>
      </c>
      <c r="D177" s="46">
        <v>89</v>
      </c>
      <c r="E177" s="46">
        <v>1</v>
      </c>
      <c r="F177" s="46">
        <v>301703</v>
      </c>
      <c r="G177" s="48" t="s">
        <v>626</v>
      </c>
      <c r="H177" s="47">
        <v>44103</v>
      </c>
      <c r="I177" s="46">
        <v>49856</v>
      </c>
      <c r="J177" s="46">
        <v>1</v>
      </c>
      <c r="K177" s="47">
        <v>44104</v>
      </c>
      <c r="L177" s="46">
        <v>9983</v>
      </c>
      <c r="M177" s="46">
        <v>1</v>
      </c>
    </row>
    <row r="178" spans="2:13" ht="14.1" customHeight="1" x14ac:dyDescent="0.25">
      <c r="B178" s="46" t="str">
        <f t="shared" si="2"/>
        <v>2009-89-312168</v>
      </c>
      <c r="C178" s="47">
        <v>44088</v>
      </c>
      <c r="D178" s="46">
        <v>89</v>
      </c>
      <c r="E178" s="46">
        <v>5</v>
      </c>
      <c r="F178" s="46">
        <v>312168</v>
      </c>
      <c r="G178" s="48" t="s">
        <v>259</v>
      </c>
      <c r="H178" s="47">
        <v>44103</v>
      </c>
      <c r="I178" s="46">
        <v>49856</v>
      </c>
      <c r="J178" s="46">
        <v>5</v>
      </c>
      <c r="K178" s="47">
        <v>44104</v>
      </c>
      <c r="L178" s="46">
        <v>9983</v>
      </c>
      <c r="M178" s="46">
        <v>5</v>
      </c>
    </row>
    <row r="179" spans="2:13" ht="14.1" customHeight="1" x14ac:dyDescent="0.25">
      <c r="B179" s="46" t="str">
        <f t="shared" si="2"/>
        <v>2009-89-319130</v>
      </c>
      <c r="C179" s="47">
        <v>44088</v>
      </c>
      <c r="D179" s="46">
        <v>89</v>
      </c>
      <c r="E179" s="46">
        <v>1</v>
      </c>
      <c r="F179" s="46">
        <v>319130</v>
      </c>
      <c r="G179" s="48" t="s">
        <v>932</v>
      </c>
      <c r="H179" s="47">
        <v>44103</v>
      </c>
      <c r="I179" s="46">
        <v>49856</v>
      </c>
      <c r="J179" s="46">
        <v>1</v>
      </c>
      <c r="K179" s="47">
        <v>44104</v>
      </c>
      <c r="L179" s="46">
        <v>9979</v>
      </c>
      <c r="M179" s="46">
        <v>1</v>
      </c>
    </row>
    <row r="180" spans="2:13" ht="14.1" customHeight="1" x14ac:dyDescent="0.25">
      <c r="B180" s="46" t="str">
        <f t="shared" si="2"/>
        <v>2009-89-205979</v>
      </c>
      <c r="C180" s="47">
        <v>44088</v>
      </c>
      <c r="D180" s="46">
        <v>89</v>
      </c>
      <c r="E180" s="46">
        <v>3</v>
      </c>
      <c r="F180" s="46">
        <v>205979</v>
      </c>
      <c r="G180" s="50" t="s">
        <v>255</v>
      </c>
      <c r="H180" s="47">
        <v>44103</v>
      </c>
      <c r="I180" s="46">
        <v>49858</v>
      </c>
      <c r="J180" s="46">
        <v>3</v>
      </c>
      <c r="K180" s="47">
        <v>44104</v>
      </c>
      <c r="L180" s="46">
        <v>9990</v>
      </c>
      <c r="M180" s="46">
        <v>3</v>
      </c>
    </row>
    <row r="181" spans="2:13" ht="14.1" customHeight="1" x14ac:dyDescent="0.25">
      <c r="B181" s="46" t="str">
        <f t="shared" si="2"/>
        <v>2009-92-205512</v>
      </c>
      <c r="C181" s="47">
        <v>44089</v>
      </c>
      <c r="D181" s="46">
        <v>92</v>
      </c>
      <c r="E181" s="46">
        <v>15</v>
      </c>
      <c r="F181" s="46">
        <v>205512</v>
      </c>
      <c r="G181" s="50" t="s">
        <v>104</v>
      </c>
      <c r="H181" s="47">
        <v>44096</v>
      </c>
      <c r="I181" s="46">
        <v>49790</v>
      </c>
      <c r="J181" s="46">
        <v>15</v>
      </c>
      <c r="K181" s="47">
        <v>44109</v>
      </c>
      <c r="L181" s="46">
        <v>10016</v>
      </c>
      <c r="M181" s="46">
        <v>15</v>
      </c>
    </row>
    <row r="182" spans="2:13" ht="14.1" customHeight="1" x14ac:dyDescent="0.25">
      <c r="B182" s="46" t="str">
        <f t="shared" si="2"/>
        <v>2009-93-205115</v>
      </c>
      <c r="C182" s="47">
        <v>44089</v>
      </c>
      <c r="D182" s="46">
        <v>93</v>
      </c>
      <c r="E182" s="46">
        <v>2</v>
      </c>
      <c r="F182" s="46">
        <v>205115</v>
      </c>
      <c r="G182" s="50" t="s">
        <v>282</v>
      </c>
      <c r="H182" s="47">
        <v>44089</v>
      </c>
      <c r="I182" s="46">
        <v>49796</v>
      </c>
      <c r="J182" s="46">
        <v>2</v>
      </c>
      <c r="K182" s="47">
        <v>44089</v>
      </c>
      <c r="L182" s="46">
        <v>9846</v>
      </c>
      <c r="M182" s="46">
        <v>2</v>
      </c>
    </row>
    <row r="183" spans="2:13" ht="14.1" customHeight="1" x14ac:dyDescent="0.25">
      <c r="B183" s="46" t="str">
        <f t="shared" si="2"/>
        <v>2009-94-303713</v>
      </c>
      <c r="C183" s="47">
        <v>44089</v>
      </c>
      <c r="D183" s="46">
        <v>94</v>
      </c>
      <c r="E183" s="46">
        <v>1</v>
      </c>
      <c r="F183" s="46">
        <v>303713</v>
      </c>
      <c r="G183" s="50" t="s">
        <v>661</v>
      </c>
      <c r="I183" s="46">
        <v>0</v>
      </c>
      <c r="J183" s="46">
        <v>0</v>
      </c>
      <c r="L183" s="46">
        <v>0</v>
      </c>
      <c r="M183" s="46">
        <v>0</v>
      </c>
    </row>
    <row r="184" spans="2:13" ht="14.1" customHeight="1" x14ac:dyDescent="0.25">
      <c r="B184" s="46" t="str">
        <f t="shared" si="2"/>
        <v>2009-95-205115</v>
      </c>
      <c r="C184" s="47">
        <v>44089</v>
      </c>
      <c r="D184" s="46">
        <v>95</v>
      </c>
      <c r="E184" s="46">
        <v>1</v>
      </c>
      <c r="F184" s="46">
        <v>205115</v>
      </c>
      <c r="G184" s="50" t="s">
        <v>282</v>
      </c>
      <c r="I184" s="46">
        <v>0</v>
      </c>
      <c r="J184" s="46">
        <v>0</v>
      </c>
      <c r="L184" s="46">
        <v>0</v>
      </c>
      <c r="M184" s="46">
        <v>0</v>
      </c>
    </row>
    <row r="185" spans="2:13" ht="14.1" customHeight="1" x14ac:dyDescent="0.25">
      <c r="B185" s="46" t="str">
        <f t="shared" si="2"/>
        <v>2009-96-204180</v>
      </c>
      <c r="C185" s="47">
        <v>44089</v>
      </c>
      <c r="D185" s="46">
        <v>96</v>
      </c>
      <c r="E185" s="46">
        <v>1</v>
      </c>
      <c r="F185" s="46">
        <v>204180</v>
      </c>
      <c r="G185" s="50" t="s">
        <v>529</v>
      </c>
      <c r="I185" s="46">
        <v>0</v>
      </c>
      <c r="J185" s="46">
        <v>0</v>
      </c>
      <c r="L185" s="46">
        <v>0</v>
      </c>
      <c r="M185" s="46">
        <v>0</v>
      </c>
    </row>
    <row r="186" spans="2:13" ht="14.1" customHeight="1" x14ac:dyDescent="0.25">
      <c r="B186" s="46" t="str">
        <f t="shared" si="2"/>
        <v>2009-96-204179</v>
      </c>
      <c r="C186" s="47">
        <v>44089</v>
      </c>
      <c r="D186" s="46">
        <v>96</v>
      </c>
      <c r="E186" s="46">
        <v>1</v>
      </c>
      <c r="F186" s="46">
        <v>204179</v>
      </c>
      <c r="G186" s="48" t="s">
        <v>528</v>
      </c>
      <c r="I186" s="46">
        <v>0</v>
      </c>
      <c r="J186" s="46">
        <v>0</v>
      </c>
      <c r="L186" s="46">
        <v>0</v>
      </c>
      <c r="M186" s="46">
        <v>0</v>
      </c>
    </row>
    <row r="187" spans="2:13" ht="14.1" customHeight="1" x14ac:dyDescent="0.25">
      <c r="B187" s="46" t="str">
        <f t="shared" si="2"/>
        <v>2009-96-105398</v>
      </c>
      <c r="C187" s="47">
        <v>44089</v>
      </c>
      <c r="D187" s="46">
        <v>96</v>
      </c>
      <c r="E187" s="46">
        <v>6</v>
      </c>
      <c r="F187" s="46">
        <v>105398</v>
      </c>
      <c r="G187" s="50" t="s">
        <v>134</v>
      </c>
      <c r="H187" s="47">
        <v>44168</v>
      </c>
      <c r="I187" s="46">
        <v>50722</v>
      </c>
      <c r="J187" s="46">
        <v>6</v>
      </c>
      <c r="K187" s="47">
        <v>44172</v>
      </c>
      <c r="L187" s="46">
        <v>10605</v>
      </c>
      <c r="M187" s="46">
        <v>6</v>
      </c>
    </row>
    <row r="188" spans="2:13" ht="14.1" customHeight="1" x14ac:dyDescent="0.25">
      <c r="B188" s="46" t="str">
        <f t="shared" si="2"/>
        <v>2009-96-205840</v>
      </c>
      <c r="C188" s="47">
        <v>44089</v>
      </c>
      <c r="D188" s="46">
        <v>96</v>
      </c>
      <c r="E188" s="46">
        <v>12</v>
      </c>
      <c r="F188" s="46">
        <v>205840</v>
      </c>
      <c r="G188" s="48" t="s">
        <v>572</v>
      </c>
      <c r="H188" s="47">
        <v>44166</v>
      </c>
      <c r="I188" s="46">
        <v>50701</v>
      </c>
      <c r="J188" s="46">
        <v>12</v>
      </c>
      <c r="K188" s="47">
        <v>44168</v>
      </c>
      <c r="L188" s="46">
        <v>10588</v>
      </c>
      <c r="M188" s="46">
        <v>12</v>
      </c>
    </row>
    <row r="189" spans="2:13" ht="14.1" customHeight="1" x14ac:dyDescent="0.25">
      <c r="B189" s="46" t="str">
        <f t="shared" si="2"/>
        <v>2009-96-304396</v>
      </c>
      <c r="C189" s="47">
        <v>44089</v>
      </c>
      <c r="D189" s="46">
        <v>96</v>
      </c>
      <c r="E189" s="46">
        <v>12</v>
      </c>
      <c r="F189" s="46">
        <v>304396</v>
      </c>
      <c r="G189" s="48" t="s">
        <v>671</v>
      </c>
      <c r="H189" s="47">
        <v>44166</v>
      </c>
      <c r="I189" s="46">
        <v>50701</v>
      </c>
      <c r="J189" s="46">
        <v>12</v>
      </c>
      <c r="K189" s="47">
        <v>44168</v>
      </c>
      <c r="L189" s="46">
        <v>10588</v>
      </c>
      <c r="M189" s="46">
        <v>12</v>
      </c>
    </row>
    <row r="190" spans="2:13" ht="14.1" customHeight="1" x14ac:dyDescent="0.25">
      <c r="B190" s="46" t="str">
        <f t="shared" si="2"/>
        <v>2009-97-305154</v>
      </c>
      <c r="C190" s="47">
        <v>44089</v>
      </c>
      <c r="D190" s="46">
        <v>97</v>
      </c>
      <c r="E190" s="46">
        <v>1</v>
      </c>
      <c r="F190" s="46">
        <v>305154</v>
      </c>
      <c r="G190" s="48" t="s">
        <v>688</v>
      </c>
      <c r="H190" s="47">
        <v>44096</v>
      </c>
      <c r="I190" s="46">
        <v>49789</v>
      </c>
      <c r="J190" s="46">
        <v>1</v>
      </c>
      <c r="K190" s="47">
        <v>44099</v>
      </c>
      <c r="L190" s="46">
        <v>9933</v>
      </c>
      <c r="M190" s="46">
        <v>1</v>
      </c>
    </row>
    <row r="191" spans="2:13" ht="14.1" customHeight="1" x14ac:dyDescent="0.25">
      <c r="B191" s="46" t="str">
        <f t="shared" si="2"/>
        <v>2009-97-203751</v>
      </c>
      <c r="C191" s="47">
        <v>44089</v>
      </c>
      <c r="D191" s="46">
        <v>97</v>
      </c>
      <c r="E191" s="46">
        <v>2</v>
      </c>
      <c r="F191" s="46">
        <v>203751</v>
      </c>
      <c r="G191" s="48" t="s">
        <v>517</v>
      </c>
      <c r="H191" s="47">
        <v>44096</v>
      </c>
      <c r="I191" s="46">
        <v>49789</v>
      </c>
      <c r="J191" s="46">
        <v>2</v>
      </c>
      <c r="K191" s="47">
        <v>44099</v>
      </c>
      <c r="L191" s="46">
        <v>9933</v>
      </c>
      <c r="M191" s="46">
        <v>2</v>
      </c>
    </row>
    <row r="192" spans="2:13" ht="14.1" customHeight="1" x14ac:dyDescent="0.25">
      <c r="B192" s="46" t="str">
        <f t="shared" si="2"/>
        <v>2009-97-203922</v>
      </c>
      <c r="C192" s="47">
        <v>44089</v>
      </c>
      <c r="D192" s="46">
        <v>97</v>
      </c>
      <c r="E192" s="46">
        <v>2</v>
      </c>
      <c r="F192" s="46">
        <v>203922</v>
      </c>
      <c r="G192" s="48" t="s">
        <v>92</v>
      </c>
      <c r="H192" s="47">
        <v>44096</v>
      </c>
      <c r="I192" s="46">
        <v>49789</v>
      </c>
      <c r="J192" s="46">
        <v>2</v>
      </c>
      <c r="K192" s="47">
        <v>44099</v>
      </c>
      <c r="L192" s="46">
        <v>9933</v>
      </c>
      <c r="M192" s="46">
        <v>2</v>
      </c>
    </row>
    <row r="193" spans="2:13" ht="14.1" customHeight="1" x14ac:dyDescent="0.25">
      <c r="B193" s="46" t="str">
        <f t="shared" si="2"/>
        <v>2009-97-203739</v>
      </c>
      <c r="C193" s="47">
        <v>44089</v>
      </c>
      <c r="D193" s="46">
        <v>97</v>
      </c>
      <c r="E193" s="46">
        <v>1</v>
      </c>
      <c r="F193" s="46">
        <v>203739</v>
      </c>
      <c r="G193" s="48" t="s">
        <v>516</v>
      </c>
      <c r="H193" s="47">
        <v>44096</v>
      </c>
      <c r="I193" s="46">
        <v>49789</v>
      </c>
      <c r="J193" s="46">
        <v>1</v>
      </c>
      <c r="K193" s="47">
        <v>44099</v>
      </c>
      <c r="L193" s="46">
        <v>9933</v>
      </c>
      <c r="M193" s="46">
        <v>1</v>
      </c>
    </row>
    <row r="194" spans="2:13" ht="14.1" customHeight="1" x14ac:dyDescent="0.25">
      <c r="B194" s="46" t="str">
        <f t="shared" si="2"/>
        <v>2009-97-306818</v>
      </c>
      <c r="C194" s="47">
        <v>44089</v>
      </c>
      <c r="D194" s="46">
        <v>97</v>
      </c>
      <c r="E194" s="46">
        <v>1</v>
      </c>
      <c r="F194" s="46">
        <v>306818</v>
      </c>
      <c r="G194" s="48" t="s">
        <v>94</v>
      </c>
      <c r="H194" s="47">
        <v>44096</v>
      </c>
      <c r="I194" s="46">
        <v>49789</v>
      </c>
      <c r="J194" s="46">
        <v>1</v>
      </c>
      <c r="K194" s="47">
        <v>44099</v>
      </c>
      <c r="L194" s="46">
        <v>9933</v>
      </c>
      <c r="M194" s="46">
        <v>1</v>
      </c>
    </row>
    <row r="195" spans="2:13" ht="14.1" customHeight="1" x14ac:dyDescent="0.25">
      <c r="B195" s="46" t="str">
        <f t="shared" si="2"/>
        <v>2009-97-107660</v>
      </c>
      <c r="C195" s="47">
        <v>44089</v>
      </c>
      <c r="D195" s="46">
        <v>97</v>
      </c>
      <c r="E195" s="46">
        <v>2</v>
      </c>
      <c r="F195" s="46">
        <v>107660</v>
      </c>
      <c r="G195" s="48" t="s">
        <v>485</v>
      </c>
      <c r="H195" s="47">
        <v>44096</v>
      </c>
      <c r="I195" s="46">
        <v>49789</v>
      </c>
      <c r="J195" s="46">
        <v>2</v>
      </c>
      <c r="K195" s="47">
        <v>44099</v>
      </c>
      <c r="L195" s="46">
        <v>9933</v>
      </c>
      <c r="M195" s="46">
        <v>2</v>
      </c>
    </row>
    <row r="196" spans="2:13" ht="14.1" customHeight="1" x14ac:dyDescent="0.25">
      <c r="B196" s="46" t="str">
        <f t="shared" si="2"/>
        <v>2009-97-314977</v>
      </c>
      <c r="C196" s="47">
        <v>44089</v>
      </c>
      <c r="D196" s="46">
        <v>97</v>
      </c>
      <c r="E196" s="46">
        <v>1</v>
      </c>
      <c r="F196" s="46">
        <v>314977</v>
      </c>
      <c r="G196" s="48" t="s">
        <v>863</v>
      </c>
      <c r="H196" s="47">
        <v>44096</v>
      </c>
      <c r="I196" s="46">
        <v>49789</v>
      </c>
      <c r="J196" s="46">
        <v>1</v>
      </c>
      <c r="K196" s="47">
        <v>44099</v>
      </c>
      <c r="L196" s="46">
        <v>9933</v>
      </c>
      <c r="M196" s="46">
        <v>1</v>
      </c>
    </row>
    <row r="197" spans="2:13" ht="14.1" customHeight="1" x14ac:dyDescent="0.25">
      <c r="B197" s="46" t="str">
        <f t="shared" si="2"/>
        <v>2009-97-313501</v>
      </c>
      <c r="C197" s="47">
        <v>44089</v>
      </c>
      <c r="D197" s="46">
        <v>97</v>
      </c>
      <c r="E197" s="46">
        <v>1</v>
      </c>
      <c r="F197" s="46">
        <v>313501</v>
      </c>
      <c r="G197" s="48" t="s">
        <v>834</v>
      </c>
      <c r="H197" s="47">
        <v>44096</v>
      </c>
      <c r="I197" s="46">
        <v>49789</v>
      </c>
      <c r="J197" s="46">
        <v>1</v>
      </c>
      <c r="K197" s="47">
        <v>44099</v>
      </c>
      <c r="L197" s="46">
        <v>9933</v>
      </c>
      <c r="M197" s="46">
        <v>1</v>
      </c>
    </row>
    <row r="198" spans="2:13" ht="14.1" customHeight="1" x14ac:dyDescent="0.25">
      <c r="B198" s="46" t="str">
        <f t="shared" si="2"/>
        <v>2009-98-307903</v>
      </c>
      <c r="C198" s="47">
        <v>44090</v>
      </c>
      <c r="D198" s="46">
        <v>98</v>
      </c>
      <c r="E198" s="46">
        <v>6</v>
      </c>
      <c r="F198" s="46">
        <v>307903</v>
      </c>
      <c r="G198" s="48" t="s">
        <v>1050</v>
      </c>
      <c r="H198" s="47">
        <v>44103</v>
      </c>
      <c r="I198" s="46">
        <v>49861</v>
      </c>
      <c r="J198" s="46">
        <v>6</v>
      </c>
      <c r="K198" s="47">
        <v>44104</v>
      </c>
      <c r="L198" s="46">
        <v>9980</v>
      </c>
      <c r="M198" s="46">
        <v>6</v>
      </c>
    </row>
    <row r="199" spans="2:13" ht="14.1" customHeight="1" x14ac:dyDescent="0.25">
      <c r="B199" s="46" t="str">
        <f t="shared" si="2"/>
        <v>2009-99-203710</v>
      </c>
      <c r="C199" s="47">
        <v>44090</v>
      </c>
      <c r="D199" s="46">
        <v>99</v>
      </c>
      <c r="E199" s="46">
        <v>1</v>
      </c>
      <c r="F199" s="46">
        <v>203710</v>
      </c>
      <c r="G199" s="50" t="s">
        <v>515</v>
      </c>
      <c r="I199" s="46">
        <v>0</v>
      </c>
      <c r="J199" s="46">
        <v>0</v>
      </c>
      <c r="L199" s="46">
        <v>0</v>
      </c>
      <c r="M199" s="46">
        <v>0</v>
      </c>
    </row>
    <row r="200" spans="2:13" ht="14.1" customHeight="1" x14ac:dyDescent="0.25">
      <c r="B200" s="46" t="str">
        <f t="shared" si="2"/>
        <v>2009-99-304753</v>
      </c>
      <c r="C200" s="47">
        <v>44090</v>
      </c>
      <c r="D200" s="46">
        <v>99</v>
      </c>
      <c r="E200" s="46">
        <v>3</v>
      </c>
      <c r="F200" s="46">
        <v>304753</v>
      </c>
      <c r="G200" s="48" t="s">
        <v>680</v>
      </c>
      <c r="I200" s="46">
        <v>0</v>
      </c>
      <c r="J200" s="46">
        <v>0</v>
      </c>
      <c r="L200" s="46">
        <v>0</v>
      </c>
      <c r="M200" s="46">
        <v>0</v>
      </c>
    </row>
    <row r="201" spans="2:13" ht="14.1" customHeight="1" x14ac:dyDescent="0.25">
      <c r="B201" s="46" t="str">
        <f t="shared" si="2"/>
        <v>2009-99-307029</v>
      </c>
      <c r="C201" s="47">
        <v>44090</v>
      </c>
      <c r="D201" s="46">
        <v>99</v>
      </c>
      <c r="E201" s="46">
        <v>4</v>
      </c>
      <c r="F201" s="46">
        <v>307029</v>
      </c>
      <c r="G201" s="48" t="s">
        <v>365</v>
      </c>
      <c r="I201" s="46">
        <v>0</v>
      </c>
      <c r="J201" s="46">
        <v>0</v>
      </c>
      <c r="L201" s="46">
        <v>0</v>
      </c>
      <c r="M201" s="46">
        <v>0</v>
      </c>
    </row>
    <row r="202" spans="2:13" ht="14.1" customHeight="1" x14ac:dyDescent="0.25">
      <c r="B202" s="46" t="str">
        <f t="shared" si="2"/>
        <v>2009-100-300312</v>
      </c>
      <c r="C202" s="47">
        <v>44090</v>
      </c>
      <c r="D202" s="46">
        <v>100</v>
      </c>
      <c r="E202" s="46">
        <v>1250</v>
      </c>
      <c r="F202" s="46">
        <v>300312</v>
      </c>
      <c r="G202" s="48" t="s">
        <v>186</v>
      </c>
      <c r="H202" s="47">
        <v>44105</v>
      </c>
      <c r="I202" s="46">
        <v>49897</v>
      </c>
      <c r="J202" s="46">
        <v>1250</v>
      </c>
      <c r="K202" s="47">
        <v>44090</v>
      </c>
      <c r="L202" s="46">
        <v>9854</v>
      </c>
      <c r="M202" s="46">
        <v>1250</v>
      </c>
    </row>
    <row r="203" spans="2:13" ht="14.1" customHeight="1" x14ac:dyDescent="0.25">
      <c r="B203" s="46" t="str">
        <f t="shared" si="2"/>
        <v>2009-102-314161</v>
      </c>
      <c r="C203" s="47">
        <v>44090</v>
      </c>
      <c r="D203" s="46">
        <v>102</v>
      </c>
      <c r="E203" s="46">
        <v>1</v>
      </c>
      <c r="F203" s="46">
        <v>314161</v>
      </c>
      <c r="G203" s="50" t="s">
        <v>849</v>
      </c>
      <c r="H203" s="47">
        <v>44088</v>
      </c>
      <c r="I203" s="46">
        <v>49769</v>
      </c>
      <c r="J203" s="46">
        <v>1</v>
      </c>
      <c r="K203" s="47">
        <v>44090</v>
      </c>
      <c r="L203" s="46">
        <v>9857</v>
      </c>
      <c r="M203" s="46">
        <v>1</v>
      </c>
    </row>
    <row r="204" spans="2:13" ht="14.1" customHeight="1" x14ac:dyDescent="0.25">
      <c r="B204" s="46" t="str">
        <f t="shared" ref="B204:B267" si="3">TEXT(C204,"yy") &amp; TEXT(C204,"mm") &amp;"-"&amp;(D204) &amp;"-"&amp;(F204)</f>
        <v>2009-104-107718</v>
      </c>
      <c r="C204" s="47">
        <v>44090</v>
      </c>
      <c r="D204" s="46">
        <v>104</v>
      </c>
      <c r="E204" s="46">
        <v>1.5</v>
      </c>
      <c r="F204" s="46">
        <v>107718</v>
      </c>
      <c r="G204" s="48" t="s">
        <v>486</v>
      </c>
      <c r="I204" s="46">
        <v>0</v>
      </c>
      <c r="J204" s="46">
        <v>0</v>
      </c>
      <c r="L204" s="46">
        <v>0</v>
      </c>
      <c r="M204" s="46">
        <v>0</v>
      </c>
    </row>
    <row r="205" spans="2:13" ht="14.1" customHeight="1" x14ac:dyDescent="0.25">
      <c r="B205" s="46" t="str">
        <f t="shared" si="3"/>
        <v>2009-111-200751</v>
      </c>
      <c r="C205" s="47">
        <v>44091</v>
      </c>
      <c r="D205" s="46">
        <v>111</v>
      </c>
      <c r="E205" s="46">
        <v>20000</v>
      </c>
      <c r="F205" s="46">
        <v>200751</v>
      </c>
      <c r="G205" s="48" t="s">
        <v>151</v>
      </c>
      <c r="H205" s="47">
        <v>44092</v>
      </c>
      <c r="I205" s="46">
        <v>49780</v>
      </c>
      <c r="J205" s="46">
        <v>10000</v>
      </c>
      <c r="K205" s="47">
        <v>44095</v>
      </c>
      <c r="L205" s="46">
        <v>9895</v>
      </c>
      <c r="M205" s="46">
        <v>10000</v>
      </c>
    </row>
    <row r="206" spans="2:13" ht="14.1" customHeight="1" x14ac:dyDescent="0.25">
      <c r="B206" s="46" t="str">
        <f t="shared" si="3"/>
        <v>2009-111-200751</v>
      </c>
      <c r="C206" s="47">
        <v>44091</v>
      </c>
      <c r="D206" s="46">
        <v>111</v>
      </c>
      <c r="E206" s="46">
        <v>20000</v>
      </c>
      <c r="F206" s="46">
        <v>200751</v>
      </c>
      <c r="G206" s="50" t="s">
        <v>151</v>
      </c>
      <c r="H206" s="47">
        <v>44092</v>
      </c>
      <c r="I206" s="46">
        <v>49780</v>
      </c>
      <c r="J206" s="46">
        <v>10000</v>
      </c>
      <c r="K206" s="47">
        <v>44096</v>
      </c>
      <c r="L206" s="46">
        <v>9903</v>
      </c>
      <c r="M206" s="46">
        <v>10000</v>
      </c>
    </row>
    <row r="207" spans="2:13" ht="14.1" customHeight="1" x14ac:dyDescent="0.25">
      <c r="B207" s="46" t="str">
        <f t="shared" si="3"/>
        <v>2009-111-200751</v>
      </c>
      <c r="C207" s="47">
        <v>44091</v>
      </c>
      <c r="D207" s="46">
        <v>111</v>
      </c>
      <c r="E207" s="46">
        <v>20000</v>
      </c>
      <c r="F207" s="46">
        <v>200751</v>
      </c>
      <c r="G207" s="48" t="s">
        <v>151</v>
      </c>
      <c r="H207" s="47">
        <v>44096</v>
      </c>
      <c r="I207" s="46">
        <v>49805</v>
      </c>
      <c r="J207" s="46">
        <v>10000</v>
      </c>
      <c r="K207" s="47">
        <v>44095</v>
      </c>
      <c r="L207" s="46">
        <v>9895</v>
      </c>
      <c r="M207" s="46">
        <v>10000</v>
      </c>
    </row>
    <row r="208" spans="2:13" ht="14.1" customHeight="1" x14ac:dyDescent="0.25">
      <c r="B208" s="46" t="str">
        <f t="shared" si="3"/>
        <v>2009-111-200751</v>
      </c>
      <c r="C208" s="47">
        <v>44091</v>
      </c>
      <c r="D208" s="46">
        <v>111</v>
      </c>
      <c r="E208" s="46">
        <v>20000</v>
      </c>
      <c r="F208" s="46">
        <v>200751</v>
      </c>
      <c r="G208" s="48" t="s">
        <v>151</v>
      </c>
      <c r="H208" s="47">
        <v>44096</v>
      </c>
      <c r="I208" s="46">
        <v>49805</v>
      </c>
      <c r="J208" s="46">
        <v>10000</v>
      </c>
      <c r="K208" s="47">
        <v>44096</v>
      </c>
      <c r="L208" s="46">
        <v>9903</v>
      </c>
      <c r="M208" s="46">
        <v>10000</v>
      </c>
    </row>
    <row r="209" spans="2:13" ht="14.1" customHeight="1" x14ac:dyDescent="0.25">
      <c r="B209" s="46" t="str">
        <f t="shared" si="3"/>
        <v>2009-114-200746</v>
      </c>
      <c r="C209" s="47">
        <v>44092</v>
      </c>
      <c r="D209" s="46">
        <v>114</v>
      </c>
      <c r="E209" s="46">
        <v>400</v>
      </c>
      <c r="F209" s="46">
        <v>200746</v>
      </c>
      <c r="G209" s="50" t="s">
        <v>138</v>
      </c>
      <c r="H209" s="47">
        <v>44096</v>
      </c>
      <c r="I209" s="46">
        <v>49810</v>
      </c>
      <c r="J209" s="46">
        <v>400</v>
      </c>
      <c r="K209" s="47">
        <v>44106</v>
      </c>
      <c r="L209" s="46">
        <v>10003</v>
      </c>
      <c r="M209" s="46">
        <v>400</v>
      </c>
    </row>
    <row r="210" spans="2:13" ht="14.1" customHeight="1" x14ac:dyDescent="0.25">
      <c r="B210" s="46" t="str">
        <f t="shared" si="3"/>
        <v>2009-114-202093</v>
      </c>
      <c r="C210" s="47">
        <v>44092</v>
      </c>
      <c r="D210" s="46">
        <v>114</v>
      </c>
      <c r="E210" s="46">
        <v>50</v>
      </c>
      <c r="F210" s="46">
        <v>202093</v>
      </c>
      <c r="G210" s="50" t="s">
        <v>497</v>
      </c>
      <c r="H210" s="47">
        <v>44096</v>
      </c>
      <c r="I210" s="46">
        <v>49809</v>
      </c>
      <c r="J210" s="46">
        <v>50</v>
      </c>
      <c r="K210" s="47">
        <v>44103</v>
      </c>
      <c r="L210" s="46">
        <v>9957</v>
      </c>
      <c r="M210" s="46">
        <v>20</v>
      </c>
    </row>
    <row r="211" spans="2:13" ht="14.1" customHeight="1" x14ac:dyDescent="0.25">
      <c r="B211" s="46" t="str">
        <f t="shared" si="3"/>
        <v>2009-114-202093</v>
      </c>
      <c r="C211" s="47">
        <v>44092</v>
      </c>
      <c r="D211" s="46">
        <v>114</v>
      </c>
      <c r="E211" s="46">
        <v>50</v>
      </c>
      <c r="F211" s="46">
        <v>202093</v>
      </c>
      <c r="G211" s="50" t="s">
        <v>497</v>
      </c>
      <c r="H211" s="47">
        <v>44096</v>
      </c>
      <c r="I211" s="46">
        <v>49809</v>
      </c>
      <c r="J211" s="46">
        <v>50</v>
      </c>
      <c r="K211" s="47">
        <v>44123</v>
      </c>
      <c r="L211" s="46">
        <v>10120</v>
      </c>
      <c r="M211" s="46">
        <v>30</v>
      </c>
    </row>
    <row r="212" spans="2:13" ht="14.1" customHeight="1" x14ac:dyDescent="0.25">
      <c r="B212" s="46" t="str">
        <f t="shared" si="3"/>
        <v>2009-115-205466</v>
      </c>
      <c r="C212" s="47">
        <v>44092</v>
      </c>
      <c r="D212" s="46">
        <v>115</v>
      </c>
      <c r="E212" s="46">
        <v>110</v>
      </c>
      <c r="F212" s="46">
        <v>205466</v>
      </c>
      <c r="G212" s="48" t="s">
        <v>217</v>
      </c>
      <c r="H212" s="47">
        <v>44155</v>
      </c>
      <c r="I212" s="46">
        <v>50572</v>
      </c>
      <c r="J212" s="46">
        <v>110</v>
      </c>
      <c r="K212" s="47">
        <v>44160</v>
      </c>
      <c r="L212" s="46">
        <v>10481</v>
      </c>
      <c r="M212" s="46">
        <v>110</v>
      </c>
    </row>
    <row r="213" spans="2:13" ht="14.1" customHeight="1" x14ac:dyDescent="0.25">
      <c r="B213" s="46" t="str">
        <f t="shared" si="3"/>
        <v>2009-116-200534</v>
      </c>
      <c r="C213" s="47">
        <v>44092</v>
      </c>
      <c r="D213" s="46">
        <v>116</v>
      </c>
      <c r="E213" s="46">
        <v>10</v>
      </c>
      <c r="F213" s="46">
        <v>200534</v>
      </c>
      <c r="G213" s="50" t="s">
        <v>90</v>
      </c>
      <c r="H213" s="47">
        <v>44098</v>
      </c>
      <c r="I213" s="46">
        <v>49829</v>
      </c>
      <c r="J213" s="46">
        <v>10</v>
      </c>
      <c r="K213" s="47">
        <v>44103</v>
      </c>
      <c r="L213" s="46">
        <v>9960</v>
      </c>
      <c r="M213" s="46">
        <v>10</v>
      </c>
    </row>
    <row r="214" spans="2:13" ht="14.1" customHeight="1" x14ac:dyDescent="0.25">
      <c r="B214" s="46" t="str">
        <f t="shared" si="3"/>
        <v>2009-116-302475</v>
      </c>
      <c r="C214" s="47">
        <v>44092</v>
      </c>
      <c r="D214" s="46">
        <v>116</v>
      </c>
      <c r="E214" s="46">
        <v>10</v>
      </c>
      <c r="F214" s="46">
        <v>302475</v>
      </c>
      <c r="G214" s="50" t="s">
        <v>153</v>
      </c>
      <c r="H214" s="47">
        <v>44098</v>
      </c>
      <c r="I214" s="46">
        <v>49829</v>
      </c>
      <c r="J214" s="46">
        <v>10</v>
      </c>
      <c r="K214" s="47">
        <v>44103</v>
      </c>
      <c r="L214" s="46">
        <v>9960</v>
      </c>
      <c r="M214" s="46">
        <v>10</v>
      </c>
    </row>
    <row r="215" spans="2:13" ht="14.1" customHeight="1" x14ac:dyDescent="0.25">
      <c r="B215" s="46" t="str">
        <f t="shared" si="3"/>
        <v>2009-116-319549</v>
      </c>
      <c r="C215" s="47">
        <v>44092</v>
      </c>
      <c r="D215" s="46">
        <v>116</v>
      </c>
      <c r="E215" s="46">
        <v>10</v>
      </c>
      <c r="F215" s="46">
        <v>319549</v>
      </c>
      <c r="G215" s="50" t="s">
        <v>218</v>
      </c>
      <c r="H215" s="47">
        <v>44098</v>
      </c>
      <c r="I215" s="46">
        <v>49829</v>
      </c>
      <c r="J215" s="46">
        <v>10</v>
      </c>
      <c r="K215" s="47">
        <v>44103</v>
      </c>
      <c r="L215" s="46">
        <v>9960</v>
      </c>
      <c r="M215" s="46">
        <v>10</v>
      </c>
    </row>
    <row r="216" spans="2:13" ht="14.1" customHeight="1" x14ac:dyDescent="0.25">
      <c r="B216" s="46" t="str">
        <f t="shared" si="3"/>
        <v>2009-116-200791</v>
      </c>
      <c r="C216" s="47">
        <v>44092</v>
      </c>
      <c r="D216" s="46">
        <v>116</v>
      </c>
      <c r="E216" s="46">
        <v>10</v>
      </c>
      <c r="F216" s="46">
        <v>200791</v>
      </c>
      <c r="G216" s="50" t="s">
        <v>88</v>
      </c>
      <c r="H216" s="47">
        <v>44098</v>
      </c>
      <c r="I216" s="46">
        <v>49829</v>
      </c>
      <c r="J216" s="46">
        <v>10</v>
      </c>
      <c r="K216" s="47">
        <v>44103</v>
      </c>
      <c r="L216" s="46">
        <v>9960</v>
      </c>
      <c r="M216" s="46">
        <v>10</v>
      </c>
    </row>
    <row r="217" spans="2:13" ht="14.1" customHeight="1" x14ac:dyDescent="0.25">
      <c r="B217" s="46" t="str">
        <f t="shared" si="3"/>
        <v>2009-117-319688</v>
      </c>
      <c r="C217" s="47">
        <v>44092</v>
      </c>
      <c r="D217" s="46">
        <v>117</v>
      </c>
      <c r="E217" s="46">
        <v>2000</v>
      </c>
      <c r="F217" s="46">
        <v>319688</v>
      </c>
      <c r="G217" s="48" t="s">
        <v>281</v>
      </c>
      <c r="H217" s="47">
        <v>44097</v>
      </c>
      <c r="I217" s="46">
        <v>49815</v>
      </c>
      <c r="J217" s="46">
        <v>2000</v>
      </c>
      <c r="K217" s="47">
        <v>44098</v>
      </c>
      <c r="L217" s="46">
        <v>9922</v>
      </c>
      <c r="M217" s="46">
        <v>2000</v>
      </c>
    </row>
    <row r="218" spans="2:13" ht="14.1" customHeight="1" x14ac:dyDescent="0.25">
      <c r="B218" s="46" t="str">
        <f t="shared" si="3"/>
        <v>2009-119-204518</v>
      </c>
      <c r="C218" s="47">
        <v>44092</v>
      </c>
      <c r="D218" s="46">
        <v>119</v>
      </c>
      <c r="E218" s="46">
        <v>40</v>
      </c>
      <c r="F218" s="46">
        <v>204518</v>
      </c>
      <c r="G218" s="48" t="s">
        <v>216</v>
      </c>
      <c r="H218" s="47">
        <v>44104</v>
      </c>
      <c r="I218" s="46">
        <v>49878</v>
      </c>
      <c r="J218" s="46">
        <v>40</v>
      </c>
      <c r="K218" s="47">
        <v>44109</v>
      </c>
      <c r="L218" s="46">
        <v>10010</v>
      </c>
      <c r="M218" s="46">
        <v>40</v>
      </c>
    </row>
    <row r="219" spans="2:13" ht="14.1" customHeight="1" x14ac:dyDescent="0.25">
      <c r="B219" s="46" t="str">
        <f t="shared" si="3"/>
        <v>2009-119-305492</v>
      </c>
      <c r="C219" s="47">
        <v>44092</v>
      </c>
      <c r="D219" s="46">
        <v>119</v>
      </c>
      <c r="E219" s="46">
        <v>40</v>
      </c>
      <c r="F219" s="46">
        <v>305492</v>
      </c>
      <c r="G219" s="48" t="s">
        <v>214</v>
      </c>
      <c r="H219" s="47">
        <v>44104</v>
      </c>
      <c r="I219" s="46">
        <v>49878</v>
      </c>
      <c r="J219" s="46">
        <v>40</v>
      </c>
      <c r="K219" s="47">
        <v>44109</v>
      </c>
      <c r="L219" s="46">
        <v>10010</v>
      </c>
      <c r="M219" s="46">
        <v>40</v>
      </c>
    </row>
    <row r="220" spans="2:13" ht="14.1" customHeight="1" x14ac:dyDescent="0.25">
      <c r="B220" s="46" t="str">
        <f t="shared" si="3"/>
        <v>2009-120-309838</v>
      </c>
      <c r="C220" s="47">
        <v>44092</v>
      </c>
      <c r="D220" s="46">
        <v>120</v>
      </c>
      <c r="E220" s="46">
        <v>2</v>
      </c>
      <c r="F220" s="46">
        <v>309838</v>
      </c>
      <c r="G220" s="48" t="s">
        <v>763</v>
      </c>
      <c r="H220" s="47">
        <v>44104</v>
      </c>
      <c r="I220" s="46">
        <v>49875</v>
      </c>
      <c r="J220" s="46">
        <v>2</v>
      </c>
      <c r="K220" s="47">
        <v>44112</v>
      </c>
      <c r="L220" s="46">
        <v>10048</v>
      </c>
      <c r="M220" s="46">
        <v>1</v>
      </c>
    </row>
    <row r="221" spans="2:13" ht="14.1" customHeight="1" x14ac:dyDescent="0.25">
      <c r="B221" s="46" t="str">
        <f t="shared" si="3"/>
        <v>2009-120-309838</v>
      </c>
      <c r="C221" s="47">
        <v>44092</v>
      </c>
      <c r="D221" s="46">
        <v>120</v>
      </c>
      <c r="E221" s="46">
        <v>2</v>
      </c>
      <c r="F221" s="46">
        <v>309838</v>
      </c>
      <c r="G221" s="48" t="s">
        <v>763</v>
      </c>
      <c r="H221" s="47">
        <v>44104</v>
      </c>
      <c r="I221" s="46">
        <v>49875</v>
      </c>
      <c r="J221" s="46">
        <v>2</v>
      </c>
      <c r="K221" s="47">
        <v>44166</v>
      </c>
      <c r="L221" s="46">
        <v>10548</v>
      </c>
      <c r="M221" s="46">
        <v>1</v>
      </c>
    </row>
    <row r="222" spans="2:13" ht="14.1" customHeight="1" x14ac:dyDescent="0.25">
      <c r="B222" s="46" t="str">
        <f t="shared" si="3"/>
        <v>2009-120-306501</v>
      </c>
      <c r="C222" s="47">
        <v>44092</v>
      </c>
      <c r="D222" s="46">
        <v>120</v>
      </c>
      <c r="E222" s="46">
        <v>2</v>
      </c>
      <c r="F222" s="46">
        <v>306501</v>
      </c>
      <c r="G222" s="48" t="s">
        <v>711</v>
      </c>
      <c r="H222" s="47">
        <v>44104</v>
      </c>
      <c r="I222" s="46">
        <v>49875</v>
      </c>
      <c r="J222" s="46">
        <v>2</v>
      </c>
      <c r="K222" s="47">
        <v>44110</v>
      </c>
      <c r="L222" s="46">
        <v>10022</v>
      </c>
      <c r="M222" s="46">
        <v>2</v>
      </c>
    </row>
    <row r="223" spans="2:13" ht="14.1" customHeight="1" x14ac:dyDescent="0.25">
      <c r="B223" s="46" t="str">
        <f t="shared" si="3"/>
        <v>2009-120-206153</v>
      </c>
      <c r="C223" s="47">
        <v>44092</v>
      </c>
      <c r="D223" s="46">
        <v>120</v>
      </c>
      <c r="E223" s="46">
        <v>2</v>
      </c>
      <c r="F223" s="46">
        <v>206153</v>
      </c>
      <c r="G223" s="48" t="s">
        <v>305</v>
      </c>
      <c r="H223" s="47">
        <v>44104</v>
      </c>
      <c r="I223" s="46">
        <v>49875</v>
      </c>
      <c r="J223" s="46">
        <v>2</v>
      </c>
      <c r="K223" s="47">
        <v>44110</v>
      </c>
      <c r="L223" s="46">
        <v>10023</v>
      </c>
      <c r="M223" s="46">
        <v>2</v>
      </c>
    </row>
    <row r="224" spans="2:13" ht="14.1" customHeight="1" x14ac:dyDescent="0.25">
      <c r="B224" s="46" t="str">
        <f t="shared" si="3"/>
        <v>2009-120-306500</v>
      </c>
      <c r="C224" s="47">
        <v>44092</v>
      </c>
      <c r="D224" s="46">
        <v>120</v>
      </c>
      <c r="E224" s="46">
        <v>2</v>
      </c>
      <c r="F224" s="46">
        <v>306500</v>
      </c>
      <c r="G224" s="48" t="s">
        <v>710</v>
      </c>
      <c r="H224" s="47">
        <v>44104</v>
      </c>
      <c r="I224" s="46">
        <v>49875</v>
      </c>
      <c r="J224" s="46">
        <v>2</v>
      </c>
      <c r="K224" s="47">
        <v>44110</v>
      </c>
      <c r="L224" s="46">
        <v>10022</v>
      </c>
      <c r="M224" s="46">
        <v>1</v>
      </c>
    </row>
    <row r="225" spans="2:13" ht="14.1" customHeight="1" x14ac:dyDescent="0.25">
      <c r="B225" s="46" t="str">
        <f t="shared" si="3"/>
        <v>2009-120-306500</v>
      </c>
      <c r="C225" s="47">
        <v>44092</v>
      </c>
      <c r="D225" s="46">
        <v>120</v>
      </c>
      <c r="E225" s="46">
        <v>2</v>
      </c>
      <c r="F225" s="46">
        <v>306500</v>
      </c>
      <c r="G225" s="48" t="s">
        <v>710</v>
      </c>
      <c r="H225" s="47">
        <v>44104</v>
      </c>
      <c r="I225" s="46">
        <v>49875</v>
      </c>
      <c r="J225" s="46">
        <v>2</v>
      </c>
      <c r="K225" s="47">
        <v>44118</v>
      </c>
      <c r="L225" s="46">
        <v>10077</v>
      </c>
      <c r="M225" s="46">
        <v>1</v>
      </c>
    </row>
    <row r="226" spans="2:13" ht="14.1" customHeight="1" x14ac:dyDescent="0.25">
      <c r="B226" s="46" t="str">
        <f t="shared" si="3"/>
        <v>2009-121-319203</v>
      </c>
      <c r="C226" s="47">
        <v>44092</v>
      </c>
      <c r="D226" s="46">
        <v>121</v>
      </c>
      <c r="E226" s="46">
        <v>2</v>
      </c>
      <c r="F226" s="46">
        <v>319203</v>
      </c>
      <c r="G226" s="50" t="s">
        <v>934</v>
      </c>
      <c r="H226" s="47">
        <v>44134</v>
      </c>
      <c r="I226" s="46">
        <v>50277</v>
      </c>
      <c r="J226" s="46">
        <v>2</v>
      </c>
      <c r="K226" s="47">
        <v>44139</v>
      </c>
      <c r="L226" s="46">
        <v>10245</v>
      </c>
      <c r="M226" s="46">
        <v>2</v>
      </c>
    </row>
    <row r="227" spans="2:13" ht="14.1" customHeight="1" x14ac:dyDescent="0.25">
      <c r="B227" s="46" t="str">
        <f t="shared" si="3"/>
        <v>2009-122-307106</v>
      </c>
      <c r="C227" s="47">
        <v>44092</v>
      </c>
      <c r="D227" s="46">
        <v>122</v>
      </c>
      <c r="E227" s="46">
        <v>1</v>
      </c>
      <c r="F227" s="46">
        <v>307106</v>
      </c>
      <c r="G227" s="50" t="s">
        <v>57</v>
      </c>
      <c r="H227" s="47">
        <v>44116</v>
      </c>
      <c r="I227" s="46">
        <v>49977</v>
      </c>
      <c r="J227" s="46">
        <v>1</v>
      </c>
      <c r="K227" s="47">
        <v>44125</v>
      </c>
      <c r="L227" s="46">
        <v>10153</v>
      </c>
      <c r="M227" s="46">
        <v>1</v>
      </c>
    </row>
    <row r="228" spans="2:13" ht="14.1" customHeight="1" x14ac:dyDescent="0.25">
      <c r="B228" s="46" t="str">
        <f t="shared" si="3"/>
        <v>2009-122-302248</v>
      </c>
      <c r="C228" s="47">
        <v>44092</v>
      </c>
      <c r="D228" s="46">
        <v>122</v>
      </c>
      <c r="E228" s="46">
        <v>1</v>
      </c>
      <c r="F228" s="46">
        <v>302248</v>
      </c>
      <c r="G228" s="50" t="s">
        <v>637</v>
      </c>
      <c r="H228" s="47">
        <v>44116</v>
      </c>
      <c r="I228" s="46">
        <v>49965</v>
      </c>
      <c r="J228" s="46">
        <v>1</v>
      </c>
      <c r="K228" s="47">
        <v>44119</v>
      </c>
      <c r="L228" s="46">
        <v>10098</v>
      </c>
      <c r="M228" s="46">
        <v>1</v>
      </c>
    </row>
    <row r="229" spans="2:13" ht="14.1" customHeight="1" x14ac:dyDescent="0.25">
      <c r="B229" s="46" t="str">
        <f t="shared" si="3"/>
        <v>2009-123-100376</v>
      </c>
      <c r="C229" s="47">
        <v>44092</v>
      </c>
      <c r="D229" s="46">
        <v>123</v>
      </c>
      <c r="E229" s="46">
        <v>20</v>
      </c>
      <c r="F229" s="46">
        <v>100376</v>
      </c>
      <c r="G229" s="50" t="s">
        <v>243</v>
      </c>
      <c r="H229" s="47">
        <v>44105</v>
      </c>
      <c r="I229" s="46">
        <v>49890</v>
      </c>
      <c r="J229" s="46">
        <v>20</v>
      </c>
      <c r="K229" s="47">
        <v>44125</v>
      </c>
      <c r="L229" s="46">
        <v>10146</v>
      </c>
      <c r="M229" s="46">
        <v>20</v>
      </c>
    </row>
    <row r="230" spans="2:13" ht="14.1" customHeight="1" x14ac:dyDescent="0.25">
      <c r="B230" s="46" t="str">
        <f t="shared" si="3"/>
        <v>2009-123-205175</v>
      </c>
      <c r="C230" s="47">
        <v>44092</v>
      </c>
      <c r="D230" s="46">
        <v>123</v>
      </c>
      <c r="E230" s="46">
        <v>40</v>
      </c>
      <c r="F230" s="46">
        <v>205175</v>
      </c>
      <c r="G230" s="50" t="s">
        <v>208</v>
      </c>
      <c r="H230" s="47">
        <v>44105</v>
      </c>
      <c r="I230" s="46">
        <v>49888</v>
      </c>
      <c r="J230" s="46">
        <v>40</v>
      </c>
      <c r="K230" s="47">
        <v>44125</v>
      </c>
      <c r="L230" s="46">
        <v>10145</v>
      </c>
      <c r="M230" s="46">
        <v>40</v>
      </c>
    </row>
    <row r="231" spans="2:13" ht="14.1" customHeight="1" x14ac:dyDescent="0.25">
      <c r="B231" s="46" t="str">
        <f t="shared" si="3"/>
        <v>2009-123-303337</v>
      </c>
      <c r="C231" s="47">
        <v>44092</v>
      </c>
      <c r="D231" s="46">
        <v>123</v>
      </c>
      <c r="E231" s="46">
        <v>30</v>
      </c>
      <c r="F231" s="46">
        <v>303337</v>
      </c>
      <c r="G231" s="48" t="s">
        <v>209</v>
      </c>
      <c r="H231" s="47">
        <v>44105</v>
      </c>
      <c r="I231" s="46">
        <v>49888</v>
      </c>
      <c r="J231" s="46">
        <v>30</v>
      </c>
      <c r="K231" s="47">
        <v>44125</v>
      </c>
      <c r="L231" s="46">
        <v>10145</v>
      </c>
      <c r="M231" s="46">
        <v>30</v>
      </c>
    </row>
    <row r="232" spans="2:13" ht="14.1" customHeight="1" x14ac:dyDescent="0.25">
      <c r="B232" s="46" t="str">
        <f t="shared" si="3"/>
        <v>2009-124-312990</v>
      </c>
      <c r="C232" s="47">
        <v>44092</v>
      </c>
      <c r="D232" s="46">
        <v>124</v>
      </c>
      <c r="E232" s="46">
        <v>6</v>
      </c>
      <c r="F232" s="46">
        <v>312990</v>
      </c>
      <c r="G232" s="48" t="s">
        <v>302</v>
      </c>
      <c r="H232" s="47">
        <v>44105</v>
      </c>
      <c r="I232" s="46">
        <v>49896</v>
      </c>
      <c r="J232" s="46">
        <v>6</v>
      </c>
      <c r="K232" s="47">
        <v>44125</v>
      </c>
      <c r="L232" s="46">
        <v>10143</v>
      </c>
      <c r="M232" s="46">
        <v>6</v>
      </c>
    </row>
    <row r="233" spans="2:13" ht="14.1" customHeight="1" x14ac:dyDescent="0.25">
      <c r="B233" s="46" t="str">
        <f t="shared" si="3"/>
        <v>2009-125-100277</v>
      </c>
      <c r="C233" s="47">
        <v>44092</v>
      </c>
      <c r="D233" s="46">
        <v>125</v>
      </c>
      <c r="E233" s="46">
        <v>100</v>
      </c>
      <c r="F233" s="46">
        <v>100277</v>
      </c>
      <c r="G233" s="48" t="s">
        <v>212</v>
      </c>
      <c r="H233" s="47">
        <v>44104</v>
      </c>
      <c r="I233" s="46">
        <v>49881</v>
      </c>
      <c r="J233" s="46">
        <v>90</v>
      </c>
      <c r="K233" s="47">
        <v>44106</v>
      </c>
      <c r="L233" s="46">
        <v>10001</v>
      </c>
      <c r="M233" s="46">
        <v>90</v>
      </c>
    </row>
    <row r="234" spans="2:13" ht="14.1" customHeight="1" x14ac:dyDescent="0.25">
      <c r="B234" s="46" t="str">
        <f t="shared" si="3"/>
        <v>2009-126-203593</v>
      </c>
      <c r="C234" s="47">
        <v>44095</v>
      </c>
      <c r="D234" s="46">
        <v>126</v>
      </c>
      <c r="E234" s="46">
        <v>18000</v>
      </c>
      <c r="F234" s="46">
        <v>203593</v>
      </c>
      <c r="G234" s="48" t="s">
        <v>211</v>
      </c>
      <c r="H234" s="47">
        <v>44095</v>
      </c>
      <c r="I234" s="46">
        <v>49788</v>
      </c>
      <c r="J234" s="46">
        <v>18000</v>
      </c>
      <c r="K234" s="47">
        <v>44095</v>
      </c>
      <c r="L234" s="46">
        <v>9887</v>
      </c>
      <c r="M234" s="46">
        <v>18000</v>
      </c>
    </row>
    <row r="235" spans="2:13" ht="14.1" customHeight="1" x14ac:dyDescent="0.25">
      <c r="B235" s="46" t="str">
        <f t="shared" si="3"/>
        <v>2009-127-203971</v>
      </c>
      <c r="C235" s="47">
        <v>44095</v>
      </c>
      <c r="D235" s="46">
        <v>127</v>
      </c>
      <c r="E235" s="46">
        <v>50</v>
      </c>
      <c r="F235" s="46">
        <v>203971</v>
      </c>
      <c r="G235" s="48" t="s">
        <v>520</v>
      </c>
      <c r="H235" s="47">
        <v>44111</v>
      </c>
      <c r="I235" s="46">
        <v>49938</v>
      </c>
      <c r="J235" s="46">
        <v>50</v>
      </c>
      <c r="K235" s="47">
        <v>44118</v>
      </c>
      <c r="L235" s="46">
        <v>10085</v>
      </c>
      <c r="M235" s="46">
        <v>50</v>
      </c>
    </row>
    <row r="236" spans="2:13" ht="14.1" customHeight="1" x14ac:dyDescent="0.25">
      <c r="B236" s="46" t="str">
        <f t="shared" si="3"/>
        <v>2009-127-300804</v>
      </c>
      <c r="C236" s="47">
        <v>44095</v>
      </c>
      <c r="D236" s="46">
        <v>127</v>
      </c>
      <c r="E236" s="46">
        <v>50</v>
      </c>
      <c r="F236" s="46">
        <v>300804</v>
      </c>
      <c r="G236" s="48" t="s">
        <v>609</v>
      </c>
      <c r="H236" s="47">
        <v>44111</v>
      </c>
      <c r="I236" s="46">
        <v>49938</v>
      </c>
      <c r="J236" s="46">
        <v>50</v>
      </c>
      <c r="K236" s="47">
        <v>44118</v>
      </c>
      <c r="L236" s="46">
        <v>10085</v>
      </c>
      <c r="M236" s="46">
        <v>50</v>
      </c>
    </row>
    <row r="237" spans="2:13" ht="14.1" customHeight="1" x14ac:dyDescent="0.25">
      <c r="B237" s="46" t="str">
        <f t="shared" si="3"/>
        <v>2009-127-300806</v>
      </c>
      <c r="C237" s="47">
        <v>44095</v>
      </c>
      <c r="D237" s="46">
        <v>127</v>
      </c>
      <c r="E237" s="46">
        <v>50</v>
      </c>
      <c r="F237" s="46">
        <v>300806</v>
      </c>
      <c r="G237" s="48" t="s">
        <v>610</v>
      </c>
      <c r="H237" s="47">
        <v>44111</v>
      </c>
      <c r="I237" s="46">
        <v>49938</v>
      </c>
      <c r="J237" s="46">
        <v>50</v>
      </c>
      <c r="K237" s="47">
        <v>44118</v>
      </c>
      <c r="L237" s="46">
        <v>10085</v>
      </c>
      <c r="M237" s="46">
        <v>50</v>
      </c>
    </row>
    <row r="238" spans="2:13" ht="14.1" customHeight="1" x14ac:dyDescent="0.25">
      <c r="B238" s="46" t="str">
        <f t="shared" si="3"/>
        <v>2009-128-320197</v>
      </c>
      <c r="C238" s="47">
        <v>44095</v>
      </c>
      <c r="D238" s="46">
        <v>128</v>
      </c>
      <c r="E238" s="46">
        <v>1</v>
      </c>
      <c r="F238" s="46">
        <v>320197</v>
      </c>
      <c r="G238" s="48" t="s">
        <v>962</v>
      </c>
      <c r="H238" s="47">
        <v>44075</v>
      </c>
      <c r="I238" s="46">
        <v>49876</v>
      </c>
      <c r="J238" s="46">
        <v>1</v>
      </c>
      <c r="K238" s="47">
        <v>44095</v>
      </c>
      <c r="L238" s="46">
        <v>9888</v>
      </c>
      <c r="M238" s="46">
        <v>1</v>
      </c>
    </row>
    <row r="239" spans="2:13" ht="14.1" customHeight="1" x14ac:dyDescent="0.25">
      <c r="B239" s="46" t="str">
        <f t="shared" si="3"/>
        <v>2009-128-320199</v>
      </c>
      <c r="C239" s="47">
        <v>44095</v>
      </c>
      <c r="D239" s="46">
        <v>128</v>
      </c>
      <c r="E239" s="46">
        <v>1</v>
      </c>
      <c r="F239" s="46">
        <v>320199</v>
      </c>
      <c r="G239" s="50" t="s">
        <v>961</v>
      </c>
      <c r="H239" s="47">
        <v>44075</v>
      </c>
      <c r="I239" s="46">
        <v>49876</v>
      </c>
      <c r="J239" s="46">
        <v>1</v>
      </c>
      <c r="K239" s="47">
        <v>44095</v>
      </c>
      <c r="L239" s="46">
        <v>9888</v>
      </c>
      <c r="M239" s="46">
        <v>1</v>
      </c>
    </row>
    <row r="240" spans="2:13" ht="14.1" customHeight="1" x14ac:dyDescent="0.25">
      <c r="B240" s="46" t="str">
        <f t="shared" si="3"/>
        <v>2009-128-320198</v>
      </c>
      <c r="C240" s="47">
        <v>44095</v>
      </c>
      <c r="D240" s="46">
        <v>128</v>
      </c>
      <c r="E240" s="46">
        <v>1</v>
      </c>
      <c r="F240" s="46">
        <v>320198</v>
      </c>
      <c r="G240" s="50" t="s">
        <v>963</v>
      </c>
      <c r="H240" s="47">
        <v>44075</v>
      </c>
      <c r="I240" s="46">
        <v>49876</v>
      </c>
      <c r="J240" s="46">
        <v>1</v>
      </c>
      <c r="K240" s="47">
        <v>44095</v>
      </c>
      <c r="L240" s="46">
        <v>9888</v>
      </c>
      <c r="M240" s="46">
        <v>1</v>
      </c>
    </row>
    <row r="241" spans="2:13" ht="14.1" customHeight="1" x14ac:dyDescent="0.25">
      <c r="B241" s="46" t="str">
        <f t="shared" si="3"/>
        <v>2009-129-320200</v>
      </c>
      <c r="C241" s="47">
        <v>44095</v>
      </c>
      <c r="D241" s="46">
        <v>129</v>
      </c>
      <c r="E241" s="46">
        <v>1</v>
      </c>
      <c r="F241" s="46">
        <v>320200</v>
      </c>
      <c r="G241" s="50" t="s">
        <v>964</v>
      </c>
      <c r="H241" s="47">
        <v>44088</v>
      </c>
      <c r="I241" s="46">
        <v>49860</v>
      </c>
      <c r="J241" s="46">
        <v>1</v>
      </c>
      <c r="K241" s="47">
        <v>44095</v>
      </c>
      <c r="L241" s="46">
        <v>9889</v>
      </c>
      <c r="M241" s="46">
        <v>1</v>
      </c>
    </row>
    <row r="242" spans="2:13" ht="14.1" customHeight="1" x14ac:dyDescent="0.25">
      <c r="B242" s="46" t="str">
        <f t="shared" si="3"/>
        <v>2009-130-319327</v>
      </c>
      <c r="C242" s="47">
        <v>44095</v>
      </c>
      <c r="D242" s="46">
        <v>130</v>
      </c>
      <c r="E242" s="46">
        <v>6</v>
      </c>
      <c r="F242" s="46">
        <v>319327</v>
      </c>
      <c r="G242" s="50" t="s">
        <v>80</v>
      </c>
      <c r="H242" s="47">
        <v>44095</v>
      </c>
      <c r="I242" s="46">
        <v>49782</v>
      </c>
      <c r="J242" s="46">
        <v>6</v>
      </c>
      <c r="K242" s="47">
        <v>44097</v>
      </c>
      <c r="L242" s="46">
        <v>9905</v>
      </c>
      <c r="M242" s="46">
        <v>6</v>
      </c>
    </row>
    <row r="243" spans="2:13" ht="14.1" customHeight="1" x14ac:dyDescent="0.25">
      <c r="B243" s="46" t="str">
        <f t="shared" si="3"/>
        <v>2009-131-320202</v>
      </c>
      <c r="C243" s="47">
        <v>44095</v>
      </c>
      <c r="D243" s="46">
        <v>131</v>
      </c>
      <c r="E243" s="46">
        <v>1</v>
      </c>
      <c r="F243" s="46">
        <v>320202</v>
      </c>
      <c r="G243" s="48" t="s">
        <v>965</v>
      </c>
      <c r="I243" s="46">
        <v>0</v>
      </c>
      <c r="J243" s="46">
        <v>0</v>
      </c>
      <c r="L243" s="46">
        <v>0</v>
      </c>
      <c r="M243" s="46">
        <v>0</v>
      </c>
    </row>
    <row r="244" spans="2:13" ht="14.1" customHeight="1" x14ac:dyDescent="0.25">
      <c r="B244" s="46" t="str">
        <f t="shared" si="3"/>
        <v>2009-131-102221</v>
      </c>
      <c r="C244" s="47">
        <v>44095</v>
      </c>
      <c r="D244" s="46">
        <v>131</v>
      </c>
      <c r="E244" s="46">
        <v>1</v>
      </c>
      <c r="F244" s="46">
        <v>102221</v>
      </c>
      <c r="G244" s="48" t="s">
        <v>422</v>
      </c>
      <c r="H244" s="47">
        <v>44104</v>
      </c>
      <c r="I244" s="46">
        <v>49874</v>
      </c>
      <c r="J244" s="46">
        <v>1</v>
      </c>
      <c r="K244" s="47">
        <v>44104</v>
      </c>
      <c r="L244" s="46">
        <v>9994</v>
      </c>
      <c r="M244" s="46">
        <v>1</v>
      </c>
    </row>
    <row r="245" spans="2:13" ht="14.1" customHeight="1" x14ac:dyDescent="0.25">
      <c r="B245" s="46" t="str">
        <f t="shared" si="3"/>
        <v>2009-131-319504</v>
      </c>
      <c r="C245" s="47">
        <v>44095</v>
      </c>
      <c r="D245" s="46">
        <v>131</v>
      </c>
      <c r="E245" s="46">
        <v>1</v>
      </c>
      <c r="F245" s="46">
        <v>319504</v>
      </c>
      <c r="G245" s="48" t="s">
        <v>196</v>
      </c>
      <c r="H245" s="47">
        <v>44104</v>
      </c>
      <c r="I245" s="46">
        <v>49874</v>
      </c>
      <c r="J245" s="46">
        <v>1</v>
      </c>
      <c r="K245" s="47">
        <v>44104</v>
      </c>
      <c r="L245" s="46">
        <v>9994</v>
      </c>
      <c r="M245" s="46">
        <v>1</v>
      </c>
    </row>
    <row r="246" spans="2:13" ht="14.1" customHeight="1" x14ac:dyDescent="0.25">
      <c r="B246" s="46" t="str">
        <f t="shared" si="3"/>
        <v>2009-131-312328</v>
      </c>
      <c r="C246" s="47">
        <v>44095</v>
      </c>
      <c r="D246" s="46">
        <v>131</v>
      </c>
      <c r="E246" s="46">
        <v>3</v>
      </c>
      <c r="F246" s="46">
        <v>312328</v>
      </c>
      <c r="G246" s="48" t="s">
        <v>1096</v>
      </c>
      <c r="I246" s="46">
        <v>0</v>
      </c>
      <c r="J246" s="46">
        <v>0</v>
      </c>
      <c r="L246" s="46">
        <v>0</v>
      </c>
      <c r="M246" s="46">
        <v>0</v>
      </c>
    </row>
    <row r="247" spans="2:13" ht="14.1" customHeight="1" x14ac:dyDescent="0.25">
      <c r="B247" s="46" t="str">
        <f t="shared" si="3"/>
        <v>2009-132-105898</v>
      </c>
      <c r="C247" s="47">
        <v>44095</v>
      </c>
      <c r="D247" s="46">
        <v>132</v>
      </c>
      <c r="E247" s="46">
        <v>20</v>
      </c>
      <c r="F247" s="46">
        <v>105898</v>
      </c>
      <c r="G247" s="48" t="s">
        <v>441</v>
      </c>
      <c r="H247" s="47">
        <v>44104</v>
      </c>
      <c r="I247" s="46">
        <v>49879</v>
      </c>
      <c r="J247" s="46">
        <v>20</v>
      </c>
      <c r="K247" s="47">
        <v>44110</v>
      </c>
      <c r="L247" s="46">
        <v>10024</v>
      </c>
      <c r="M247" s="46">
        <v>20</v>
      </c>
    </row>
    <row r="248" spans="2:13" ht="14.1" customHeight="1" x14ac:dyDescent="0.25">
      <c r="B248" s="46" t="str">
        <f t="shared" si="3"/>
        <v>2009-132-201824</v>
      </c>
      <c r="C248" s="47">
        <v>44095</v>
      </c>
      <c r="D248" s="46">
        <v>132</v>
      </c>
      <c r="E248" s="46">
        <v>20</v>
      </c>
      <c r="F248" s="46">
        <v>201824</v>
      </c>
      <c r="G248" s="48" t="s">
        <v>33</v>
      </c>
      <c r="H248" s="47">
        <v>44104</v>
      </c>
      <c r="I248" s="46">
        <v>49879</v>
      </c>
      <c r="J248" s="46">
        <v>20</v>
      </c>
      <c r="K248" s="47">
        <v>44110</v>
      </c>
      <c r="L248" s="46">
        <v>10024</v>
      </c>
      <c r="M248" s="46">
        <v>20</v>
      </c>
    </row>
    <row r="249" spans="2:13" ht="14.1" customHeight="1" x14ac:dyDescent="0.25">
      <c r="B249" s="46" t="str">
        <f t="shared" si="3"/>
        <v>2009-133-320205</v>
      </c>
      <c r="C249" s="47">
        <v>44095</v>
      </c>
      <c r="D249" s="46">
        <v>133</v>
      </c>
      <c r="E249" s="46">
        <v>2</v>
      </c>
      <c r="F249" s="46">
        <v>320205</v>
      </c>
      <c r="G249" s="48" t="s">
        <v>967</v>
      </c>
      <c r="I249" s="46">
        <v>0</v>
      </c>
      <c r="J249" s="46">
        <v>0</v>
      </c>
      <c r="L249" s="46">
        <v>0</v>
      </c>
      <c r="M249" s="46">
        <v>0</v>
      </c>
    </row>
    <row r="250" spans="2:13" ht="14.1" customHeight="1" x14ac:dyDescent="0.25">
      <c r="B250" s="46" t="str">
        <f t="shared" si="3"/>
        <v>2009-133-320206</v>
      </c>
      <c r="C250" s="47">
        <v>44095</v>
      </c>
      <c r="D250" s="46">
        <v>133</v>
      </c>
      <c r="E250" s="46">
        <v>2</v>
      </c>
      <c r="F250" s="46">
        <v>320206</v>
      </c>
      <c r="G250" s="50" t="s">
        <v>966</v>
      </c>
      <c r="I250" s="46">
        <v>0</v>
      </c>
      <c r="J250" s="46">
        <v>0</v>
      </c>
      <c r="L250" s="46">
        <v>0</v>
      </c>
      <c r="M250" s="46">
        <v>0</v>
      </c>
    </row>
    <row r="251" spans="2:13" ht="14.1" customHeight="1" x14ac:dyDescent="0.25">
      <c r="B251" s="46" t="str">
        <f t="shared" si="3"/>
        <v>2009-133-302338</v>
      </c>
      <c r="C251" s="47">
        <v>44095</v>
      </c>
      <c r="D251" s="46">
        <v>133</v>
      </c>
      <c r="E251" s="46">
        <v>2</v>
      </c>
      <c r="F251" s="46">
        <v>302338</v>
      </c>
      <c r="G251" s="50" t="s">
        <v>639</v>
      </c>
      <c r="H251" s="47">
        <v>44111</v>
      </c>
      <c r="I251" s="46">
        <v>49940</v>
      </c>
      <c r="J251" s="46">
        <v>2</v>
      </c>
      <c r="K251" s="47">
        <v>44118</v>
      </c>
      <c r="L251" s="46">
        <v>10082</v>
      </c>
      <c r="M251" s="46">
        <v>2</v>
      </c>
    </row>
    <row r="252" spans="2:13" ht="14.1" customHeight="1" x14ac:dyDescent="0.25">
      <c r="B252" s="46" t="str">
        <f t="shared" si="3"/>
        <v>2009-133-315745</v>
      </c>
      <c r="C252" s="47">
        <v>44095</v>
      </c>
      <c r="D252" s="46">
        <v>133</v>
      </c>
      <c r="E252" s="46">
        <v>2</v>
      </c>
      <c r="F252" s="46">
        <v>315745</v>
      </c>
      <c r="G252" s="48" t="s">
        <v>277</v>
      </c>
      <c r="H252" s="47">
        <v>44111</v>
      </c>
      <c r="I252" s="46">
        <v>49940</v>
      </c>
      <c r="J252" s="46">
        <v>2</v>
      </c>
      <c r="K252" s="47">
        <v>44118</v>
      </c>
      <c r="L252" s="46">
        <v>10082</v>
      </c>
      <c r="M252" s="46">
        <v>2</v>
      </c>
    </row>
    <row r="253" spans="2:13" ht="14.1" customHeight="1" x14ac:dyDescent="0.25">
      <c r="B253" s="46" t="str">
        <f t="shared" si="3"/>
        <v>2009-133-203234</v>
      </c>
      <c r="C253" s="47">
        <v>44095</v>
      </c>
      <c r="D253" s="46">
        <v>133</v>
      </c>
      <c r="E253" s="46">
        <v>2</v>
      </c>
      <c r="F253" s="46">
        <v>203234</v>
      </c>
      <c r="G253" s="48" t="s">
        <v>509</v>
      </c>
      <c r="H253" s="47">
        <v>44111</v>
      </c>
      <c r="I253" s="46">
        <v>49940</v>
      </c>
      <c r="J253" s="46">
        <v>2</v>
      </c>
      <c r="K253" s="47">
        <v>44118</v>
      </c>
      <c r="L253" s="46">
        <v>10082</v>
      </c>
      <c r="M253" s="46">
        <v>2</v>
      </c>
    </row>
    <row r="254" spans="2:13" ht="14.1" customHeight="1" x14ac:dyDescent="0.25">
      <c r="B254" s="46" t="str">
        <f t="shared" si="3"/>
        <v>2009-133-205074</v>
      </c>
      <c r="C254" s="47">
        <v>44095</v>
      </c>
      <c r="D254" s="46">
        <v>133</v>
      </c>
      <c r="E254" s="46">
        <v>3</v>
      </c>
      <c r="F254" s="46">
        <v>205074</v>
      </c>
      <c r="G254" s="50" t="s">
        <v>551</v>
      </c>
      <c r="H254" s="47">
        <v>44111</v>
      </c>
      <c r="I254" s="46">
        <v>49940</v>
      </c>
      <c r="J254" s="46">
        <v>3</v>
      </c>
      <c r="K254" s="47">
        <v>44118</v>
      </c>
      <c r="L254" s="46">
        <v>10082</v>
      </c>
      <c r="M254" s="46">
        <v>3</v>
      </c>
    </row>
    <row r="255" spans="2:13" ht="14.1" customHeight="1" x14ac:dyDescent="0.25">
      <c r="B255" s="46" t="str">
        <f t="shared" si="3"/>
        <v>2009-133-306105</v>
      </c>
      <c r="C255" s="47">
        <v>44095</v>
      </c>
      <c r="D255" s="46">
        <v>133</v>
      </c>
      <c r="E255" s="46">
        <v>60</v>
      </c>
      <c r="F255" s="46">
        <v>306105</v>
      </c>
      <c r="G255" s="48" t="s">
        <v>706</v>
      </c>
      <c r="H255" s="47">
        <v>44111</v>
      </c>
      <c r="I255" s="46">
        <v>49940</v>
      </c>
      <c r="J255" s="46">
        <v>60</v>
      </c>
      <c r="K255" s="47">
        <v>44118</v>
      </c>
      <c r="L255" s="46">
        <v>10082</v>
      </c>
      <c r="M255" s="46">
        <v>60</v>
      </c>
    </row>
    <row r="256" spans="2:13" ht="14.1" customHeight="1" x14ac:dyDescent="0.25">
      <c r="B256" s="46" t="str">
        <f t="shared" si="3"/>
        <v>2009-133-304557</v>
      </c>
      <c r="C256" s="47">
        <v>44095</v>
      </c>
      <c r="D256" s="46">
        <v>133</v>
      </c>
      <c r="E256" s="46">
        <v>1</v>
      </c>
      <c r="F256" s="46">
        <v>304557</v>
      </c>
      <c r="G256" s="48" t="s">
        <v>676</v>
      </c>
      <c r="H256" s="47">
        <v>44111</v>
      </c>
      <c r="I256" s="46">
        <v>49940</v>
      </c>
      <c r="J256" s="46">
        <v>1</v>
      </c>
      <c r="K256" s="47">
        <v>44118</v>
      </c>
      <c r="L256" s="46">
        <v>10082</v>
      </c>
      <c r="M256" s="46">
        <v>1</v>
      </c>
    </row>
    <row r="257" spans="2:13" ht="14.1" customHeight="1" x14ac:dyDescent="0.25">
      <c r="B257" s="46" t="str">
        <f t="shared" si="3"/>
        <v>2009-133-304779</v>
      </c>
      <c r="C257" s="47">
        <v>44095</v>
      </c>
      <c r="D257" s="46">
        <v>133</v>
      </c>
      <c r="E257" s="46">
        <v>24</v>
      </c>
      <c r="F257" s="46">
        <v>304779</v>
      </c>
      <c r="G257" s="48" t="s">
        <v>683</v>
      </c>
      <c r="H257" s="47">
        <v>44111</v>
      </c>
      <c r="I257" s="46">
        <v>49940</v>
      </c>
      <c r="J257" s="46">
        <v>24</v>
      </c>
      <c r="K257" s="47">
        <v>44118</v>
      </c>
      <c r="L257" s="46">
        <v>10082</v>
      </c>
      <c r="M257" s="46">
        <v>24</v>
      </c>
    </row>
    <row r="258" spans="2:13" ht="14.1" customHeight="1" x14ac:dyDescent="0.25">
      <c r="B258" s="46" t="str">
        <f t="shared" si="3"/>
        <v>2009-133-106611</v>
      </c>
      <c r="C258" s="47">
        <v>44095</v>
      </c>
      <c r="D258" s="46">
        <v>133</v>
      </c>
      <c r="E258" s="46">
        <v>2</v>
      </c>
      <c r="F258" s="46">
        <v>106611</v>
      </c>
      <c r="G258" s="48" t="s">
        <v>467</v>
      </c>
      <c r="H258" s="47">
        <v>44111</v>
      </c>
      <c r="I258" s="46">
        <v>49940</v>
      </c>
      <c r="J258" s="46">
        <v>2</v>
      </c>
      <c r="K258" s="47">
        <v>44118</v>
      </c>
      <c r="L258" s="46">
        <v>10082</v>
      </c>
      <c r="M258" s="46">
        <v>2</v>
      </c>
    </row>
    <row r="259" spans="2:13" ht="14.1" customHeight="1" x14ac:dyDescent="0.25">
      <c r="B259" s="46" t="str">
        <f t="shared" si="3"/>
        <v>2009-133-306635</v>
      </c>
      <c r="C259" s="47">
        <v>44095</v>
      </c>
      <c r="D259" s="46">
        <v>133</v>
      </c>
      <c r="E259" s="46">
        <v>1</v>
      </c>
      <c r="F259" s="46">
        <v>306635</v>
      </c>
      <c r="G259" s="48" t="s">
        <v>712</v>
      </c>
      <c r="H259" s="47">
        <v>44111</v>
      </c>
      <c r="I259" s="46">
        <v>49940</v>
      </c>
      <c r="J259" s="46">
        <v>1</v>
      </c>
      <c r="K259" s="47">
        <v>44118</v>
      </c>
      <c r="L259" s="46">
        <v>10082</v>
      </c>
      <c r="M259" s="46">
        <v>1</v>
      </c>
    </row>
    <row r="260" spans="2:13" ht="14.1" customHeight="1" x14ac:dyDescent="0.25">
      <c r="B260" s="46" t="str">
        <f t="shared" si="3"/>
        <v>2009-133-314082</v>
      </c>
      <c r="C260" s="47">
        <v>44095</v>
      </c>
      <c r="D260" s="46">
        <v>133</v>
      </c>
      <c r="E260" s="46">
        <v>6</v>
      </c>
      <c r="F260" s="46">
        <v>314082</v>
      </c>
      <c r="G260" s="48" t="s">
        <v>408</v>
      </c>
      <c r="H260" s="47">
        <v>44111</v>
      </c>
      <c r="I260" s="46">
        <v>49952</v>
      </c>
      <c r="J260" s="46">
        <v>6</v>
      </c>
      <c r="K260" s="47">
        <v>44123</v>
      </c>
      <c r="L260" s="46">
        <v>10119</v>
      </c>
      <c r="M260" s="46">
        <v>6</v>
      </c>
    </row>
    <row r="261" spans="2:13" ht="14.1" customHeight="1" x14ac:dyDescent="0.25">
      <c r="B261" s="46" t="str">
        <f t="shared" si="3"/>
        <v>2009-133-203226</v>
      </c>
      <c r="C261" s="47">
        <v>44095</v>
      </c>
      <c r="D261" s="46">
        <v>133</v>
      </c>
      <c r="E261" s="46">
        <v>3</v>
      </c>
      <c r="F261" s="46">
        <v>203226</v>
      </c>
      <c r="G261" s="48" t="s">
        <v>504</v>
      </c>
      <c r="H261" s="47">
        <v>44111</v>
      </c>
      <c r="I261" s="46">
        <v>49940</v>
      </c>
      <c r="J261" s="46">
        <v>3</v>
      </c>
      <c r="K261" s="47">
        <v>44118</v>
      </c>
      <c r="L261" s="46">
        <v>10082</v>
      </c>
      <c r="M261" s="46">
        <v>3</v>
      </c>
    </row>
    <row r="262" spans="2:13" ht="14.1" customHeight="1" x14ac:dyDescent="0.25">
      <c r="B262" s="46" t="str">
        <f t="shared" si="3"/>
        <v>2009-133-203236</v>
      </c>
      <c r="C262" s="47">
        <v>44095</v>
      </c>
      <c r="D262" s="46">
        <v>133</v>
      </c>
      <c r="E262" s="46">
        <v>1</v>
      </c>
      <c r="F262" s="46">
        <v>203236</v>
      </c>
      <c r="G262" s="48" t="s">
        <v>511</v>
      </c>
      <c r="H262" s="47">
        <v>44111</v>
      </c>
      <c r="I262" s="46">
        <v>49940</v>
      </c>
      <c r="J262" s="46">
        <v>1</v>
      </c>
      <c r="K262" s="47">
        <v>44118</v>
      </c>
      <c r="L262" s="46">
        <v>10082</v>
      </c>
      <c r="M262" s="46">
        <v>1</v>
      </c>
    </row>
    <row r="263" spans="2:13" ht="14.1" customHeight="1" x14ac:dyDescent="0.25">
      <c r="B263" s="46" t="str">
        <f t="shared" si="3"/>
        <v>2009-133-205072</v>
      </c>
      <c r="C263" s="47">
        <v>44095</v>
      </c>
      <c r="D263" s="46">
        <v>133</v>
      </c>
      <c r="E263" s="46">
        <v>1</v>
      </c>
      <c r="F263" s="46">
        <v>205072</v>
      </c>
      <c r="G263" s="48" t="s">
        <v>550</v>
      </c>
      <c r="H263" s="47">
        <v>44111</v>
      </c>
      <c r="I263" s="46">
        <v>49940</v>
      </c>
      <c r="J263" s="46">
        <v>1</v>
      </c>
      <c r="K263" s="47">
        <v>44118</v>
      </c>
      <c r="L263" s="46">
        <v>10082</v>
      </c>
      <c r="M263" s="46">
        <v>1</v>
      </c>
    </row>
    <row r="264" spans="2:13" ht="14.1" customHeight="1" x14ac:dyDescent="0.25">
      <c r="B264" s="46" t="str">
        <f t="shared" si="3"/>
        <v>2009-133-204189</v>
      </c>
      <c r="C264" s="47">
        <v>44095</v>
      </c>
      <c r="D264" s="46">
        <v>133</v>
      </c>
      <c r="E264" s="46">
        <v>180</v>
      </c>
      <c r="F264" s="46">
        <v>204189</v>
      </c>
      <c r="G264" s="48" t="s">
        <v>399</v>
      </c>
      <c r="H264" s="47">
        <v>44111</v>
      </c>
      <c r="I264" s="46">
        <v>49940</v>
      </c>
      <c r="J264" s="46">
        <v>180</v>
      </c>
      <c r="K264" s="47">
        <v>44118</v>
      </c>
      <c r="L264" s="46">
        <v>10082</v>
      </c>
      <c r="M264" s="46">
        <v>180</v>
      </c>
    </row>
    <row r="265" spans="2:13" ht="14.1" customHeight="1" x14ac:dyDescent="0.25">
      <c r="B265" s="46" t="str">
        <f t="shared" si="3"/>
        <v>2009-133-204404</v>
      </c>
      <c r="C265" s="47">
        <v>44095</v>
      </c>
      <c r="D265" s="46">
        <v>133</v>
      </c>
      <c r="E265" s="46">
        <v>12</v>
      </c>
      <c r="F265" s="46">
        <v>204404</v>
      </c>
      <c r="G265" s="48" t="s">
        <v>536</v>
      </c>
      <c r="H265" s="47">
        <v>44111</v>
      </c>
      <c r="I265" s="46">
        <v>49940</v>
      </c>
      <c r="J265" s="46">
        <v>12</v>
      </c>
      <c r="K265" s="47">
        <v>44118</v>
      </c>
      <c r="L265" s="46">
        <v>10082</v>
      </c>
      <c r="M265" s="46">
        <v>12</v>
      </c>
    </row>
    <row r="266" spans="2:13" ht="14.1" customHeight="1" x14ac:dyDescent="0.25">
      <c r="B266" s="46" t="str">
        <f t="shared" si="3"/>
        <v>2009-133-204418</v>
      </c>
      <c r="C266" s="47">
        <v>44095</v>
      </c>
      <c r="D266" s="46">
        <v>133</v>
      </c>
      <c r="E266" s="46">
        <v>6</v>
      </c>
      <c r="F266" s="46">
        <v>204418</v>
      </c>
      <c r="G266" s="48" t="s">
        <v>539</v>
      </c>
      <c r="H266" s="47">
        <v>44111</v>
      </c>
      <c r="I266" s="46">
        <v>49940</v>
      </c>
      <c r="J266" s="46">
        <v>6</v>
      </c>
      <c r="K266" s="47">
        <v>44118</v>
      </c>
      <c r="L266" s="46">
        <v>10082</v>
      </c>
      <c r="M266" s="46">
        <v>6</v>
      </c>
    </row>
    <row r="267" spans="2:13" ht="14.1" customHeight="1" x14ac:dyDescent="0.25">
      <c r="B267" s="46" t="str">
        <f t="shared" si="3"/>
        <v>2009-144-314736</v>
      </c>
      <c r="C267" s="47">
        <v>44095</v>
      </c>
      <c r="D267" s="46">
        <v>144</v>
      </c>
      <c r="E267" s="46">
        <v>2</v>
      </c>
      <c r="F267" s="46">
        <v>314736</v>
      </c>
      <c r="G267" s="48" t="s">
        <v>860</v>
      </c>
      <c r="H267" s="47">
        <v>44096</v>
      </c>
      <c r="I267" s="46">
        <v>49783</v>
      </c>
      <c r="J267" s="46">
        <v>2</v>
      </c>
      <c r="K267" s="47">
        <v>44097</v>
      </c>
      <c r="L267" s="46">
        <v>9907</v>
      </c>
      <c r="M267" s="46">
        <v>2</v>
      </c>
    </row>
    <row r="268" spans="2:13" ht="14.1" customHeight="1" x14ac:dyDescent="0.25">
      <c r="B268" s="46" t="str">
        <f t="shared" ref="B268:B331" si="4">TEXT(C268,"yy") &amp; TEXT(C268,"mm") &amp;"-"&amp;(D268) &amp;"-"&amp;(F268)</f>
        <v>2009-145-206362</v>
      </c>
      <c r="C268" s="47">
        <v>44095</v>
      </c>
      <c r="D268" s="46">
        <v>145</v>
      </c>
      <c r="E268" s="46">
        <v>6</v>
      </c>
      <c r="F268" s="46">
        <v>206362</v>
      </c>
      <c r="G268" s="48" t="s">
        <v>583</v>
      </c>
      <c r="H268" s="47">
        <v>44103</v>
      </c>
      <c r="I268" s="46">
        <v>49869</v>
      </c>
      <c r="J268" s="46">
        <v>3</v>
      </c>
      <c r="K268" s="47">
        <v>44106</v>
      </c>
      <c r="L268" s="46">
        <v>10005</v>
      </c>
      <c r="M268" s="46">
        <v>3</v>
      </c>
    </row>
    <row r="269" spans="2:13" ht="14.1" customHeight="1" x14ac:dyDescent="0.25">
      <c r="B269" s="46" t="str">
        <f t="shared" si="4"/>
        <v>2009-146-320207</v>
      </c>
      <c r="C269" s="47">
        <v>44095</v>
      </c>
      <c r="D269" s="46">
        <v>146</v>
      </c>
      <c r="E269" s="46">
        <v>12</v>
      </c>
      <c r="F269" s="46">
        <v>320207</v>
      </c>
      <c r="G269" s="48" t="s">
        <v>968</v>
      </c>
      <c r="H269" s="47">
        <v>44102</v>
      </c>
      <c r="I269" s="46">
        <v>49852</v>
      </c>
      <c r="J269" s="46">
        <v>12</v>
      </c>
      <c r="K269" s="47">
        <v>44104</v>
      </c>
      <c r="L269" s="46">
        <v>9972</v>
      </c>
      <c r="M269" s="46">
        <v>12</v>
      </c>
    </row>
    <row r="270" spans="2:13" ht="14.1" customHeight="1" x14ac:dyDescent="0.25">
      <c r="B270" s="46" t="str">
        <f t="shared" si="4"/>
        <v>2009-147-319359</v>
      </c>
      <c r="C270" s="47">
        <v>44096</v>
      </c>
      <c r="D270" s="46">
        <v>147</v>
      </c>
      <c r="E270" s="46">
        <v>3000</v>
      </c>
      <c r="F270" s="46">
        <v>319359</v>
      </c>
      <c r="G270" s="48" t="s">
        <v>210</v>
      </c>
      <c r="H270" s="47">
        <v>44099</v>
      </c>
      <c r="I270" s="46">
        <v>49847</v>
      </c>
      <c r="J270" s="46">
        <v>3000</v>
      </c>
      <c r="K270" s="47">
        <v>44102</v>
      </c>
      <c r="L270" s="46">
        <v>9956</v>
      </c>
      <c r="M270" s="46">
        <v>3000</v>
      </c>
    </row>
    <row r="271" spans="2:13" ht="14.1" customHeight="1" x14ac:dyDescent="0.25">
      <c r="B271" s="46" t="str">
        <f t="shared" si="4"/>
        <v>2009-149-200751</v>
      </c>
      <c r="C271" s="47">
        <v>44096</v>
      </c>
      <c r="D271" s="46">
        <v>149</v>
      </c>
      <c r="E271" s="46">
        <v>40000</v>
      </c>
      <c r="F271" s="46">
        <v>200751</v>
      </c>
      <c r="G271" s="48" t="s">
        <v>151</v>
      </c>
      <c r="H271" s="47">
        <v>44098</v>
      </c>
      <c r="I271" s="46">
        <v>49822</v>
      </c>
      <c r="J271" s="46">
        <v>10000</v>
      </c>
      <c r="K271" s="47">
        <v>44098</v>
      </c>
      <c r="L271" s="46">
        <v>9923</v>
      </c>
      <c r="M271" s="46">
        <v>10000</v>
      </c>
    </row>
    <row r="272" spans="2:13" ht="14.1" customHeight="1" x14ac:dyDescent="0.25">
      <c r="B272" s="46" t="str">
        <f t="shared" si="4"/>
        <v>2009-149-200751</v>
      </c>
      <c r="C272" s="47">
        <v>44096</v>
      </c>
      <c r="D272" s="46">
        <v>149</v>
      </c>
      <c r="E272" s="46">
        <v>40000</v>
      </c>
      <c r="F272" s="46">
        <v>200751</v>
      </c>
      <c r="G272" s="48" t="s">
        <v>151</v>
      </c>
      <c r="H272" s="47">
        <v>44098</v>
      </c>
      <c r="I272" s="46">
        <v>49822</v>
      </c>
      <c r="J272" s="46">
        <v>10000</v>
      </c>
      <c r="K272" s="47">
        <v>44098</v>
      </c>
      <c r="L272" s="46">
        <v>9926</v>
      </c>
      <c r="M272" s="46">
        <v>10000</v>
      </c>
    </row>
    <row r="273" spans="2:13" ht="14.1" customHeight="1" x14ac:dyDescent="0.25">
      <c r="B273" s="46" t="str">
        <f t="shared" si="4"/>
        <v>2009-149-200751</v>
      </c>
      <c r="C273" s="47">
        <v>44096</v>
      </c>
      <c r="D273" s="46">
        <v>149</v>
      </c>
      <c r="E273" s="46">
        <v>40000</v>
      </c>
      <c r="F273" s="46">
        <v>200751</v>
      </c>
      <c r="G273" s="48" t="s">
        <v>151</v>
      </c>
      <c r="H273" s="47">
        <v>44098</v>
      </c>
      <c r="I273" s="46">
        <v>49822</v>
      </c>
      <c r="J273" s="46">
        <v>10000</v>
      </c>
      <c r="K273" s="47">
        <v>44102</v>
      </c>
      <c r="L273" s="46">
        <v>9955</v>
      </c>
      <c r="M273" s="46">
        <v>10000</v>
      </c>
    </row>
    <row r="274" spans="2:13" ht="14.1" customHeight="1" x14ac:dyDescent="0.25">
      <c r="B274" s="46" t="str">
        <f t="shared" si="4"/>
        <v>2009-149-200751</v>
      </c>
      <c r="C274" s="47">
        <v>44096</v>
      </c>
      <c r="D274" s="46">
        <v>149</v>
      </c>
      <c r="E274" s="46">
        <v>40000</v>
      </c>
      <c r="F274" s="46">
        <v>200751</v>
      </c>
      <c r="G274" s="48" t="s">
        <v>151</v>
      </c>
      <c r="H274" s="47">
        <v>44098</v>
      </c>
      <c r="I274" s="46">
        <v>49822</v>
      </c>
      <c r="J274" s="46">
        <v>10000</v>
      </c>
      <c r="K274" s="47">
        <v>44104</v>
      </c>
      <c r="L274" s="46">
        <v>9987</v>
      </c>
      <c r="M274" s="46">
        <v>10000</v>
      </c>
    </row>
    <row r="275" spans="2:13" ht="14.1" customHeight="1" x14ac:dyDescent="0.25">
      <c r="B275" s="46" t="str">
        <f t="shared" si="4"/>
        <v>2009-149-200751</v>
      </c>
      <c r="C275" s="47">
        <v>44096</v>
      </c>
      <c r="D275" s="46">
        <v>149</v>
      </c>
      <c r="E275" s="46">
        <v>40000</v>
      </c>
      <c r="F275" s="46">
        <v>200751</v>
      </c>
      <c r="G275" s="48" t="s">
        <v>151</v>
      </c>
      <c r="H275" s="47">
        <v>44098</v>
      </c>
      <c r="I275" s="46">
        <v>49824</v>
      </c>
      <c r="J275" s="46">
        <v>10000</v>
      </c>
      <c r="K275" s="47">
        <v>44098</v>
      </c>
      <c r="L275" s="46">
        <v>9923</v>
      </c>
      <c r="M275" s="46">
        <v>10000</v>
      </c>
    </row>
    <row r="276" spans="2:13" ht="14.1" customHeight="1" x14ac:dyDescent="0.25">
      <c r="B276" s="46" t="str">
        <f t="shared" si="4"/>
        <v>2009-149-200751</v>
      </c>
      <c r="C276" s="47">
        <v>44096</v>
      </c>
      <c r="D276" s="46">
        <v>149</v>
      </c>
      <c r="E276" s="46">
        <v>40000</v>
      </c>
      <c r="F276" s="46">
        <v>200751</v>
      </c>
      <c r="G276" s="48" t="s">
        <v>151</v>
      </c>
      <c r="H276" s="47">
        <v>44098</v>
      </c>
      <c r="I276" s="46">
        <v>49824</v>
      </c>
      <c r="J276" s="46">
        <v>10000</v>
      </c>
      <c r="K276" s="47">
        <v>44098</v>
      </c>
      <c r="L276" s="46">
        <v>9926</v>
      </c>
      <c r="M276" s="46">
        <v>10000</v>
      </c>
    </row>
    <row r="277" spans="2:13" ht="14.1" customHeight="1" x14ac:dyDescent="0.25">
      <c r="B277" s="46" t="str">
        <f t="shared" si="4"/>
        <v>2009-149-200751</v>
      </c>
      <c r="C277" s="47">
        <v>44096</v>
      </c>
      <c r="D277" s="46">
        <v>149</v>
      </c>
      <c r="E277" s="46">
        <v>40000</v>
      </c>
      <c r="F277" s="46">
        <v>200751</v>
      </c>
      <c r="G277" s="48" t="s">
        <v>151</v>
      </c>
      <c r="H277" s="47">
        <v>44098</v>
      </c>
      <c r="I277" s="46">
        <v>49824</v>
      </c>
      <c r="J277" s="46">
        <v>10000</v>
      </c>
      <c r="K277" s="47">
        <v>44102</v>
      </c>
      <c r="L277" s="46">
        <v>9955</v>
      </c>
      <c r="M277" s="46">
        <v>10000</v>
      </c>
    </row>
    <row r="278" spans="2:13" ht="14.1" customHeight="1" x14ac:dyDescent="0.25">
      <c r="B278" s="46" t="str">
        <f t="shared" si="4"/>
        <v>2009-149-200751</v>
      </c>
      <c r="C278" s="47">
        <v>44096</v>
      </c>
      <c r="D278" s="46">
        <v>149</v>
      </c>
      <c r="E278" s="46">
        <v>40000</v>
      </c>
      <c r="F278" s="46">
        <v>200751</v>
      </c>
      <c r="G278" s="48" t="s">
        <v>151</v>
      </c>
      <c r="H278" s="47">
        <v>44098</v>
      </c>
      <c r="I278" s="46">
        <v>49824</v>
      </c>
      <c r="J278" s="46">
        <v>10000</v>
      </c>
      <c r="K278" s="47">
        <v>44104</v>
      </c>
      <c r="L278" s="46">
        <v>9987</v>
      </c>
      <c r="M278" s="46">
        <v>10000</v>
      </c>
    </row>
    <row r="279" spans="2:13" ht="14.1" customHeight="1" x14ac:dyDescent="0.25">
      <c r="B279" s="46" t="str">
        <f t="shared" si="4"/>
        <v>2009-149-200751</v>
      </c>
      <c r="C279" s="47">
        <v>44096</v>
      </c>
      <c r="D279" s="46">
        <v>149</v>
      </c>
      <c r="E279" s="46">
        <v>40000</v>
      </c>
      <c r="F279" s="46">
        <v>200751</v>
      </c>
      <c r="G279" s="50" t="s">
        <v>151</v>
      </c>
      <c r="H279" s="47">
        <v>44102</v>
      </c>
      <c r="I279" s="46">
        <v>49854</v>
      </c>
      <c r="J279" s="46">
        <v>10000</v>
      </c>
      <c r="K279" s="47">
        <v>44098</v>
      </c>
      <c r="L279" s="46">
        <v>9923</v>
      </c>
      <c r="M279" s="46">
        <v>10000</v>
      </c>
    </row>
    <row r="280" spans="2:13" ht="14.1" customHeight="1" x14ac:dyDescent="0.25">
      <c r="B280" s="46" t="str">
        <f t="shared" si="4"/>
        <v>2009-149-200751</v>
      </c>
      <c r="C280" s="47">
        <v>44096</v>
      </c>
      <c r="D280" s="46">
        <v>149</v>
      </c>
      <c r="E280" s="46">
        <v>40000</v>
      </c>
      <c r="F280" s="46">
        <v>200751</v>
      </c>
      <c r="G280" s="48" t="s">
        <v>151</v>
      </c>
      <c r="H280" s="47">
        <v>44102</v>
      </c>
      <c r="I280" s="46">
        <v>49854</v>
      </c>
      <c r="J280" s="46">
        <v>10000</v>
      </c>
      <c r="K280" s="47">
        <v>44098</v>
      </c>
      <c r="L280" s="46">
        <v>9926</v>
      </c>
      <c r="M280" s="46">
        <v>10000</v>
      </c>
    </row>
    <row r="281" spans="2:13" ht="14.1" customHeight="1" x14ac:dyDescent="0.25">
      <c r="B281" s="46" t="str">
        <f t="shared" si="4"/>
        <v>2009-149-200751</v>
      </c>
      <c r="C281" s="47">
        <v>44096</v>
      </c>
      <c r="D281" s="46">
        <v>149</v>
      </c>
      <c r="E281" s="46">
        <v>40000</v>
      </c>
      <c r="F281" s="46">
        <v>200751</v>
      </c>
      <c r="G281" s="50" t="s">
        <v>151</v>
      </c>
      <c r="H281" s="47">
        <v>44102</v>
      </c>
      <c r="I281" s="46">
        <v>49854</v>
      </c>
      <c r="J281" s="46">
        <v>10000</v>
      </c>
      <c r="K281" s="47">
        <v>44102</v>
      </c>
      <c r="L281" s="46">
        <v>9955</v>
      </c>
      <c r="M281" s="46">
        <v>10000</v>
      </c>
    </row>
    <row r="282" spans="2:13" ht="14.1" customHeight="1" x14ac:dyDescent="0.25">
      <c r="B282" s="46" t="str">
        <f t="shared" si="4"/>
        <v>2009-149-200751</v>
      </c>
      <c r="C282" s="47">
        <v>44096</v>
      </c>
      <c r="D282" s="46">
        <v>149</v>
      </c>
      <c r="E282" s="46">
        <v>40000</v>
      </c>
      <c r="F282" s="46">
        <v>200751</v>
      </c>
      <c r="G282" s="50" t="s">
        <v>151</v>
      </c>
      <c r="H282" s="47">
        <v>44102</v>
      </c>
      <c r="I282" s="46">
        <v>49854</v>
      </c>
      <c r="J282" s="46">
        <v>10000</v>
      </c>
      <c r="K282" s="47">
        <v>44104</v>
      </c>
      <c r="L282" s="46">
        <v>9987</v>
      </c>
      <c r="M282" s="46">
        <v>10000</v>
      </c>
    </row>
    <row r="283" spans="2:13" ht="14.1" customHeight="1" x14ac:dyDescent="0.25">
      <c r="B283" s="46" t="str">
        <f t="shared" si="4"/>
        <v>2009-149-200751</v>
      </c>
      <c r="C283" s="47">
        <v>44096</v>
      </c>
      <c r="D283" s="46">
        <v>149</v>
      </c>
      <c r="E283" s="46">
        <v>40000</v>
      </c>
      <c r="F283" s="46">
        <v>200751</v>
      </c>
      <c r="G283" s="50" t="s">
        <v>151</v>
      </c>
      <c r="H283" s="47">
        <v>44105</v>
      </c>
      <c r="I283" s="46">
        <v>49925</v>
      </c>
      <c r="J283" s="46">
        <v>10000</v>
      </c>
      <c r="K283" s="47">
        <v>44098</v>
      </c>
      <c r="L283" s="46">
        <v>9923</v>
      </c>
      <c r="M283" s="46">
        <v>10000</v>
      </c>
    </row>
    <row r="284" spans="2:13" ht="14.1" customHeight="1" x14ac:dyDescent="0.25">
      <c r="B284" s="46" t="str">
        <f t="shared" si="4"/>
        <v>2009-149-200751</v>
      </c>
      <c r="C284" s="47">
        <v>44096</v>
      </c>
      <c r="D284" s="46">
        <v>149</v>
      </c>
      <c r="E284" s="46">
        <v>40000</v>
      </c>
      <c r="F284" s="46">
        <v>200751</v>
      </c>
      <c r="G284" s="48" t="s">
        <v>151</v>
      </c>
      <c r="H284" s="47">
        <v>44105</v>
      </c>
      <c r="I284" s="46">
        <v>49925</v>
      </c>
      <c r="J284" s="46">
        <v>10000</v>
      </c>
      <c r="K284" s="47">
        <v>44098</v>
      </c>
      <c r="L284" s="46">
        <v>9926</v>
      </c>
      <c r="M284" s="46">
        <v>10000</v>
      </c>
    </row>
    <row r="285" spans="2:13" ht="14.1" customHeight="1" x14ac:dyDescent="0.25">
      <c r="B285" s="46" t="str">
        <f t="shared" si="4"/>
        <v>2009-149-200751</v>
      </c>
      <c r="C285" s="47">
        <v>44096</v>
      </c>
      <c r="D285" s="46">
        <v>149</v>
      </c>
      <c r="E285" s="46">
        <v>40000</v>
      </c>
      <c r="F285" s="46">
        <v>200751</v>
      </c>
      <c r="G285" s="48" t="s">
        <v>151</v>
      </c>
      <c r="H285" s="47">
        <v>44105</v>
      </c>
      <c r="I285" s="46">
        <v>49925</v>
      </c>
      <c r="J285" s="46">
        <v>10000</v>
      </c>
      <c r="K285" s="47">
        <v>44102</v>
      </c>
      <c r="L285" s="46">
        <v>9955</v>
      </c>
      <c r="M285" s="46">
        <v>10000</v>
      </c>
    </row>
    <row r="286" spans="2:13" ht="14.1" customHeight="1" x14ac:dyDescent="0.25">
      <c r="B286" s="46" t="str">
        <f t="shared" si="4"/>
        <v>2009-149-200751</v>
      </c>
      <c r="C286" s="47">
        <v>44096</v>
      </c>
      <c r="D286" s="46">
        <v>149</v>
      </c>
      <c r="E286" s="46">
        <v>40000</v>
      </c>
      <c r="F286" s="46">
        <v>200751</v>
      </c>
      <c r="G286" s="48" t="s">
        <v>151</v>
      </c>
      <c r="H286" s="47">
        <v>44105</v>
      </c>
      <c r="I286" s="46">
        <v>49925</v>
      </c>
      <c r="J286" s="46">
        <v>10000</v>
      </c>
      <c r="K286" s="47">
        <v>44104</v>
      </c>
      <c r="L286" s="46">
        <v>9987</v>
      </c>
      <c r="M286" s="46">
        <v>10000</v>
      </c>
    </row>
    <row r="287" spans="2:13" ht="14.1" customHeight="1" x14ac:dyDescent="0.25">
      <c r="B287" s="46" t="str">
        <f t="shared" si="4"/>
        <v>2009-152-100370</v>
      </c>
      <c r="C287" s="47">
        <v>44097</v>
      </c>
      <c r="D287" s="46">
        <v>152</v>
      </c>
      <c r="E287" s="46">
        <v>15</v>
      </c>
      <c r="F287" s="46">
        <v>100370</v>
      </c>
      <c r="G287" s="48" t="s">
        <v>136</v>
      </c>
      <c r="H287" s="47">
        <v>44120</v>
      </c>
      <c r="I287" s="46">
        <v>50081</v>
      </c>
      <c r="J287" s="46">
        <v>15</v>
      </c>
      <c r="K287" s="47">
        <v>44126</v>
      </c>
      <c r="L287" s="46">
        <v>10170</v>
      </c>
      <c r="M287" s="46">
        <v>15</v>
      </c>
    </row>
    <row r="288" spans="2:13" ht="14.1" customHeight="1" x14ac:dyDescent="0.25">
      <c r="B288" s="46" t="str">
        <f t="shared" si="4"/>
        <v>2009-152-311888</v>
      </c>
      <c r="C288" s="47">
        <v>44097</v>
      </c>
      <c r="D288" s="46">
        <v>152</v>
      </c>
      <c r="E288" s="46">
        <v>20</v>
      </c>
      <c r="F288" s="46">
        <v>311888</v>
      </c>
      <c r="G288" s="48" t="s">
        <v>42</v>
      </c>
      <c r="H288" s="47">
        <v>44120</v>
      </c>
      <c r="I288" s="46">
        <v>50080</v>
      </c>
      <c r="J288" s="46">
        <v>20</v>
      </c>
      <c r="K288" s="47">
        <v>44125</v>
      </c>
      <c r="L288" s="46">
        <v>10144</v>
      </c>
      <c r="M288" s="46">
        <v>20</v>
      </c>
    </row>
    <row r="289" spans="2:13" ht="14.1" customHeight="1" x14ac:dyDescent="0.25">
      <c r="B289" s="46" t="str">
        <f t="shared" si="4"/>
        <v>2009-152-300500</v>
      </c>
      <c r="C289" s="47">
        <v>44097</v>
      </c>
      <c r="D289" s="46">
        <v>152</v>
      </c>
      <c r="E289" s="46">
        <v>8</v>
      </c>
      <c r="F289" s="46">
        <v>300500</v>
      </c>
      <c r="G289" s="48" t="s">
        <v>346</v>
      </c>
      <c r="H289" s="47">
        <v>44120</v>
      </c>
      <c r="I289" s="46">
        <v>50082</v>
      </c>
      <c r="J289" s="46">
        <v>8</v>
      </c>
      <c r="K289" s="47">
        <v>44126</v>
      </c>
      <c r="L289" s="46">
        <v>10168</v>
      </c>
      <c r="M289" s="46">
        <v>8</v>
      </c>
    </row>
    <row r="290" spans="2:13" ht="14.1" customHeight="1" x14ac:dyDescent="0.25">
      <c r="B290" s="46" t="str">
        <f t="shared" si="4"/>
        <v>2009-152-200867</v>
      </c>
      <c r="C290" s="47">
        <v>44097</v>
      </c>
      <c r="D290" s="46">
        <v>152</v>
      </c>
      <c r="E290" s="46">
        <v>20</v>
      </c>
      <c r="F290" s="46">
        <v>200867</v>
      </c>
      <c r="G290" s="48" t="s">
        <v>199</v>
      </c>
      <c r="H290" s="47">
        <v>44120</v>
      </c>
      <c r="I290" s="46">
        <v>50081</v>
      </c>
      <c r="J290" s="46">
        <v>20</v>
      </c>
      <c r="K290" s="47">
        <v>44126</v>
      </c>
      <c r="L290" s="46">
        <v>10170</v>
      </c>
      <c r="M290" s="46">
        <v>20</v>
      </c>
    </row>
    <row r="291" spans="2:13" ht="14.1" customHeight="1" x14ac:dyDescent="0.25">
      <c r="B291" s="46" t="str">
        <f t="shared" si="4"/>
        <v>2009-161-306112</v>
      </c>
      <c r="C291" s="47">
        <v>44098</v>
      </c>
      <c r="D291" s="46">
        <v>161</v>
      </c>
      <c r="E291" s="46">
        <v>1</v>
      </c>
      <c r="F291" s="46">
        <v>306112</v>
      </c>
      <c r="G291" s="48" t="s">
        <v>91</v>
      </c>
      <c r="H291" s="47">
        <v>44109</v>
      </c>
      <c r="I291" s="46">
        <v>50059</v>
      </c>
      <c r="J291" s="46">
        <v>1</v>
      </c>
      <c r="K291" s="47">
        <v>44098</v>
      </c>
      <c r="L291" s="46">
        <v>9921</v>
      </c>
      <c r="M291" s="46">
        <v>1</v>
      </c>
    </row>
    <row r="292" spans="2:13" ht="14.1" customHeight="1" x14ac:dyDescent="0.25">
      <c r="B292" s="46" t="str">
        <f t="shared" si="4"/>
        <v>2009-161-106474</v>
      </c>
      <c r="C292" s="47">
        <v>44098</v>
      </c>
      <c r="D292" s="46">
        <v>161</v>
      </c>
      <c r="E292" s="46">
        <v>4</v>
      </c>
      <c r="F292" s="46">
        <v>106474</v>
      </c>
      <c r="G292" s="48" t="s">
        <v>393</v>
      </c>
      <c r="H292" s="47">
        <v>44109</v>
      </c>
      <c r="I292" s="46">
        <v>50059</v>
      </c>
      <c r="J292" s="46">
        <v>4</v>
      </c>
      <c r="K292" s="47">
        <v>44098</v>
      </c>
      <c r="L292" s="46">
        <v>9921</v>
      </c>
      <c r="M292" s="46">
        <v>4</v>
      </c>
    </row>
    <row r="293" spans="2:13" ht="14.1" customHeight="1" x14ac:dyDescent="0.25">
      <c r="B293" s="46" t="str">
        <f t="shared" si="4"/>
        <v>2009-162-309216</v>
      </c>
      <c r="C293" s="47">
        <v>44098</v>
      </c>
      <c r="D293" s="46">
        <v>162</v>
      </c>
      <c r="E293" s="46">
        <v>1</v>
      </c>
      <c r="F293" s="46">
        <v>309216</v>
      </c>
      <c r="G293" s="48" t="s">
        <v>756</v>
      </c>
      <c r="H293" s="47">
        <v>44124</v>
      </c>
      <c r="I293" s="46">
        <v>50128</v>
      </c>
      <c r="J293" s="46">
        <v>1</v>
      </c>
      <c r="K293" s="47">
        <v>44152</v>
      </c>
      <c r="L293" s="46">
        <v>10393</v>
      </c>
      <c r="M293" s="46">
        <v>1</v>
      </c>
    </row>
    <row r="294" spans="2:13" ht="14.1" customHeight="1" x14ac:dyDescent="0.25">
      <c r="B294" s="46" t="str">
        <f t="shared" si="4"/>
        <v>2009-166-320210</v>
      </c>
      <c r="C294" s="47">
        <v>44099</v>
      </c>
      <c r="D294" s="46">
        <v>166</v>
      </c>
      <c r="E294" s="46">
        <v>1</v>
      </c>
      <c r="F294" s="46">
        <v>320210</v>
      </c>
      <c r="G294" s="48" t="s">
        <v>975</v>
      </c>
      <c r="H294" s="47">
        <v>44110</v>
      </c>
      <c r="I294" s="46">
        <v>49924</v>
      </c>
      <c r="J294" s="46">
        <v>1</v>
      </c>
      <c r="K294" s="47">
        <v>44132</v>
      </c>
      <c r="L294" s="46">
        <v>10205</v>
      </c>
      <c r="M294" s="46">
        <v>1</v>
      </c>
    </row>
    <row r="295" spans="2:13" ht="14.1" customHeight="1" x14ac:dyDescent="0.25">
      <c r="B295" s="46" t="str">
        <f t="shared" si="4"/>
        <v>2009-166-320203</v>
      </c>
      <c r="C295" s="47">
        <v>44099</v>
      </c>
      <c r="D295" s="46">
        <v>166</v>
      </c>
      <c r="E295" s="46">
        <v>1</v>
      </c>
      <c r="F295" s="46">
        <v>320203</v>
      </c>
      <c r="G295" s="48" t="s">
        <v>973</v>
      </c>
      <c r="H295" s="47">
        <v>44110</v>
      </c>
      <c r="I295" s="46">
        <v>49924</v>
      </c>
      <c r="J295" s="46">
        <v>1</v>
      </c>
      <c r="K295" s="47">
        <v>44132</v>
      </c>
      <c r="L295" s="46">
        <v>10205</v>
      </c>
      <c r="M295" s="46">
        <v>1</v>
      </c>
    </row>
    <row r="296" spans="2:13" ht="14.1" customHeight="1" x14ac:dyDescent="0.25">
      <c r="B296" s="46" t="str">
        <f t="shared" si="4"/>
        <v>2009-166-320209</v>
      </c>
      <c r="C296" s="47">
        <v>44099</v>
      </c>
      <c r="D296" s="46">
        <v>166</v>
      </c>
      <c r="E296" s="46">
        <v>300</v>
      </c>
      <c r="F296" s="46">
        <v>320209</v>
      </c>
      <c r="G296" s="48" t="s">
        <v>974</v>
      </c>
      <c r="H296" s="47">
        <v>44110</v>
      </c>
      <c r="I296" s="46">
        <v>49924</v>
      </c>
      <c r="J296" s="46">
        <v>300</v>
      </c>
      <c r="K296" s="47">
        <v>44132</v>
      </c>
      <c r="L296" s="46">
        <v>10205</v>
      </c>
      <c r="M296" s="46">
        <v>300</v>
      </c>
    </row>
    <row r="297" spans="2:13" ht="14.1" customHeight="1" x14ac:dyDescent="0.25">
      <c r="B297" s="46" t="str">
        <f t="shared" si="4"/>
        <v>2009-166-317516</v>
      </c>
      <c r="C297" s="47">
        <v>44099</v>
      </c>
      <c r="D297" s="46">
        <v>166</v>
      </c>
      <c r="E297" s="46">
        <v>50</v>
      </c>
      <c r="F297" s="46">
        <v>317516</v>
      </c>
      <c r="G297" s="48" t="s">
        <v>909</v>
      </c>
      <c r="H297" s="47">
        <v>44110</v>
      </c>
      <c r="I297" s="46">
        <v>49924</v>
      </c>
      <c r="J297" s="46">
        <v>50</v>
      </c>
      <c r="K297" s="47">
        <v>44141</v>
      </c>
      <c r="L297" s="46">
        <v>10285</v>
      </c>
      <c r="M297" s="46">
        <v>50</v>
      </c>
    </row>
    <row r="298" spans="2:13" ht="14.1" customHeight="1" x14ac:dyDescent="0.25">
      <c r="B298" s="46" t="str">
        <f t="shared" si="4"/>
        <v>2009-167-320123</v>
      </c>
      <c r="C298" s="47">
        <v>44099</v>
      </c>
      <c r="D298" s="46">
        <v>167</v>
      </c>
      <c r="E298" s="46">
        <v>2</v>
      </c>
      <c r="F298" s="46">
        <v>320123</v>
      </c>
      <c r="G298" s="48" t="s">
        <v>949</v>
      </c>
      <c r="H298" s="47">
        <v>44109</v>
      </c>
      <c r="I298" s="46">
        <v>50057</v>
      </c>
      <c r="J298" s="46">
        <v>2</v>
      </c>
      <c r="K298" s="47">
        <v>44099</v>
      </c>
      <c r="L298" s="46">
        <v>9929</v>
      </c>
      <c r="M298" s="46">
        <v>2</v>
      </c>
    </row>
    <row r="299" spans="2:13" ht="14.1" customHeight="1" x14ac:dyDescent="0.25">
      <c r="B299" s="46" t="str">
        <f t="shared" si="4"/>
        <v>2009-167-309723</v>
      </c>
      <c r="C299" s="47">
        <v>44099</v>
      </c>
      <c r="D299" s="46">
        <v>167</v>
      </c>
      <c r="E299" s="46">
        <v>4</v>
      </c>
      <c r="F299" s="46">
        <v>309723</v>
      </c>
      <c r="G299" s="50" t="s">
        <v>760</v>
      </c>
      <c r="H299" s="47">
        <v>44109</v>
      </c>
      <c r="I299" s="46">
        <v>50057</v>
      </c>
      <c r="J299" s="46">
        <v>4</v>
      </c>
      <c r="K299" s="47">
        <v>44099</v>
      </c>
      <c r="L299" s="46">
        <v>9929</v>
      </c>
      <c r="M299" s="46">
        <v>4</v>
      </c>
    </row>
    <row r="300" spans="2:13" ht="14.1" customHeight="1" x14ac:dyDescent="0.25">
      <c r="B300" s="46" t="str">
        <f t="shared" si="4"/>
        <v>2009-167-306708</v>
      </c>
      <c r="C300" s="47">
        <v>44099</v>
      </c>
      <c r="D300" s="46">
        <v>167</v>
      </c>
      <c r="E300" s="46">
        <v>4</v>
      </c>
      <c r="F300" s="46">
        <v>306708</v>
      </c>
      <c r="G300" s="50" t="s">
        <v>970</v>
      </c>
      <c r="H300" s="47">
        <v>44109</v>
      </c>
      <c r="I300" s="46">
        <v>50057</v>
      </c>
      <c r="J300" s="46">
        <v>4</v>
      </c>
      <c r="K300" s="47">
        <v>44099</v>
      </c>
      <c r="L300" s="46">
        <v>9929</v>
      </c>
      <c r="M300" s="46">
        <v>4</v>
      </c>
    </row>
    <row r="301" spans="2:13" ht="14.1" customHeight="1" x14ac:dyDescent="0.25">
      <c r="B301" s="46" t="str">
        <f t="shared" si="4"/>
        <v>2009-168-309723</v>
      </c>
      <c r="C301" s="47">
        <v>44099</v>
      </c>
      <c r="D301" s="46">
        <v>168</v>
      </c>
      <c r="E301" s="46">
        <v>4</v>
      </c>
      <c r="F301" s="46">
        <v>309723</v>
      </c>
      <c r="G301" s="48" t="s">
        <v>760</v>
      </c>
      <c r="H301" s="47">
        <v>44109</v>
      </c>
      <c r="I301" s="46">
        <v>50058</v>
      </c>
      <c r="J301" s="46">
        <v>4</v>
      </c>
      <c r="K301" s="47">
        <v>44099</v>
      </c>
      <c r="L301" s="46">
        <v>9930</v>
      </c>
      <c r="M301" s="46">
        <v>4</v>
      </c>
    </row>
    <row r="302" spans="2:13" ht="14.1" customHeight="1" x14ac:dyDescent="0.25">
      <c r="B302" s="46" t="str">
        <f t="shared" si="4"/>
        <v>2009-171-320208</v>
      </c>
      <c r="C302" s="47">
        <v>44099</v>
      </c>
      <c r="D302" s="46">
        <v>171</v>
      </c>
      <c r="E302" s="46">
        <v>1</v>
      </c>
      <c r="F302" s="46">
        <v>320208</v>
      </c>
      <c r="G302" s="48" t="s">
        <v>976</v>
      </c>
      <c r="I302" s="46">
        <v>0</v>
      </c>
      <c r="J302" s="46">
        <v>0</v>
      </c>
      <c r="L302" s="46">
        <v>0</v>
      </c>
      <c r="M302" s="46">
        <v>0</v>
      </c>
    </row>
    <row r="303" spans="2:13" ht="14.1" customHeight="1" x14ac:dyDescent="0.25">
      <c r="B303" s="46" t="str">
        <f t="shared" si="4"/>
        <v>2009-173-204845</v>
      </c>
      <c r="C303" s="47">
        <v>44099</v>
      </c>
      <c r="D303" s="46">
        <v>173</v>
      </c>
      <c r="E303" s="46">
        <v>2</v>
      </c>
      <c r="F303" s="46">
        <v>204845</v>
      </c>
      <c r="G303" s="48" t="s">
        <v>312</v>
      </c>
      <c r="H303" s="47">
        <v>44109</v>
      </c>
      <c r="I303" s="46">
        <v>50056</v>
      </c>
      <c r="J303" s="46">
        <v>2</v>
      </c>
      <c r="K303" s="47">
        <v>44099</v>
      </c>
      <c r="L303" s="46">
        <v>9935</v>
      </c>
      <c r="M303" s="46">
        <v>2</v>
      </c>
    </row>
    <row r="304" spans="2:13" ht="14.1" customHeight="1" x14ac:dyDescent="0.25">
      <c r="B304" s="46" t="str">
        <f t="shared" si="4"/>
        <v>2009-173-312906</v>
      </c>
      <c r="C304" s="47">
        <v>44099</v>
      </c>
      <c r="D304" s="46">
        <v>173</v>
      </c>
      <c r="E304" s="46">
        <v>1</v>
      </c>
      <c r="F304" s="46">
        <v>312906</v>
      </c>
      <c r="G304" s="48" t="s">
        <v>823</v>
      </c>
      <c r="H304" s="47">
        <v>44109</v>
      </c>
      <c r="I304" s="46">
        <v>50056</v>
      </c>
      <c r="J304" s="46">
        <v>1</v>
      </c>
      <c r="K304" s="47">
        <v>44099</v>
      </c>
      <c r="L304" s="46">
        <v>9935</v>
      </c>
      <c r="M304" s="46">
        <v>1</v>
      </c>
    </row>
    <row r="305" spans="2:13" ht="14.1" customHeight="1" x14ac:dyDescent="0.25">
      <c r="B305" s="46" t="str">
        <f t="shared" si="4"/>
        <v>2009-175-204797</v>
      </c>
      <c r="C305" s="47">
        <v>44099</v>
      </c>
      <c r="D305" s="46">
        <v>175</v>
      </c>
      <c r="E305" s="46">
        <v>1</v>
      </c>
      <c r="F305" s="46">
        <v>204797</v>
      </c>
      <c r="G305" s="50" t="s">
        <v>387</v>
      </c>
      <c r="H305" s="47">
        <v>44109</v>
      </c>
      <c r="I305" s="46">
        <v>50055</v>
      </c>
      <c r="J305" s="46">
        <v>1</v>
      </c>
      <c r="K305" s="47">
        <v>44099</v>
      </c>
      <c r="L305" s="46">
        <v>9937</v>
      </c>
      <c r="M305" s="46">
        <v>1</v>
      </c>
    </row>
    <row r="306" spans="2:13" ht="14.1" customHeight="1" x14ac:dyDescent="0.25">
      <c r="B306" s="46" t="str">
        <f t="shared" si="4"/>
        <v>2009-175-312906</v>
      </c>
      <c r="C306" s="47">
        <v>44099</v>
      </c>
      <c r="D306" s="46">
        <v>175</v>
      </c>
      <c r="E306" s="46">
        <v>1</v>
      </c>
      <c r="F306" s="46">
        <v>312906</v>
      </c>
      <c r="G306" s="48" t="s">
        <v>823</v>
      </c>
      <c r="H306" s="47">
        <v>44109</v>
      </c>
      <c r="I306" s="46">
        <v>50055</v>
      </c>
      <c r="J306" s="46">
        <v>1</v>
      </c>
      <c r="K306" s="47">
        <v>44099</v>
      </c>
      <c r="L306" s="46">
        <v>9937</v>
      </c>
      <c r="M306" s="46">
        <v>1</v>
      </c>
    </row>
    <row r="307" spans="2:13" ht="14.1" customHeight="1" x14ac:dyDescent="0.25">
      <c r="B307" s="46" t="str">
        <f t="shared" si="4"/>
        <v>2009-179-314320</v>
      </c>
      <c r="C307" s="47">
        <v>44099</v>
      </c>
      <c r="D307" s="46">
        <v>179</v>
      </c>
      <c r="E307" s="46">
        <v>4</v>
      </c>
      <c r="F307" s="46">
        <v>314320</v>
      </c>
      <c r="G307" s="48" t="s">
        <v>851</v>
      </c>
      <c r="H307" s="47">
        <v>44141</v>
      </c>
      <c r="I307" s="46">
        <v>50494</v>
      </c>
      <c r="J307" s="46">
        <v>4</v>
      </c>
      <c r="K307" s="47">
        <v>44099</v>
      </c>
      <c r="L307" s="46">
        <v>9942</v>
      </c>
      <c r="M307" s="46">
        <v>4</v>
      </c>
    </row>
    <row r="308" spans="2:13" ht="14.1" customHeight="1" x14ac:dyDescent="0.25">
      <c r="B308" s="46" t="str">
        <f t="shared" si="4"/>
        <v>2009-180-304892</v>
      </c>
      <c r="C308" s="47">
        <v>44099</v>
      </c>
      <c r="D308" s="46">
        <v>180</v>
      </c>
      <c r="E308" s="46">
        <v>2000</v>
      </c>
      <c r="F308" s="46">
        <v>304892</v>
      </c>
      <c r="G308" s="48" t="s">
        <v>198</v>
      </c>
      <c r="H308" s="47">
        <v>44120</v>
      </c>
      <c r="I308" s="46">
        <v>50084</v>
      </c>
      <c r="J308" s="46">
        <v>2000</v>
      </c>
      <c r="K308" s="47">
        <v>44099</v>
      </c>
      <c r="L308" s="46">
        <v>9943</v>
      </c>
      <c r="M308" s="46">
        <v>2000</v>
      </c>
    </row>
    <row r="309" spans="2:13" ht="14.1" customHeight="1" x14ac:dyDescent="0.25">
      <c r="B309" s="46" t="str">
        <f t="shared" si="4"/>
        <v>2009-181-300312</v>
      </c>
      <c r="C309" s="47">
        <v>44099</v>
      </c>
      <c r="D309" s="46">
        <v>181</v>
      </c>
      <c r="E309" s="46">
        <v>500</v>
      </c>
      <c r="F309" s="46">
        <v>300312</v>
      </c>
      <c r="G309" s="48" t="s">
        <v>186</v>
      </c>
      <c r="H309" s="47">
        <v>44120</v>
      </c>
      <c r="I309" s="46">
        <v>50083</v>
      </c>
      <c r="J309" s="46">
        <v>500</v>
      </c>
      <c r="K309" s="47">
        <v>44099</v>
      </c>
      <c r="L309" s="46">
        <v>9944</v>
      </c>
      <c r="M309" s="46">
        <v>500</v>
      </c>
    </row>
    <row r="310" spans="2:13" ht="14.1" customHeight="1" x14ac:dyDescent="0.25">
      <c r="B310" s="46" t="str">
        <f t="shared" si="4"/>
        <v>2009-181-304159</v>
      </c>
      <c r="C310" s="47">
        <v>44099</v>
      </c>
      <c r="D310" s="46">
        <v>181</v>
      </c>
      <c r="E310" s="46">
        <v>600</v>
      </c>
      <c r="F310" s="46">
        <v>304159</v>
      </c>
      <c r="G310" s="48" t="s">
        <v>152</v>
      </c>
      <c r="H310" s="47">
        <v>44120</v>
      </c>
      <c r="I310" s="46">
        <v>50083</v>
      </c>
      <c r="J310" s="46">
        <v>600</v>
      </c>
      <c r="K310" s="47">
        <v>44099</v>
      </c>
      <c r="L310" s="46">
        <v>9944</v>
      </c>
      <c r="M310" s="46">
        <v>600</v>
      </c>
    </row>
    <row r="311" spans="2:13" ht="14.1" customHeight="1" x14ac:dyDescent="0.25">
      <c r="B311" s="46" t="str">
        <f t="shared" si="4"/>
        <v>2009-181-300311</v>
      </c>
      <c r="C311" s="47">
        <v>44099</v>
      </c>
      <c r="D311" s="46">
        <v>181</v>
      </c>
      <c r="E311" s="46">
        <v>400</v>
      </c>
      <c r="F311" s="46">
        <v>300311</v>
      </c>
      <c r="G311" s="48" t="s">
        <v>128</v>
      </c>
      <c r="H311" s="47">
        <v>44120</v>
      </c>
      <c r="I311" s="46">
        <v>50083</v>
      </c>
      <c r="J311" s="46">
        <v>400</v>
      </c>
      <c r="K311" s="47">
        <v>44099</v>
      </c>
      <c r="L311" s="46">
        <v>9944</v>
      </c>
      <c r="M311" s="46">
        <v>400</v>
      </c>
    </row>
    <row r="312" spans="2:13" ht="14.1" customHeight="1" x14ac:dyDescent="0.25">
      <c r="B312" s="46" t="str">
        <f t="shared" si="4"/>
        <v>2009-182-202013</v>
      </c>
      <c r="C312" s="47">
        <v>44099</v>
      </c>
      <c r="D312" s="46">
        <v>182</v>
      </c>
      <c r="E312" s="46">
        <v>60000</v>
      </c>
      <c r="F312" s="46">
        <v>202013</v>
      </c>
      <c r="G312" s="48" t="s">
        <v>149</v>
      </c>
      <c r="H312" s="47">
        <v>44099</v>
      </c>
      <c r="I312" s="46">
        <v>49849</v>
      </c>
      <c r="J312" s="46">
        <v>60000</v>
      </c>
      <c r="K312" s="47">
        <v>44106</v>
      </c>
      <c r="L312" s="46">
        <v>10000</v>
      </c>
      <c r="M312" s="46">
        <v>20000</v>
      </c>
    </row>
    <row r="313" spans="2:13" ht="14.1" customHeight="1" x14ac:dyDescent="0.25">
      <c r="B313" s="46" t="str">
        <f t="shared" si="4"/>
        <v>2009-182-202013</v>
      </c>
      <c r="C313" s="47">
        <v>44099</v>
      </c>
      <c r="D313" s="46">
        <v>182</v>
      </c>
      <c r="E313" s="46">
        <v>60000</v>
      </c>
      <c r="F313" s="46">
        <v>202013</v>
      </c>
      <c r="G313" s="48" t="s">
        <v>149</v>
      </c>
      <c r="H313" s="47">
        <v>44099</v>
      </c>
      <c r="I313" s="46">
        <v>49849</v>
      </c>
      <c r="J313" s="46">
        <v>60000</v>
      </c>
      <c r="K313" s="47">
        <v>44127</v>
      </c>
      <c r="L313" s="46">
        <v>10194</v>
      </c>
      <c r="M313" s="46">
        <v>20000</v>
      </c>
    </row>
    <row r="314" spans="2:13" ht="14.1" customHeight="1" x14ac:dyDescent="0.25">
      <c r="B314" s="46" t="str">
        <f t="shared" si="4"/>
        <v>2009-182-202013</v>
      </c>
      <c r="C314" s="47">
        <v>44099</v>
      </c>
      <c r="D314" s="46">
        <v>182</v>
      </c>
      <c r="E314" s="46">
        <v>60000</v>
      </c>
      <c r="F314" s="46">
        <v>202013</v>
      </c>
      <c r="G314" s="50" t="s">
        <v>149</v>
      </c>
      <c r="H314" s="47">
        <v>44099</v>
      </c>
      <c r="I314" s="46">
        <v>49849</v>
      </c>
      <c r="J314" s="46">
        <v>60000</v>
      </c>
      <c r="K314" s="47">
        <v>44139</v>
      </c>
      <c r="L314" s="46">
        <v>10244</v>
      </c>
      <c r="M314" s="46">
        <v>20000</v>
      </c>
    </row>
    <row r="315" spans="2:13" ht="14.1" customHeight="1" x14ac:dyDescent="0.25">
      <c r="B315" s="46" t="str">
        <f t="shared" si="4"/>
        <v>2009-182-200275</v>
      </c>
      <c r="C315" s="47">
        <v>44099</v>
      </c>
      <c r="D315" s="46">
        <v>182</v>
      </c>
      <c r="E315" s="46">
        <v>48</v>
      </c>
      <c r="F315" s="46">
        <v>200275</v>
      </c>
      <c r="G315" s="50" t="s">
        <v>193</v>
      </c>
      <c r="H315" s="47">
        <v>44105</v>
      </c>
      <c r="I315" s="46">
        <v>49887</v>
      </c>
      <c r="J315" s="46">
        <v>48</v>
      </c>
      <c r="K315" s="47">
        <v>44109</v>
      </c>
      <c r="L315" s="46">
        <v>10011</v>
      </c>
      <c r="M315" s="46">
        <v>48</v>
      </c>
    </row>
    <row r="316" spans="2:13" ht="14.1" customHeight="1" x14ac:dyDescent="0.25">
      <c r="B316" s="46" t="str">
        <f t="shared" si="4"/>
        <v>2009-183-203876</v>
      </c>
      <c r="C316" s="47">
        <v>44099</v>
      </c>
      <c r="D316" s="46">
        <v>183</v>
      </c>
      <c r="E316" s="46">
        <v>20</v>
      </c>
      <c r="F316" s="46">
        <v>203876</v>
      </c>
      <c r="G316" s="48" t="s">
        <v>71</v>
      </c>
      <c r="H316" s="47">
        <v>44144</v>
      </c>
      <c r="I316" s="46">
        <v>50377</v>
      </c>
      <c r="J316" s="46">
        <v>20</v>
      </c>
      <c r="K316" s="47">
        <v>44148</v>
      </c>
      <c r="L316" s="46">
        <v>10342</v>
      </c>
      <c r="M316" s="46">
        <v>20</v>
      </c>
    </row>
    <row r="317" spans="2:13" ht="14.1" customHeight="1" x14ac:dyDescent="0.25">
      <c r="B317" s="46" t="str">
        <f t="shared" si="4"/>
        <v>2009-183-201163</v>
      </c>
      <c r="C317" s="47">
        <v>44099</v>
      </c>
      <c r="D317" s="46">
        <v>183</v>
      </c>
      <c r="E317" s="46">
        <v>6</v>
      </c>
      <c r="F317" s="46">
        <v>201163</v>
      </c>
      <c r="G317" s="48" t="s">
        <v>248</v>
      </c>
      <c r="H317" s="47">
        <v>44144</v>
      </c>
      <c r="I317" s="46">
        <v>50377</v>
      </c>
      <c r="J317" s="46">
        <v>6</v>
      </c>
      <c r="K317" s="47">
        <v>44148</v>
      </c>
      <c r="L317" s="46">
        <v>10342</v>
      </c>
      <c r="M317" s="46">
        <v>6</v>
      </c>
    </row>
    <row r="318" spans="2:13" ht="14.1" customHeight="1" x14ac:dyDescent="0.25">
      <c r="B318" s="46" t="str">
        <f t="shared" si="4"/>
        <v>2009-183-203785</v>
      </c>
      <c r="C318" s="47">
        <v>44099</v>
      </c>
      <c r="D318" s="46">
        <v>183</v>
      </c>
      <c r="E318" s="46">
        <v>20</v>
      </c>
      <c r="F318" s="46">
        <v>203785</v>
      </c>
      <c r="G318" s="48" t="s">
        <v>250</v>
      </c>
      <c r="H318" s="47">
        <v>44144</v>
      </c>
      <c r="I318" s="46">
        <v>50377</v>
      </c>
      <c r="J318" s="46">
        <v>20</v>
      </c>
      <c r="K318" s="47">
        <v>44148</v>
      </c>
      <c r="L318" s="46">
        <v>10342</v>
      </c>
      <c r="M318" s="46">
        <v>20</v>
      </c>
    </row>
    <row r="319" spans="2:13" ht="14.1" customHeight="1" x14ac:dyDescent="0.25">
      <c r="B319" s="46" t="str">
        <f t="shared" si="4"/>
        <v>2009-183-305785</v>
      </c>
      <c r="C319" s="47">
        <v>44099</v>
      </c>
      <c r="D319" s="46">
        <v>183</v>
      </c>
      <c r="E319" s="46">
        <v>40</v>
      </c>
      <c r="F319" s="46">
        <v>305785</v>
      </c>
      <c r="G319" s="48" t="s">
        <v>235</v>
      </c>
      <c r="H319" s="47">
        <v>44144</v>
      </c>
      <c r="I319" s="46">
        <v>50378</v>
      </c>
      <c r="J319" s="46">
        <v>40</v>
      </c>
      <c r="K319" s="47">
        <v>44158</v>
      </c>
      <c r="L319" s="46">
        <v>10444</v>
      </c>
      <c r="M319" s="46">
        <v>40</v>
      </c>
    </row>
    <row r="320" spans="2:13" ht="14.1" customHeight="1" x14ac:dyDescent="0.25">
      <c r="B320" s="46" t="str">
        <f t="shared" si="4"/>
        <v>2009-183-203547</v>
      </c>
      <c r="C320" s="47">
        <v>44099</v>
      </c>
      <c r="D320" s="46">
        <v>183</v>
      </c>
      <c r="E320" s="46">
        <v>30</v>
      </c>
      <c r="F320" s="46">
        <v>203547</v>
      </c>
      <c r="G320" s="48" t="s">
        <v>303</v>
      </c>
      <c r="H320" s="47">
        <v>44144</v>
      </c>
      <c r="I320" s="46">
        <v>50378</v>
      </c>
      <c r="J320" s="46">
        <v>30</v>
      </c>
      <c r="K320" s="47">
        <v>44158</v>
      </c>
      <c r="L320" s="46">
        <v>10444</v>
      </c>
      <c r="M320" s="46">
        <v>30</v>
      </c>
    </row>
    <row r="321" spans="2:13" ht="14.1" customHeight="1" x14ac:dyDescent="0.25">
      <c r="B321" s="46" t="str">
        <f t="shared" si="4"/>
        <v>2009-183-204043</v>
      </c>
      <c r="C321" s="47">
        <v>44099</v>
      </c>
      <c r="D321" s="46">
        <v>183</v>
      </c>
      <c r="E321" s="46">
        <v>6</v>
      </c>
      <c r="F321" s="46">
        <v>204043</v>
      </c>
      <c r="G321" s="48" t="s">
        <v>332</v>
      </c>
      <c r="H321" s="47">
        <v>44144</v>
      </c>
      <c r="I321" s="46">
        <v>50377</v>
      </c>
      <c r="J321" s="46">
        <v>6</v>
      </c>
      <c r="K321" s="47">
        <v>44148</v>
      </c>
      <c r="L321" s="46">
        <v>10342</v>
      </c>
      <c r="M321" s="46">
        <v>6</v>
      </c>
    </row>
    <row r="322" spans="2:13" ht="14.1" customHeight="1" x14ac:dyDescent="0.25">
      <c r="B322" s="46" t="str">
        <f t="shared" si="4"/>
        <v>2009-190-200653</v>
      </c>
      <c r="C322" s="47">
        <v>44102</v>
      </c>
      <c r="D322" s="46">
        <v>190</v>
      </c>
      <c r="E322" s="46">
        <v>3</v>
      </c>
      <c r="F322" s="46">
        <v>200653</v>
      </c>
      <c r="G322" s="48" t="s">
        <v>249</v>
      </c>
      <c r="H322" s="47">
        <v>44144</v>
      </c>
      <c r="I322" s="46">
        <v>50375</v>
      </c>
      <c r="J322" s="46">
        <v>3</v>
      </c>
      <c r="K322" s="47">
        <v>44148</v>
      </c>
      <c r="L322" s="46">
        <v>10348</v>
      </c>
      <c r="M322" s="46">
        <v>3</v>
      </c>
    </row>
    <row r="323" spans="2:13" ht="14.1" customHeight="1" x14ac:dyDescent="0.25">
      <c r="B323" s="46" t="str">
        <f t="shared" si="4"/>
        <v>2009-190-317670</v>
      </c>
      <c r="C323" s="47">
        <v>44102</v>
      </c>
      <c r="D323" s="46">
        <v>190</v>
      </c>
      <c r="E323" s="46">
        <v>40</v>
      </c>
      <c r="F323" s="46">
        <v>317670</v>
      </c>
      <c r="G323" s="48" t="s">
        <v>236</v>
      </c>
      <c r="H323" s="47">
        <v>44144</v>
      </c>
      <c r="I323" s="46">
        <v>50376</v>
      </c>
      <c r="J323" s="46">
        <v>40</v>
      </c>
      <c r="K323" s="47">
        <v>44158</v>
      </c>
      <c r="L323" s="46">
        <v>10446</v>
      </c>
      <c r="M323" s="46">
        <v>40</v>
      </c>
    </row>
    <row r="324" spans="2:13" ht="14.1" customHeight="1" x14ac:dyDescent="0.25">
      <c r="B324" s="46" t="str">
        <f t="shared" si="4"/>
        <v>2009-191-308481</v>
      </c>
      <c r="C324" s="47">
        <v>44102</v>
      </c>
      <c r="D324" s="46">
        <v>191</v>
      </c>
      <c r="E324" s="46">
        <v>1</v>
      </c>
      <c r="F324" s="46">
        <v>308481</v>
      </c>
      <c r="G324" s="50" t="s">
        <v>744</v>
      </c>
      <c r="H324" s="47">
        <v>44103</v>
      </c>
      <c r="I324" s="46">
        <v>49865</v>
      </c>
      <c r="J324" s="46">
        <v>1</v>
      </c>
      <c r="L324" s="46">
        <v>0</v>
      </c>
      <c r="M324" s="46">
        <v>0</v>
      </c>
    </row>
    <row r="325" spans="2:13" ht="14.1" customHeight="1" x14ac:dyDescent="0.25">
      <c r="B325" s="46" t="str">
        <f t="shared" si="4"/>
        <v>2009-192-107172</v>
      </c>
      <c r="C325" s="47">
        <v>44102</v>
      </c>
      <c r="D325" s="46">
        <v>192</v>
      </c>
      <c r="E325" s="46">
        <v>50</v>
      </c>
      <c r="F325" s="46">
        <v>107172</v>
      </c>
      <c r="G325" s="48" t="s">
        <v>290</v>
      </c>
      <c r="H325" s="47">
        <v>44145</v>
      </c>
      <c r="I325" s="46">
        <v>50398</v>
      </c>
      <c r="J325" s="46">
        <v>50</v>
      </c>
      <c r="K325" s="47">
        <v>44147</v>
      </c>
      <c r="L325" s="46">
        <v>10333</v>
      </c>
      <c r="M325" s="46">
        <v>50</v>
      </c>
    </row>
    <row r="326" spans="2:13" ht="14.1" customHeight="1" x14ac:dyDescent="0.25">
      <c r="B326" s="46" t="str">
        <f t="shared" si="4"/>
        <v>2009-192-103877</v>
      </c>
      <c r="C326" s="47">
        <v>44102</v>
      </c>
      <c r="D326" s="46">
        <v>192</v>
      </c>
      <c r="E326" s="46">
        <v>50</v>
      </c>
      <c r="F326" s="46">
        <v>103877</v>
      </c>
      <c r="G326" s="48" t="s">
        <v>425</v>
      </c>
      <c r="H326" s="47">
        <v>44145</v>
      </c>
      <c r="I326" s="46">
        <v>50398</v>
      </c>
      <c r="J326" s="46">
        <v>50</v>
      </c>
      <c r="K326" s="47">
        <v>44147</v>
      </c>
      <c r="L326" s="46">
        <v>10333</v>
      </c>
      <c r="M326" s="46">
        <v>50</v>
      </c>
    </row>
    <row r="327" spans="2:13" ht="14.1" customHeight="1" x14ac:dyDescent="0.25">
      <c r="B327" s="46" t="str">
        <f t="shared" si="4"/>
        <v>2009-192-204339</v>
      </c>
      <c r="C327" s="47">
        <v>44102</v>
      </c>
      <c r="D327" s="46">
        <v>192</v>
      </c>
      <c r="E327" s="46">
        <v>60</v>
      </c>
      <c r="F327" s="46">
        <v>204339</v>
      </c>
      <c r="G327" s="48" t="s">
        <v>260</v>
      </c>
      <c r="H327" s="47">
        <v>44145</v>
      </c>
      <c r="I327" s="46">
        <v>50398</v>
      </c>
      <c r="J327" s="46">
        <v>60</v>
      </c>
      <c r="K327" s="47">
        <v>44147</v>
      </c>
      <c r="L327" s="46">
        <v>10333</v>
      </c>
      <c r="M327" s="46">
        <v>60</v>
      </c>
    </row>
    <row r="328" spans="2:13" ht="14.1" customHeight="1" x14ac:dyDescent="0.25">
      <c r="B328" s="46" t="str">
        <f t="shared" si="4"/>
        <v>2009-192-319983</v>
      </c>
      <c r="C328" s="47">
        <v>44102</v>
      </c>
      <c r="D328" s="46">
        <v>192</v>
      </c>
      <c r="E328" s="46">
        <v>6</v>
      </c>
      <c r="F328" s="46">
        <v>319983</v>
      </c>
      <c r="G328" s="48" t="s">
        <v>358</v>
      </c>
      <c r="H328" s="47">
        <v>44145</v>
      </c>
      <c r="I328" s="46">
        <v>50399</v>
      </c>
      <c r="J328" s="46">
        <v>6</v>
      </c>
      <c r="K328" s="47">
        <v>44151</v>
      </c>
      <c r="L328" s="46">
        <v>10360</v>
      </c>
      <c r="M328" s="46">
        <v>6</v>
      </c>
    </row>
    <row r="329" spans="2:13" ht="14.1" customHeight="1" x14ac:dyDescent="0.25">
      <c r="B329" s="46" t="str">
        <f t="shared" si="4"/>
        <v>2009-192-304035</v>
      </c>
      <c r="C329" s="47">
        <v>44102</v>
      </c>
      <c r="D329" s="46">
        <v>192</v>
      </c>
      <c r="E329" s="46">
        <v>60</v>
      </c>
      <c r="F329" s="46">
        <v>304035</v>
      </c>
      <c r="G329" s="48" t="s">
        <v>280</v>
      </c>
      <c r="H329" s="47">
        <v>44145</v>
      </c>
      <c r="I329" s="46">
        <v>50398</v>
      </c>
      <c r="J329" s="46">
        <v>60</v>
      </c>
      <c r="K329" s="47">
        <v>44147</v>
      </c>
      <c r="L329" s="46">
        <v>10333</v>
      </c>
      <c r="M329" s="46">
        <v>60</v>
      </c>
    </row>
    <row r="330" spans="2:13" ht="14.1" customHeight="1" x14ac:dyDescent="0.25">
      <c r="B330" s="46" t="str">
        <f t="shared" si="4"/>
        <v>2009-192-302371</v>
      </c>
      <c r="C330" s="47">
        <v>44102</v>
      </c>
      <c r="D330" s="46">
        <v>192</v>
      </c>
      <c r="E330" s="46">
        <v>60</v>
      </c>
      <c r="F330" s="46">
        <v>302371</v>
      </c>
      <c r="G330" s="48" t="s">
        <v>640</v>
      </c>
      <c r="H330" s="47">
        <v>44145</v>
      </c>
      <c r="I330" s="46">
        <v>50398</v>
      </c>
      <c r="J330" s="46">
        <v>60</v>
      </c>
      <c r="K330" s="47">
        <v>44147</v>
      </c>
      <c r="L330" s="46">
        <v>10333</v>
      </c>
      <c r="M330" s="46">
        <v>60</v>
      </c>
    </row>
    <row r="331" spans="2:13" ht="14.1" customHeight="1" x14ac:dyDescent="0.25">
      <c r="B331" s="46" t="str">
        <f t="shared" si="4"/>
        <v>2009-192-300796</v>
      </c>
      <c r="C331" s="47">
        <v>44102</v>
      </c>
      <c r="D331" s="46">
        <v>192</v>
      </c>
      <c r="E331" s="46">
        <v>3</v>
      </c>
      <c r="F331" s="46">
        <v>300796</v>
      </c>
      <c r="G331" s="48" t="s">
        <v>608</v>
      </c>
      <c r="I331" s="46">
        <v>0</v>
      </c>
      <c r="J331" s="46">
        <v>0</v>
      </c>
      <c r="L331" s="46">
        <v>0</v>
      </c>
      <c r="M331" s="46">
        <v>0</v>
      </c>
    </row>
    <row r="332" spans="2:13" ht="14.1" customHeight="1" x14ac:dyDescent="0.25">
      <c r="B332" s="46" t="str">
        <f t="shared" ref="B332:B395" si="5">TEXT(C332,"yy") &amp; TEXT(C332,"mm") &amp;"-"&amp;(D332) &amp;"-"&amp;(F332)</f>
        <v>2009-192-202057</v>
      </c>
      <c r="C332" s="47">
        <v>44102</v>
      </c>
      <c r="D332" s="46">
        <v>192</v>
      </c>
      <c r="E332" s="46">
        <v>60</v>
      </c>
      <c r="F332" s="46">
        <v>202057</v>
      </c>
      <c r="G332" s="48" t="s">
        <v>340</v>
      </c>
      <c r="H332" s="47">
        <v>44145</v>
      </c>
      <c r="I332" s="46">
        <v>50398</v>
      </c>
      <c r="J332" s="46">
        <v>60</v>
      </c>
      <c r="K332" s="47">
        <v>44147</v>
      </c>
      <c r="L332" s="46">
        <v>10333</v>
      </c>
      <c r="M332" s="46">
        <v>60</v>
      </c>
    </row>
    <row r="333" spans="2:13" ht="14.1" customHeight="1" x14ac:dyDescent="0.25">
      <c r="B333" s="46" t="str">
        <f t="shared" si="5"/>
        <v>2009-192-306628</v>
      </c>
      <c r="C333" s="47">
        <v>44102</v>
      </c>
      <c r="D333" s="46">
        <v>192</v>
      </c>
      <c r="E333" s="46">
        <v>60</v>
      </c>
      <c r="F333" s="46">
        <v>306628</v>
      </c>
      <c r="G333" s="48" t="s">
        <v>204</v>
      </c>
      <c r="H333" s="47">
        <v>44145</v>
      </c>
      <c r="I333" s="46">
        <v>50398</v>
      </c>
      <c r="J333" s="46">
        <v>60</v>
      </c>
      <c r="K333" s="47">
        <v>44147</v>
      </c>
      <c r="L333" s="46">
        <v>10333</v>
      </c>
      <c r="M333" s="46">
        <v>60</v>
      </c>
    </row>
    <row r="334" spans="2:13" ht="14.1" customHeight="1" x14ac:dyDescent="0.25">
      <c r="B334" s="46" t="str">
        <f t="shared" si="5"/>
        <v>2009-192-104973</v>
      </c>
      <c r="C334" s="47">
        <v>44102</v>
      </c>
      <c r="D334" s="46">
        <v>192</v>
      </c>
      <c r="E334" s="46">
        <v>60</v>
      </c>
      <c r="F334" s="46">
        <v>104973</v>
      </c>
      <c r="G334" s="48" t="s">
        <v>342</v>
      </c>
      <c r="H334" s="47">
        <v>44145</v>
      </c>
      <c r="I334" s="46">
        <v>50398</v>
      </c>
      <c r="J334" s="46">
        <v>60</v>
      </c>
      <c r="K334" s="47">
        <v>44147</v>
      </c>
      <c r="L334" s="46">
        <v>10333</v>
      </c>
      <c r="M334" s="46">
        <v>60</v>
      </c>
    </row>
    <row r="335" spans="2:13" ht="14.1" customHeight="1" x14ac:dyDescent="0.25">
      <c r="B335" s="46" t="str">
        <f t="shared" si="5"/>
        <v>2009-192-107200</v>
      </c>
      <c r="C335" s="47">
        <v>44102</v>
      </c>
      <c r="D335" s="46">
        <v>192</v>
      </c>
      <c r="E335" s="46">
        <v>40</v>
      </c>
      <c r="F335" s="46">
        <v>107200</v>
      </c>
      <c r="G335" s="48" t="s">
        <v>481</v>
      </c>
      <c r="H335" s="47">
        <v>44145</v>
      </c>
      <c r="I335" s="46">
        <v>50398</v>
      </c>
      <c r="J335" s="46">
        <v>40</v>
      </c>
      <c r="K335" s="47">
        <v>44147</v>
      </c>
      <c r="L335" s="46">
        <v>10333</v>
      </c>
      <c r="M335" s="46">
        <v>40</v>
      </c>
    </row>
    <row r="336" spans="2:13" ht="14.1" customHeight="1" x14ac:dyDescent="0.25">
      <c r="B336" s="46" t="str">
        <f t="shared" si="5"/>
        <v>2009-194-106477</v>
      </c>
      <c r="C336" s="47">
        <v>44102</v>
      </c>
      <c r="D336" s="46">
        <v>194</v>
      </c>
      <c r="E336" s="46">
        <v>2</v>
      </c>
      <c r="F336" s="46">
        <v>106477</v>
      </c>
      <c r="G336" s="48" t="s">
        <v>463</v>
      </c>
      <c r="H336" s="47">
        <v>44110</v>
      </c>
      <c r="I336" s="46">
        <v>49923</v>
      </c>
      <c r="J336" s="46">
        <v>2</v>
      </c>
      <c r="K336" s="47">
        <v>44117</v>
      </c>
      <c r="L336" s="46">
        <v>10072</v>
      </c>
      <c r="M336" s="46">
        <v>2</v>
      </c>
    </row>
    <row r="337" spans="2:13" ht="14.1" customHeight="1" x14ac:dyDescent="0.25">
      <c r="B337" s="46" t="str">
        <f t="shared" si="5"/>
        <v>2009-194-204698</v>
      </c>
      <c r="C337" s="47">
        <v>44102</v>
      </c>
      <c r="D337" s="46">
        <v>194</v>
      </c>
      <c r="E337" s="46">
        <v>2</v>
      </c>
      <c r="F337" s="46">
        <v>204698</v>
      </c>
      <c r="G337" s="48" t="s">
        <v>542</v>
      </c>
      <c r="H337" s="47">
        <v>44110</v>
      </c>
      <c r="I337" s="46">
        <v>49923</v>
      </c>
      <c r="J337" s="46">
        <v>2</v>
      </c>
      <c r="K337" s="47">
        <v>44117</v>
      </c>
      <c r="L337" s="46">
        <v>10072</v>
      </c>
      <c r="M337" s="46">
        <v>2</v>
      </c>
    </row>
    <row r="338" spans="2:13" ht="14.1" customHeight="1" x14ac:dyDescent="0.25">
      <c r="B338" s="46" t="str">
        <f t="shared" si="5"/>
        <v>2009-194-302128</v>
      </c>
      <c r="C338" s="47">
        <v>44102</v>
      </c>
      <c r="D338" s="46">
        <v>194</v>
      </c>
      <c r="E338" s="46">
        <v>4</v>
      </c>
      <c r="F338" s="46">
        <v>302128</v>
      </c>
      <c r="G338" s="48" t="s">
        <v>636</v>
      </c>
      <c r="H338" s="47">
        <v>44110</v>
      </c>
      <c r="I338" s="46">
        <v>49923</v>
      </c>
      <c r="J338" s="46">
        <v>4</v>
      </c>
      <c r="K338" s="47">
        <v>44117</v>
      </c>
      <c r="L338" s="46">
        <v>10072</v>
      </c>
      <c r="M338" s="46">
        <v>4</v>
      </c>
    </row>
    <row r="339" spans="2:13" ht="14.1" customHeight="1" x14ac:dyDescent="0.25">
      <c r="B339" s="46" t="str">
        <f t="shared" si="5"/>
        <v>2009-194-312460</v>
      </c>
      <c r="C339" s="47">
        <v>44102</v>
      </c>
      <c r="D339" s="46">
        <v>194</v>
      </c>
      <c r="E339" s="46">
        <v>2</v>
      </c>
      <c r="F339" s="46">
        <v>312460</v>
      </c>
      <c r="G339" s="48" t="s">
        <v>810</v>
      </c>
      <c r="H339" s="47">
        <v>44110</v>
      </c>
      <c r="I339" s="46">
        <v>49923</v>
      </c>
      <c r="J339" s="46">
        <v>2</v>
      </c>
      <c r="K339" s="47">
        <v>44117</v>
      </c>
      <c r="L339" s="46">
        <v>10072</v>
      </c>
      <c r="M339" s="46">
        <v>2</v>
      </c>
    </row>
    <row r="340" spans="2:13" ht="14.1" customHeight="1" x14ac:dyDescent="0.25">
      <c r="B340" s="46" t="str">
        <f t="shared" si="5"/>
        <v>2009-194-317842</v>
      </c>
      <c r="C340" s="47">
        <v>44102</v>
      </c>
      <c r="D340" s="46">
        <v>194</v>
      </c>
      <c r="E340" s="46">
        <v>1</v>
      </c>
      <c r="F340" s="46">
        <v>317842</v>
      </c>
      <c r="G340" s="48" t="s">
        <v>914</v>
      </c>
      <c r="H340" s="47">
        <v>44110</v>
      </c>
      <c r="I340" s="46">
        <v>49923</v>
      </c>
      <c r="J340" s="46">
        <v>1</v>
      </c>
      <c r="K340" s="47">
        <v>44117</v>
      </c>
      <c r="L340" s="46">
        <v>10072</v>
      </c>
      <c r="M340" s="46">
        <v>1</v>
      </c>
    </row>
    <row r="341" spans="2:13" ht="14.1" customHeight="1" x14ac:dyDescent="0.25">
      <c r="B341" s="46" t="str">
        <f t="shared" si="5"/>
        <v>2009-194-205358</v>
      </c>
      <c r="C341" s="47">
        <v>44102</v>
      </c>
      <c r="D341" s="46">
        <v>194</v>
      </c>
      <c r="E341" s="46">
        <v>2</v>
      </c>
      <c r="F341" s="46">
        <v>205358</v>
      </c>
      <c r="G341" s="48" t="s">
        <v>561</v>
      </c>
      <c r="H341" s="47">
        <v>44110</v>
      </c>
      <c r="I341" s="46">
        <v>49923</v>
      </c>
      <c r="J341" s="46">
        <v>2</v>
      </c>
      <c r="K341" s="47">
        <v>44179</v>
      </c>
      <c r="L341" s="46">
        <v>10688</v>
      </c>
      <c r="M341" s="46">
        <v>2</v>
      </c>
    </row>
    <row r="342" spans="2:13" ht="14.1" customHeight="1" x14ac:dyDescent="0.25">
      <c r="B342" s="46" t="str">
        <f t="shared" si="5"/>
        <v>2009-194-205241</v>
      </c>
      <c r="C342" s="47">
        <v>44102</v>
      </c>
      <c r="D342" s="46">
        <v>194</v>
      </c>
      <c r="E342" s="46">
        <v>1</v>
      </c>
      <c r="F342" s="46">
        <v>205241</v>
      </c>
      <c r="G342" s="48" t="s">
        <v>555</v>
      </c>
      <c r="H342" s="47">
        <v>44110</v>
      </c>
      <c r="I342" s="46">
        <v>49923</v>
      </c>
      <c r="J342" s="46">
        <v>1</v>
      </c>
      <c r="K342" s="47">
        <v>44117</v>
      </c>
      <c r="L342" s="46">
        <v>10072</v>
      </c>
      <c r="M342" s="46">
        <v>1</v>
      </c>
    </row>
    <row r="343" spans="2:13" ht="14.1" customHeight="1" x14ac:dyDescent="0.25">
      <c r="B343" s="46" t="str">
        <f t="shared" si="5"/>
        <v>2009-194-304488</v>
      </c>
      <c r="C343" s="47">
        <v>44102</v>
      </c>
      <c r="D343" s="46">
        <v>194</v>
      </c>
      <c r="E343" s="46">
        <v>1</v>
      </c>
      <c r="F343" s="46">
        <v>304488</v>
      </c>
      <c r="G343" s="50" t="s">
        <v>673</v>
      </c>
      <c r="H343" s="47">
        <v>44110</v>
      </c>
      <c r="I343" s="46">
        <v>49923</v>
      </c>
      <c r="J343" s="46">
        <v>1</v>
      </c>
      <c r="K343" s="47">
        <v>44117</v>
      </c>
      <c r="L343" s="46">
        <v>10072</v>
      </c>
      <c r="M343" s="46">
        <v>1</v>
      </c>
    </row>
    <row r="344" spans="2:13" ht="14.1" customHeight="1" x14ac:dyDescent="0.25">
      <c r="B344" s="46" t="str">
        <f t="shared" si="5"/>
        <v>2009-194-105561</v>
      </c>
      <c r="C344" s="47">
        <v>44102</v>
      </c>
      <c r="D344" s="46">
        <v>194</v>
      </c>
      <c r="E344" s="46">
        <v>1</v>
      </c>
      <c r="F344" s="46">
        <v>105561</v>
      </c>
      <c r="G344" s="50" t="s">
        <v>177</v>
      </c>
      <c r="H344" s="47">
        <v>44110</v>
      </c>
      <c r="I344" s="46">
        <v>49923</v>
      </c>
      <c r="J344" s="46">
        <v>1</v>
      </c>
      <c r="K344" s="47">
        <v>44117</v>
      </c>
      <c r="L344" s="46">
        <v>10072</v>
      </c>
      <c r="M344" s="46">
        <v>1</v>
      </c>
    </row>
    <row r="345" spans="2:13" ht="14.1" customHeight="1" x14ac:dyDescent="0.25">
      <c r="B345" s="46" t="str">
        <f t="shared" si="5"/>
        <v>2009-194-300615</v>
      </c>
      <c r="C345" s="47">
        <v>44102</v>
      </c>
      <c r="D345" s="46">
        <v>194</v>
      </c>
      <c r="E345" s="46">
        <v>2</v>
      </c>
      <c r="F345" s="46">
        <v>300615</v>
      </c>
      <c r="G345" s="48" t="s">
        <v>606</v>
      </c>
      <c r="H345" s="47">
        <v>44110</v>
      </c>
      <c r="I345" s="46">
        <v>49923</v>
      </c>
      <c r="J345" s="46">
        <v>2</v>
      </c>
      <c r="K345" s="47">
        <v>44117</v>
      </c>
      <c r="L345" s="46">
        <v>10072</v>
      </c>
      <c r="M345" s="46">
        <v>2</v>
      </c>
    </row>
    <row r="346" spans="2:13" ht="14.1" customHeight="1" x14ac:dyDescent="0.25">
      <c r="B346" s="46" t="str">
        <f t="shared" si="5"/>
        <v>2009-194-106476</v>
      </c>
      <c r="C346" s="47">
        <v>44102</v>
      </c>
      <c r="D346" s="46">
        <v>194</v>
      </c>
      <c r="E346" s="46">
        <v>2</v>
      </c>
      <c r="F346" s="46">
        <v>106476</v>
      </c>
      <c r="G346" s="48" t="s">
        <v>462</v>
      </c>
      <c r="H346" s="47">
        <v>44110</v>
      </c>
      <c r="I346" s="46">
        <v>49923</v>
      </c>
      <c r="J346" s="46">
        <v>2</v>
      </c>
      <c r="K346" s="47">
        <v>44117</v>
      </c>
      <c r="L346" s="46">
        <v>10072</v>
      </c>
      <c r="M346" s="46">
        <v>2</v>
      </c>
    </row>
    <row r="347" spans="2:13" ht="14.1" customHeight="1" x14ac:dyDescent="0.25">
      <c r="B347" s="46" t="str">
        <f t="shared" si="5"/>
        <v>2009-194-309723</v>
      </c>
      <c r="C347" s="47">
        <v>44102</v>
      </c>
      <c r="D347" s="46">
        <v>194</v>
      </c>
      <c r="E347" s="46">
        <v>1</v>
      </c>
      <c r="F347" s="46">
        <v>309723</v>
      </c>
      <c r="G347" s="48" t="s">
        <v>760</v>
      </c>
      <c r="H347" s="47">
        <v>44110</v>
      </c>
      <c r="I347" s="46">
        <v>49923</v>
      </c>
      <c r="J347" s="46">
        <v>1</v>
      </c>
      <c r="K347" s="47">
        <v>44179</v>
      </c>
      <c r="L347" s="46">
        <v>10688</v>
      </c>
      <c r="M347" s="46">
        <v>1</v>
      </c>
    </row>
    <row r="348" spans="2:13" ht="14.1" customHeight="1" x14ac:dyDescent="0.25">
      <c r="B348" s="46" t="str">
        <f t="shared" si="5"/>
        <v>2009-194-306313</v>
      </c>
      <c r="C348" s="47">
        <v>44102</v>
      </c>
      <c r="D348" s="46">
        <v>194</v>
      </c>
      <c r="E348" s="46">
        <v>2</v>
      </c>
      <c r="F348" s="46">
        <v>306313</v>
      </c>
      <c r="G348" s="48" t="s">
        <v>708</v>
      </c>
      <c r="H348" s="47">
        <v>44110</v>
      </c>
      <c r="I348" s="46">
        <v>49923</v>
      </c>
      <c r="J348" s="46">
        <v>2</v>
      </c>
      <c r="K348" s="47">
        <v>44117</v>
      </c>
      <c r="L348" s="46">
        <v>10072</v>
      </c>
      <c r="M348" s="46">
        <v>2</v>
      </c>
    </row>
    <row r="349" spans="2:13" ht="14.1" customHeight="1" x14ac:dyDescent="0.25">
      <c r="B349" s="46" t="str">
        <f t="shared" si="5"/>
        <v>2009-194-312130</v>
      </c>
      <c r="C349" s="47">
        <v>44102</v>
      </c>
      <c r="D349" s="46">
        <v>194</v>
      </c>
      <c r="E349" s="46">
        <v>1</v>
      </c>
      <c r="F349" s="46">
        <v>312130</v>
      </c>
      <c r="G349" s="48" t="s">
        <v>798</v>
      </c>
      <c r="H349" s="47">
        <v>44110</v>
      </c>
      <c r="I349" s="46">
        <v>49923</v>
      </c>
      <c r="J349" s="46">
        <v>1</v>
      </c>
      <c r="K349" s="47">
        <v>44117</v>
      </c>
      <c r="L349" s="46">
        <v>10072</v>
      </c>
      <c r="M349" s="46">
        <v>1</v>
      </c>
    </row>
    <row r="350" spans="2:13" ht="14.1" customHeight="1" x14ac:dyDescent="0.25">
      <c r="B350" s="46" t="str">
        <f t="shared" si="5"/>
        <v>2009-194-206233</v>
      </c>
      <c r="C350" s="47">
        <v>44102</v>
      </c>
      <c r="D350" s="46">
        <v>194</v>
      </c>
      <c r="E350" s="46">
        <v>2</v>
      </c>
      <c r="F350" s="46">
        <v>206233</v>
      </c>
      <c r="G350" s="48" t="s">
        <v>582</v>
      </c>
      <c r="H350" s="47">
        <v>44110</v>
      </c>
      <c r="I350" s="46">
        <v>49923</v>
      </c>
      <c r="J350" s="46">
        <v>2</v>
      </c>
      <c r="K350" s="47">
        <v>44117</v>
      </c>
      <c r="L350" s="46">
        <v>10072</v>
      </c>
      <c r="M350" s="46">
        <v>2</v>
      </c>
    </row>
    <row r="351" spans="2:13" ht="14.1" customHeight="1" x14ac:dyDescent="0.25">
      <c r="B351" s="46" t="str">
        <f t="shared" si="5"/>
        <v>2009-194-303629</v>
      </c>
      <c r="C351" s="47">
        <v>44102</v>
      </c>
      <c r="D351" s="46">
        <v>194</v>
      </c>
      <c r="E351" s="46">
        <v>2</v>
      </c>
      <c r="F351" s="46">
        <v>303629</v>
      </c>
      <c r="G351" s="48" t="s">
        <v>659</v>
      </c>
      <c r="H351" s="47">
        <v>44110</v>
      </c>
      <c r="I351" s="46">
        <v>49923</v>
      </c>
      <c r="J351" s="46">
        <v>2</v>
      </c>
      <c r="K351" s="47">
        <v>44117</v>
      </c>
      <c r="L351" s="46">
        <v>10072</v>
      </c>
      <c r="M351" s="46">
        <v>2</v>
      </c>
    </row>
    <row r="352" spans="2:13" ht="14.1" customHeight="1" x14ac:dyDescent="0.25">
      <c r="B352" s="46" t="str">
        <f t="shared" si="5"/>
        <v>2009-194-311156</v>
      </c>
      <c r="C352" s="47">
        <v>44102</v>
      </c>
      <c r="D352" s="46">
        <v>194</v>
      </c>
      <c r="E352" s="46">
        <v>2</v>
      </c>
      <c r="F352" s="46">
        <v>311156</v>
      </c>
      <c r="G352" s="48" t="s">
        <v>785</v>
      </c>
      <c r="H352" s="47">
        <v>44110</v>
      </c>
      <c r="I352" s="46">
        <v>49923</v>
      </c>
      <c r="J352" s="46">
        <v>2</v>
      </c>
      <c r="K352" s="47">
        <v>44117</v>
      </c>
      <c r="L352" s="46">
        <v>10072</v>
      </c>
      <c r="M352" s="46">
        <v>2</v>
      </c>
    </row>
    <row r="353" spans="2:13" ht="14.1" customHeight="1" x14ac:dyDescent="0.25">
      <c r="B353" s="46" t="str">
        <f t="shared" si="5"/>
        <v>2009-195-206218</v>
      </c>
      <c r="C353" s="47">
        <v>44103</v>
      </c>
      <c r="D353" s="46">
        <v>195</v>
      </c>
      <c r="E353" s="46">
        <v>2000</v>
      </c>
      <c r="F353" s="46">
        <v>206218</v>
      </c>
      <c r="G353" s="48" t="s">
        <v>213</v>
      </c>
      <c r="H353" s="47">
        <v>44109</v>
      </c>
      <c r="I353" s="46">
        <v>49914</v>
      </c>
      <c r="J353" s="46">
        <v>2000</v>
      </c>
      <c r="K353" s="47">
        <v>44112</v>
      </c>
      <c r="L353" s="46">
        <v>10047</v>
      </c>
      <c r="M353" s="46">
        <v>2000</v>
      </c>
    </row>
    <row r="354" spans="2:13" ht="14.1" customHeight="1" x14ac:dyDescent="0.25">
      <c r="B354" s="46" t="str">
        <f t="shared" si="5"/>
        <v>2009-195-200930</v>
      </c>
      <c r="C354" s="47">
        <v>44103</v>
      </c>
      <c r="D354" s="46">
        <v>195</v>
      </c>
      <c r="E354" s="46">
        <v>2000</v>
      </c>
      <c r="F354" s="46">
        <v>200930</v>
      </c>
      <c r="G354" s="48" t="s">
        <v>264</v>
      </c>
      <c r="H354" s="47">
        <v>44104</v>
      </c>
      <c r="I354" s="46">
        <v>49881</v>
      </c>
      <c r="J354" s="46">
        <v>2000</v>
      </c>
      <c r="K354" s="47">
        <v>44106</v>
      </c>
      <c r="L354" s="46">
        <v>10001</v>
      </c>
      <c r="M354" s="46">
        <v>2000</v>
      </c>
    </row>
    <row r="355" spans="2:13" ht="14.1" customHeight="1" x14ac:dyDescent="0.25">
      <c r="B355" s="46" t="str">
        <f t="shared" si="5"/>
        <v>2009-196-303921</v>
      </c>
      <c r="C355" s="47">
        <v>44103</v>
      </c>
      <c r="D355" s="46">
        <v>196</v>
      </c>
      <c r="E355" s="46">
        <v>200</v>
      </c>
      <c r="F355" s="46">
        <v>303921</v>
      </c>
      <c r="G355" s="48" t="s">
        <v>667</v>
      </c>
      <c r="H355" s="47">
        <v>44144</v>
      </c>
      <c r="I355" s="46">
        <v>50373</v>
      </c>
      <c r="J355" s="46">
        <v>200</v>
      </c>
      <c r="K355" s="47">
        <v>44147</v>
      </c>
      <c r="L355" s="46">
        <v>10327</v>
      </c>
      <c r="M355" s="46">
        <v>200</v>
      </c>
    </row>
    <row r="356" spans="2:13" ht="14.1" customHeight="1" x14ac:dyDescent="0.25">
      <c r="B356" s="46" t="str">
        <f t="shared" si="5"/>
        <v>2009-196-319369</v>
      </c>
      <c r="C356" s="47">
        <v>44103</v>
      </c>
      <c r="D356" s="46">
        <v>196</v>
      </c>
      <c r="E356" s="46">
        <v>2</v>
      </c>
      <c r="F356" s="46">
        <v>319369</v>
      </c>
      <c r="G356" s="48" t="s">
        <v>103</v>
      </c>
      <c r="H356" s="47">
        <v>44144</v>
      </c>
      <c r="I356" s="46">
        <v>50372</v>
      </c>
      <c r="J356" s="46">
        <v>2</v>
      </c>
      <c r="K356" s="47">
        <v>44179</v>
      </c>
      <c r="L356" s="46">
        <v>10680</v>
      </c>
      <c r="M356" s="46">
        <v>2</v>
      </c>
    </row>
    <row r="357" spans="2:13" ht="14.1" customHeight="1" x14ac:dyDescent="0.25">
      <c r="B357" s="46" t="str">
        <f t="shared" si="5"/>
        <v>2009-197-320220</v>
      </c>
      <c r="C357" s="47">
        <v>44103</v>
      </c>
      <c r="D357" s="46">
        <v>197</v>
      </c>
      <c r="E357" s="46">
        <v>50</v>
      </c>
      <c r="F357" s="46">
        <v>320220</v>
      </c>
      <c r="G357" s="48" t="s">
        <v>982</v>
      </c>
      <c r="H357" s="47">
        <v>44144</v>
      </c>
      <c r="I357" s="46">
        <v>50371</v>
      </c>
      <c r="J357" s="46">
        <v>50</v>
      </c>
      <c r="K357" s="47">
        <v>44202</v>
      </c>
      <c r="L357" s="46">
        <v>10813</v>
      </c>
      <c r="M357" s="46">
        <v>50</v>
      </c>
    </row>
    <row r="358" spans="2:13" ht="14.1" customHeight="1" x14ac:dyDescent="0.25">
      <c r="B358" s="46" t="str">
        <f t="shared" si="5"/>
        <v>2009-197-320225</v>
      </c>
      <c r="C358" s="47">
        <v>44103</v>
      </c>
      <c r="D358" s="46">
        <v>197</v>
      </c>
      <c r="E358" s="46">
        <v>5</v>
      </c>
      <c r="F358" s="46">
        <v>320225</v>
      </c>
      <c r="G358" s="48" t="s">
        <v>983</v>
      </c>
      <c r="H358" s="47">
        <v>44144</v>
      </c>
      <c r="I358" s="46">
        <v>50371</v>
      </c>
      <c r="J358" s="46">
        <v>5</v>
      </c>
      <c r="K358" s="47">
        <v>44158</v>
      </c>
      <c r="L358" s="46">
        <v>10456</v>
      </c>
      <c r="M358" s="46">
        <v>5</v>
      </c>
    </row>
    <row r="359" spans="2:13" ht="14.1" customHeight="1" x14ac:dyDescent="0.25">
      <c r="B359" s="46" t="str">
        <f t="shared" si="5"/>
        <v>2009-197-320228</v>
      </c>
      <c r="C359" s="47">
        <v>44103</v>
      </c>
      <c r="D359" s="46">
        <v>197</v>
      </c>
      <c r="E359" s="46">
        <v>1</v>
      </c>
      <c r="F359" s="46">
        <v>320228</v>
      </c>
      <c r="G359" s="48" t="s">
        <v>984</v>
      </c>
      <c r="H359" s="47">
        <v>44144</v>
      </c>
      <c r="I359" s="46">
        <v>50371</v>
      </c>
      <c r="J359" s="46">
        <v>1</v>
      </c>
      <c r="K359" s="47">
        <v>44202</v>
      </c>
      <c r="L359" s="46">
        <v>10813</v>
      </c>
      <c r="M359" s="46">
        <v>1</v>
      </c>
    </row>
    <row r="360" spans="2:13" ht="14.1" customHeight="1" x14ac:dyDescent="0.25">
      <c r="B360" s="46" t="str">
        <f t="shared" si="5"/>
        <v>2009-197-320218</v>
      </c>
      <c r="C360" s="47">
        <v>44103</v>
      </c>
      <c r="D360" s="46">
        <v>197</v>
      </c>
      <c r="E360" s="46">
        <v>50</v>
      </c>
      <c r="F360" s="46">
        <v>320218</v>
      </c>
      <c r="G360" s="48" t="s">
        <v>986</v>
      </c>
      <c r="H360" s="47">
        <v>44144</v>
      </c>
      <c r="I360" s="46">
        <v>50371</v>
      </c>
      <c r="J360" s="46">
        <v>50</v>
      </c>
      <c r="K360" s="47">
        <v>44158</v>
      </c>
      <c r="L360" s="46">
        <v>10456</v>
      </c>
      <c r="M360" s="46">
        <v>50</v>
      </c>
    </row>
    <row r="361" spans="2:13" ht="14.1" customHeight="1" x14ac:dyDescent="0.25">
      <c r="B361" s="46" t="str">
        <f t="shared" si="5"/>
        <v>2009-197-320221</v>
      </c>
      <c r="C361" s="47">
        <v>44103</v>
      </c>
      <c r="D361" s="46">
        <v>197</v>
      </c>
      <c r="E361" s="46">
        <v>6</v>
      </c>
      <c r="F361" s="46">
        <v>320221</v>
      </c>
      <c r="G361" s="50" t="s">
        <v>987</v>
      </c>
      <c r="H361" s="47">
        <v>44144</v>
      </c>
      <c r="I361" s="46">
        <v>50371</v>
      </c>
      <c r="J361" s="46">
        <v>6</v>
      </c>
      <c r="K361" s="47">
        <v>44202</v>
      </c>
      <c r="L361" s="46">
        <v>10813</v>
      </c>
      <c r="M361" s="46">
        <v>6</v>
      </c>
    </row>
    <row r="362" spans="2:13" ht="14.1" customHeight="1" x14ac:dyDescent="0.25">
      <c r="B362" s="46" t="str">
        <f t="shared" si="5"/>
        <v>2009-197-320226</v>
      </c>
      <c r="C362" s="47">
        <v>44103</v>
      </c>
      <c r="D362" s="46">
        <v>197</v>
      </c>
      <c r="E362" s="46">
        <v>1</v>
      </c>
      <c r="F362" s="46">
        <v>320226</v>
      </c>
      <c r="G362" s="48" t="s">
        <v>988</v>
      </c>
      <c r="H362" s="47">
        <v>44144</v>
      </c>
      <c r="I362" s="46">
        <v>50371</v>
      </c>
      <c r="J362" s="46">
        <v>1</v>
      </c>
      <c r="K362" s="47">
        <v>44154</v>
      </c>
      <c r="L362" s="46">
        <v>10412</v>
      </c>
      <c r="M362" s="46">
        <v>1</v>
      </c>
    </row>
    <row r="363" spans="2:13" ht="14.1" customHeight="1" x14ac:dyDescent="0.25">
      <c r="B363" s="46" t="str">
        <f t="shared" si="5"/>
        <v>2009-197-320222</v>
      </c>
      <c r="C363" s="47">
        <v>44103</v>
      </c>
      <c r="D363" s="46">
        <v>197</v>
      </c>
      <c r="E363" s="46">
        <v>2</v>
      </c>
      <c r="F363" s="46">
        <v>320222</v>
      </c>
      <c r="G363" s="48" t="s">
        <v>980</v>
      </c>
      <c r="H363" s="47">
        <v>44144</v>
      </c>
      <c r="I363" s="46">
        <v>50371</v>
      </c>
      <c r="J363" s="46">
        <v>2</v>
      </c>
      <c r="K363" s="47">
        <v>44154</v>
      </c>
      <c r="L363" s="46">
        <v>10411</v>
      </c>
      <c r="M363" s="46">
        <v>2</v>
      </c>
    </row>
    <row r="364" spans="2:13" ht="14.1" customHeight="1" x14ac:dyDescent="0.25">
      <c r="B364" s="46" t="str">
        <f t="shared" si="5"/>
        <v>2009-197-320219</v>
      </c>
      <c r="C364" s="47">
        <v>44103</v>
      </c>
      <c r="D364" s="46">
        <v>197</v>
      </c>
      <c r="E364" s="46">
        <v>50</v>
      </c>
      <c r="F364" s="46">
        <v>320219</v>
      </c>
      <c r="G364" s="48" t="s">
        <v>978</v>
      </c>
      <c r="H364" s="47">
        <v>44144</v>
      </c>
      <c r="I364" s="46">
        <v>50371</v>
      </c>
      <c r="J364" s="46">
        <v>50</v>
      </c>
      <c r="K364" s="47">
        <v>44158</v>
      </c>
      <c r="L364" s="46">
        <v>10456</v>
      </c>
      <c r="M364" s="46">
        <v>50</v>
      </c>
    </row>
    <row r="365" spans="2:13" ht="14.1" customHeight="1" x14ac:dyDescent="0.25">
      <c r="B365" s="46" t="str">
        <f t="shared" si="5"/>
        <v>2009-197-320224</v>
      </c>
      <c r="C365" s="47">
        <v>44103</v>
      </c>
      <c r="D365" s="46">
        <v>197</v>
      </c>
      <c r="E365" s="46">
        <v>5</v>
      </c>
      <c r="F365" s="46">
        <v>320224</v>
      </c>
      <c r="G365" s="48" t="s">
        <v>979</v>
      </c>
      <c r="H365" s="47">
        <v>44144</v>
      </c>
      <c r="I365" s="46">
        <v>50371</v>
      </c>
      <c r="J365" s="46">
        <v>5</v>
      </c>
      <c r="K365" s="47">
        <v>44158</v>
      </c>
      <c r="L365" s="46">
        <v>10456</v>
      </c>
      <c r="M365" s="46">
        <v>2</v>
      </c>
    </row>
    <row r="366" spans="2:13" ht="14.1" customHeight="1" x14ac:dyDescent="0.25">
      <c r="B366" s="46" t="str">
        <f t="shared" si="5"/>
        <v>2009-197-320224</v>
      </c>
      <c r="C366" s="47">
        <v>44103</v>
      </c>
      <c r="D366" s="46">
        <v>197</v>
      </c>
      <c r="E366" s="46">
        <v>5</v>
      </c>
      <c r="F366" s="46">
        <v>320224</v>
      </c>
      <c r="G366" s="48" t="s">
        <v>979</v>
      </c>
      <c r="H366" s="47">
        <v>44144</v>
      </c>
      <c r="I366" s="46">
        <v>50371</v>
      </c>
      <c r="J366" s="46">
        <v>5</v>
      </c>
      <c r="K366" s="47">
        <v>44202</v>
      </c>
      <c r="L366" s="46">
        <v>10813</v>
      </c>
      <c r="M366" s="46">
        <v>3</v>
      </c>
    </row>
    <row r="367" spans="2:13" ht="14.1" customHeight="1" x14ac:dyDescent="0.25">
      <c r="B367" s="46" t="str">
        <f t="shared" si="5"/>
        <v>2009-197-320227</v>
      </c>
      <c r="C367" s="47">
        <v>44103</v>
      </c>
      <c r="D367" s="46">
        <v>197</v>
      </c>
      <c r="E367" s="46">
        <v>300</v>
      </c>
      <c r="F367" s="46">
        <v>320227</v>
      </c>
      <c r="G367" s="48" t="s">
        <v>985</v>
      </c>
      <c r="H367" s="47">
        <v>44144</v>
      </c>
      <c r="I367" s="46">
        <v>50371</v>
      </c>
      <c r="J367" s="46">
        <v>300</v>
      </c>
      <c r="K367" s="47">
        <v>44158</v>
      </c>
      <c r="L367" s="46">
        <v>10456</v>
      </c>
      <c r="M367" s="46">
        <v>300</v>
      </c>
    </row>
    <row r="368" spans="2:13" ht="14.1" customHeight="1" x14ac:dyDescent="0.25">
      <c r="B368" s="46" t="str">
        <f t="shared" si="5"/>
        <v>2009-197-320223</v>
      </c>
      <c r="C368" s="47">
        <v>44103</v>
      </c>
      <c r="D368" s="46">
        <v>197</v>
      </c>
      <c r="E368" s="46">
        <v>5</v>
      </c>
      <c r="F368" s="46">
        <v>320223</v>
      </c>
      <c r="G368" s="48" t="s">
        <v>981</v>
      </c>
      <c r="H368" s="47">
        <v>44144</v>
      </c>
      <c r="I368" s="46">
        <v>50371</v>
      </c>
      <c r="J368" s="46">
        <v>5</v>
      </c>
      <c r="K368" s="47">
        <v>44158</v>
      </c>
      <c r="L368" s="46">
        <v>10456</v>
      </c>
      <c r="M368" s="46">
        <v>5</v>
      </c>
    </row>
    <row r="369" spans="2:13" ht="14.1" customHeight="1" x14ac:dyDescent="0.25">
      <c r="B369" s="46" t="str">
        <f t="shared" si="5"/>
        <v>2009-197-320205</v>
      </c>
      <c r="C369" s="47">
        <v>44103</v>
      </c>
      <c r="D369" s="46">
        <v>197</v>
      </c>
      <c r="E369" s="46">
        <v>8</v>
      </c>
      <c r="F369" s="46">
        <v>320205</v>
      </c>
      <c r="G369" s="48" t="s">
        <v>967</v>
      </c>
      <c r="H369" s="47">
        <v>44144</v>
      </c>
      <c r="I369" s="46">
        <v>50371</v>
      </c>
      <c r="J369" s="46">
        <v>8</v>
      </c>
      <c r="K369" s="47">
        <v>44158</v>
      </c>
      <c r="L369" s="46">
        <v>10456</v>
      </c>
      <c r="M369" s="46">
        <v>2</v>
      </c>
    </row>
    <row r="370" spans="2:13" ht="14.1" customHeight="1" x14ac:dyDescent="0.25">
      <c r="B370" s="46" t="str">
        <f t="shared" si="5"/>
        <v>2009-197-320205</v>
      </c>
      <c r="C370" s="47">
        <v>44103</v>
      </c>
      <c r="D370" s="46">
        <v>197</v>
      </c>
      <c r="E370" s="46">
        <v>8</v>
      </c>
      <c r="F370" s="46">
        <v>320205</v>
      </c>
      <c r="G370" s="48" t="s">
        <v>967</v>
      </c>
      <c r="H370" s="47">
        <v>44144</v>
      </c>
      <c r="I370" s="46">
        <v>50371</v>
      </c>
      <c r="J370" s="46">
        <v>8</v>
      </c>
      <c r="K370" s="47">
        <v>44202</v>
      </c>
      <c r="L370" s="46">
        <v>10813</v>
      </c>
      <c r="M370" s="46">
        <v>6</v>
      </c>
    </row>
    <row r="371" spans="2:13" ht="14.1" customHeight="1" x14ac:dyDescent="0.25">
      <c r="B371" s="46" t="str">
        <f t="shared" si="5"/>
        <v>2009-197-320206</v>
      </c>
      <c r="C371" s="47">
        <v>44103</v>
      </c>
      <c r="D371" s="46">
        <v>197</v>
      </c>
      <c r="E371" s="46">
        <v>6</v>
      </c>
      <c r="F371" s="46">
        <v>320206</v>
      </c>
      <c r="G371" s="48" t="s">
        <v>966</v>
      </c>
      <c r="H371" s="47">
        <v>44144</v>
      </c>
      <c r="I371" s="46">
        <v>50371</v>
      </c>
      <c r="J371" s="46">
        <v>6</v>
      </c>
      <c r="K371" s="47">
        <v>44158</v>
      </c>
      <c r="L371" s="46">
        <v>10456</v>
      </c>
      <c r="M371" s="46">
        <v>6</v>
      </c>
    </row>
    <row r="372" spans="2:13" ht="14.1" customHeight="1" x14ac:dyDescent="0.25">
      <c r="B372" s="46" t="str">
        <f t="shared" si="5"/>
        <v>2009-198-320229</v>
      </c>
      <c r="C372" s="47">
        <v>44103</v>
      </c>
      <c r="D372" s="46">
        <v>198</v>
      </c>
      <c r="E372" s="46">
        <v>6</v>
      </c>
      <c r="F372" s="46">
        <v>320229</v>
      </c>
      <c r="G372" s="48" t="s">
        <v>1046</v>
      </c>
      <c r="H372" s="47">
        <v>44109</v>
      </c>
      <c r="I372" s="46">
        <v>50061</v>
      </c>
      <c r="J372" s="46">
        <v>6</v>
      </c>
      <c r="K372" s="47">
        <v>44103</v>
      </c>
      <c r="L372" s="46">
        <v>9962</v>
      </c>
      <c r="M372" s="46">
        <v>6</v>
      </c>
    </row>
    <row r="373" spans="2:13" ht="14.1" customHeight="1" x14ac:dyDescent="0.25">
      <c r="B373" s="46" t="str">
        <f t="shared" si="5"/>
        <v>2009-198-320230</v>
      </c>
      <c r="C373" s="47">
        <v>44103</v>
      </c>
      <c r="D373" s="46">
        <v>198</v>
      </c>
      <c r="E373" s="46">
        <v>6</v>
      </c>
      <c r="F373" s="46">
        <v>320230</v>
      </c>
      <c r="G373" s="48" t="s">
        <v>1047</v>
      </c>
      <c r="H373" s="47">
        <v>44109</v>
      </c>
      <c r="I373" s="46">
        <v>50061</v>
      </c>
      <c r="J373" s="46">
        <v>6</v>
      </c>
      <c r="K373" s="47">
        <v>44103</v>
      </c>
      <c r="L373" s="46">
        <v>9962</v>
      </c>
      <c r="M373" s="46">
        <v>6</v>
      </c>
    </row>
    <row r="374" spans="2:13" ht="14.1" customHeight="1" x14ac:dyDescent="0.25">
      <c r="B374" s="46" t="str">
        <f t="shared" si="5"/>
        <v>2009-199-300312</v>
      </c>
      <c r="C374" s="47">
        <v>44103</v>
      </c>
      <c r="D374" s="46">
        <v>199</v>
      </c>
      <c r="E374" s="46">
        <v>750</v>
      </c>
      <c r="F374" s="46">
        <v>300312</v>
      </c>
      <c r="G374" s="48" t="s">
        <v>186</v>
      </c>
      <c r="H374" s="47">
        <v>44120</v>
      </c>
      <c r="I374" s="46">
        <v>50078</v>
      </c>
      <c r="J374" s="46">
        <v>750</v>
      </c>
      <c r="K374" s="47">
        <v>44103</v>
      </c>
      <c r="L374" s="46">
        <v>9963</v>
      </c>
      <c r="M374" s="46">
        <v>750</v>
      </c>
    </row>
    <row r="375" spans="2:13" ht="14.1" customHeight="1" x14ac:dyDescent="0.25">
      <c r="B375" s="46" t="str">
        <f t="shared" si="5"/>
        <v>2009-199-304159</v>
      </c>
      <c r="C375" s="47">
        <v>44103</v>
      </c>
      <c r="D375" s="46">
        <v>199</v>
      </c>
      <c r="E375" s="46">
        <v>900</v>
      </c>
      <c r="F375" s="46">
        <v>304159</v>
      </c>
      <c r="G375" s="48" t="s">
        <v>152</v>
      </c>
      <c r="H375" s="47">
        <v>44120</v>
      </c>
      <c r="I375" s="46">
        <v>50078</v>
      </c>
      <c r="J375" s="46">
        <v>900</v>
      </c>
      <c r="K375" s="47">
        <v>44103</v>
      </c>
      <c r="L375" s="46">
        <v>9963</v>
      </c>
      <c r="M375" s="46">
        <v>900</v>
      </c>
    </row>
    <row r="376" spans="2:13" ht="14.1" customHeight="1" x14ac:dyDescent="0.25">
      <c r="B376" s="46" t="str">
        <f t="shared" si="5"/>
        <v>2009-199-300311</v>
      </c>
      <c r="C376" s="47">
        <v>44103</v>
      </c>
      <c r="D376" s="46">
        <v>199</v>
      </c>
      <c r="E376" s="46">
        <v>1200</v>
      </c>
      <c r="F376" s="46">
        <v>300311</v>
      </c>
      <c r="G376" s="48" t="s">
        <v>128</v>
      </c>
      <c r="H376" s="47">
        <v>44120</v>
      </c>
      <c r="I376" s="46">
        <v>50078</v>
      </c>
      <c r="J376" s="46">
        <v>1200</v>
      </c>
      <c r="K376" s="47">
        <v>44103</v>
      </c>
      <c r="L376" s="46">
        <v>9963</v>
      </c>
      <c r="M376" s="46">
        <v>1200</v>
      </c>
    </row>
    <row r="377" spans="2:13" ht="14.1" customHeight="1" x14ac:dyDescent="0.25">
      <c r="B377" s="46" t="str">
        <f t="shared" si="5"/>
        <v>2009-207-102633</v>
      </c>
      <c r="C377" s="47">
        <v>44104</v>
      </c>
      <c r="D377" s="46">
        <v>207</v>
      </c>
      <c r="E377" s="46">
        <v>20</v>
      </c>
      <c r="F377" s="46">
        <v>102633</v>
      </c>
      <c r="G377" s="48" t="s">
        <v>423</v>
      </c>
      <c r="H377" s="47">
        <v>44131</v>
      </c>
      <c r="I377" s="46">
        <v>50232</v>
      </c>
      <c r="J377" s="46">
        <v>20</v>
      </c>
      <c r="K377" s="47">
        <v>44134</v>
      </c>
      <c r="L377" s="46">
        <v>10237</v>
      </c>
      <c r="M377" s="46">
        <v>20</v>
      </c>
    </row>
    <row r="378" spans="2:13" ht="14.1" customHeight="1" x14ac:dyDescent="0.25">
      <c r="B378" s="46" t="str">
        <f t="shared" si="5"/>
        <v>2009-207-105912</v>
      </c>
      <c r="C378" s="47">
        <v>44104</v>
      </c>
      <c r="D378" s="46">
        <v>207</v>
      </c>
      <c r="E378" s="46">
        <v>10</v>
      </c>
      <c r="F378" s="46">
        <v>105912</v>
      </c>
      <c r="G378" s="48" t="s">
        <v>443</v>
      </c>
      <c r="H378" s="47">
        <v>44131</v>
      </c>
      <c r="I378" s="46">
        <v>50232</v>
      </c>
      <c r="J378" s="46">
        <v>10</v>
      </c>
      <c r="K378" s="47">
        <v>44134</v>
      </c>
      <c r="L378" s="46">
        <v>10237</v>
      </c>
      <c r="M378" s="46">
        <v>10</v>
      </c>
    </row>
    <row r="379" spans="2:13" ht="14.1" customHeight="1" x14ac:dyDescent="0.25">
      <c r="B379" s="46" t="str">
        <f t="shared" si="5"/>
        <v>2009-207-202375</v>
      </c>
      <c r="C379" s="47">
        <v>44104</v>
      </c>
      <c r="D379" s="46">
        <v>207</v>
      </c>
      <c r="E379" s="46">
        <v>2</v>
      </c>
      <c r="F379" s="46">
        <v>202375</v>
      </c>
      <c r="G379" s="48" t="s">
        <v>498</v>
      </c>
      <c r="H379" s="47">
        <v>44124</v>
      </c>
      <c r="I379" s="46">
        <v>50136</v>
      </c>
      <c r="J379" s="46">
        <v>2</v>
      </c>
      <c r="K379" s="47">
        <v>44134</v>
      </c>
      <c r="L379" s="46">
        <v>10227</v>
      </c>
      <c r="M379" s="46">
        <v>2</v>
      </c>
    </row>
    <row r="380" spans="2:13" ht="14.1" customHeight="1" x14ac:dyDescent="0.25">
      <c r="B380" s="46" t="str">
        <f t="shared" si="5"/>
        <v>2009-207-303868</v>
      </c>
      <c r="C380" s="47">
        <v>44104</v>
      </c>
      <c r="D380" s="46">
        <v>207</v>
      </c>
      <c r="E380" s="46">
        <v>10</v>
      </c>
      <c r="F380" s="46">
        <v>303868</v>
      </c>
      <c r="G380" s="48" t="s">
        <v>238</v>
      </c>
      <c r="H380" s="47">
        <v>44124</v>
      </c>
      <c r="I380" s="46">
        <v>50136</v>
      </c>
      <c r="J380" s="46">
        <v>10</v>
      </c>
      <c r="K380" s="47">
        <v>44134</v>
      </c>
      <c r="L380" s="46">
        <v>10227</v>
      </c>
      <c r="M380" s="46">
        <v>10</v>
      </c>
    </row>
    <row r="381" spans="2:13" ht="14.1" customHeight="1" x14ac:dyDescent="0.25">
      <c r="B381" s="46" t="str">
        <f t="shared" si="5"/>
        <v>2009-207-106799</v>
      </c>
      <c r="C381" s="47">
        <v>44104</v>
      </c>
      <c r="D381" s="46">
        <v>207</v>
      </c>
      <c r="E381" s="46">
        <v>20</v>
      </c>
      <c r="F381" s="46">
        <v>106799</v>
      </c>
      <c r="G381" s="48" t="s">
        <v>475</v>
      </c>
      <c r="H381" s="47">
        <v>44131</v>
      </c>
      <c r="I381" s="46">
        <v>50232</v>
      </c>
      <c r="J381" s="46">
        <v>20</v>
      </c>
      <c r="K381" s="47">
        <v>44134</v>
      </c>
      <c r="L381" s="46">
        <v>10237</v>
      </c>
      <c r="M381" s="46">
        <v>20</v>
      </c>
    </row>
    <row r="382" spans="2:13" ht="14.1" customHeight="1" x14ac:dyDescent="0.25">
      <c r="B382" s="46" t="str">
        <f t="shared" si="5"/>
        <v>2009-207-107146</v>
      </c>
      <c r="C382" s="47">
        <v>44104</v>
      </c>
      <c r="D382" s="46">
        <v>207</v>
      </c>
      <c r="E382" s="46">
        <v>20</v>
      </c>
      <c r="F382" s="46">
        <v>107146</v>
      </c>
      <c r="G382" s="48" t="s">
        <v>480</v>
      </c>
      <c r="I382" s="46">
        <v>0</v>
      </c>
      <c r="J382" s="46">
        <v>0</v>
      </c>
      <c r="L382" s="46">
        <v>0</v>
      </c>
      <c r="M382" s="46">
        <v>0</v>
      </c>
    </row>
    <row r="383" spans="2:13" ht="14.1" customHeight="1" x14ac:dyDescent="0.25">
      <c r="B383" s="46" t="str">
        <f t="shared" si="5"/>
        <v>2009-207-303870</v>
      </c>
      <c r="C383" s="47">
        <v>44104</v>
      </c>
      <c r="D383" s="46">
        <v>207</v>
      </c>
      <c r="E383" s="46">
        <v>10</v>
      </c>
      <c r="F383" s="46">
        <v>303870</v>
      </c>
      <c r="G383" s="48" t="s">
        <v>239</v>
      </c>
      <c r="H383" s="47">
        <v>44124</v>
      </c>
      <c r="I383" s="46">
        <v>50136</v>
      </c>
      <c r="J383" s="46">
        <v>10</v>
      </c>
      <c r="K383" s="47">
        <v>44134</v>
      </c>
      <c r="L383" s="46">
        <v>10227</v>
      </c>
      <c r="M383" s="46">
        <v>10</v>
      </c>
    </row>
    <row r="384" spans="2:13" ht="14.1" customHeight="1" x14ac:dyDescent="0.25">
      <c r="B384" s="46" t="str">
        <f t="shared" si="5"/>
        <v>2009-207-106359</v>
      </c>
      <c r="C384" s="47">
        <v>44104</v>
      </c>
      <c r="D384" s="46">
        <v>207</v>
      </c>
      <c r="E384" s="46">
        <v>20</v>
      </c>
      <c r="F384" s="46">
        <v>106359</v>
      </c>
      <c r="G384" s="48" t="s">
        <v>457</v>
      </c>
      <c r="H384" s="47">
        <v>44131</v>
      </c>
      <c r="I384" s="46">
        <v>50232</v>
      </c>
      <c r="J384" s="46">
        <v>20</v>
      </c>
      <c r="K384" s="47">
        <v>44134</v>
      </c>
      <c r="L384" s="46">
        <v>10237</v>
      </c>
      <c r="M384" s="46">
        <v>20</v>
      </c>
    </row>
    <row r="385" spans="2:13" ht="14.1" customHeight="1" x14ac:dyDescent="0.25">
      <c r="B385" s="46" t="str">
        <f t="shared" si="5"/>
        <v>2009-207-105317</v>
      </c>
      <c r="C385" s="47">
        <v>44104</v>
      </c>
      <c r="D385" s="46">
        <v>207</v>
      </c>
      <c r="E385" s="46">
        <v>20</v>
      </c>
      <c r="F385" s="46">
        <v>105317</v>
      </c>
      <c r="G385" s="48" t="s">
        <v>431</v>
      </c>
      <c r="H385" s="47">
        <v>44131</v>
      </c>
      <c r="I385" s="46">
        <v>50232</v>
      </c>
      <c r="J385" s="46">
        <v>20</v>
      </c>
      <c r="K385" s="47">
        <v>44134</v>
      </c>
      <c r="L385" s="46">
        <v>10237</v>
      </c>
      <c r="M385" s="46">
        <v>20</v>
      </c>
    </row>
    <row r="386" spans="2:13" ht="14.1" customHeight="1" x14ac:dyDescent="0.25">
      <c r="B386" s="46" t="str">
        <f t="shared" si="5"/>
        <v>2009-210-301225</v>
      </c>
      <c r="C386" s="47">
        <v>44104</v>
      </c>
      <c r="D386" s="46">
        <v>210</v>
      </c>
      <c r="E386" s="46">
        <v>8</v>
      </c>
      <c r="F386" s="46">
        <v>301225</v>
      </c>
      <c r="G386" s="48" t="s">
        <v>304</v>
      </c>
      <c r="H386" s="47">
        <v>44134</v>
      </c>
      <c r="I386" s="46">
        <v>50265</v>
      </c>
      <c r="J386" s="46">
        <v>8</v>
      </c>
      <c r="K386" s="47">
        <v>44151</v>
      </c>
      <c r="L386" s="46">
        <v>10351</v>
      </c>
      <c r="M386" s="46">
        <v>8</v>
      </c>
    </row>
    <row r="387" spans="2:13" ht="14.1" customHeight="1" x14ac:dyDescent="0.25">
      <c r="B387" s="46" t="str">
        <f t="shared" si="5"/>
        <v>2009-211-310789</v>
      </c>
      <c r="C387" s="47">
        <v>44104</v>
      </c>
      <c r="D387" s="46">
        <v>211</v>
      </c>
      <c r="E387" s="46">
        <v>4</v>
      </c>
      <c r="F387" s="46">
        <v>310789</v>
      </c>
      <c r="G387" s="48" t="s">
        <v>780</v>
      </c>
      <c r="H387" s="47">
        <v>44159</v>
      </c>
      <c r="I387" s="46">
        <v>50645</v>
      </c>
      <c r="J387" s="46">
        <v>4</v>
      </c>
      <c r="K387" s="47">
        <v>44179</v>
      </c>
      <c r="L387" s="46">
        <v>10675</v>
      </c>
      <c r="M387" s="46">
        <v>4</v>
      </c>
    </row>
    <row r="388" spans="2:13" ht="14.1" customHeight="1" x14ac:dyDescent="0.25">
      <c r="B388" s="46" t="str">
        <f t="shared" si="5"/>
        <v>2009-212-301708</v>
      </c>
      <c r="C388" s="47">
        <v>44104</v>
      </c>
      <c r="D388" s="46">
        <v>212</v>
      </c>
      <c r="E388" s="46">
        <v>200</v>
      </c>
      <c r="F388" s="46">
        <v>301708</v>
      </c>
      <c r="G388" s="48" t="s">
        <v>347</v>
      </c>
      <c r="H388" s="47">
        <v>44126</v>
      </c>
      <c r="I388" s="46">
        <v>50203</v>
      </c>
      <c r="J388" s="46">
        <v>200</v>
      </c>
      <c r="K388" s="47">
        <v>44139</v>
      </c>
      <c r="L388" s="46">
        <v>10246</v>
      </c>
      <c r="M388" s="46">
        <v>200</v>
      </c>
    </row>
    <row r="389" spans="2:13" ht="14.1" customHeight="1" x14ac:dyDescent="0.25">
      <c r="B389" s="46" t="str">
        <f t="shared" si="5"/>
        <v>2009-212-313869</v>
      </c>
      <c r="C389" s="47">
        <v>44104</v>
      </c>
      <c r="D389" s="46">
        <v>212</v>
      </c>
      <c r="E389" s="46">
        <v>200</v>
      </c>
      <c r="F389" s="46">
        <v>313869</v>
      </c>
      <c r="G389" s="48" t="s">
        <v>842</v>
      </c>
      <c r="H389" s="47">
        <v>44126</v>
      </c>
      <c r="I389" s="46">
        <v>50203</v>
      </c>
      <c r="J389" s="46">
        <v>200</v>
      </c>
      <c r="K389" s="47">
        <v>44139</v>
      </c>
      <c r="L389" s="46">
        <v>10246</v>
      </c>
      <c r="M389" s="46">
        <v>200</v>
      </c>
    </row>
    <row r="390" spans="2:13" ht="14.1" customHeight="1" x14ac:dyDescent="0.25">
      <c r="B390" s="46" t="str">
        <f t="shared" si="5"/>
        <v>2009-212-105957</v>
      </c>
      <c r="C390" s="47">
        <v>44104</v>
      </c>
      <c r="D390" s="46">
        <v>212</v>
      </c>
      <c r="E390" s="46">
        <v>300</v>
      </c>
      <c r="F390" s="46">
        <v>105957</v>
      </c>
      <c r="G390" s="48" t="s">
        <v>349</v>
      </c>
      <c r="H390" s="47">
        <v>44126</v>
      </c>
      <c r="I390" s="46">
        <v>50203</v>
      </c>
      <c r="J390" s="46">
        <v>300</v>
      </c>
      <c r="K390" s="47">
        <v>44139</v>
      </c>
      <c r="L390" s="46">
        <v>10246</v>
      </c>
      <c r="M390" s="46">
        <v>300</v>
      </c>
    </row>
    <row r="391" spans="2:13" ht="14.1" customHeight="1" x14ac:dyDescent="0.25">
      <c r="B391" s="46" t="str">
        <f t="shared" si="5"/>
        <v>2009-212-307590</v>
      </c>
      <c r="C391" s="47">
        <v>44104</v>
      </c>
      <c r="D391" s="46">
        <v>212</v>
      </c>
      <c r="E391" s="46">
        <v>40</v>
      </c>
      <c r="F391" s="46">
        <v>307590</v>
      </c>
      <c r="G391" s="48" t="s">
        <v>729</v>
      </c>
      <c r="H391" s="47">
        <v>44126</v>
      </c>
      <c r="I391" s="46">
        <v>50203</v>
      </c>
      <c r="J391" s="46">
        <v>40</v>
      </c>
      <c r="K391" s="47">
        <v>44139</v>
      </c>
      <c r="L391" s="46">
        <v>10246</v>
      </c>
      <c r="M391" s="46">
        <v>40</v>
      </c>
    </row>
    <row r="392" spans="2:13" ht="14.1" customHeight="1" x14ac:dyDescent="0.25">
      <c r="B392" s="46" t="str">
        <f t="shared" si="5"/>
        <v>2009-212-106047</v>
      </c>
      <c r="C392" s="47">
        <v>44104</v>
      </c>
      <c r="D392" s="46">
        <v>212</v>
      </c>
      <c r="E392" s="46">
        <v>300</v>
      </c>
      <c r="F392" s="46">
        <v>106047</v>
      </c>
      <c r="G392" s="48" t="s">
        <v>450</v>
      </c>
      <c r="H392" s="47">
        <v>44126</v>
      </c>
      <c r="I392" s="46">
        <v>50203</v>
      </c>
      <c r="J392" s="46">
        <v>300</v>
      </c>
      <c r="K392" s="47">
        <v>44139</v>
      </c>
      <c r="L392" s="46">
        <v>10246</v>
      </c>
      <c r="M392" s="46">
        <v>300</v>
      </c>
    </row>
    <row r="393" spans="2:13" ht="14.1" customHeight="1" x14ac:dyDescent="0.25">
      <c r="B393" s="46" t="str">
        <f t="shared" si="5"/>
        <v>2009-213-206534</v>
      </c>
      <c r="C393" s="47">
        <v>44104</v>
      </c>
      <c r="D393" s="46">
        <v>213</v>
      </c>
      <c r="E393" s="46">
        <v>1</v>
      </c>
      <c r="F393" s="46">
        <v>206534</v>
      </c>
      <c r="G393" s="48" t="s">
        <v>585</v>
      </c>
      <c r="H393" s="47">
        <v>44106</v>
      </c>
      <c r="I393" s="46">
        <v>49898</v>
      </c>
      <c r="J393" s="46">
        <v>1</v>
      </c>
      <c r="K393" s="47">
        <v>44109</v>
      </c>
      <c r="L393" s="46">
        <v>10012</v>
      </c>
      <c r="M393" s="46">
        <v>1</v>
      </c>
    </row>
    <row r="394" spans="2:13" ht="14.1" customHeight="1" x14ac:dyDescent="0.25">
      <c r="B394" s="46" t="str">
        <f t="shared" si="5"/>
        <v>2009-214-319524</v>
      </c>
      <c r="C394" s="47">
        <v>44104</v>
      </c>
      <c r="D394" s="46">
        <v>214</v>
      </c>
      <c r="E394" s="46">
        <v>2</v>
      </c>
      <c r="F394" s="46">
        <v>319524</v>
      </c>
      <c r="G394" s="50" t="s">
        <v>935</v>
      </c>
      <c r="H394" s="47">
        <v>44106</v>
      </c>
      <c r="I394" s="46">
        <v>49906</v>
      </c>
      <c r="J394" s="46">
        <v>2</v>
      </c>
      <c r="K394" s="47">
        <v>44104</v>
      </c>
      <c r="L394" s="46">
        <v>9991</v>
      </c>
      <c r="M394" s="46">
        <v>2</v>
      </c>
    </row>
    <row r="395" spans="2:13" ht="14.1" customHeight="1" x14ac:dyDescent="0.25">
      <c r="B395" s="46" t="str">
        <f t="shared" si="5"/>
        <v>2009-215-319327</v>
      </c>
      <c r="C395" s="47">
        <v>44104</v>
      </c>
      <c r="D395" s="46">
        <v>215</v>
      </c>
      <c r="E395" s="46">
        <v>8</v>
      </c>
      <c r="F395" s="46">
        <v>319327</v>
      </c>
      <c r="G395" s="48" t="s">
        <v>80</v>
      </c>
      <c r="H395" s="47">
        <v>44174</v>
      </c>
      <c r="I395" s="46">
        <v>50798</v>
      </c>
      <c r="J395" s="46">
        <v>8</v>
      </c>
      <c r="K395" s="47">
        <v>44179</v>
      </c>
      <c r="L395" s="46">
        <v>10672</v>
      </c>
      <c r="M395" s="46">
        <v>8</v>
      </c>
    </row>
    <row r="396" spans="2:13" ht="14.1" customHeight="1" x14ac:dyDescent="0.25">
      <c r="B396" s="46" t="str">
        <f t="shared" ref="B396:B459" si="6">TEXT(C396,"yy") &amp; TEXT(C396,"mm") &amp;"-"&amp;(D396) &amp;"-"&amp;(F396)</f>
        <v>2009-216-310867</v>
      </c>
      <c r="C396" s="47">
        <v>44104</v>
      </c>
      <c r="D396" s="46">
        <v>216</v>
      </c>
      <c r="E396" s="46">
        <v>30</v>
      </c>
      <c r="F396" s="46">
        <v>310867</v>
      </c>
      <c r="G396" s="48" t="s">
        <v>96</v>
      </c>
      <c r="H396" s="47">
        <v>44124</v>
      </c>
      <c r="I396" s="46">
        <v>50135</v>
      </c>
      <c r="J396" s="46">
        <v>30</v>
      </c>
      <c r="K396" s="47">
        <v>44158</v>
      </c>
      <c r="L396" s="46">
        <v>10447</v>
      </c>
      <c r="M396" s="46">
        <v>30</v>
      </c>
    </row>
    <row r="397" spans="2:13" ht="14.1" customHeight="1" x14ac:dyDescent="0.25">
      <c r="B397" s="46" t="str">
        <f t="shared" si="6"/>
        <v>2009-217-320238</v>
      </c>
      <c r="C397" s="47">
        <v>44104</v>
      </c>
      <c r="D397" s="46">
        <v>217</v>
      </c>
      <c r="E397" s="46">
        <v>1</v>
      </c>
      <c r="F397" s="46">
        <v>320238</v>
      </c>
      <c r="G397" s="48" t="s">
        <v>989</v>
      </c>
      <c r="H397" s="47">
        <v>44116</v>
      </c>
      <c r="I397" s="46">
        <v>49980</v>
      </c>
      <c r="J397" s="46">
        <v>1</v>
      </c>
      <c r="L397" s="46">
        <v>0</v>
      </c>
      <c r="M397" s="46">
        <v>0</v>
      </c>
    </row>
    <row r="398" spans="2:13" ht="14.1" customHeight="1" x14ac:dyDescent="0.25">
      <c r="B398" s="46" t="str">
        <f t="shared" si="6"/>
        <v>2009-218-320239</v>
      </c>
      <c r="C398" s="47">
        <v>44104</v>
      </c>
      <c r="D398" s="46">
        <v>218</v>
      </c>
      <c r="E398" s="46">
        <v>1</v>
      </c>
      <c r="F398" s="46">
        <v>320239</v>
      </c>
      <c r="G398" s="48" t="s">
        <v>1052</v>
      </c>
      <c r="H398" s="47">
        <v>44106</v>
      </c>
      <c r="I398" s="46">
        <v>49907</v>
      </c>
      <c r="J398" s="46">
        <v>1</v>
      </c>
      <c r="K398" s="47">
        <v>44104</v>
      </c>
      <c r="L398" s="46">
        <v>9992</v>
      </c>
      <c r="M398" s="46">
        <v>1</v>
      </c>
    </row>
    <row r="399" spans="2:13" ht="14.1" customHeight="1" x14ac:dyDescent="0.25">
      <c r="B399" s="46" t="str">
        <f t="shared" si="6"/>
        <v>2010-1-206013</v>
      </c>
      <c r="C399" s="47">
        <v>44105</v>
      </c>
      <c r="D399" s="46">
        <v>1</v>
      </c>
      <c r="E399" s="46">
        <v>4</v>
      </c>
      <c r="F399" s="46">
        <v>206013</v>
      </c>
      <c r="G399" s="48" t="s">
        <v>575</v>
      </c>
      <c r="I399" s="46">
        <v>0</v>
      </c>
      <c r="J399" s="46">
        <v>0</v>
      </c>
      <c r="L399" s="46">
        <v>0</v>
      </c>
      <c r="M399" s="46">
        <v>0</v>
      </c>
    </row>
    <row r="400" spans="2:13" ht="14.1" customHeight="1" x14ac:dyDescent="0.25">
      <c r="B400" s="46" t="str">
        <f t="shared" si="6"/>
        <v>2010-2-307106</v>
      </c>
      <c r="C400" s="47">
        <v>44106</v>
      </c>
      <c r="D400" s="46">
        <v>2</v>
      </c>
      <c r="E400" s="46">
        <v>6</v>
      </c>
      <c r="F400" s="46">
        <v>307106</v>
      </c>
      <c r="G400" s="48" t="s">
        <v>57</v>
      </c>
      <c r="H400" s="47">
        <v>44116</v>
      </c>
      <c r="I400" s="46">
        <v>49977</v>
      </c>
      <c r="J400" s="46">
        <v>6</v>
      </c>
      <c r="K400" s="47">
        <v>44125</v>
      </c>
      <c r="L400" s="46">
        <v>10153</v>
      </c>
      <c r="M400" s="46">
        <v>6</v>
      </c>
    </row>
    <row r="401" spans="2:13" ht="14.1" customHeight="1" x14ac:dyDescent="0.25">
      <c r="B401" s="46" t="str">
        <f t="shared" si="6"/>
        <v>2010-2-307763</v>
      </c>
      <c r="C401" s="47">
        <v>44106</v>
      </c>
      <c r="D401" s="46">
        <v>2</v>
      </c>
      <c r="E401" s="46">
        <v>10</v>
      </c>
      <c r="F401" s="46">
        <v>307763</v>
      </c>
      <c r="G401" s="50" t="s">
        <v>226</v>
      </c>
      <c r="H401" s="47">
        <v>44116</v>
      </c>
      <c r="I401" s="46">
        <v>49979</v>
      </c>
      <c r="J401" s="46">
        <v>10</v>
      </c>
      <c r="K401" s="47">
        <v>44125</v>
      </c>
      <c r="L401" s="46">
        <v>10150</v>
      </c>
      <c r="M401" s="46">
        <v>10</v>
      </c>
    </row>
    <row r="402" spans="2:13" ht="14.1" customHeight="1" x14ac:dyDescent="0.25">
      <c r="B402" s="46" t="str">
        <f t="shared" si="6"/>
        <v>2010-2-312163</v>
      </c>
      <c r="C402" s="47">
        <v>44106</v>
      </c>
      <c r="D402" s="46">
        <v>2</v>
      </c>
      <c r="E402" s="46">
        <v>12</v>
      </c>
      <c r="F402" s="46">
        <v>312163</v>
      </c>
      <c r="G402" s="48" t="s">
        <v>354</v>
      </c>
      <c r="H402" s="47">
        <v>44116</v>
      </c>
      <c r="I402" s="46">
        <v>49977</v>
      </c>
      <c r="J402" s="46">
        <v>12</v>
      </c>
      <c r="K402" s="47">
        <v>44125</v>
      </c>
      <c r="L402" s="46">
        <v>10153</v>
      </c>
      <c r="M402" s="46">
        <v>12</v>
      </c>
    </row>
    <row r="403" spans="2:13" ht="14.1" customHeight="1" x14ac:dyDescent="0.25">
      <c r="B403" s="46" t="str">
        <f t="shared" si="6"/>
        <v>2010-2-302248</v>
      </c>
      <c r="C403" s="47">
        <v>44106</v>
      </c>
      <c r="D403" s="46">
        <v>2</v>
      </c>
      <c r="E403" s="46">
        <v>6</v>
      </c>
      <c r="F403" s="46">
        <v>302248</v>
      </c>
      <c r="G403" s="48" t="s">
        <v>637</v>
      </c>
      <c r="H403" s="47">
        <v>44116</v>
      </c>
      <c r="I403" s="46">
        <v>49965</v>
      </c>
      <c r="J403" s="46">
        <v>6</v>
      </c>
      <c r="K403" s="47">
        <v>44119</v>
      </c>
      <c r="L403" s="46">
        <v>10098</v>
      </c>
      <c r="M403" s="46">
        <v>6</v>
      </c>
    </row>
    <row r="404" spans="2:13" ht="14.1" customHeight="1" x14ac:dyDescent="0.25">
      <c r="B404" s="46" t="str">
        <f t="shared" si="6"/>
        <v>2010-3-203593</v>
      </c>
      <c r="C404" s="47">
        <v>44106</v>
      </c>
      <c r="D404" s="46">
        <v>3</v>
      </c>
      <c r="E404" s="46">
        <v>20000</v>
      </c>
      <c r="F404" s="46">
        <v>203593</v>
      </c>
      <c r="G404" s="48" t="s">
        <v>211</v>
      </c>
      <c r="H404" s="47">
        <v>44105</v>
      </c>
      <c r="I404" s="46">
        <v>49927</v>
      </c>
      <c r="J404" s="46">
        <v>20000</v>
      </c>
      <c r="K404" s="47">
        <v>44106</v>
      </c>
      <c r="L404" s="46">
        <v>9999</v>
      </c>
      <c r="M404" s="46">
        <v>20000</v>
      </c>
    </row>
    <row r="405" spans="2:13" ht="14.1" customHeight="1" x14ac:dyDescent="0.25">
      <c r="B405" s="46" t="str">
        <f t="shared" si="6"/>
        <v>2010-4-309500</v>
      </c>
      <c r="C405" s="47">
        <v>44106</v>
      </c>
      <c r="D405" s="46">
        <v>4</v>
      </c>
      <c r="E405" s="46">
        <v>10</v>
      </c>
      <c r="F405" s="46">
        <v>309500</v>
      </c>
      <c r="G405" s="48" t="s">
        <v>233</v>
      </c>
      <c r="H405" s="47">
        <v>44130</v>
      </c>
      <c r="I405" s="46">
        <v>50225</v>
      </c>
      <c r="J405" s="46">
        <v>5</v>
      </c>
      <c r="K405" s="47">
        <v>44134</v>
      </c>
      <c r="L405" s="46">
        <v>10235</v>
      </c>
      <c r="M405" s="46">
        <v>5</v>
      </c>
    </row>
    <row r="406" spans="2:13" ht="14.1" customHeight="1" x14ac:dyDescent="0.25">
      <c r="B406" s="46" t="str">
        <f t="shared" si="6"/>
        <v>2010-4-309500</v>
      </c>
      <c r="C406" s="47">
        <v>44106</v>
      </c>
      <c r="D406" s="46">
        <v>4</v>
      </c>
      <c r="E406" s="46">
        <v>10</v>
      </c>
      <c r="F406" s="46">
        <v>309500</v>
      </c>
      <c r="G406" s="48" t="s">
        <v>233</v>
      </c>
      <c r="H406" s="47">
        <v>44130</v>
      </c>
      <c r="I406" s="46">
        <v>50225</v>
      </c>
      <c r="J406" s="46">
        <v>5</v>
      </c>
      <c r="K406" s="47">
        <v>44141</v>
      </c>
      <c r="L406" s="46">
        <v>10282</v>
      </c>
      <c r="M406" s="46">
        <v>5</v>
      </c>
    </row>
    <row r="407" spans="2:13" ht="14.1" customHeight="1" x14ac:dyDescent="0.25">
      <c r="B407" s="46" t="str">
        <f t="shared" si="6"/>
        <v>2010-4-309500</v>
      </c>
      <c r="C407" s="47">
        <v>44106</v>
      </c>
      <c r="D407" s="46">
        <v>4</v>
      </c>
      <c r="E407" s="46">
        <v>10</v>
      </c>
      <c r="F407" s="46">
        <v>309500</v>
      </c>
      <c r="G407" s="48" t="s">
        <v>233</v>
      </c>
      <c r="H407" s="47">
        <v>44131</v>
      </c>
      <c r="I407" s="46">
        <v>50233</v>
      </c>
      <c r="J407" s="46">
        <v>5</v>
      </c>
      <c r="K407" s="47">
        <v>44134</v>
      </c>
      <c r="L407" s="46">
        <v>10235</v>
      </c>
      <c r="M407" s="46">
        <v>5</v>
      </c>
    </row>
    <row r="408" spans="2:13" ht="14.1" customHeight="1" x14ac:dyDescent="0.25">
      <c r="B408" s="46" t="str">
        <f t="shared" si="6"/>
        <v>2010-4-309500</v>
      </c>
      <c r="C408" s="47">
        <v>44106</v>
      </c>
      <c r="D408" s="46">
        <v>4</v>
      </c>
      <c r="E408" s="46">
        <v>10</v>
      </c>
      <c r="F408" s="46">
        <v>309500</v>
      </c>
      <c r="G408" s="48" t="s">
        <v>233</v>
      </c>
      <c r="H408" s="47">
        <v>44131</v>
      </c>
      <c r="I408" s="46">
        <v>50233</v>
      </c>
      <c r="J408" s="46">
        <v>5</v>
      </c>
      <c r="K408" s="47">
        <v>44141</v>
      </c>
      <c r="L408" s="46">
        <v>10282</v>
      </c>
      <c r="M408" s="46">
        <v>5</v>
      </c>
    </row>
    <row r="409" spans="2:13" ht="14.1" customHeight="1" x14ac:dyDescent="0.25">
      <c r="B409" s="46" t="str">
        <f t="shared" si="6"/>
        <v>2010-4-206715</v>
      </c>
      <c r="C409" s="47">
        <v>44106</v>
      </c>
      <c r="D409" s="46">
        <v>4</v>
      </c>
      <c r="E409" s="46">
        <v>20</v>
      </c>
      <c r="F409" s="46">
        <v>206715</v>
      </c>
      <c r="G409" s="48" t="s">
        <v>47</v>
      </c>
      <c r="H409" s="47">
        <v>44130</v>
      </c>
      <c r="I409" s="46">
        <v>50225</v>
      </c>
      <c r="J409" s="46">
        <v>20</v>
      </c>
      <c r="K409" s="47">
        <v>44134</v>
      </c>
      <c r="L409" s="46">
        <v>10234</v>
      </c>
      <c r="M409" s="46">
        <v>20</v>
      </c>
    </row>
    <row r="410" spans="2:13" ht="14.1" customHeight="1" x14ac:dyDescent="0.25">
      <c r="B410" s="46" t="str">
        <f t="shared" si="6"/>
        <v>2010-4-307240</v>
      </c>
      <c r="C410" s="47">
        <v>44106</v>
      </c>
      <c r="D410" s="46">
        <v>4</v>
      </c>
      <c r="E410" s="46">
        <v>3</v>
      </c>
      <c r="F410" s="46">
        <v>307240</v>
      </c>
      <c r="G410" s="48" t="s">
        <v>724</v>
      </c>
      <c r="H410" s="47">
        <v>44131</v>
      </c>
      <c r="I410" s="46">
        <v>50233</v>
      </c>
      <c r="J410" s="46">
        <v>3</v>
      </c>
      <c r="K410" s="47">
        <v>44134</v>
      </c>
      <c r="L410" s="46">
        <v>10235</v>
      </c>
      <c r="M410" s="46">
        <v>3</v>
      </c>
    </row>
    <row r="411" spans="2:13" ht="14.1" customHeight="1" x14ac:dyDescent="0.25">
      <c r="B411" s="46" t="str">
        <f t="shared" si="6"/>
        <v>2010-4-305260</v>
      </c>
      <c r="C411" s="47">
        <v>44106</v>
      </c>
      <c r="D411" s="46">
        <v>4</v>
      </c>
      <c r="E411" s="46">
        <v>6</v>
      </c>
      <c r="F411" s="46">
        <v>305260</v>
      </c>
      <c r="G411" s="48" t="s">
        <v>66</v>
      </c>
      <c r="H411" s="47">
        <v>44130</v>
      </c>
      <c r="I411" s="46">
        <v>50224</v>
      </c>
      <c r="J411" s="46">
        <v>6</v>
      </c>
      <c r="K411" s="47">
        <v>44160</v>
      </c>
      <c r="L411" s="46">
        <v>10477</v>
      </c>
      <c r="M411" s="46">
        <v>6</v>
      </c>
    </row>
    <row r="412" spans="2:13" ht="14.1" customHeight="1" x14ac:dyDescent="0.25">
      <c r="B412" s="46" t="str">
        <f t="shared" si="6"/>
        <v>2010-4-319292</v>
      </c>
      <c r="C412" s="47">
        <v>44106</v>
      </c>
      <c r="D412" s="46">
        <v>4</v>
      </c>
      <c r="E412" s="46">
        <v>20</v>
      </c>
      <c r="F412" s="46">
        <v>319292</v>
      </c>
      <c r="G412" s="48" t="s">
        <v>65</v>
      </c>
      <c r="I412" s="46">
        <v>0</v>
      </c>
      <c r="J412" s="46">
        <v>0</v>
      </c>
      <c r="L412" s="46">
        <v>0</v>
      </c>
      <c r="M412" s="46">
        <v>0</v>
      </c>
    </row>
    <row r="413" spans="2:13" ht="14.1" customHeight="1" x14ac:dyDescent="0.25">
      <c r="B413" s="46" t="str">
        <f t="shared" si="6"/>
        <v>2010-4-106145</v>
      </c>
      <c r="C413" s="47">
        <v>44106</v>
      </c>
      <c r="D413" s="46">
        <v>4</v>
      </c>
      <c r="E413" s="46">
        <v>5</v>
      </c>
      <c r="F413" s="46">
        <v>106145</v>
      </c>
      <c r="G413" s="48" t="s">
        <v>48</v>
      </c>
      <c r="H413" s="47">
        <v>44130</v>
      </c>
      <c r="I413" s="46">
        <v>50225</v>
      </c>
      <c r="J413" s="46">
        <v>5</v>
      </c>
      <c r="K413" s="47">
        <v>44134</v>
      </c>
      <c r="L413" s="46">
        <v>10234</v>
      </c>
      <c r="M413" s="46">
        <v>5</v>
      </c>
    </row>
    <row r="414" spans="2:13" ht="14.1" customHeight="1" x14ac:dyDescent="0.25">
      <c r="B414" s="46" t="str">
        <f t="shared" si="6"/>
        <v>2010-5-307222</v>
      </c>
      <c r="C414" s="47">
        <v>44106</v>
      </c>
      <c r="D414" s="46">
        <v>5</v>
      </c>
      <c r="E414" s="46">
        <v>20</v>
      </c>
      <c r="F414" s="46">
        <v>307222</v>
      </c>
      <c r="G414" s="48" t="s">
        <v>723</v>
      </c>
      <c r="H414" s="47">
        <v>44134</v>
      </c>
      <c r="I414" s="46">
        <v>50258</v>
      </c>
      <c r="J414" s="46">
        <v>20</v>
      </c>
      <c r="K414" s="47">
        <v>44151</v>
      </c>
      <c r="L414" s="46">
        <v>10359</v>
      </c>
      <c r="M414" s="46">
        <v>20</v>
      </c>
    </row>
    <row r="415" spans="2:13" ht="14.1" customHeight="1" x14ac:dyDescent="0.25">
      <c r="B415" s="46" t="str">
        <f t="shared" si="6"/>
        <v>2010-5-310019</v>
      </c>
      <c r="C415" s="47">
        <v>44106</v>
      </c>
      <c r="D415" s="46">
        <v>5</v>
      </c>
      <c r="E415" s="46">
        <v>20</v>
      </c>
      <c r="F415" s="46">
        <v>310019</v>
      </c>
      <c r="G415" s="48" t="s">
        <v>767</v>
      </c>
      <c r="H415" s="47">
        <v>44134</v>
      </c>
      <c r="I415" s="46">
        <v>50258</v>
      </c>
      <c r="J415" s="46">
        <v>20</v>
      </c>
      <c r="K415" s="47">
        <v>44151</v>
      </c>
      <c r="L415" s="46">
        <v>10359</v>
      </c>
      <c r="M415" s="46">
        <v>20</v>
      </c>
    </row>
    <row r="416" spans="2:13" ht="14.1" customHeight="1" x14ac:dyDescent="0.25">
      <c r="B416" s="46" t="str">
        <f t="shared" si="6"/>
        <v>2010-6-204038</v>
      </c>
      <c r="C416" s="47">
        <v>44106</v>
      </c>
      <c r="D416" s="46">
        <v>6</v>
      </c>
      <c r="E416" s="46">
        <v>7</v>
      </c>
      <c r="F416" s="46">
        <v>204038</v>
      </c>
      <c r="G416" s="48" t="s">
        <v>524</v>
      </c>
      <c r="H416" s="47">
        <v>44112</v>
      </c>
      <c r="I416" s="46">
        <v>49958</v>
      </c>
      <c r="J416" s="46">
        <v>7</v>
      </c>
      <c r="K416" s="47">
        <v>44116</v>
      </c>
      <c r="L416" s="46">
        <v>10052</v>
      </c>
      <c r="M416" s="46">
        <v>7</v>
      </c>
    </row>
    <row r="417" spans="2:13" ht="14.1" customHeight="1" x14ac:dyDescent="0.25">
      <c r="B417" s="46" t="str">
        <f t="shared" si="6"/>
        <v>2010-7-105561</v>
      </c>
      <c r="C417" s="47">
        <v>44109</v>
      </c>
      <c r="D417" s="46">
        <v>7</v>
      </c>
      <c r="E417" s="46">
        <v>1</v>
      </c>
      <c r="F417" s="46">
        <v>105561</v>
      </c>
      <c r="G417" s="48" t="s">
        <v>177</v>
      </c>
      <c r="H417" s="47">
        <v>44109</v>
      </c>
      <c r="I417" s="46">
        <v>49928</v>
      </c>
      <c r="J417" s="46">
        <v>1</v>
      </c>
      <c r="K417" s="47">
        <v>44109</v>
      </c>
      <c r="L417" s="46">
        <v>10013</v>
      </c>
      <c r="M417" s="46">
        <v>1</v>
      </c>
    </row>
    <row r="418" spans="2:13" ht="14.1" customHeight="1" x14ac:dyDescent="0.25">
      <c r="B418" s="46" t="str">
        <f t="shared" si="6"/>
        <v>2010-8-313394</v>
      </c>
      <c r="C418" s="47">
        <v>44109</v>
      </c>
      <c r="D418" s="46">
        <v>8</v>
      </c>
      <c r="E418" s="46">
        <v>1</v>
      </c>
      <c r="F418" s="46">
        <v>313394</v>
      </c>
      <c r="G418" s="48" t="s">
        <v>830</v>
      </c>
      <c r="H418" s="47">
        <v>44105</v>
      </c>
      <c r="I418" s="46">
        <v>49929</v>
      </c>
      <c r="J418" s="46">
        <v>1</v>
      </c>
      <c r="K418" s="47">
        <v>44109</v>
      </c>
      <c r="L418" s="46">
        <v>10014</v>
      </c>
      <c r="M418" s="46">
        <v>1</v>
      </c>
    </row>
    <row r="419" spans="2:13" ht="14.1" customHeight="1" x14ac:dyDescent="0.25">
      <c r="B419" s="46" t="str">
        <f t="shared" si="6"/>
        <v>2010-8-303744</v>
      </c>
      <c r="C419" s="47">
        <v>44109</v>
      </c>
      <c r="D419" s="46">
        <v>8</v>
      </c>
      <c r="E419" s="46">
        <v>1</v>
      </c>
      <c r="F419" s="46">
        <v>303744</v>
      </c>
      <c r="G419" s="48" t="s">
        <v>662</v>
      </c>
      <c r="H419" s="47">
        <v>44105</v>
      </c>
      <c r="I419" s="46">
        <v>49929</v>
      </c>
      <c r="J419" s="46">
        <v>1</v>
      </c>
      <c r="K419" s="47">
        <v>44109</v>
      </c>
      <c r="L419" s="46">
        <v>10014</v>
      </c>
      <c r="M419" s="46">
        <v>1</v>
      </c>
    </row>
    <row r="420" spans="2:13" ht="14.1" customHeight="1" x14ac:dyDescent="0.25">
      <c r="B420" s="46" t="str">
        <f t="shared" si="6"/>
        <v>2010-8-316677</v>
      </c>
      <c r="C420" s="47">
        <v>44109</v>
      </c>
      <c r="D420" s="46">
        <v>8</v>
      </c>
      <c r="E420" s="46">
        <v>1</v>
      </c>
      <c r="F420" s="46">
        <v>316677</v>
      </c>
      <c r="G420" s="48" t="s">
        <v>896</v>
      </c>
      <c r="H420" s="47">
        <v>44105</v>
      </c>
      <c r="I420" s="46">
        <v>49929</v>
      </c>
      <c r="J420" s="46">
        <v>1</v>
      </c>
      <c r="K420" s="47">
        <v>44109</v>
      </c>
      <c r="L420" s="46">
        <v>10014</v>
      </c>
      <c r="M420" s="46">
        <v>1</v>
      </c>
    </row>
    <row r="421" spans="2:13" ht="14.1" customHeight="1" x14ac:dyDescent="0.25">
      <c r="B421" s="46" t="str">
        <f t="shared" si="6"/>
        <v>2010-8-302712</v>
      </c>
      <c r="C421" s="47">
        <v>44109</v>
      </c>
      <c r="D421" s="46">
        <v>8</v>
      </c>
      <c r="E421" s="46">
        <v>1</v>
      </c>
      <c r="F421" s="46">
        <v>302712</v>
      </c>
      <c r="G421" s="48" t="s">
        <v>644</v>
      </c>
      <c r="H421" s="47">
        <v>44105</v>
      </c>
      <c r="I421" s="46">
        <v>49929</v>
      </c>
      <c r="J421" s="46">
        <v>1</v>
      </c>
      <c r="K421" s="47">
        <v>44109</v>
      </c>
      <c r="L421" s="46">
        <v>10014</v>
      </c>
      <c r="M421" s="46">
        <v>1</v>
      </c>
    </row>
    <row r="422" spans="2:13" ht="14.1" customHeight="1" x14ac:dyDescent="0.25">
      <c r="B422" s="46" t="str">
        <f t="shared" si="6"/>
        <v>2010-10-320258</v>
      </c>
      <c r="C422" s="47">
        <v>44110</v>
      </c>
      <c r="D422" s="46">
        <v>10</v>
      </c>
      <c r="E422" s="46">
        <v>12</v>
      </c>
      <c r="F422" s="46">
        <v>320258</v>
      </c>
      <c r="G422" s="48" t="s">
        <v>1032</v>
      </c>
      <c r="I422" s="46">
        <v>0</v>
      </c>
      <c r="J422" s="46">
        <v>0</v>
      </c>
      <c r="L422" s="46">
        <v>0</v>
      </c>
      <c r="M422" s="46">
        <v>0</v>
      </c>
    </row>
    <row r="423" spans="2:13" ht="14.1" customHeight="1" x14ac:dyDescent="0.25">
      <c r="B423" s="46" t="str">
        <f t="shared" si="6"/>
        <v>2010-10-320274</v>
      </c>
      <c r="C423" s="47">
        <v>44110</v>
      </c>
      <c r="D423" s="46">
        <v>10</v>
      </c>
      <c r="E423" s="46">
        <v>12</v>
      </c>
      <c r="F423" s="46">
        <v>320274</v>
      </c>
      <c r="G423" s="48" t="s">
        <v>1033</v>
      </c>
      <c r="I423" s="46">
        <v>0</v>
      </c>
      <c r="J423" s="46">
        <v>0</v>
      </c>
      <c r="L423" s="46">
        <v>0</v>
      </c>
      <c r="M423" s="46">
        <v>0</v>
      </c>
    </row>
    <row r="424" spans="2:13" ht="14.1" customHeight="1" x14ac:dyDescent="0.25">
      <c r="B424" s="46" t="str">
        <f t="shared" si="6"/>
        <v>2010-10-320277</v>
      </c>
      <c r="C424" s="47">
        <v>44110</v>
      </c>
      <c r="D424" s="46">
        <v>10</v>
      </c>
      <c r="E424" s="46">
        <v>12</v>
      </c>
      <c r="F424" s="46">
        <v>320277</v>
      </c>
      <c r="G424" s="48" t="s">
        <v>1014</v>
      </c>
      <c r="I424" s="46">
        <v>0</v>
      </c>
      <c r="J424" s="46">
        <v>0</v>
      </c>
      <c r="L424" s="46">
        <v>0</v>
      </c>
      <c r="M424" s="46">
        <v>0</v>
      </c>
    </row>
    <row r="425" spans="2:13" ht="14.1" customHeight="1" x14ac:dyDescent="0.25">
      <c r="B425" s="46" t="str">
        <f t="shared" si="6"/>
        <v>2010-10-320285</v>
      </c>
      <c r="C425" s="47">
        <v>44110</v>
      </c>
      <c r="D425" s="46">
        <v>10</v>
      </c>
      <c r="E425" s="46">
        <v>72</v>
      </c>
      <c r="F425" s="46">
        <v>320285</v>
      </c>
      <c r="G425" s="48" t="s">
        <v>1015</v>
      </c>
      <c r="I425" s="46">
        <v>0</v>
      </c>
      <c r="J425" s="46">
        <v>0</v>
      </c>
      <c r="L425" s="46">
        <v>0</v>
      </c>
      <c r="M425" s="46">
        <v>0</v>
      </c>
    </row>
    <row r="426" spans="2:13" ht="14.1" customHeight="1" x14ac:dyDescent="0.25">
      <c r="B426" s="46" t="str">
        <f t="shared" si="6"/>
        <v>2010-10-320288</v>
      </c>
      <c r="C426" s="47">
        <v>44110</v>
      </c>
      <c r="D426" s="46">
        <v>10</v>
      </c>
      <c r="E426" s="46">
        <v>12</v>
      </c>
      <c r="F426" s="46">
        <v>320288</v>
      </c>
      <c r="G426" s="48" t="s">
        <v>1016</v>
      </c>
      <c r="I426" s="46">
        <v>0</v>
      </c>
      <c r="J426" s="46">
        <v>0</v>
      </c>
      <c r="L426" s="46">
        <v>0</v>
      </c>
      <c r="M426" s="46">
        <v>0</v>
      </c>
    </row>
    <row r="427" spans="2:13" ht="14.1" customHeight="1" x14ac:dyDescent="0.25">
      <c r="B427" s="46" t="str">
        <f t="shared" si="6"/>
        <v>2010-10-320291</v>
      </c>
      <c r="C427" s="47">
        <v>44110</v>
      </c>
      <c r="D427" s="46">
        <v>10</v>
      </c>
      <c r="E427" s="46">
        <v>12</v>
      </c>
      <c r="F427" s="46">
        <v>320291</v>
      </c>
      <c r="G427" s="48" t="s">
        <v>1017</v>
      </c>
      <c r="I427" s="46">
        <v>0</v>
      </c>
      <c r="J427" s="46">
        <v>0</v>
      </c>
      <c r="L427" s="46">
        <v>0</v>
      </c>
      <c r="M427" s="46">
        <v>0</v>
      </c>
    </row>
    <row r="428" spans="2:13" ht="14.1" customHeight="1" x14ac:dyDescent="0.25">
      <c r="B428" s="46" t="str">
        <f t="shared" si="6"/>
        <v>2010-10-320262</v>
      </c>
      <c r="C428" s="47">
        <v>44110</v>
      </c>
      <c r="D428" s="46">
        <v>10</v>
      </c>
      <c r="E428" s="46">
        <v>12</v>
      </c>
      <c r="F428" s="46">
        <v>320262</v>
      </c>
      <c r="G428" s="48" t="s">
        <v>998</v>
      </c>
      <c r="I428" s="46">
        <v>0</v>
      </c>
      <c r="J428" s="46">
        <v>0</v>
      </c>
      <c r="L428" s="46">
        <v>0</v>
      </c>
      <c r="M428" s="46">
        <v>0</v>
      </c>
    </row>
    <row r="429" spans="2:13" ht="14.1" customHeight="1" x14ac:dyDescent="0.25">
      <c r="B429" s="46" t="str">
        <f t="shared" si="6"/>
        <v>2010-10-320271</v>
      </c>
      <c r="C429" s="47">
        <v>44110</v>
      </c>
      <c r="D429" s="46">
        <v>10</v>
      </c>
      <c r="E429" s="46">
        <v>1</v>
      </c>
      <c r="F429" s="46">
        <v>320271</v>
      </c>
      <c r="G429" s="48" t="s">
        <v>999</v>
      </c>
      <c r="I429" s="46">
        <v>0</v>
      </c>
      <c r="J429" s="46">
        <v>0</v>
      </c>
      <c r="L429" s="46">
        <v>0</v>
      </c>
      <c r="M429" s="46">
        <v>0</v>
      </c>
    </row>
    <row r="430" spans="2:13" ht="14.1" customHeight="1" x14ac:dyDescent="0.25">
      <c r="B430" s="46" t="str">
        <f t="shared" si="6"/>
        <v>2010-10-320276</v>
      </c>
      <c r="C430" s="47">
        <v>44110</v>
      </c>
      <c r="D430" s="46">
        <v>10</v>
      </c>
      <c r="E430" s="46">
        <v>12</v>
      </c>
      <c r="F430" s="46">
        <v>320276</v>
      </c>
      <c r="G430" s="48" t="s">
        <v>1000</v>
      </c>
      <c r="I430" s="46">
        <v>0</v>
      </c>
      <c r="J430" s="46">
        <v>0</v>
      </c>
      <c r="L430" s="46">
        <v>0</v>
      </c>
      <c r="M430" s="46">
        <v>0</v>
      </c>
    </row>
    <row r="431" spans="2:13" ht="14.1" customHeight="1" x14ac:dyDescent="0.25">
      <c r="B431" s="46" t="str">
        <f t="shared" si="6"/>
        <v>2010-10-320280</v>
      </c>
      <c r="C431" s="47">
        <v>44110</v>
      </c>
      <c r="D431" s="46">
        <v>10</v>
      </c>
      <c r="E431" s="46">
        <v>12</v>
      </c>
      <c r="F431" s="46">
        <v>320280</v>
      </c>
      <c r="G431" s="48" t="s">
        <v>1001</v>
      </c>
      <c r="I431" s="46">
        <v>0</v>
      </c>
      <c r="J431" s="46">
        <v>0</v>
      </c>
      <c r="L431" s="46">
        <v>0</v>
      </c>
      <c r="M431" s="46">
        <v>0</v>
      </c>
    </row>
    <row r="432" spans="2:13" ht="14.1" customHeight="1" x14ac:dyDescent="0.25">
      <c r="B432" s="46" t="str">
        <f t="shared" si="6"/>
        <v>2010-10-320270</v>
      </c>
      <c r="C432" s="47">
        <v>44110</v>
      </c>
      <c r="D432" s="46">
        <v>10</v>
      </c>
      <c r="E432" s="46">
        <v>2</v>
      </c>
      <c r="F432" s="46">
        <v>320270</v>
      </c>
      <c r="G432" s="48" t="s">
        <v>1030</v>
      </c>
      <c r="I432" s="46">
        <v>0</v>
      </c>
      <c r="J432" s="46">
        <v>0</v>
      </c>
      <c r="L432" s="46">
        <v>0</v>
      </c>
      <c r="M432" s="46">
        <v>0</v>
      </c>
    </row>
    <row r="433" spans="2:13" ht="14.1" customHeight="1" x14ac:dyDescent="0.25">
      <c r="B433" s="46" t="str">
        <f t="shared" si="6"/>
        <v>2010-10-320281</v>
      </c>
      <c r="C433" s="47">
        <v>44110</v>
      </c>
      <c r="D433" s="46">
        <v>10</v>
      </c>
      <c r="E433" s="46">
        <v>12</v>
      </c>
      <c r="F433" s="46">
        <v>320281</v>
      </c>
      <c r="G433" s="48" t="s">
        <v>1031</v>
      </c>
      <c r="I433" s="46">
        <v>0</v>
      </c>
      <c r="J433" s="46">
        <v>0</v>
      </c>
      <c r="L433" s="46">
        <v>0</v>
      </c>
      <c r="M433" s="46">
        <v>0</v>
      </c>
    </row>
    <row r="434" spans="2:13" ht="14.1" customHeight="1" x14ac:dyDescent="0.25">
      <c r="B434" s="46" t="str">
        <f t="shared" si="6"/>
        <v>2010-10-320286</v>
      </c>
      <c r="C434" s="47">
        <v>44110</v>
      </c>
      <c r="D434" s="46">
        <v>10</v>
      </c>
      <c r="E434" s="46">
        <v>12</v>
      </c>
      <c r="F434" s="46">
        <v>320286</v>
      </c>
      <c r="G434" s="48" t="s">
        <v>1020</v>
      </c>
      <c r="I434" s="46">
        <v>0</v>
      </c>
      <c r="J434" s="46">
        <v>0</v>
      </c>
      <c r="L434" s="46">
        <v>0</v>
      </c>
      <c r="M434" s="46">
        <v>0</v>
      </c>
    </row>
    <row r="435" spans="2:13" ht="14.1" customHeight="1" x14ac:dyDescent="0.25">
      <c r="B435" s="46" t="str">
        <f t="shared" si="6"/>
        <v>2010-10-320293</v>
      </c>
      <c r="C435" s="47">
        <v>44110</v>
      </c>
      <c r="D435" s="46">
        <v>10</v>
      </c>
      <c r="E435" s="46">
        <v>2</v>
      </c>
      <c r="F435" s="46">
        <v>320293</v>
      </c>
      <c r="G435" s="50" t="s">
        <v>1021</v>
      </c>
      <c r="I435" s="46">
        <v>0</v>
      </c>
      <c r="J435" s="46">
        <v>0</v>
      </c>
      <c r="L435" s="46">
        <v>0</v>
      </c>
      <c r="M435" s="46">
        <v>0</v>
      </c>
    </row>
    <row r="436" spans="2:13" ht="14.1" customHeight="1" x14ac:dyDescent="0.25">
      <c r="B436" s="46" t="str">
        <f t="shared" si="6"/>
        <v>2010-10-320244</v>
      </c>
      <c r="C436" s="47">
        <v>44110</v>
      </c>
      <c r="D436" s="46">
        <v>10</v>
      </c>
      <c r="E436" s="46">
        <v>24</v>
      </c>
      <c r="F436" s="46">
        <v>320244</v>
      </c>
      <c r="G436" s="48" t="s">
        <v>1006</v>
      </c>
      <c r="I436" s="46">
        <v>0</v>
      </c>
      <c r="J436" s="46">
        <v>0</v>
      </c>
      <c r="L436" s="46">
        <v>0</v>
      </c>
      <c r="M436" s="46">
        <v>0</v>
      </c>
    </row>
    <row r="437" spans="2:13" ht="14.1" customHeight="1" x14ac:dyDescent="0.25">
      <c r="B437" s="46" t="str">
        <f t="shared" si="6"/>
        <v>2010-10-320247</v>
      </c>
      <c r="C437" s="47">
        <v>44110</v>
      </c>
      <c r="D437" s="46">
        <v>10</v>
      </c>
      <c r="E437" s="46">
        <v>4</v>
      </c>
      <c r="F437" s="46">
        <v>320247</v>
      </c>
      <c r="G437" s="48" t="s">
        <v>1007</v>
      </c>
      <c r="I437" s="46">
        <v>0</v>
      </c>
      <c r="J437" s="46">
        <v>0</v>
      </c>
      <c r="L437" s="46">
        <v>0</v>
      </c>
      <c r="M437" s="46">
        <v>0</v>
      </c>
    </row>
    <row r="438" spans="2:13" ht="14.1" customHeight="1" x14ac:dyDescent="0.25">
      <c r="B438" s="46" t="str">
        <f t="shared" si="6"/>
        <v>2010-10-320263</v>
      </c>
      <c r="C438" s="47">
        <v>44110</v>
      </c>
      <c r="D438" s="46">
        <v>10</v>
      </c>
      <c r="E438" s="46">
        <v>2</v>
      </c>
      <c r="F438" s="46">
        <v>320263</v>
      </c>
      <c r="G438" s="50" t="s">
        <v>993</v>
      </c>
      <c r="I438" s="46">
        <v>0</v>
      </c>
      <c r="J438" s="46">
        <v>0</v>
      </c>
      <c r="L438" s="46">
        <v>0</v>
      </c>
      <c r="M438" s="46">
        <v>0</v>
      </c>
    </row>
    <row r="439" spans="2:13" ht="14.1" customHeight="1" x14ac:dyDescent="0.25">
      <c r="B439" s="46" t="str">
        <f t="shared" si="6"/>
        <v>2010-10-320282</v>
      </c>
      <c r="C439" s="47">
        <v>44110</v>
      </c>
      <c r="D439" s="46">
        <v>10</v>
      </c>
      <c r="E439" s="46">
        <v>12</v>
      </c>
      <c r="F439" s="46">
        <v>320282</v>
      </c>
      <c r="G439" s="50" t="s">
        <v>994</v>
      </c>
      <c r="I439" s="46">
        <v>0</v>
      </c>
      <c r="J439" s="46">
        <v>0</v>
      </c>
      <c r="L439" s="46">
        <v>0</v>
      </c>
      <c r="M439" s="46">
        <v>0</v>
      </c>
    </row>
    <row r="440" spans="2:13" ht="14.1" customHeight="1" x14ac:dyDescent="0.25">
      <c r="B440" s="46" t="str">
        <f t="shared" si="6"/>
        <v>2010-10-320289</v>
      </c>
      <c r="C440" s="47">
        <v>44110</v>
      </c>
      <c r="D440" s="46">
        <v>10</v>
      </c>
      <c r="E440" s="46">
        <v>12</v>
      </c>
      <c r="F440" s="46">
        <v>320289</v>
      </c>
      <c r="G440" s="48" t="s">
        <v>995</v>
      </c>
      <c r="I440" s="46">
        <v>0</v>
      </c>
      <c r="J440" s="46">
        <v>0</v>
      </c>
      <c r="L440" s="46">
        <v>0</v>
      </c>
      <c r="M440" s="46">
        <v>0</v>
      </c>
    </row>
    <row r="441" spans="2:13" ht="14.1" customHeight="1" x14ac:dyDescent="0.25">
      <c r="B441" s="46" t="str">
        <f t="shared" si="6"/>
        <v>2010-10-320294</v>
      </c>
      <c r="C441" s="47">
        <v>44110</v>
      </c>
      <c r="D441" s="46">
        <v>10</v>
      </c>
      <c r="E441" s="46">
        <v>12</v>
      </c>
      <c r="F441" s="46">
        <v>320294</v>
      </c>
      <c r="G441" s="48" t="s">
        <v>996</v>
      </c>
      <c r="I441" s="46">
        <v>0</v>
      </c>
      <c r="J441" s="46">
        <v>0</v>
      </c>
      <c r="L441" s="46">
        <v>0</v>
      </c>
      <c r="M441" s="46">
        <v>0</v>
      </c>
    </row>
    <row r="442" spans="2:13" ht="14.1" customHeight="1" x14ac:dyDescent="0.25">
      <c r="B442" s="46" t="str">
        <f t="shared" si="6"/>
        <v>2010-10-320297</v>
      </c>
      <c r="C442" s="47">
        <v>44110</v>
      </c>
      <c r="D442" s="46">
        <v>10</v>
      </c>
      <c r="E442" s="46">
        <v>1</v>
      </c>
      <c r="F442" s="46">
        <v>320297</v>
      </c>
      <c r="G442" s="48" t="s">
        <v>997</v>
      </c>
      <c r="I442" s="46">
        <v>0</v>
      </c>
      <c r="J442" s="46">
        <v>0</v>
      </c>
      <c r="L442" s="46">
        <v>0</v>
      </c>
      <c r="M442" s="46">
        <v>0</v>
      </c>
    </row>
    <row r="443" spans="2:13" ht="14.1" customHeight="1" x14ac:dyDescent="0.25">
      <c r="B443" s="46" t="str">
        <f t="shared" si="6"/>
        <v>2010-10-320245</v>
      </c>
      <c r="C443" s="47">
        <v>44110</v>
      </c>
      <c r="D443" s="46">
        <v>10</v>
      </c>
      <c r="E443" s="46">
        <v>12</v>
      </c>
      <c r="F443" s="46">
        <v>320245</v>
      </c>
      <c r="G443" s="48" t="s">
        <v>1029</v>
      </c>
      <c r="I443" s="46">
        <v>0</v>
      </c>
      <c r="J443" s="46">
        <v>0</v>
      </c>
      <c r="L443" s="46">
        <v>0</v>
      </c>
      <c r="M443" s="46">
        <v>0</v>
      </c>
    </row>
    <row r="444" spans="2:13" ht="14.1" customHeight="1" x14ac:dyDescent="0.25">
      <c r="B444" s="46" t="str">
        <f t="shared" si="6"/>
        <v>2010-10-320275</v>
      </c>
      <c r="C444" s="47">
        <v>44110</v>
      </c>
      <c r="D444" s="46">
        <v>10</v>
      </c>
      <c r="E444" s="46">
        <v>12</v>
      </c>
      <c r="F444" s="46">
        <v>320275</v>
      </c>
      <c r="G444" s="48" t="s">
        <v>1036</v>
      </c>
      <c r="I444" s="46">
        <v>0</v>
      </c>
      <c r="J444" s="46">
        <v>0</v>
      </c>
      <c r="L444" s="46">
        <v>0</v>
      </c>
      <c r="M444" s="46">
        <v>0</v>
      </c>
    </row>
    <row r="445" spans="2:13" ht="14.1" customHeight="1" x14ac:dyDescent="0.25">
      <c r="B445" s="46" t="str">
        <f t="shared" si="6"/>
        <v>2010-10-320278</v>
      </c>
      <c r="C445" s="47">
        <v>44110</v>
      </c>
      <c r="D445" s="46">
        <v>10</v>
      </c>
      <c r="E445" s="46">
        <v>12</v>
      </c>
      <c r="F445" s="46">
        <v>320278</v>
      </c>
      <c r="G445" s="50" t="s">
        <v>1037</v>
      </c>
      <c r="I445" s="46">
        <v>0</v>
      </c>
      <c r="J445" s="46">
        <v>0</v>
      </c>
      <c r="L445" s="46">
        <v>0</v>
      </c>
      <c r="M445" s="46">
        <v>0</v>
      </c>
    </row>
    <row r="446" spans="2:13" ht="14.1" customHeight="1" x14ac:dyDescent="0.25">
      <c r="B446" s="46" t="str">
        <f t="shared" si="6"/>
        <v>2010-10-320284</v>
      </c>
      <c r="C446" s="47">
        <v>44110</v>
      </c>
      <c r="D446" s="46">
        <v>10</v>
      </c>
      <c r="E446" s="46">
        <v>6</v>
      </c>
      <c r="F446" s="46">
        <v>320284</v>
      </c>
      <c r="G446" s="48" t="s">
        <v>1026</v>
      </c>
      <c r="I446" s="46">
        <v>0</v>
      </c>
      <c r="J446" s="46">
        <v>0</v>
      </c>
      <c r="L446" s="46">
        <v>0</v>
      </c>
      <c r="M446" s="46">
        <v>0</v>
      </c>
    </row>
    <row r="447" spans="2:13" ht="14.1" customHeight="1" x14ac:dyDescent="0.25">
      <c r="B447" s="46" t="str">
        <f t="shared" si="6"/>
        <v>2010-10-320287</v>
      </c>
      <c r="C447" s="47">
        <v>44110</v>
      </c>
      <c r="D447" s="46">
        <v>10</v>
      </c>
      <c r="E447" s="46">
        <v>6</v>
      </c>
      <c r="F447" s="46">
        <v>320287</v>
      </c>
      <c r="G447" s="48" t="s">
        <v>1027</v>
      </c>
      <c r="I447" s="46">
        <v>0</v>
      </c>
      <c r="J447" s="46">
        <v>0</v>
      </c>
      <c r="L447" s="46">
        <v>0</v>
      </c>
      <c r="M447" s="46">
        <v>0</v>
      </c>
    </row>
    <row r="448" spans="2:13" ht="14.1" customHeight="1" x14ac:dyDescent="0.25">
      <c r="B448" s="46" t="str">
        <f t="shared" si="6"/>
        <v>2010-10-320290</v>
      </c>
      <c r="C448" s="47">
        <v>44110</v>
      </c>
      <c r="D448" s="46">
        <v>10</v>
      </c>
      <c r="E448" s="46">
        <v>12</v>
      </c>
      <c r="F448" s="46">
        <v>320290</v>
      </c>
      <c r="G448" s="48" t="s">
        <v>1028</v>
      </c>
      <c r="I448" s="46">
        <v>0</v>
      </c>
      <c r="J448" s="46">
        <v>0</v>
      </c>
      <c r="L448" s="46">
        <v>0</v>
      </c>
      <c r="M448" s="46">
        <v>0</v>
      </c>
    </row>
    <row r="449" spans="2:13" ht="14.1" customHeight="1" x14ac:dyDescent="0.25">
      <c r="B449" s="46" t="str">
        <f t="shared" si="6"/>
        <v>2010-10-320259</v>
      </c>
      <c r="C449" s="47">
        <v>44110</v>
      </c>
      <c r="D449" s="46">
        <v>10</v>
      </c>
      <c r="E449" s="46">
        <v>4</v>
      </c>
      <c r="F449" s="46">
        <v>320259</v>
      </c>
      <c r="G449" s="50" t="s">
        <v>992</v>
      </c>
      <c r="I449" s="46">
        <v>0</v>
      </c>
      <c r="J449" s="46">
        <v>0</v>
      </c>
      <c r="L449" s="46">
        <v>0</v>
      </c>
      <c r="M449" s="46">
        <v>0</v>
      </c>
    </row>
    <row r="450" spans="2:13" ht="14.1" customHeight="1" x14ac:dyDescent="0.25">
      <c r="B450" s="46" t="str">
        <f t="shared" si="6"/>
        <v>2010-10-320260</v>
      </c>
      <c r="C450" s="47">
        <v>44110</v>
      </c>
      <c r="D450" s="46">
        <v>10</v>
      </c>
      <c r="E450" s="46">
        <v>4</v>
      </c>
      <c r="F450" s="46">
        <v>320260</v>
      </c>
      <c r="G450" s="48" t="s">
        <v>1022</v>
      </c>
      <c r="I450" s="46">
        <v>0</v>
      </c>
      <c r="J450" s="46">
        <v>0</v>
      </c>
      <c r="L450" s="46">
        <v>0</v>
      </c>
      <c r="M450" s="46">
        <v>0</v>
      </c>
    </row>
    <row r="451" spans="2:13" ht="14.1" customHeight="1" x14ac:dyDescent="0.25">
      <c r="B451" s="46" t="str">
        <f t="shared" si="6"/>
        <v>2010-10-320264</v>
      </c>
      <c r="C451" s="47">
        <v>44110</v>
      </c>
      <c r="D451" s="46">
        <v>10</v>
      </c>
      <c r="E451" s="46">
        <v>2</v>
      </c>
      <c r="F451" s="46">
        <v>320264</v>
      </c>
      <c r="G451" s="48" t="s">
        <v>1023</v>
      </c>
      <c r="I451" s="46">
        <v>0</v>
      </c>
      <c r="J451" s="46">
        <v>0</v>
      </c>
      <c r="L451" s="46">
        <v>0</v>
      </c>
      <c r="M451" s="46">
        <v>0</v>
      </c>
    </row>
    <row r="452" spans="2:13" ht="14.1" customHeight="1" x14ac:dyDescent="0.25">
      <c r="B452" s="46" t="str">
        <f t="shared" si="6"/>
        <v>2010-10-320267</v>
      </c>
      <c r="C452" s="47">
        <v>44110</v>
      </c>
      <c r="D452" s="46">
        <v>10</v>
      </c>
      <c r="E452" s="46">
        <v>2</v>
      </c>
      <c r="F452" s="46">
        <v>320267</v>
      </c>
      <c r="G452" s="50" t="s">
        <v>1024</v>
      </c>
      <c r="I452" s="46">
        <v>0</v>
      </c>
      <c r="J452" s="46">
        <v>0</v>
      </c>
      <c r="L452" s="46">
        <v>0</v>
      </c>
      <c r="M452" s="46">
        <v>0</v>
      </c>
    </row>
    <row r="453" spans="2:13" ht="14.1" customHeight="1" x14ac:dyDescent="0.25">
      <c r="B453" s="46" t="str">
        <f t="shared" si="6"/>
        <v>2010-10-320273</v>
      </c>
      <c r="C453" s="47">
        <v>44110</v>
      </c>
      <c r="D453" s="46">
        <v>10</v>
      </c>
      <c r="E453" s="46">
        <v>2</v>
      </c>
      <c r="F453" s="46">
        <v>320273</v>
      </c>
      <c r="G453" s="48" t="s">
        <v>1025</v>
      </c>
      <c r="I453" s="46">
        <v>0</v>
      </c>
      <c r="J453" s="46">
        <v>0</v>
      </c>
      <c r="L453" s="46">
        <v>0</v>
      </c>
      <c r="M453" s="46">
        <v>0</v>
      </c>
    </row>
    <row r="454" spans="2:13" ht="14.1" customHeight="1" x14ac:dyDescent="0.25">
      <c r="B454" s="46" t="str">
        <f t="shared" si="6"/>
        <v>2010-10-320257</v>
      </c>
      <c r="C454" s="47">
        <v>44110</v>
      </c>
      <c r="D454" s="46">
        <v>10</v>
      </c>
      <c r="E454" s="46">
        <v>2</v>
      </c>
      <c r="F454" s="46">
        <v>320257</v>
      </c>
      <c r="G454" s="48" t="s">
        <v>1034</v>
      </c>
      <c r="I454" s="46">
        <v>0</v>
      </c>
      <c r="J454" s="46">
        <v>0</v>
      </c>
      <c r="L454" s="46">
        <v>0</v>
      </c>
      <c r="M454" s="46">
        <v>0</v>
      </c>
    </row>
    <row r="455" spans="2:13" ht="14.1" customHeight="1" x14ac:dyDescent="0.25">
      <c r="B455" s="46" t="str">
        <f t="shared" si="6"/>
        <v>2010-10-320269</v>
      </c>
      <c r="C455" s="47">
        <v>44110</v>
      </c>
      <c r="D455" s="46">
        <v>10</v>
      </c>
      <c r="E455" s="46">
        <v>1</v>
      </c>
      <c r="F455" s="46">
        <v>320269</v>
      </c>
      <c r="G455" s="50" t="s">
        <v>1035</v>
      </c>
      <c r="I455" s="46">
        <v>0</v>
      </c>
      <c r="J455" s="46">
        <v>0</v>
      </c>
      <c r="L455" s="46">
        <v>0</v>
      </c>
      <c r="M455" s="46">
        <v>0</v>
      </c>
    </row>
    <row r="456" spans="2:13" ht="14.1" customHeight="1" x14ac:dyDescent="0.25">
      <c r="B456" s="46" t="str">
        <f t="shared" si="6"/>
        <v>2010-10-320268</v>
      </c>
      <c r="C456" s="47">
        <v>44110</v>
      </c>
      <c r="D456" s="46">
        <v>10</v>
      </c>
      <c r="E456" s="46">
        <v>2</v>
      </c>
      <c r="F456" s="46">
        <v>320268</v>
      </c>
      <c r="G456" s="48" t="s">
        <v>1012</v>
      </c>
      <c r="I456" s="46">
        <v>0</v>
      </c>
      <c r="J456" s="46">
        <v>0</v>
      </c>
      <c r="L456" s="46">
        <v>0</v>
      </c>
      <c r="M456" s="46">
        <v>0</v>
      </c>
    </row>
    <row r="457" spans="2:13" ht="14.1" customHeight="1" x14ac:dyDescent="0.25">
      <c r="B457" s="46" t="str">
        <f t="shared" si="6"/>
        <v>2010-10-320283</v>
      </c>
      <c r="C457" s="47">
        <v>44110</v>
      </c>
      <c r="D457" s="46">
        <v>10</v>
      </c>
      <c r="E457" s="46">
        <v>12</v>
      </c>
      <c r="F457" s="46">
        <v>320283</v>
      </c>
      <c r="G457" s="48" t="s">
        <v>1013</v>
      </c>
      <c r="I457" s="46">
        <v>0</v>
      </c>
      <c r="J457" s="46">
        <v>0</v>
      </c>
      <c r="L457" s="46">
        <v>0</v>
      </c>
      <c r="M457" s="46">
        <v>0</v>
      </c>
    </row>
    <row r="458" spans="2:13" ht="14.1" customHeight="1" x14ac:dyDescent="0.25">
      <c r="B458" s="46" t="str">
        <f t="shared" si="6"/>
        <v>2010-10-320292</v>
      </c>
      <c r="C458" s="47">
        <v>44110</v>
      </c>
      <c r="D458" s="46">
        <v>10</v>
      </c>
      <c r="E458" s="46">
        <v>2</v>
      </c>
      <c r="F458" s="46">
        <v>320292</v>
      </c>
      <c r="G458" s="48" t="s">
        <v>1002</v>
      </c>
      <c r="I458" s="46">
        <v>0</v>
      </c>
      <c r="J458" s="46">
        <v>0</v>
      </c>
      <c r="L458" s="46">
        <v>0</v>
      </c>
      <c r="M458" s="46">
        <v>0</v>
      </c>
    </row>
    <row r="459" spans="2:13" ht="14.1" customHeight="1" x14ac:dyDescent="0.25">
      <c r="B459" s="46" t="str">
        <f t="shared" si="6"/>
        <v>2010-10-320272</v>
      </c>
      <c r="C459" s="47">
        <v>44110</v>
      </c>
      <c r="D459" s="46">
        <v>10</v>
      </c>
      <c r="E459" s="46">
        <v>1</v>
      </c>
      <c r="F459" s="46">
        <v>320272</v>
      </c>
      <c r="G459" s="48" t="s">
        <v>1003</v>
      </c>
      <c r="I459" s="46">
        <v>0</v>
      </c>
      <c r="J459" s="46">
        <v>0</v>
      </c>
      <c r="L459" s="46">
        <v>0</v>
      </c>
      <c r="M459" s="46">
        <v>0</v>
      </c>
    </row>
    <row r="460" spans="2:13" ht="14.1" customHeight="1" x14ac:dyDescent="0.25">
      <c r="B460" s="46" t="str">
        <f t="shared" ref="B460:B523" si="7">TEXT(C460,"yy") &amp; TEXT(C460,"mm") &amp;"-"&amp;(D460) &amp;"-"&amp;(F460)</f>
        <v>2010-10-320279</v>
      </c>
      <c r="C460" s="47">
        <v>44110</v>
      </c>
      <c r="D460" s="46">
        <v>10</v>
      </c>
      <c r="E460" s="46">
        <v>12</v>
      </c>
      <c r="F460" s="46">
        <v>320279</v>
      </c>
      <c r="G460" s="48" t="s">
        <v>1004</v>
      </c>
      <c r="I460" s="46">
        <v>0</v>
      </c>
      <c r="J460" s="46">
        <v>0</v>
      </c>
      <c r="L460" s="46">
        <v>0</v>
      </c>
      <c r="M460" s="46">
        <v>0</v>
      </c>
    </row>
    <row r="461" spans="2:13" ht="14.1" customHeight="1" x14ac:dyDescent="0.25">
      <c r="B461" s="46" t="str">
        <f t="shared" si="7"/>
        <v>2010-10-320295</v>
      </c>
      <c r="C461" s="47">
        <v>44110</v>
      </c>
      <c r="D461" s="46">
        <v>10</v>
      </c>
      <c r="E461" s="46">
        <v>24</v>
      </c>
      <c r="F461" s="46">
        <v>320295</v>
      </c>
      <c r="G461" s="48" t="s">
        <v>1005</v>
      </c>
      <c r="I461" s="46">
        <v>0</v>
      </c>
      <c r="J461" s="46">
        <v>0</v>
      </c>
      <c r="L461" s="46">
        <v>0</v>
      </c>
      <c r="M461" s="46">
        <v>0</v>
      </c>
    </row>
    <row r="462" spans="2:13" ht="14.1" customHeight="1" x14ac:dyDescent="0.25">
      <c r="B462" s="46" t="str">
        <f t="shared" si="7"/>
        <v>2010-10-320296</v>
      </c>
      <c r="C462" s="47">
        <v>44110</v>
      </c>
      <c r="D462" s="46">
        <v>10</v>
      </c>
      <c r="E462" s="46">
        <v>12</v>
      </c>
      <c r="F462" s="46">
        <v>320296</v>
      </c>
      <c r="G462" s="48" t="s">
        <v>1018</v>
      </c>
      <c r="I462" s="46">
        <v>0</v>
      </c>
      <c r="J462" s="46">
        <v>0</v>
      </c>
      <c r="L462" s="46">
        <v>0</v>
      </c>
      <c r="M462" s="46">
        <v>0</v>
      </c>
    </row>
    <row r="463" spans="2:13" ht="14.1" customHeight="1" x14ac:dyDescent="0.25">
      <c r="B463" s="46" t="str">
        <f t="shared" si="7"/>
        <v>2010-10-320304</v>
      </c>
      <c r="C463" s="47">
        <v>44110</v>
      </c>
      <c r="D463" s="46">
        <v>10</v>
      </c>
      <c r="E463" s="46">
        <v>1</v>
      </c>
      <c r="F463" s="46">
        <v>320304</v>
      </c>
      <c r="G463" s="50" t="s">
        <v>1019</v>
      </c>
      <c r="I463" s="46">
        <v>0</v>
      </c>
      <c r="J463" s="46">
        <v>0</v>
      </c>
      <c r="L463" s="46">
        <v>0</v>
      </c>
      <c r="M463" s="46">
        <v>0</v>
      </c>
    </row>
    <row r="464" spans="2:13" ht="14.1" customHeight="1" x14ac:dyDescent="0.25">
      <c r="B464" s="46" t="str">
        <f t="shared" si="7"/>
        <v>2010-10-320246</v>
      </c>
      <c r="C464" s="47">
        <v>44110</v>
      </c>
      <c r="D464" s="46">
        <v>10</v>
      </c>
      <c r="E464" s="46">
        <v>24</v>
      </c>
      <c r="F464" s="46">
        <v>320246</v>
      </c>
      <c r="G464" s="48" t="s">
        <v>1008</v>
      </c>
      <c r="I464" s="46">
        <v>0</v>
      </c>
      <c r="J464" s="46">
        <v>0</v>
      </c>
      <c r="L464" s="46">
        <v>0</v>
      </c>
      <c r="M464" s="46">
        <v>0</v>
      </c>
    </row>
    <row r="465" spans="2:13" ht="14.1" customHeight="1" x14ac:dyDescent="0.25">
      <c r="B465" s="46" t="str">
        <f t="shared" si="7"/>
        <v>2010-10-320261</v>
      </c>
      <c r="C465" s="47">
        <v>44110</v>
      </c>
      <c r="D465" s="46">
        <v>10</v>
      </c>
      <c r="E465" s="46">
        <v>4</v>
      </c>
      <c r="F465" s="46">
        <v>320261</v>
      </c>
      <c r="G465" s="50" t="s">
        <v>1009</v>
      </c>
      <c r="I465" s="46">
        <v>0</v>
      </c>
      <c r="J465" s="46">
        <v>0</v>
      </c>
      <c r="L465" s="46">
        <v>0</v>
      </c>
      <c r="M465" s="46">
        <v>0</v>
      </c>
    </row>
    <row r="466" spans="2:13" ht="14.1" customHeight="1" x14ac:dyDescent="0.25">
      <c r="B466" s="46" t="str">
        <f t="shared" si="7"/>
        <v>2010-10-320265</v>
      </c>
      <c r="C466" s="47">
        <v>44110</v>
      </c>
      <c r="D466" s="46">
        <v>10</v>
      </c>
      <c r="E466" s="46">
        <v>2</v>
      </c>
      <c r="F466" s="46">
        <v>320265</v>
      </c>
      <c r="G466" s="50" t="s">
        <v>1010</v>
      </c>
      <c r="I466" s="46">
        <v>0</v>
      </c>
      <c r="J466" s="46">
        <v>0</v>
      </c>
      <c r="L466" s="46">
        <v>0</v>
      </c>
      <c r="M466" s="46">
        <v>0</v>
      </c>
    </row>
    <row r="467" spans="2:13" ht="14.1" customHeight="1" x14ac:dyDescent="0.25">
      <c r="B467" s="46" t="str">
        <f t="shared" si="7"/>
        <v>2010-10-320266</v>
      </c>
      <c r="C467" s="47">
        <v>44110</v>
      </c>
      <c r="D467" s="46">
        <v>10</v>
      </c>
      <c r="E467" s="46">
        <v>2</v>
      </c>
      <c r="F467" s="46">
        <v>320266</v>
      </c>
      <c r="G467" s="50" t="s">
        <v>1011</v>
      </c>
      <c r="I467" s="46">
        <v>0</v>
      </c>
      <c r="J467" s="46">
        <v>0</v>
      </c>
      <c r="L467" s="46">
        <v>0</v>
      </c>
      <c r="M467" s="46">
        <v>0</v>
      </c>
    </row>
    <row r="468" spans="2:13" ht="14.1" customHeight="1" x14ac:dyDescent="0.25">
      <c r="B468" s="46" t="str">
        <f t="shared" si="7"/>
        <v>2010-11-302025</v>
      </c>
      <c r="C468" s="47">
        <v>44110</v>
      </c>
      <c r="D468" s="46">
        <v>11</v>
      </c>
      <c r="E468" s="46">
        <v>8</v>
      </c>
      <c r="F468" s="46">
        <v>302025</v>
      </c>
      <c r="G468" s="50" t="s">
        <v>118</v>
      </c>
      <c r="H468" s="47">
        <v>44133</v>
      </c>
      <c r="I468" s="46">
        <v>50246</v>
      </c>
      <c r="J468" s="46">
        <v>8</v>
      </c>
      <c r="K468" s="47">
        <v>44134</v>
      </c>
      <c r="L468" s="46">
        <v>10232</v>
      </c>
      <c r="M468" s="46">
        <v>8</v>
      </c>
    </row>
    <row r="469" spans="2:13" ht="14.1" customHeight="1" x14ac:dyDescent="0.25">
      <c r="B469" s="46" t="str">
        <f t="shared" si="7"/>
        <v>2010-11-320302</v>
      </c>
      <c r="C469" s="47">
        <v>44110</v>
      </c>
      <c r="D469" s="46">
        <v>11</v>
      </c>
      <c r="E469" s="46">
        <v>2</v>
      </c>
      <c r="F469" s="46">
        <v>320302</v>
      </c>
      <c r="G469" s="48" t="s">
        <v>1038</v>
      </c>
      <c r="H469" s="47">
        <v>44133</v>
      </c>
      <c r="I469" s="46">
        <v>50245</v>
      </c>
      <c r="J469" s="46">
        <v>2</v>
      </c>
      <c r="K469" s="47">
        <v>44148</v>
      </c>
      <c r="L469" s="46">
        <v>10336</v>
      </c>
      <c r="M469" s="46">
        <v>2</v>
      </c>
    </row>
    <row r="470" spans="2:13" ht="14.1" customHeight="1" x14ac:dyDescent="0.25">
      <c r="B470" s="46" t="str">
        <f t="shared" si="7"/>
        <v>2010-11-313823</v>
      </c>
      <c r="C470" s="47">
        <v>44110</v>
      </c>
      <c r="D470" s="46">
        <v>11</v>
      </c>
      <c r="E470" s="46">
        <v>1</v>
      </c>
      <c r="F470" s="46">
        <v>313823</v>
      </c>
      <c r="G470" s="48" t="s">
        <v>840</v>
      </c>
      <c r="I470" s="46">
        <v>0</v>
      </c>
      <c r="J470" s="46">
        <v>0</v>
      </c>
      <c r="L470" s="46">
        <v>0</v>
      </c>
      <c r="M470" s="46">
        <v>0</v>
      </c>
    </row>
    <row r="471" spans="2:13" ht="14.1" customHeight="1" x14ac:dyDescent="0.25">
      <c r="B471" s="46" t="str">
        <f t="shared" si="7"/>
        <v>2010-11-302023</v>
      </c>
      <c r="C471" s="47">
        <v>44110</v>
      </c>
      <c r="D471" s="46">
        <v>11</v>
      </c>
      <c r="E471" s="46">
        <v>8</v>
      </c>
      <c r="F471" s="46">
        <v>302023</v>
      </c>
      <c r="G471" s="48" t="s">
        <v>205</v>
      </c>
      <c r="H471" s="47">
        <v>44133</v>
      </c>
      <c r="I471" s="46">
        <v>50246</v>
      </c>
      <c r="J471" s="46">
        <v>8</v>
      </c>
      <c r="K471" s="47">
        <v>44134</v>
      </c>
      <c r="L471" s="46">
        <v>10229</v>
      </c>
      <c r="M471" s="46">
        <v>8</v>
      </c>
    </row>
    <row r="472" spans="2:13" ht="14.1" customHeight="1" x14ac:dyDescent="0.25">
      <c r="B472" s="46" t="str">
        <f t="shared" si="7"/>
        <v>2010-11-320298</v>
      </c>
      <c r="C472" s="47">
        <v>44110</v>
      </c>
      <c r="D472" s="46">
        <v>11</v>
      </c>
      <c r="E472" s="46">
        <v>1</v>
      </c>
      <c r="F472" s="46">
        <v>320298</v>
      </c>
      <c r="G472" s="48" t="s">
        <v>1039</v>
      </c>
      <c r="I472" s="46">
        <v>0</v>
      </c>
      <c r="J472" s="46">
        <v>0</v>
      </c>
      <c r="L472" s="46">
        <v>0</v>
      </c>
      <c r="M472" s="46">
        <v>0</v>
      </c>
    </row>
    <row r="473" spans="2:13" ht="14.1" customHeight="1" x14ac:dyDescent="0.25">
      <c r="B473" s="46" t="str">
        <f t="shared" si="7"/>
        <v>2010-11-320303</v>
      </c>
      <c r="C473" s="47">
        <v>44110</v>
      </c>
      <c r="D473" s="46">
        <v>11</v>
      </c>
      <c r="E473" s="46">
        <v>2</v>
      </c>
      <c r="F473" s="46">
        <v>320303</v>
      </c>
      <c r="G473" s="50" t="s">
        <v>1040</v>
      </c>
      <c r="H473" s="47">
        <v>44133</v>
      </c>
      <c r="I473" s="46">
        <v>50245</v>
      </c>
      <c r="J473" s="46">
        <v>2</v>
      </c>
      <c r="K473" s="47">
        <v>44148</v>
      </c>
      <c r="L473" s="46">
        <v>10336</v>
      </c>
      <c r="M473" s="46">
        <v>2</v>
      </c>
    </row>
    <row r="474" spans="2:13" ht="14.1" customHeight="1" x14ac:dyDescent="0.25">
      <c r="B474" s="46" t="str">
        <f t="shared" si="7"/>
        <v>2010-11-306099</v>
      </c>
      <c r="C474" s="47">
        <v>44110</v>
      </c>
      <c r="D474" s="46">
        <v>11</v>
      </c>
      <c r="E474" s="46">
        <v>8</v>
      </c>
      <c r="F474" s="46">
        <v>306099</v>
      </c>
      <c r="G474" s="48" t="s">
        <v>119</v>
      </c>
      <c r="H474" s="47">
        <v>44133</v>
      </c>
      <c r="I474" s="46">
        <v>50246</v>
      </c>
      <c r="J474" s="46">
        <v>8</v>
      </c>
      <c r="K474" s="47">
        <v>44134</v>
      </c>
      <c r="L474" s="46">
        <v>10232</v>
      </c>
      <c r="M474" s="46">
        <v>8</v>
      </c>
    </row>
    <row r="475" spans="2:13" ht="14.1" customHeight="1" x14ac:dyDescent="0.25">
      <c r="B475" s="46" t="str">
        <f t="shared" si="7"/>
        <v>2010-11-301212</v>
      </c>
      <c r="C475" s="47">
        <v>44110</v>
      </c>
      <c r="D475" s="46">
        <v>11</v>
      </c>
      <c r="E475" s="46">
        <v>2</v>
      </c>
      <c r="F475" s="46">
        <v>301212</v>
      </c>
      <c r="G475" s="50" t="s">
        <v>615</v>
      </c>
      <c r="H475" s="47">
        <v>44133</v>
      </c>
      <c r="I475" s="46">
        <v>50249</v>
      </c>
      <c r="J475" s="46">
        <v>2</v>
      </c>
      <c r="K475" s="47">
        <v>44147</v>
      </c>
      <c r="L475" s="46">
        <v>10323</v>
      </c>
      <c r="M475" s="46">
        <v>2</v>
      </c>
    </row>
    <row r="476" spans="2:13" ht="14.1" customHeight="1" x14ac:dyDescent="0.25">
      <c r="B476" s="46" t="str">
        <f t="shared" si="7"/>
        <v>2010-11-301219</v>
      </c>
      <c r="C476" s="47">
        <v>44110</v>
      </c>
      <c r="D476" s="46">
        <v>11</v>
      </c>
      <c r="E476" s="46">
        <v>2</v>
      </c>
      <c r="F476" s="46">
        <v>301219</v>
      </c>
      <c r="G476" s="50" t="s">
        <v>121</v>
      </c>
      <c r="H476" s="47">
        <v>44133</v>
      </c>
      <c r="I476" s="46">
        <v>50246</v>
      </c>
      <c r="J476" s="46">
        <v>2</v>
      </c>
      <c r="K476" s="47">
        <v>44134</v>
      </c>
      <c r="L476" s="46">
        <v>10232</v>
      </c>
      <c r="M476" s="46">
        <v>2</v>
      </c>
    </row>
    <row r="477" spans="2:13" ht="14.1" customHeight="1" x14ac:dyDescent="0.25">
      <c r="B477" s="46" t="str">
        <f t="shared" si="7"/>
        <v>2010-12-309145</v>
      </c>
      <c r="C477" s="47">
        <v>44110</v>
      </c>
      <c r="D477" s="46">
        <v>12</v>
      </c>
      <c r="E477" s="46">
        <v>6</v>
      </c>
      <c r="F477" s="46">
        <v>309145</v>
      </c>
      <c r="G477" s="48" t="s">
        <v>189</v>
      </c>
      <c r="H477" s="47">
        <v>44159</v>
      </c>
      <c r="I477" s="46">
        <v>50634</v>
      </c>
      <c r="J477" s="46">
        <v>6</v>
      </c>
      <c r="K477" s="47">
        <v>44162</v>
      </c>
      <c r="L477" s="46">
        <v>10498</v>
      </c>
      <c r="M477" s="46">
        <v>6</v>
      </c>
    </row>
    <row r="478" spans="2:13" ht="14.1" customHeight="1" x14ac:dyDescent="0.25">
      <c r="B478" s="46" t="str">
        <f t="shared" si="7"/>
        <v>2010-12-309147</v>
      </c>
      <c r="C478" s="47">
        <v>44110</v>
      </c>
      <c r="D478" s="46">
        <v>12</v>
      </c>
      <c r="E478" s="46">
        <v>6</v>
      </c>
      <c r="F478" s="46">
        <v>309147</v>
      </c>
      <c r="G478" s="48" t="s">
        <v>187</v>
      </c>
      <c r="H478" s="47">
        <v>44159</v>
      </c>
      <c r="I478" s="46">
        <v>50634</v>
      </c>
      <c r="J478" s="46">
        <v>6</v>
      </c>
      <c r="K478" s="47">
        <v>44166</v>
      </c>
      <c r="L478" s="46">
        <v>10544</v>
      </c>
      <c r="M478" s="46">
        <v>6</v>
      </c>
    </row>
    <row r="479" spans="2:13" ht="14.1" customHeight="1" x14ac:dyDescent="0.25">
      <c r="B479" s="46" t="str">
        <f t="shared" si="7"/>
        <v>2010-13-205241</v>
      </c>
      <c r="C479" s="47">
        <v>44110</v>
      </c>
      <c r="D479" s="46">
        <v>13</v>
      </c>
      <c r="E479" s="46">
        <v>1</v>
      </c>
      <c r="F479" s="46">
        <v>205241</v>
      </c>
      <c r="G479" s="48" t="s">
        <v>555</v>
      </c>
      <c r="H479" s="47">
        <v>44109</v>
      </c>
      <c r="I479" s="46">
        <v>49994</v>
      </c>
      <c r="J479" s="46">
        <v>1</v>
      </c>
      <c r="K479" s="47">
        <v>44110</v>
      </c>
      <c r="L479" s="46">
        <v>10017</v>
      </c>
      <c r="M479" s="46">
        <v>1</v>
      </c>
    </row>
    <row r="480" spans="2:13" ht="14.1" customHeight="1" x14ac:dyDescent="0.25">
      <c r="B480" s="46" t="str">
        <f t="shared" si="7"/>
        <v>2010-13-303744</v>
      </c>
      <c r="C480" s="47">
        <v>44110</v>
      </c>
      <c r="D480" s="46">
        <v>13</v>
      </c>
      <c r="E480" s="46">
        <v>1</v>
      </c>
      <c r="F480" s="46">
        <v>303744</v>
      </c>
      <c r="G480" s="48" t="s">
        <v>662</v>
      </c>
      <c r="H480" s="47">
        <v>44109</v>
      </c>
      <c r="I480" s="46">
        <v>49994</v>
      </c>
      <c r="J480" s="46">
        <v>1</v>
      </c>
      <c r="K480" s="47">
        <v>44110</v>
      </c>
      <c r="L480" s="46">
        <v>10017</v>
      </c>
      <c r="M480" s="46">
        <v>1</v>
      </c>
    </row>
    <row r="481" spans="2:13" ht="14.1" customHeight="1" x14ac:dyDescent="0.25">
      <c r="B481" s="46" t="str">
        <f t="shared" si="7"/>
        <v>2010-14-302128</v>
      </c>
      <c r="C481" s="47">
        <v>44110</v>
      </c>
      <c r="D481" s="46">
        <v>14</v>
      </c>
      <c r="E481" s="46">
        <v>2</v>
      </c>
      <c r="F481" s="46">
        <v>302128</v>
      </c>
      <c r="G481" s="50" t="s">
        <v>636</v>
      </c>
      <c r="H481" s="47">
        <v>44106</v>
      </c>
      <c r="I481" s="46">
        <v>49995</v>
      </c>
      <c r="J481" s="46">
        <v>2</v>
      </c>
      <c r="K481" s="47">
        <v>44110</v>
      </c>
      <c r="L481" s="46">
        <v>10018</v>
      </c>
      <c r="M481" s="46">
        <v>2</v>
      </c>
    </row>
    <row r="482" spans="2:13" ht="14.1" customHeight="1" x14ac:dyDescent="0.25">
      <c r="B482" s="46" t="str">
        <f t="shared" si="7"/>
        <v>2010-14-310702</v>
      </c>
      <c r="C482" s="47">
        <v>44110</v>
      </c>
      <c r="D482" s="46">
        <v>14</v>
      </c>
      <c r="E482" s="46">
        <v>1</v>
      </c>
      <c r="F482" s="46">
        <v>310702</v>
      </c>
      <c r="G482" s="48" t="s">
        <v>778</v>
      </c>
      <c r="H482" s="47">
        <v>44106</v>
      </c>
      <c r="I482" s="46">
        <v>49995</v>
      </c>
      <c r="J482" s="46">
        <v>1</v>
      </c>
      <c r="K482" s="47">
        <v>44110</v>
      </c>
      <c r="L482" s="46">
        <v>10018</v>
      </c>
      <c r="M482" s="46">
        <v>1</v>
      </c>
    </row>
    <row r="483" spans="2:13" ht="14.1" customHeight="1" x14ac:dyDescent="0.25">
      <c r="B483" s="46" t="str">
        <f t="shared" si="7"/>
        <v>2010-26-310100</v>
      </c>
      <c r="C483" s="47">
        <v>44111</v>
      </c>
      <c r="D483" s="46">
        <v>26</v>
      </c>
      <c r="E483" s="46">
        <v>1</v>
      </c>
      <c r="F483" s="46">
        <v>310100</v>
      </c>
      <c r="G483" s="48" t="s">
        <v>768</v>
      </c>
      <c r="H483" s="47">
        <v>44144</v>
      </c>
      <c r="I483" s="46">
        <v>50445</v>
      </c>
      <c r="J483" s="46">
        <v>1</v>
      </c>
      <c r="K483" s="47">
        <v>44145</v>
      </c>
      <c r="L483" s="46">
        <v>10305</v>
      </c>
      <c r="M483" s="46">
        <v>1</v>
      </c>
    </row>
    <row r="484" spans="2:13" ht="14.1" customHeight="1" x14ac:dyDescent="0.25">
      <c r="B484" s="46" t="str">
        <f t="shared" si="7"/>
        <v>2010-27-301354</v>
      </c>
      <c r="C484" s="47">
        <v>44111</v>
      </c>
      <c r="D484" s="46">
        <v>27</v>
      </c>
      <c r="E484" s="46">
        <v>1</v>
      </c>
      <c r="F484" s="46">
        <v>301354</v>
      </c>
      <c r="G484" s="48" t="s">
        <v>619</v>
      </c>
      <c r="H484" s="47">
        <v>44110</v>
      </c>
      <c r="I484" s="46">
        <v>49996</v>
      </c>
      <c r="J484" s="46">
        <v>1</v>
      </c>
      <c r="K484" s="47">
        <v>44111</v>
      </c>
      <c r="L484" s="46">
        <v>10036</v>
      </c>
      <c r="M484" s="46">
        <v>1</v>
      </c>
    </row>
    <row r="485" spans="2:13" ht="14.1" customHeight="1" x14ac:dyDescent="0.25">
      <c r="B485" s="46" t="str">
        <f t="shared" si="7"/>
        <v>2010-29-200751</v>
      </c>
      <c r="C485" s="47">
        <v>44111</v>
      </c>
      <c r="D485" s="46">
        <v>29</v>
      </c>
      <c r="E485" s="46">
        <v>20000</v>
      </c>
      <c r="F485" s="46">
        <v>200751</v>
      </c>
      <c r="G485" s="48" t="s">
        <v>151</v>
      </c>
      <c r="H485" s="47">
        <v>44112</v>
      </c>
      <c r="I485" s="46">
        <v>49997</v>
      </c>
      <c r="J485" s="46">
        <v>10000</v>
      </c>
      <c r="K485" s="47">
        <v>44116</v>
      </c>
      <c r="L485" s="46">
        <v>10057</v>
      </c>
      <c r="M485" s="46">
        <v>10000</v>
      </c>
    </row>
    <row r="486" spans="2:13" ht="14.1" customHeight="1" x14ac:dyDescent="0.25">
      <c r="B486" s="46" t="str">
        <f t="shared" si="7"/>
        <v>2010-29-200751</v>
      </c>
      <c r="C486" s="47">
        <v>44111</v>
      </c>
      <c r="D486" s="46">
        <v>29</v>
      </c>
      <c r="E486" s="46">
        <v>20000</v>
      </c>
      <c r="F486" s="46">
        <v>200751</v>
      </c>
      <c r="G486" s="48" t="s">
        <v>151</v>
      </c>
      <c r="H486" s="47">
        <v>44112</v>
      </c>
      <c r="I486" s="46">
        <v>49997</v>
      </c>
      <c r="J486" s="46">
        <v>10000</v>
      </c>
      <c r="K486" s="47">
        <v>44116</v>
      </c>
      <c r="L486" s="46">
        <v>10062</v>
      </c>
      <c r="M486" s="46">
        <v>10000</v>
      </c>
    </row>
    <row r="487" spans="2:13" ht="14.1" customHeight="1" x14ac:dyDescent="0.25">
      <c r="B487" s="46" t="str">
        <f t="shared" si="7"/>
        <v>2010-29-200751</v>
      </c>
      <c r="C487" s="47">
        <v>44111</v>
      </c>
      <c r="D487" s="46">
        <v>29</v>
      </c>
      <c r="E487" s="46">
        <v>20000</v>
      </c>
      <c r="F487" s="46">
        <v>200751</v>
      </c>
      <c r="G487" s="48" t="s">
        <v>151</v>
      </c>
      <c r="H487" s="47">
        <v>44112</v>
      </c>
      <c r="I487" s="46">
        <v>49999</v>
      </c>
      <c r="J487" s="46">
        <v>10000</v>
      </c>
      <c r="K487" s="47">
        <v>44116</v>
      </c>
      <c r="L487" s="46">
        <v>10057</v>
      </c>
      <c r="M487" s="46">
        <v>10000</v>
      </c>
    </row>
    <row r="488" spans="2:13" ht="14.1" customHeight="1" x14ac:dyDescent="0.25">
      <c r="B488" s="46" t="str">
        <f t="shared" si="7"/>
        <v>2010-29-200751</v>
      </c>
      <c r="C488" s="47">
        <v>44111</v>
      </c>
      <c r="D488" s="46">
        <v>29</v>
      </c>
      <c r="E488" s="46">
        <v>20000</v>
      </c>
      <c r="F488" s="46">
        <v>200751</v>
      </c>
      <c r="G488" s="48" t="s">
        <v>151</v>
      </c>
      <c r="H488" s="47">
        <v>44112</v>
      </c>
      <c r="I488" s="46">
        <v>49999</v>
      </c>
      <c r="J488" s="46">
        <v>10000</v>
      </c>
      <c r="K488" s="47">
        <v>44116</v>
      </c>
      <c r="L488" s="46">
        <v>10062</v>
      </c>
      <c r="M488" s="46">
        <v>10000</v>
      </c>
    </row>
    <row r="489" spans="2:13" ht="14.1" customHeight="1" x14ac:dyDescent="0.25">
      <c r="B489" s="46" t="str">
        <f t="shared" si="7"/>
        <v>2010-34-307377</v>
      </c>
      <c r="C489" s="47">
        <v>44111</v>
      </c>
      <c r="D489" s="46">
        <v>34</v>
      </c>
      <c r="E489" s="46">
        <v>15</v>
      </c>
      <c r="F489" s="46">
        <v>307377</v>
      </c>
      <c r="G489" s="48" t="s">
        <v>308</v>
      </c>
      <c r="H489" s="47">
        <v>44118</v>
      </c>
      <c r="I489" s="46">
        <v>50039</v>
      </c>
      <c r="J489" s="46">
        <v>15</v>
      </c>
      <c r="K489" s="47">
        <v>44123</v>
      </c>
      <c r="L489" s="46">
        <v>10115</v>
      </c>
      <c r="M489" s="46">
        <v>15</v>
      </c>
    </row>
    <row r="490" spans="2:13" ht="14.1" customHeight="1" x14ac:dyDescent="0.25">
      <c r="B490" s="46" t="str">
        <f t="shared" si="7"/>
        <v>2010-34-307377</v>
      </c>
      <c r="C490" s="47">
        <v>44111</v>
      </c>
      <c r="D490" s="46">
        <v>34</v>
      </c>
      <c r="E490" s="46">
        <v>15</v>
      </c>
      <c r="F490" s="46">
        <v>307377</v>
      </c>
      <c r="G490" s="48" t="s">
        <v>308</v>
      </c>
      <c r="H490" s="47">
        <v>44118</v>
      </c>
      <c r="I490" s="46">
        <v>50039</v>
      </c>
      <c r="J490" s="46">
        <v>15</v>
      </c>
      <c r="K490" s="47">
        <v>44123</v>
      </c>
      <c r="L490" s="46">
        <v>10115</v>
      </c>
      <c r="M490" s="46">
        <v>15</v>
      </c>
    </row>
    <row r="491" spans="2:13" ht="14.1" customHeight="1" x14ac:dyDescent="0.25">
      <c r="B491" s="46" t="str">
        <f t="shared" si="7"/>
        <v>2010-34-300877</v>
      </c>
      <c r="C491" s="47">
        <v>44111</v>
      </c>
      <c r="D491" s="46">
        <v>34</v>
      </c>
      <c r="E491" s="46">
        <v>400</v>
      </c>
      <c r="F491" s="46">
        <v>300877</v>
      </c>
      <c r="G491" s="48" t="s">
        <v>611</v>
      </c>
      <c r="H491" s="47">
        <v>44118</v>
      </c>
      <c r="I491" s="46">
        <v>50036</v>
      </c>
      <c r="J491" s="46">
        <v>400</v>
      </c>
      <c r="K491" s="47">
        <v>44119</v>
      </c>
      <c r="L491" s="46">
        <v>10100</v>
      </c>
      <c r="M491" s="46">
        <v>400</v>
      </c>
    </row>
    <row r="492" spans="2:13" ht="14.1" customHeight="1" x14ac:dyDescent="0.25">
      <c r="B492" s="46" t="str">
        <f t="shared" si="7"/>
        <v>2010-34-204192</v>
      </c>
      <c r="C492" s="47">
        <v>44111</v>
      </c>
      <c r="D492" s="46">
        <v>34</v>
      </c>
      <c r="E492" s="46">
        <v>200</v>
      </c>
      <c r="F492" s="46">
        <v>204192</v>
      </c>
      <c r="G492" s="48" t="s">
        <v>59</v>
      </c>
      <c r="H492" s="47">
        <v>44118</v>
      </c>
      <c r="I492" s="46">
        <v>50036</v>
      </c>
      <c r="J492" s="46">
        <v>200</v>
      </c>
      <c r="K492" s="47">
        <v>44119</v>
      </c>
      <c r="L492" s="46">
        <v>10100</v>
      </c>
      <c r="M492" s="46">
        <v>200</v>
      </c>
    </row>
    <row r="493" spans="2:13" ht="14.1" customHeight="1" x14ac:dyDescent="0.25">
      <c r="B493" s="46" t="str">
        <f t="shared" si="7"/>
        <v>2010-34-200209</v>
      </c>
      <c r="C493" s="47">
        <v>44111</v>
      </c>
      <c r="D493" s="46">
        <v>34</v>
      </c>
      <c r="E493" s="46">
        <v>12</v>
      </c>
      <c r="F493" s="46">
        <v>200209</v>
      </c>
      <c r="G493" s="48" t="s">
        <v>228</v>
      </c>
      <c r="H493" s="47">
        <v>44118</v>
      </c>
      <c r="I493" s="46">
        <v>50036</v>
      </c>
      <c r="J493" s="46">
        <v>12</v>
      </c>
      <c r="K493" s="47">
        <v>44119</v>
      </c>
      <c r="L493" s="46">
        <v>10100</v>
      </c>
      <c r="M493" s="46">
        <v>12</v>
      </c>
    </row>
    <row r="494" spans="2:13" ht="14.1" customHeight="1" x14ac:dyDescent="0.25">
      <c r="B494" s="46" t="str">
        <f t="shared" si="7"/>
        <v>2010-39-312865</v>
      </c>
      <c r="C494" s="47">
        <v>44116</v>
      </c>
      <c r="D494" s="46">
        <v>39</v>
      </c>
      <c r="E494" s="46">
        <v>10000</v>
      </c>
      <c r="F494" s="46">
        <v>312865</v>
      </c>
      <c r="G494" s="48" t="s">
        <v>150</v>
      </c>
      <c r="H494" s="47">
        <v>44116</v>
      </c>
      <c r="I494" s="46">
        <v>49966</v>
      </c>
      <c r="J494" s="46">
        <v>10000</v>
      </c>
      <c r="K494" s="47">
        <v>44119</v>
      </c>
      <c r="L494" s="46">
        <v>10099</v>
      </c>
      <c r="M494" s="46">
        <v>10000</v>
      </c>
    </row>
    <row r="495" spans="2:13" ht="14.1" customHeight="1" x14ac:dyDescent="0.25">
      <c r="B495" s="46" t="str">
        <f t="shared" si="7"/>
        <v>2010-50-313550</v>
      </c>
      <c r="C495" s="47">
        <v>44116</v>
      </c>
      <c r="D495" s="46">
        <v>50</v>
      </c>
      <c r="E495" s="46">
        <v>4</v>
      </c>
      <c r="F495" s="46">
        <v>313550</v>
      </c>
      <c r="G495" s="48" t="s">
        <v>837</v>
      </c>
      <c r="H495" s="47">
        <v>44116</v>
      </c>
      <c r="I495" s="46">
        <v>50054</v>
      </c>
      <c r="J495" s="46">
        <v>4</v>
      </c>
      <c r="K495" s="47">
        <v>44117</v>
      </c>
      <c r="L495" s="46">
        <v>10066</v>
      </c>
      <c r="M495" s="46">
        <v>4</v>
      </c>
    </row>
    <row r="496" spans="2:13" ht="14.1" customHeight="1" x14ac:dyDescent="0.25">
      <c r="B496" s="46" t="str">
        <f t="shared" si="7"/>
        <v>2010-50-106767</v>
      </c>
      <c r="C496" s="47">
        <v>44116</v>
      </c>
      <c r="D496" s="46">
        <v>50</v>
      </c>
      <c r="E496" s="46">
        <v>4</v>
      </c>
      <c r="F496" s="46">
        <v>106767</v>
      </c>
      <c r="G496" s="48" t="s">
        <v>474</v>
      </c>
      <c r="H496" s="47">
        <v>44116</v>
      </c>
      <c r="I496" s="46">
        <v>50054</v>
      </c>
      <c r="J496" s="46">
        <v>4</v>
      </c>
      <c r="K496" s="47">
        <v>44117</v>
      </c>
      <c r="L496" s="46">
        <v>10066</v>
      </c>
      <c r="M496" s="46">
        <v>4</v>
      </c>
    </row>
    <row r="497" spans="2:13" ht="14.1" customHeight="1" x14ac:dyDescent="0.25">
      <c r="B497" s="46" t="str">
        <f t="shared" si="7"/>
        <v>2010-51-107539</v>
      </c>
      <c r="C497" s="47">
        <v>44117</v>
      </c>
      <c r="D497" s="46">
        <v>51</v>
      </c>
      <c r="E497" s="46">
        <v>30</v>
      </c>
      <c r="F497" s="46">
        <v>107539</v>
      </c>
      <c r="G497" s="48" t="s">
        <v>113</v>
      </c>
      <c r="H497" s="47">
        <v>44124</v>
      </c>
      <c r="I497" s="46">
        <v>50131</v>
      </c>
      <c r="J497" s="46">
        <v>20</v>
      </c>
      <c r="K497" s="47">
        <v>44127</v>
      </c>
      <c r="L497" s="46">
        <v>10196</v>
      </c>
      <c r="M497" s="46">
        <v>20</v>
      </c>
    </row>
    <row r="498" spans="2:13" ht="14.1" customHeight="1" x14ac:dyDescent="0.25">
      <c r="B498" s="46" t="str">
        <f t="shared" si="7"/>
        <v>2010-51-205175</v>
      </c>
      <c r="C498" s="47">
        <v>44117</v>
      </c>
      <c r="D498" s="46">
        <v>51</v>
      </c>
      <c r="E498" s="46">
        <v>50</v>
      </c>
      <c r="F498" s="46">
        <v>205175</v>
      </c>
      <c r="G498" s="48" t="s">
        <v>208</v>
      </c>
      <c r="H498" s="47">
        <v>44120</v>
      </c>
      <c r="I498" s="46">
        <v>50077</v>
      </c>
      <c r="J498" s="46">
        <v>50</v>
      </c>
      <c r="K498" s="47">
        <v>44158</v>
      </c>
      <c r="L498" s="46">
        <v>10453</v>
      </c>
      <c r="M498" s="46">
        <v>50</v>
      </c>
    </row>
    <row r="499" spans="2:13" ht="14.1" customHeight="1" x14ac:dyDescent="0.25">
      <c r="B499" s="46" t="str">
        <f t="shared" si="7"/>
        <v>2010-51-311660</v>
      </c>
      <c r="C499" s="47">
        <v>44117</v>
      </c>
      <c r="D499" s="46">
        <v>51</v>
      </c>
      <c r="E499" s="46">
        <v>30</v>
      </c>
      <c r="F499" s="46">
        <v>311660</v>
      </c>
      <c r="G499" s="48" t="s">
        <v>97</v>
      </c>
      <c r="H499" s="47">
        <v>44124</v>
      </c>
      <c r="I499" s="46">
        <v>50131</v>
      </c>
      <c r="J499" s="46">
        <v>20</v>
      </c>
      <c r="K499" s="47">
        <v>44127</v>
      </c>
      <c r="L499" s="46">
        <v>10196</v>
      </c>
      <c r="M499" s="46">
        <v>20</v>
      </c>
    </row>
    <row r="500" spans="2:13" ht="14.1" customHeight="1" x14ac:dyDescent="0.25">
      <c r="B500" s="46" t="str">
        <f t="shared" si="7"/>
        <v>2010-51-302514</v>
      </c>
      <c r="C500" s="47">
        <v>44117</v>
      </c>
      <c r="D500" s="46">
        <v>51</v>
      </c>
      <c r="E500" s="46">
        <v>6</v>
      </c>
      <c r="F500" s="46">
        <v>302514</v>
      </c>
      <c r="G500" s="48" t="s">
        <v>49</v>
      </c>
      <c r="H500" s="47">
        <v>44124</v>
      </c>
      <c r="I500" s="46">
        <v>50131</v>
      </c>
      <c r="J500" s="46">
        <v>3</v>
      </c>
      <c r="K500" s="47">
        <v>44127</v>
      </c>
      <c r="L500" s="46">
        <v>10196</v>
      </c>
      <c r="M500" s="46">
        <v>2</v>
      </c>
    </row>
    <row r="501" spans="2:13" ht="14.1" customHeight="1" x14ac:dyDescent="0.25">
      <c r="B501" s="46" t="str">
        <f t="shared" si="7"/>
        <v>2010-51-302514</v>
      </c>
      <c r="C501" s="47">
        <v>44117</v>
      </c>
      <c r="D501" s="46">
        <v>51</v>
      </c>
      <c r="E501" s="46">
        <v>6</v>
      </c>
      <c r="F501" s="46">
        <v>302514</v>
      </c>
      <c r="G501" s="50" t="s">
        <v>49</v>
      </c>
      <c r="H501" s="47">
        <v>44124</v>
      </c>
      <c r="I501" s="46">
        <v>50131</v>
      </c>
      <c r="J501" s="46">
        <v>3</v>
      </c>
      <c r="K501" s="47">
        <v>44139</v>
      </c>
      <c r="L501" s="46">
        <v>10247</v>
      </c>
      <c r="M501" s="46">
        <v>1</v>
      </c>
    </row>
    <row r="502" spans="2:13" ht="14.1" customHeight="1" x14ac:dyDescent="0.25">
      <c r="B502" s="46" t="str">
        <f t="shared" si="7"/>
        <v>2010-51-100376</v>
      </c>
      <c r="C502" s="47">
        <v>44117</v>
      </c>
      <c r="D502" s="46">
        <v>51</v>
      </c>
      <c r="E502" s="46">
        <v>30</v>
      </c>
      <c r="F502" s="46">
        <v>100376</v>
      </c>
      <c r="G502" s="48" t="s">
        <v>243</v>
      </c>
      <c r="H502" s="47">
        <v>44124</v>
      </c>
      <c r="I502" s="46">
        <v>50131</v>
      </c>
      <c r="J502" s="46">
        <v>20</v>
      </c>
      <c r="K502" s="47">
        <v>44127</v>
      </c>
      <c r="L502" s="46">
        <v>10196</v>
      </c>
      <c r="M502" s="46">
        <v>20</v>
      </c>
    </row>
    <row r="503" spans="2:13" ht="14.1" customHeight="1" x14ac:dyDescent="0.25">
      <c r="B503" s="46" t="str">
        <f t="shared" si="7"/>
        <v>2010-51-204014</v>
      </c>
      <c r="C503" s="47">
        <v>44117</v>
      </c>
      <c r="D503" s="46">
        <v>51</v>
      </c>
      <c r="E503" s="46">
        <v>4</v>
      </c>
      <c r="F503" s="46">
        <v>204014</v>
      </c>
      <c r="G503" s="48" t="s">
        <v>523</v>
      </c>
      <c r="H503" s="47">
        <v>44124</v>
      </c>
      <c r="I503" s="46">
        <v>50131</v>
      </c>
      <c r="J503" s="46">
        <v>4</v>
      </c>
      <c r="K503" s="47">
        <v>44127</v>
      </c>
      <c r="L503" s="46">
        <v>10196</v>
      </c>
      <c r="M503" s="46">
        <v>4</v>
      </c>
    </row>
    <row r="504" spans="2:13" ht="14.1" customHeight="1" x14ac:dyDescent="0.25">
      <c r="B504" s="46" t="str">
        <f t="shared" si="7"/>
        <v>2010-52-308633</v>
      </c>
      <c r="C504" s="47">
        <v>44117</v>
      </c>
      <c r="D504" s="46">
        <v>52</v>
      </c>
      <c r="E504" s="46">
        <v>3</v>
      </c>
      <c r="F504" s="46">
        <v>308633</v>
      </c>
      <c r="G504" s="48" t="s">
        <v>265</v>
      </c>
      <c r="I504" s="46">
        <v>0</v>
      </c>
      <c r="J504" s="46">
        <v>0</v>
      </c>
      <c r="L504" s="46">
        <v>0</v>
      </c>
      <c r="M504" s="46">
        <v>0</v>
      </c>
    </row>
    <row r="505" spans="2:13" ht="14.1" customHeight="1" x14ac:dyDescent="0.25">
      <c r="B505" s="46" t="str">
        <f t="shared" si="7"/>
        <v>2010-52-203639</v>
      </c>
      <c r="C505" s="47">
        <v>44117</v>
      </c>
      <c r="D505" s="46">
        <v>52</v>
      </c>
      <c r="E505" s="46">
        <v>3</v>
      </c>
      <c r="F505" s="46">
        <v>203639</v>
      </c>
      <c r="G505" s="48" t="s">
        <v>266</v>
      </c>
      <c r="H505" s="47">
        <v>44153</v>
      </c>
      <c r="I505" s="46">
        <v>50545</v>
      </c>
      <c r="J505" s="46">
        <v>3</v>
      </c>
      <c r="K505" s="47">
        <v>44166</v>
      </c>
      <c r="L505" s="46">
        <v>10562</v>
      </c>
      <c r="M505" s="46">
        <v>3</v>
      </c>
    </row>
    <row r="506" spans="2:13" ht="14.1" customHeight="1" x14ac:dyDescent="0.25">
      <c r="B506" s="46" t="str">
        <f t="shared" si="7"/>
        <v>2010-52-206618</v>
      </c>
      <c r="C506" s="47">
        <v>44117</v>
      </c>
      <c r="D506" s="46">
        <v>52</v>
      </c>
      <c r="E506" s="46">
        <v>3</v>
      </c>
      <c r="F506" s="46">
        <v>206618</v>
      </c>
      <c r="G506" s="48" t="s">
        <v>588</v>
      </c>
      <c r="H506" s="47">
        <v>44152</v>
      </c>
      <c r="I506" s="46">
        <v>50543</v>
      </c>
      <c r="J506" s="46">
        <v>3</v>
      </c>
      <c r="K506" s="47">
        <v>44154</v>
      </c>
      <c r="L506" s="46">
        <v>10416</v>
      </c>
      <c r="M506" s="46">
        <v>3</v>
      </c>
    </row>
    <row r="507" spans="2:13" ht="14.1" customHeight="1" x14ac:dyDescent="0.25">
      <c r="B507" s="46" t="str">
        <f t="shared" si="7"/>
        <v>2010-52-306342</v>
      </c>
      <c r="C507" s="47">
        <v>44117</v>
      </c>
      <c r="D507" s="46">
        <v>52</v>
      </c>
      <c r="E507" s="46">
        <v>3</v>
      </c>
      <c r="F507" s="46">
        <v>306342</v>
      </c>
      <c r="G507" s="48" t="s">
        <v>267</v>
      </c>
      <c r="H507" s="47">
        <v>44152</v>
      </c>
      <c r="I507" s="46">
        <v>50543</v>
      </c>
      <c r="J507" s="46">
        <v>3</v>
      </c>
      <c r="K507" s="47">
        <v>44154</v>
      </c>
      <c r="L507" s="46">
        <v>10416</v>
      </c>
      <c r="M507" s="46">
        <v>3</v>
      </c>
    </row>
    <row r="508" spans="2:13" ht="14.1" customHeight="1" x14ac:dyDescent="0.25">
      <c r="B508" s="46" t="str">
        <f t="shared" si="7"/>
        <v>2010-52-306341</v>
      </c>
      <c r="C508" s="47">
        <v>44117</v>
      </c>
      <c r="D508" s="46">
        <v>52</v>
      </c>
      <c r="E508" s="46">
        <v>3</v>
      </c>
      <c r="F508" s="46">
        <v>306341</v>
      </c>
      <c r="G508" s="48" t="s">
        <v>63</v>
      </c>
      <c r="I508" s="46">
        <v>0</v>
      </c>
      <c r="J508" s="46">
        <v>0</v>
      </c>
      <c r="L508" s="46">
        <v>0</v>
      </c>
      <c r="M508" s="46">
        <v>0</v>
      </c>
    </row>
    <row r="509" spans="2:13" ht="14.1" customHeight="1" x14ac:dyDescent="0.25">
      <c r="B509" s="46" t="str">
        <f t="shared" si="7"/>
        <v>2010-53-307019</v>
      </c>
      <c r="C509" s="47">
        <v>44117</v>
      </c>
      <c r="D509" s="46">
        <v>53</v>
      </c>
      <c r="E509" s="46">
        <v>3</v>
      </c>
      <c r="F509" s="46">
        <v>307019</v>
      </c>
      <c r="G509" s="48" t="s">
        <v>720</v>
      </c>
      <c r="I509" s="46">
        <v>0</v>
      </c>
      <c r="J509" s="46">
        <v>0</v>
      </c>
      <c r="L509" s="46">
        <v>0</v>
      </c>
      <c r="M509" s="46">
        <v>0</v>
      </c>
    </row>
    <row r="510" spans="2:13" ht="14.1" customHeight="1" x14ac:dyDescent="0.25">
      <c r="B510" s="46" t="str">
        <f t="shared" si="7"/>
        <v>2010-53-305564</v>
      </c>
      <c r="C510" s="47">
        <v>44117</v>
      </c>
      <c r="D510" s="46">
        <v>53</v>
      </c>
      <c r="E510" s="46">
        <v>12</v>
      </c>
      <c r="F510" s="46">
        <v>305564</v>
      </c>
      <c r="G510" s="48" t="s">
        <v>698</v>
      </c>
      <c r="I510" s="46">
        <v>0</v>
      </c>
      <c r="J510" s="46">
        <v>0</v>
      </c>
      <c r="L510" s="46">
        <v>0</v>
      </c>
      <c r="M510" s="46">
        <v>0</v>
      </c>
    </row>
    <row r="511" spans="2:13" ht="14.1" customHeight="1" x14ac:dyDescent="0.25">
      <c r="B511" s="46" t="str">
        <f t="shared" si="7"/>
        <v>2010-53-300408</v>
      </c>
      <c r="C511" s="47">
        <v>44117</v>
      </c>
      <c r="D511" s="46">
        <v>53</v>
      </c>
      <c r="E511" s="46">
        <v>1</v>
      </c>
      <c r="F511" s="46">
        <v>300408</v>
      </c>
      <c r="G511" s="48" t="s">
        <v>598</v>
      </c>
      <c r="I511" s="46">
        <v>0</v>
      </c>
      <c r="J511" s="46">
        <v>0</v>
      </c>
      <c r="L511" s="46">
        <v>0</v>
      </c>
      <c r="M511" s="46">
        <v>0</v>
      </c>
    </row>
    <row r="512" spans="2:13" ht="14.1" customHeight="1" x14ac:dyDescent="0.25">
      <c r="B512" s="46" t="str">
        <f t="shared" si="7"/>
        <v>2010-53-309050</v>
      </c>
      <c r="C512" s="47">
        <v>44117</v>
      </c>
      <c r="D512" s="46">
        <v>53</v>
      </c>
      <c r="E512" s="46">
        <v>1</v>
      </c>
      <c r="F512" s="46">
        <v>309050</v>
      </c>
      <c r="G512" s="48" t="s">
        <v>752</v>
      </c>
      <c r="I512" s="46">
        <v>0</v>
      </c>
      <c r="J512" s="46">
        <v>0</v>
      </c>
      <c r="L512" s="46">
        <v>0</v>
      </c>
      <c r="M512" s="46">
        <v>0</v>
      </c>
    </row>
    <row r="513" spans="2:13" ht="14.1" customHeight="1" x14ac:dyDescent="0.25">
      <c r="B513" s="46" t="str">
        <f t="shared" si="7"/>
        <v>2010-53-304534</v>
      </c>
      <c r="C513" s="47">
        <v>44117</v>
      </c>
      <c r="D513" s="46">
        <v>53</v>
      </c>
      <c r="E513" s="46">
        <v>4</v>
      </c>
      <c r="F513" s="46">
        <v>304534</v>
      </c>
      <c r="G513" s="48" t="s">
        <v>675</v>
      </c>
      <c r="I513" s="46">
        <v>0</v>
      </c>
      <c r="J513" s="46">
        <v>0</v>
      </c>
      <c r="L513" s="46">
        <v>0</v>
      </c>
      <c r="M513" s="46">
        <v>0</v>
      </c>
    </row>
    <row r="514" spans="2:13" ht="14.1" customHeight="1" x14ac:dyDescent="0.25">
      <c r="B514" s="46" t="str">
        <f t="shared" si="7"/>
        <v>2010-53-304751</v>
      </c>
      <c r="C514" s="47">
        <v>44117</v>
      </c>
      <c r="D514" s="46">
        <v>53</v>
      </c>
      <c r="E514" s="46">
        <v>1</v>
      </c>
      <c r="F514" s="46">
        <v>304751</v>
      </c>
      <c r="G514" s="48" t="s">
        <v>679</v>
      </c>
      <c r="I514" s="46">
        <v>0</v>
      </c>
      <c r="J514" s="46">
        <v>0</v>
      </c>
      <c r="L514" s="46">
        <v>0</v>
      </c>
      <c r="M514" s="46">
        <v>0</v>
      </c>
    </row>
    <row r="515" spans="2:13" ht="14.1" customHeight="1" x14ac:dyDescent="0.25">
      <c r="B515" s="46" t="str">
        <f t="shared" si="7"/>
        <v>2010-53-300571</v>
      </c>
      <c r="C515" s="47">
        <v>44117</v>
      </c>
      <c r="D515" s="46">
        <v>53</v>
      </c>
      <c r="E515" s="46">
        <v>1</v>
      </c>
      <c r="F515" s="46">
        <v>300571</v>
      </c>
      <c r="G515" s="48" t="s">
        <v>603</v>
      </c>
      <c r="I515" s="46">
        <v>0</v>
      </c>
      <c r="J515" s="46">
        <v>0</v>
      </c>
      <c r="L515" s="46">
        <v>0</v>
      </c>
      <c r="M515" s="46">
        <v>0</v>
      </c>
    </row>
    <row r="516" spans="2:13" ht="14.1" customHeight="1" x14ac:dyDescent="0.25">
      <c r="B516" s="46" t="str">
        <f t="shared" si="7"/>
        <v>2010-54-300312</v>
      </c>
      <c r="C516" s="47">
        <v>44117</v>
      </c>
      <c r="D516" s="46">
        <v>54</v>
      </c>
      <c r="E516" s="46">
        <v>775</v>
      </c>
      <c r="F516" s="46">
        <v>300312</v>
      </c>
      <c r="G516" s="48" t="s">
        <v>186</v>
      </c>
      <c r="H516" s="47">
        <v>44123</v>
      </c>
      <c r="I516" s="46">
        <v>50121</v>
      </c>
      <c r="J516" s="46">
        <v>775</v>
      </c>
      <c r="K516" s="47">
        <v>44117</v>
      </c>
      <c r="L516" s="46">
        <v>10065</v>
      </c>
      <c r="M516" s="46">
        <v>775</v>
      </c>
    </row>
    <row r="517" spans="2:13" ht="14.1" customHeight="1" x14ac:dyDescent="0.25">
      <c r="B517" s="46" t="str">
        <f t="shared" si="7"/>
        <v>2010-55-302790</v>
      </c>
      <c r="C517" s="47">
        <v>44117</v>
      </c>
      <c r="D517" s="46">
        <v>55</v>
      </c>
      <c r="E517" s="46">
        <v>1</v>
      </c>
      <c r="F517" s="46">
        <v>302790</v>
      </c>
      <c r="G517" s="48" t="s">
        <v>646</v>
      </c>
      <c r="H517" s="47">
        <v>44119</v>
      </c>
      <c r="I517" s="46">
        <v>50053</v>
      </c>
      <c r="J517" s="46">
        <v>1</v>
      </c>
      <c r="K517" s="47">
        <v>44117</v>
      </c>
      <c r="L517" s="46">
        <v>10067</v>
      </c>
      <c r="M517" s="46">
        <v>1</v>
      </c>
    </row>
    <row r="518" spans="2:13" ht="14.1" customHeight="1" x14ac:dyDescent="0.25">
      <c r="B518" s="46" t="str">
        <f t="shared" si="7"/>
        <v>2010-55-302713</v>
      </c>
      <c r="C518" s="47">
        <v>44117</v>
      </c>
      <c r="D518" s="46">
        <v>55</v>
      </c>
      <c r="E518" s="46">
        <v>1</v>
      </c>
      <c r="F518" s="46">
        <v>302713</v>
      </c>
      <c r="G518" s="48" t="s">
        <v>1041</v>
      </c>
      <c r="H518" s="47">
        <v>44119</v>
      </c>
      <c r="I518" s="46">
        <v>50053</v>
      </c>
      <c r="J518" s="46">
        <v>1</v>
      </c>
      <c r="K518" s="47">
        <v>44117</v>
      </c>
      <c r="L518" s="46">
        <v>10067</v>
      </c>
      <c r="M518" s="46">
        <v>1</v>
      </c>
    </row>
    <row r="519" spans="2:13" ht="14.1" customHeight="1" x14ac:dyDescent="0.25">
      <c r="B519" s="46" t="str">
        <f t="shared" si="7"/>
        <v>2010-56-204845</v>
      </c>
      <c r="C519" s="47">
        <v>44117</v>
      </c>
      <c r="D519" s="46">
        <v>56</v>
      </c>
      <c r="E519" s="46">
        <v>3</v>
      </c>
      <c r="F519" s="46">
        <v>204845</v>
      </c>
      <c r="G519" s="48" t="s">
        <v>312</v>
      </c>
      <c r="H519" s="47">
        <v>44112</v>
      </c>
      <c r="I519" s="46">
        <v>50052</v>
      </c>
      <c r="J519" s="46">
        <v>3</v>
      </c>
      <c r="K519" s="47">
        <v>44117</v>
      </c>
      <c r="L519" s="46">
        <v>10068</v>
      </c>
      <c r="M519" s="46">
        <v>3</v>
      </c>
    </row>
    <row r="520" spans="2:13" ht="14.1" customHeight="1" x14ac:dyDescent="0.25">
      <c r="B520" s="46" t="str">
        <f t="shared" si="7"/>
        <v>2010-56-206537</v>
      </c>
      <c r="C520" s="47">
        <v>44117</v>
      </c>
      <c r="D520" s="46">
        <v>56</v>
      </c>
      <c r="E520" s="46">
        <v>4</v>
      </c>
      <c r="F520" s="46">
        <v>206537</v>
      </c>
      <c r="G520" s="48" t="s">
        <v>297</v>
      </c>
      <c r="H520" s="47">
        <v>44112</v>
      </c>
      <c r="I520" s="46">
        <v>50052</v>
      </c>
      <c r="J520" s="46">
        <v>4</v>
      </c>
      <c r="K520" s="47">
        <v>44117</v>
      </c>
      <c r="L520" s="46">
        <v>10068</v>
      </c>
      <c r="M520" s="46">
        <v>4</v>
      </c>
    </row>
    <row r="521" spans="2:13" ht="14.1" customHeight="1" x14ac:dyDescent="0.25">
      <c r="B521" s="46" t="str">
        <f t="shared" si="7"/>
        <v>2010-56-206536</v>
      </c>
      <c r="C521" s="47">
        <v>44117</v>
      </c>
      <c r="D521" s="46">
        <v>56</v>
      </c>
      <c r="E521" s="46">
        <v>1</v>
      </c>
      <c r="F521" s="46">
        <v>206536</v>
      </c>
      <c r="G521" s="48" t="s">
        <v>219</v>
      </c>
      <c r="H521" s="47">
        <v>44112</v>
      </c>
      <c r="I521" s="46">
        <v>50052</v>
      </c>
      <c r="J521" s="46">
        <v>1</v>
      </c>
      <c r="K521" s="47">
        <v>44117</v>
      </c>
      <c r="L521" s="46">
        <v>10068</v>
      </c>
      <c r="M521" s="46">
        <v>1</v>
      </c>
    </row>
    <row r="522" spans="2:13" ht="14.1" customHeight="1" x14ac:dyDescent="0.25">
      <c r="B522" s="46" t="str">
        <f t="shared" si="7"/>
        <v>2010-57-312508</v>
      </c>
      <c r="C522" s="47">
        <v>44117</v>
      </c>
      <c r="D522" s="46">
        <v>57</v>
      </c>
      <c r="E522" s="46">
        <v>2</v>
      </c>
      <c r="F522" s="46">
        <v>312508</v>
      </c>
      <c r="G522" s="48" t="s">
        <v>313</v>
      </c>
      <c r="H522" s="47">
        <v>44112</v>
      </c>
      <c r="I522" s="46">
        <v>50051</v>
      </c>
      <c r="J522" s="46">
        <v>2</v>
      </c>
      <c r="K522" s="47">
        <v>44117</v>
      </c>
      <c r="L522" s="46">
        <v>10069</v>
      </c>
      <c r="M522" s="46">
        <v>2</v>
      </c>
    </row>
    <row r="523" spans="2:13" ht="14.1" customHeight="1" x14ac:dyDescent="0.25">
      <c r="B523" s="46" t="str">
        <f t="shared" si="7"/>
        <v>2010-58-305745</v>
      </c>
      <c r="C523" s="47">
        <v>44117</v>
      </c>
      <c r="D523" s="46">
        <v>58</v>
      </c>
      <c r="E523" s="46">
        <v>4</v>
      </c>
      <c r="F523" s="46">
        <v>305745</v>
      </c>
      <c r="G523" s="48" t="s">
        <v>283</v>
      </c>
      <c r="H523" s="47">
        <v>44109</v>
      </c>
      <c r="I523" s="46">
        <v>50060</v>
      </c>
      <c r="J523" s="46">
        <v>4</v>
      </c>
      <c r="K523" s="47">
        <v>44117</v>
      </c>
      <c r="L523" s="46">
        <v>10070</v>
      </c>
      <c r="M523" s="46">
        <v>4</v>
      </c>
    </row>
    <row r="524" spans="2:13" ht="14.1" customHeight="1" x14ac:dyDescent="0.25">
      <c r="B524" s="46" t="str">
        <f t="shared" ref="B524:B587" si="8">TEXT(C524,"yy") &amp; TEXT(C524,"mm") &amp;"-"&amp;(D524) &amp;"-"&amp;(F524)</f>
        <v>2010-58-306097</v>
      </c>
      <c r="C524" s="47">
        <v>44117</v>
      </c>
      <c r="D524" s="46">
        <v>58</v>
      </c>
      <c r="E524" s="46">
        <v>2</v>
      </c>
      <c r="F524" s="46">
        <v>306097</v>
      </c>
      <c r="G524" s="48" t="s">
        <v>705</v>
      </c>
      <c r="H524" s="47">
        <v>44109</v>
      </c>
      <c r="I524" s="46">
        <v>50060</v>
      </c>
      <c r="J524" s="46">
        <v>2</v>
      </c>
      <c r="K524" s="47">
        <v>44117</v>
      </c>
      <c r="L524" s="46">
        <v>10070</v>
      </c>
      <c r="M524" s="46">
        <v>2</v>
      </c>
    </row>
    <row r="525" spans="2:13" ht="14.1" customHeight="1" x14ac:dyDescent="0.25">
      <c r="B525" s="46" t="str">
        <f t="shared" si="8"/>
        <v>2010-58-312702</v>
      </c>
      <c r="C525" s="47">
        <v>44117</v>
      </c>
      <c r="D525" s="46">
        <v>58</v>
      </c>
      <c r="E525" s="46">
        <v>8</v>
      </c>
      <c r="F525" s="46">
        <v>312702</v>
      </c>
      <c r="G525" s="48" t="s">
        <v>821</v>
      </c>
      <c r="H525" s="47">
        <v>44109</v>
      </c>
      <c r="I525" s="46">
        <v>50060</v>
      </c>
      <c r="J525" s="46">
        <v>8</v>
      </c>
      <c r="K525" s="47">
        <v>44117</v>
      </c>
      <c r="L525" s="46">
        <v>10070</v>
      </c>
      <c r="M525" s="46">
        <v>8</v>
      </c>
    </row>
    <row r="526" spans="2:13" ht="14.1" customHeight="1" x14ac:dyDescent="0.25">
      <c r="B526" s="46" t="str">
        <f t="shared" si="8"/>
        <v>2010-59-309972</v>
      </c>
      <c r="C526" s="47">
        <v>44117</v>
      </c>
      <c r="D526" s="46">
        <v>59</v>
      </c>
      <c r="E526" s="46">
        <v>1</v>
      </c>
      <c r="F526" s="46">
        <v>309972</v>
      </c>
      <c r="G526" s="48" t="s">
        <v>766</v>
      </c>
      <c r="H526" s="47">
        <v>44112</v>
      </c>
      <c r="I526" s="46">
        <v>50050</v>
      </c>
      <c r="J526" s="46">
        <v>1</v>
      </c>
      <c r="K526" s="47">
        <v>44117</v>
      </c>
      <c r="L526" s="46">
        <v>10071</v>
      </c>
      <c r="M526" s="46">
        <v>1</v>
      </c>
    </row>
    <row r="527" spans="2:13" ht="14.1" customHeight="1" x14ac:dyDescent="0.25">
      <c r="B527" s="46" t="str">
        <f t="shared" si="8"/>
        <v>2010-59-205344</v>
      </c>
      <c r="C527" s="47">
        <v>44117</v>
      </c>
      <c r="D527" s="46">
        <v>59</v>
      </c>
      <c r="E527" s="46">
        <v>1</v>
      </c>
      <c r="F527" s="46">
        <v>205344</v>
      </c>
      <c r="G527" s="48" t="s">
        <v>559</v>
      </c>
      <c r="H527" s="47">
        <v>44112</v>
      </c>
      <c r="I527" s="46">
        <v>50050</v>
      </c>
      <c r="J527" s="46">
        <v>1</v>
      </c>
      <c r="K527" s="47">
        <v>44117</v>
      </c>
      <c r="L527" s="46">
        <v>10071</v>
      </c>
      <c r="M527" s="46">
        <v>1</v>
      </c>
    </row>
    <row r="528" spans="2:13" ht="14.1" customHeight="1" x14ac:dyDescent="0.25">
      <c r="B528" s="46" t="str">
        <f t="shared" si="8"/>
        <v>2010-59-320153</v>
      </c>
      <c r="C528" s="47">
        <v>44117</v>
      </c>
      <c r="D528" s="46">
        <v>59</v>
      </c>
      <c r="E528" s="46">
        <v>1</v>
      </c>
      <c r="F528" s="46">
        <v>320153</v>
      </c>
      <c r="G528" s="48" t="s">
        <v>951</v>
      </c>
      <c r="H528" s="47">
        <v>44112</v>
      </c>
      <c r="I528" s="46">
        <v>50050</v>
      </c>
      <c r="J528" s="46">
        <v>1</v>
      </c>
      <c r="K528" s="47">
        <v>44117</v>
      </c>
      <c r="L528" s="46">
        <v>10071</v>
      </c>
      <c r="M528" s="46">
        <v>1</v>
      </c>
    </row>
    <row r="529" spans="2:13" ht="14.1" customHeight="1" x14ac:dyDescent="0.25">
      <c r="B529" s="46" t="str">
        <f t="shared" si="8"/>
        <v>2010-59-205343</v>
      </c>
      <c r="C529" s="47">
        <v>44117</v>
      </c>
      <c r="D529" s="46">
        <v>59</v>
      </c>
      <c r="E529" s="46">
        <v>1</v>
      </c>
      <c r="F529" s="46">
        <v>205343</v>
      </c>
      <c r="G529" s="48" t="s">
        <v>558</v>
      </c>
      <c r="H529" s="47">
        <v>44112</v>
      </c>
      <c r="I529" s="46">
        <v>50050</v>
      </c>
      <c r="J529" s="46">
        <v>1</v>
      </c>
      <c r="K529" s="47">
        <v>44117</v>
      </c>
      <c r="L529" s="46">
        <v>10071</v>
      </c>
      <c r="M529" s="46">
        <v>1</v>
      </c>
    </row>
    <row r="530" spans="2:13" ht="14.1" customHeight="1" x14ac:dyDescent="0.25">
      <c r="B530" s="46" t="str">
        <f t="shared" si="8"/>
        <v>2010-61-319688</v>
      </c>
      <c r="C530" s="47">
        <v>44118</v>
      </c>
      <c r="D530" s="46">
        <v>61</v>
      </c>
      <c r="E530" s="46">
        <v>2000</v>
      </c>
      <c r="F530" s="46">
        <v>319688</v>
      </c>
      <c r="G530" s="48" t="s">
        <v>281</v>
      </c>
      <c r="H530" s="47">
        <v>44120</v>
      </c>
      <c r="I530" s="46">
        <v>50075</v>
      </c>
      <c r="J530" s="46">
        <v>2000</v>
      </c>
      <c r="K530" s="47">
        <v>44123</v>
      </c>
      <c r="L530" s="46">
        <v>10124</v>
      </c>
      <c r="M530" s="46">
        <v>2000</v>
      </c>
    </row>
    <row r="531" spans="2:13" ht="14.1" customHeight="1" x14ac:dyDescent="0.25">
      <c r="B531" s="46" t="str">
        <f t="shared" si="8"/>
        <v>2010-63-200226</v>
      </c>
      <c r="C531" s="47">
        <v>44118</v>
      </c>
      <c r="D531" s="46">
        <v>63</v>
      </c>
      <c r="E531" s="46">
        <v>200</v>
      </c>
      <c r="F531" s="46">
        <v>200226</v>
      </c>
      <c r="G531" s="50" t="s">
        <v>137</v>
      </c>
      <c r="H531" s="47">
        <v>44131</v>
      </c>
      <c r="I531" s="46">
        <v>50231</v>
      </c>
      <c r="J531" s="46">
        <v>200</v>
      </c>
      <c r="K531" s="47">
        <v>44139</v>
      </c>
      <c r="L531" s="46">
        <v>10250</v>
      </c>
      <c r="M531" s="46">
        <v>200</v>
      </c>
    </row>
    <row r="532" spans="2:13" ht="14.1" customHeight="1" x14ac:dyDescent="0.25">
      <c r="B532" s="46" t="str">
        <f t="shared" si="8"/>
        <v>2010-63-303337</v>
      </c>
      <c r="C532" s="47">
        <v>44118</v>
      </c>
      <c r="D532" s="46">
        <v>63</v>
      </c>
      <c r="E532" s="46">
        <v>40</v>
      </c>
      <c r="F532" s="46">
        <v>303337</v>
      </c>
      <c r="G532" s="48" t="s">
        <v>209</v>
      </c>
      <c r="H532" s="47">
        <v>44131</v>
      </c>
      <c r="I532" s="46">
        <v>50230</v>
      </c>
      <c r="J532" s="46">
        <v>40</v>
      </c>
      <c r="K532" s="47">
        <v>44158</v>
      </c>
      <c r="L532" s="46">
        <v>10443</v>
      </c>
      <c r="M532" s="46">
        <v>40</v>
      </c>
    </row>
    <row r="533" spans="2:13" ht="14.1" customHeight="1" x14ac:dyDescent="0.25">
      <c r="B533" s="46" t="str">
        <f t="shared" si="8"/>
        <v>2010-64-205752</v>
      </c>
      <c r="C533" s="47">
        <v>44118</v>
      </c>
      <c r="D533" s="46">
        <v>64</v>
      </c>
      <c r="E533" s="46">
        <v>110</v>
      </c>
      <c r="F533" s="46">
        <v>205752</v>
      </c>
      <c r="G533" s="48" t="s">
        <v>197</v>
      </c>
      <c r="H533" s="47">
        <v>44131</v>
      </c>
      <c r="I533" s="46">
        <v>50229</v>
      </c>
      <c r="J533" s="46">
        <v>110</v>
      </c>
      <c r="K533" s="47">
        <v>44141</v>
      </c>
      <c r="L533" s="46">
        <v>10283</v>
      </c>
      <c r="M533" s="46">
        <v>110</v>
      </c>
    </row>
    <row r="534" spans="2:13" ht="14.1" customHeight="1" x14ac:dyDescent="0.25">
      <c r="B534" s="46" t="str">
        <f t="shared" si="8"/>
        <v>2010-67-300311</v>
      </c>
      <c r="C534" s="47">
        <v>44118</v>
      </c>
      <c r="D534" s="46">
        <v>67</v>
      </c>
      <c r="E534" s="46">
        <v>400</v>
      </c>
      <c r="F534" s="46">
        <v>300311</v>
      </c>
      <c r="G534" s="48" t="s">
        <v>128</v>
      </c>
      <c r="H534" s="47">
        <v>44139</v>
      </c>
      <c r="I534" s="46">
        <v>50284</v>
      </c>
      <c r="J534" s="46">
        <v>400</v>
      </c>
      <c r="K534" s="47">
        <v>44118</v>
      </c>
      <c r="L534" s="46">
        <v>10090</v>
      </c>
      <c r="M534" s="46">
        <v>400</v>
      </c>
    </row>
    <row r="535" spans="2:13" ht="14.1" customHeight="1" x14ac:dyDescent="0.25">
      <c r="B535" s="46" t="str">
        <f t="shared" si="8"/>
        <v>2010-67-300312</v>
      </c>
      <c r="C535" s="47">
        <v>44118</v>
      </c>
      <c r="D535" s="46">
        <v>67</v>
      </c>
      <c r="E535" s="46">
        <v>725</v>
      </c>
      <c r="F535" s="46">
        <v>300312</v>
      </c>
      <c r="G535" s="48" t="s">
        <v>186</v>
      </c>
      <c r="H535" s="47">
        <v>44139</v>
      </c>
      <c r="I535" s="46">
        <v>50284</v>
      </c>
      <c r="J535" s="46">
        <v>725</v>
      </c>
      <c r="K535" s="47">
        <v>44118</v>
      </c>
      <c r="L535" s="46">
        <v>10090</v>
      </c>
      <c r="M535" s="46">
        <v>725</v>
      </c>
    </row>
    <row r="536" spans="2:13" ht="14.1" customHeight="1" x14ac:dyDescent="0.25">
      <c r="B536" s="46" t="str">
        <f t="shared" si="8"/>
        <v>2010-69-304892</v>
      </c>
      <c r="C536" s="47">
        <v>44118</v>
      </c>
      <c r="D536" s="46">
        <v>69</v>
      </c>
      <c r="E536" s="46">
        <v>1000</v>
      </c>
      <c r="F536" s="46">
        <v>304892</v>
      </c>
      <c r="G536" s="48" t="s">
        <v>198</v>
      </c>
      <c r="H536" s="47">
        <v>44139</v>
      </c>
      <c r="I536" s="46">
        <v>50285</v>
      </c>
      <c r="J536" s="46">
        <v>1000</v>
      </c>
      <c r="K536" s="47">
        <v>44118</v>
      </c>
      <c r="L536" s="46">
        <v>10091</v>
      </c>
      <c r="M536" s="46">
        <v>1000</v>
      </c>
    </row>
    <row r="537" spans="2:13" ht="14.1" customHeight="1" x14ac:dyDescent="0.25">
      <c r="B537" s="46" t="str">
        <f t="shared" si="8"/>
        <v>2010-72-310435</v>
      </c>
      <c r="C537" s="47">
        <v>44118</v>
      </c>
      <c r="D537" s="46">
        <v>72</v>
      </c>
      <c r="E537" s="46">
        <v>2</v>
      </c>
      <c r="F537" s="46">
        <v>310435</v>
      </c>
      <c r="G537" s="48" t="s">
        <v>222</v>
      </c>
      <c r="H537" s="47">
        <v>44134</v>
      </c>
      <c r="I537" s="46">
        <v>50261</v>
      </c>
      <c r="J537" s="46">
        <v>2</v>
      </c>
      <c r="K537" s="47">
        <v>44151</v>
      </c>
      <c r="L537" s="46">
        <v>10362</v>
      </c>
      <c r="M537" s="46">
        <v>2</v>
      </c>
    </row>
    <row r="538" spans="2:13" ht="14.1" customHeight="1" x14ac:dyDescent="0.25">
      <c r="B538" s="46" t="str">
        <f t="shared" si="8"/>
        <v>2010-72-301224</v>
      </c>
      <c r="C538" s="47">
        <v>44118</v>
      </c>
      <c r="D538" s="46">
        <v>72</v>
      </c>
      <c r="E538" s="46">
        <v>2</v>
      </c>
      <c r="F538" s="46">
        <v>301224</v>
      </c>
      <c r="G538" s="48" t="s">
        <v>132</v>
      </c>
      <c r="H538" s="47">
        <v>44134</v>
      </c>
      <c r="I538" s="46">
        <v>50262</v>
      </c>
      <c r="J538" s="46">
        <v>2</v>
      </c>
      <c r="K538" s="47">
        <v>44148</v>
      </c>
      <c r="L538" s="46">
        <v>10344</v>
      </c>
      <c r="M538" s="46">
        <v>2</v>
      </c>
    </row>
    <row r="539" spans="2:13" ht="14.1" customHeight="1" x14ac:dyDescent="0.25">
      <c r="B539" s="46" t="str">
        <f t="shared" si="8"/>
        <v>2010-73-301225</v>
      </c>
      <c r="C539" s="47">
        <v>44118</v>
      </c>
      <c r="D539" s="46">
        <v>73</v>
      </c>
      <c r="E539" s="46">
        <v>8</v>
      </c>
      <c r="F539" s="46">
        <v>301225</v>
      </c>
      <c r="G539" s="48" t="s">
        <v>304</v>
      </c>
      <c r="H539" s="47">
        <v>44134</v>
      </c>
      <c r="I539" s="46">
        <v>50264</v>
      </c>
      <c r="J539" s="46">
        <v>8</v>
      </c>
      <c r="K539" s="47">
        <v>44151</v>
      </c>
      <c r="L539" s="46">
        <v>10352</v>
      </c>
      <c r="M539" s="46">
        <v>8</v>
      </c>
    </row>
    <row r="540" spans="2:13" ht="14.1" customHeight="1" x14ac:dyDescent="0.25">
      <c r="B540" s="46" t="str">
        <f t="shared" si="8"/>
        <v>2010-73-301224</v>
      </c>
      <c r="C540" s="47">
        <v>44118</v>
      </c>
      <c r="D540" s="46">
        <v>73</v>
      </c>
      <c r="E540" s="46">
        <v>2</v>
      </c>
      <c r="F540" s="46">
        <v>301224</v>
      </c>
      <c r="G540" s="48" t="s">
        <v>132</v>
      </c>
      <c r="H540" s="47">
        <v>44134</v>
      </c>
      <c r="I540" s="46">
        <v>50264</v>
      </c>
      <c r="J540" s="46">
        <v>2</v>
      </c>
      <c r="K540" s="47">
        <v>44148</v>
      </c>
      <c r="L540" s="46">
        <v>10345</v>
      </c>
      <c r="M540" s="46">
        <v>2</v>
      </c>
    </row>
    <row r="541" spans="2:13" ht="14.1" customHeight="1" x14ac:dyDescent="0.25">
      <c r="B541" s="46" t="str">
        <f t="shared" si="8"/>
        <v>2010-74-205527</v>
      </c>
      <c r="C541" s="47">
        <v>44118</v>
      </c>
      <c r="D541" s="46">
        <v>74</v>
      </c>
      <c r="E541" s="46">
        <v>4</v>
      </c>
      <c r="F541" s="46">
        <v>205527</v>
      </c>
      <c r="G541" s="48" t="s">
        <v>69</v>
      </c>
      <c r="H541" s="47">
        <v>44134</v>
      </c>
      <c r="I541" s="46">
        <v>50266</v>
      </c>
      <c r="J541" s="46">
        <v>4</v>
      </c>
      <c r="K541" s="47">
        <v>44151</v>
      </c>
      <c r="L541" s="46">
        <v>10353</v>
      </c>
      <c r="M541" s="46">
        <v>4</v>
      </c>
    </row>
    <row r="542" spans="2:13" ht="14.1" customHeight="1" x14ac:dyDescent="0.25">
      <c r="B542" s="46" t="str">
        <f t="shared" si="8"/>
        <v>2010-75-205275</v>
      </c>
      <c r="C542" s="47">
        <v>44118</v>
      </c>
      <c r="D542" s="46">
        <v>75</v>
      </c>
      <c r="E542" s="46">
        <v>4</v>
      </c>
      <c r="F542" s="46">
        <v>205275</v>
      </c>
      <c r="G542" s="48" t="s">
        <v>223</v>
      </c>
      <c r="H542" s="47">
        <v>44134</v>
      </c>
      <c r="I542" s="46">
        <v>50263</v>
      </c>
      <c r="J542" s="46">
        <v>4</v>
      </c>
      <c r="K542" s="47">
        <v>44141</v>
      </c>
      <c r="L542" s="46">
        <v>10281</v>
      </c>
      <c r="M542" s="46">
        <v>4</v>
      </c>
    </row>
    <row r="543" spans="2:13" ht="14.1" customHeight="1" x14ac:dyDescent="0.25">
      <c r="B543" s="46" t="str">
        <f t="shared" si="8"/>
        <v>2010-76-315008</v>
      </c>
      <c r="C543" s="47">
        <v>44119</v>
      </c>
      <c r="D543" s="46">
        <v>76</v>
      </c>
      <c r="E543" s="46">
        <v>1</v>
      </c>
      <c r="F543" s="46">
        <v>315008</v>
      </c>
      <c r="G543" s="48" t="s">
        <v>319</v>
      </c>
      <c r="I543" s="46">
        <v>0</v>
      </c>
      <c r="J543" s="46">
        <v>0</v>
      </c>
      <c r="L543" s="46">
        <v>0</v>
      </c>
      <c r="M543" s="46">
        <v>0</v>
      </c>
    </row>
    <row r="544" spans="2:13" ht="14.1" customHeight="1" x14ac:dyDescent="0.25">
      <c r="B544" s="46" t="str">
        <f t="shared" si="8"/>
        <v>2010-76-206145</v>
      </c>
      <c r="C544" s="47">
        <v>44119</v>
      </c>
      <c r="D544" s="46">
        <v>76</v>
      </c>
      <c r="E544" s="46">
        <v>1</v>
      </c>
      <c r="F544" s="46">
        <v>206145</v>
      </c>
      <c r="G544" s="48" t="s">
        <v>579</v>
      </c>
      <c r="H544" s="47">
        <v>44188</v>
      </c>
      <c r="I544" s="46">
        <v>51035</v>
      </c>
      <c r="J544" s="46">
        <v>1</v>
      </c>
      <c r="K544" s="47">
        <v>44218</v>
      </c>
      <c r="L544" s="46">
        <v>10981</v>
      </c>
      <c r="M544" s="46">
        <v>1</v>
      </c>
    </row>
    <row r="545" spans="2:13" ht="14.1" customHeight="1" x14ac:dyDescent="0.25">
      <c r="B545" s="46" t="str">
        <f t="shared" si="8"/>
        <v>2010-76-313925</v>
      </c>
      <c r="C545" s="47">
        <v>44119</v>
      </c>
      <c r="D545" s="46">
        <v>76</v>
      </c>
      <c r="E545" s="46">
        <v>2</v>
      </c>
      <c r="F545" s="46">
        <v>313925</v>
      </c>
      <c r="G545" s="48" t="s">
        <v>844</v>
      </c>
      <c r="H545" s="47">
        <v>44188</v>
      </c>
      <c r="I545" s="46">
        <v>51035</v>
      </c>
      <c r="J545" s="46">
        <v>2</v>
      </c>
      <c r="K545" s="47">
        <v>44218</v>
      </c>
      <c r="L545" s="46">
        <v>10981</v>
      </c>
      <c r="M545" s="46">
        <v>2</v>
      </c>
    </row>
    <row r="546" spans="2:13" ht="14.1" customHeight="1" x14ac:dyDescent="0.25">
      <c r="B546" s="46" t="str">
        <f t="shared" si="8"/>
        <v>2010-76-313924</v>
      </c>
      <c r="C546" s="47">
        <v>44119</v>
      </c>
      <c r="D546" s="46">
        <v>76</v>
      </c>
      <c r="E546" s="46">
        <v>2</v>
      </c>
      <c r="F546" s="46">
        <v>313924</v>
      </c>
      <c r="G546" s="48" t="s">
        <v>843</v>
      </c>
      <c r="H546" s="47">
        <v>44188</v>
      </c>
      <c r="I546" s="46">
        <v>51035</v>
      </c>
      <c r="J546" s="46">
        <v>2</v>
      </c>
      <c r="K546" s="47">
        <v>44218</v>
      </c>
      <c r="L546" s="46">
        <v>10981</v>
      </c>
      <c r="M546" s="46">
        <v>2</v>
      </c>
    </row>
    <row r="547" spans="2:13" ht="14.1" customHeight="1" x14ac:dyDescent="0.25">
      <c r="B547" s="46" t="str">
        <f t="shared" si="8"/>
        <v>2010-77-308768</v>
      </c>
      <c r="C547" s="47">
        <v>44119</v>
      </c>
      <c r="D547" s="46">
        <v>77</v>
      </c>
      <c r="E547" s="46">
        <v>1</v>
      </c>
      <c r="F547" s="46">
        <v>308768</v>
      </c>
      <c r="G547" s="48" t="s">
        <v>746</v>
      </c>
      <c r="H547" s="47">
        <v>44116</v>
      </c>
      <c r="I547" s="46">
        <v>50067</v>
      </c>
      <c r="J547" s="46">
        <v>1</v>
      </c>
      <c r="K547" s="47">
        <v>44119</v>
      </c>
      <c r="L547" s="46">
        <v>10097</v>
      </c>
      <c r="M547" s="46">
        <v>1</v>
      </c>
    </row>
    <row r="548" spans="2:13" ht="14.1" customHeight="1" x14ac:dyDescent="0.25">
      <c r="B548" s="46" t="str">
        <f t="shared" si="8"/>
        <v>2010-77-206537</v>
      </c>
      <c r="C548" s="47">
        <v>44119</v>
      </c>
      <c r="D548" s="46">
        <v>77</v>
      </c>
      <c r="E548" s="46">
        <v>8</v>
      </c>
      <c r="F548" s="46">
        <v>206537</v>
      </c>
      <c r="G548" s="48" t="s">
        <v>297</v>
      </c>
      <c r="H548" s="47">
        <v>44116</v>
      </c>
      <c r="I548" s="46">
        <v>50067</v>
      </c>
      <c r="J548" s="46">
        <v>8</v>
      </c>
      <c r="K548" s="47">
        <v>44119</v>
      </c>
      <c r="L548" s="46">
        <v>10097</v>
      </c>
      <c r="M548" s="46">
        <v>8</v>
      </c>
    </row>
    <row r="549" spans="2:13" ht="14.1" customHeight="1" x14ac:dyDescent="0.25">
      <c r="B549" s="46" t="str">
        <f t="shared" si="8"/>
        <v>2010-78-320045</v>
      </c>
      <c r="C549" s="47">
        <v>44119</v>
      </c>
      <c r="D549" s="46">
        <v>78</v>
      </c>
      <c r="E549" s="46">
        <v>2</v>
      </c>
      <c r="F549" s="46">
        <v>320045</v>
      </c>
      <c r="G549" s="48" t="s">
        <v>391</v>
      </c>
      <c r="H549" s="47">
        <v>44116</v>
      </c>
      <c r="I549" s="46">
        <v>50062</v>
      </c>
      <c r="J549" s="46">
        <v>2</v>
      </c>
      <c r="K549" s="47">
        <v>44119</v>
      </c>
      <c r="L549" s="46">
        <v>10102</v>
      </c>
      <c r="M549" s="46">
        <v>2</v>
      </c>
    </row>
    <row r="550" spans="2:13" ht="14.1" customHeight="1" x14ac:dyDescent="0.25">
      <c r="B550" s="46" t="str">
        <f t="shared" si="8"/>
        <v>2010-85-201824</v>
      </c>
      <c r="C550" s="47">
        <v>44119</v>
      </c>
      <c r="D550" s="46">
        <v>85</v>
      </c>
      <c r="E550" s="46">
        <v>40</v>
      </c>
      <c r="F550" s="46">
        <v>201824</v>
      </c>
      <c r="G550" s="48" t="s">
        <v>33</v>
      </c>
      <c r="H550" s="47">
        <v>44120</v>
      </c>
      <c r="I550" s="46">
        <v>50069</v>
      </c>
      <c r="J550" s="46">
        <v>40</v>
      </c>
      <c r="K550" s="47">
        <v>44123</v>
      </c>
      <c r="L550" s="46">
        <v>10114</v>
      </c>
      <c r="M550" s="46">
        <v>40</v>
      </c>
    </row>
    <row r="551" spans="2:13" ht="14.1" customHeight="1" x14ac:dyDescent="0.25">
      <c r="B551" s="46" t="str">
        <f t="shared" si="8"/>
        <v>2010-86-200751</v>
      </c>
      <c r="C551" s="47">
        <v>44119</v>
      </c>
      <c r="D551" s="46">
        <v>86</v>
      </c>
      <c r="E551" s="46">
        <v>20000</v>
      </c>
      <c r="F551" s="46">
        <v>200751</v>
      </c>
      <c r="G551" s="48" t="s">
        <v>151</v>
      </c>
      <c r="H551" s="47">
        <v>44120</v>
      </c>
      <c r="I551" s="46">
        <v>50145</v>
      </c>
      <c r="J551" s="46">
        <v>10000</v>
      </c>
      <c r="K551" s="47">
        <v>44119</v>
      </c>
      <c r="L551" s="46">
        <v>10109</v>
      </c>
      <c r="M551" s="46">
        <v>10000</v>
      </c>
    </row>
    <row r="552" spans="2:13" ht="14.1" customHeight="1" x14ac:dyDescent="0.25">
      <c r="B552" s="46" t="str">
        <f t="shared" si="8"/>
        <v>2010-86-200751</v>
      </c>
      <c r="C552" s="47">
        <v>44119</v>
      </c>
      <c r="D552" s="46">
        <v>86</v>
      </c>
      <c r="E552" s="46">
        <v>20000</v>
      </c>
      <c r="F552" s="46">
        <v>200751</v>
      </c>
      <c r="G552" s="48" t="s">
        <v>151</v>
      </c>
      <c r="H552" s="47">
        <v>44120</v>
      </c>
      <c r="I552" s="46">
        <v>50145</v>
      </c>
      <c r="J552" s="46">
        <v>10000</v>
      </c>
      <c r="K552" s="47">
        <v>44123</v>
      </c>
      <c r="L552" s="46">
        <v>10122</v>
      </c>
      <c r="M552" s="46">
        <v>10000</v>
      </c>
    </row>
    <row r="553" spans="2:13" ht="14.1" customHeight="1" x14ac:dyDescent="0.25">
      <c r="B553" s="46" t="str">
        <f t="shared" si="8"/>
        <v>2010-86-200751</v>
      </c>
      <c r="C553" s="47">
        <v>44119</v>
      </c>
      <c r="D553" s="46">
        <v>86</v>
      </c>
      <c r="E553" s="46">
        <v>20000</v>
      </c>
      <c r="F553" s="46">
        <v>200751</v>
      </c>
      <c r="G553" s="48" t="s">
        <v>151</v>
      </c>
      <c r="H553" s="47">
        <v>44124</v>
      </c>
      <c r="I553" s="46">
        <v>50184</v>
      </c>
      <c r="J553" s="46">
        <v>10000</v>
      </c>
      <c r="K553" s="47">
        <v>44119</v>
      </c>
      <c r="L553" s="46">
        <v>10109</v>
      </c>
      <c r="M553" s="46">
        <v>10000</v>
      </c>
    </row>
    <row r="554" spans="2:13" ht="14.1" customHeight="1" x14ac:dyDescent="0.25">
      <c r="B554" s="46" t="str">
        <f t="shared" si="8"/>
        <v>2010-86-200751</v>
      </c>
      <c r="C554" s="47">
        <v>44119</v>
      </c>
      <c r="D554" s="46">
        <v>86</v>
      </c>
      <c r="E554" s="46">
        <v>20000</v>
      </c>
      <c r="F554" s="46">
        <v>200751</v>
      </c>
      <c r="G554" s="48" t="s">
        <v>151</v>
      </c>
      <c r="H554" s="47">
        <v>44124</v>
      </c>
      <c r="I554" s="46">
        <v>50184</v>
      </c>
      <c r="J554" s="46">
        <v>10000</v>
      </c>
      <c r="K554" s="47">
        <v>44123</v>
      </c>
      <c r="L554" s="46">
        <v>10122</v>
      </c>
      <c r="M554" s="46">
        <v>10000</v>
      </c>
    </row>
    <row r="555" spans="2:13" ht="14.1" customHeight="1" x14ac:dyDescent="0.25">
      <c r="B555" s="46" t="str">
        <f t="shared" si="8"/>
        <v>2010-87-300216</v>
      </c>
      <c r="C555" s="47">
        <v>44120</v>
      </c>
      <c r="D555" s="46">
        <v>87</v>
      </c>
      <c r="E555" s="46">
        <v>1</v>
      </c>
      <c r="F555" s="46">
        <v>300216</v>
      </c>
      <c r="G555" s="48" t="s">
        <v>338</v>
      </c>
      <c r="H555" s="47">
        <v>44132</v>
      </c>
      <c r="I555" s="46">
        <v>50243</v>
      </c>
      <c r="J555" s="46">
        <v>1</v>
      </c>
      <c r="K555" s="47">
        <v>44141</v>
      </c>
      <c r="L555" s="46">
        <v>10284</v>
      </c>
      <c r="M555" s="46">
        <v>1</v>
      </c>
    </row>
    <row r="556" spans="2:13" ht="14.1" customHeight="1" x14ac:dyDescent="0.25">
      <c r="B556" s="46" t="str">
        <f t="shared" si="8"/>
        <v>2010-88-308888</v>
      </c>
      <c r="C556" s="47">
        <v>44120</v>
      </c>
      <c r="D556" s="46">
        <v>88</v>
      </c>
      <c r="E556" s="46">
        <v>2</v>
      </c>
      <c r="F556" s="46">
        <v>308888</v>
      </c>
      <c r="G556" s="48" t="s">
        <v>318</v>
      </c>
      <c r="H556" s="47">
        <v>44124</v>
      </c>
      <c r="I556" s="46">
        <v>50134</v>
      </c>
      <c r="J556" s="46">
        <v>2</v>
      </c>
      <c r="K556" s="47">
        <v>44125</v>
      </c>
      <c r="L556" s="46">
        <v>10154</v>
      </c>
      <c r="M556" s="46">
        <v>2</v>
      </c>
    </row>
    <row r="557" spans="2:13" ht="14.1" customHeight="1" x14ac:dyDescent="0.25">
      <c r="B557" s="46" t="str">
        <f t="shared" si="8"/>
        <v>2010-89-203008</v>
      </c>
      <c r="C557" s="47">
        <v>44120</v>
      </c>
      <c r="D557" s="46">
        <v>89</v>
      </c>
      <c r="E557" s="46">
        <v>2</v>
      </c>
      <c r="F557" s="46">
        <v>203008</v>
      </c>
      <c r="G557" s="48" t="s">
        <v>501</v>
      </c>
      <c r="H557" s="47">
        <v>44118</v>
      </c>
      <c r="I557" s="46">
        <v>50108</v>
      </c>
      <c r="J557" s="46">
        <v>2</v>
      </c>
      <c r="K557" s="47">
        <v>44120</v>
      </c>
      <c r="L557" s="46">
        <v>10110</v>
      </c>
      <c r="M557" s="46">
        <v>2</v>
      </c>
    </row>
    <row r="558" spans="2:13" ht="14.1" customHeight="1" x14ac:dyDescent="0.25">
      <c r="B558" s="46" t="str">
        <f t="shared" si="8"/>
        <v>2010-89-306975</v>
      </c>
      <c r="C558" s="47">
        <v>44120</v>
      </c>
      <c r="D558" s="46">
        <v>89</v>
      </c>
      <c r="E558" s="46">
        <v>2</v>
      </c>
      <c r="F558" s="46">
        <v>306975</v>
      </c>
      <c r="G558" s="48" t="s">
        <v>719</v>
      </c>
      <c r="H558" s="47">
        <v>44118</v>
      </c>
      <c r="I558" s="46">
        <v>50108</v>
      </c>
      <c r="J558" s="46">
        <v>2</v>
      </c>
      <c r="K558" s="47">
        <v>44120</v>
      </c>
      <c r="L558" s="46">
        <v>10110</v>
      </c>
      <c r="M558" s="46">
        <v>2</v>
      </c>
    </row>
    <row r="559" spans="2:13" ht="14.1" customHeight="1" x14ac:dyDescent="0.25">
      <c r="B559" s="46" t="str">
        <f t="shared" si="8"/>
        <v>2010-91-203876</v>
      </c>
      <c r="C559" s="47">
        <v>44123</v>
      </c>
      <c r="D559" s="46">
        <v>91</v>
      </c>
      <c r="E559" s="46">
        <v>20</v>
      </c>
      <c r="F559" s="46">
        <v>203876</v>
      </c>
      <c r="G559" s="48" t="s">
        <v>71</v>
      </c>
      <c r="H559" s="47">
        <v>44132</v>
      </c>
      <c r="I559" s="46">
        <v>50242</v>
      </c>
      <c r="J559" s="46">
        <v>20</v>
      </c>
      <c r="K559" s="47">
        <v>44148</v>
      </c>
      <c r="L559" s="46">
        <v>10343</v>
      </c>
      <c r="M559" s="46">
        <v>20</v>
      </c>
    </row>
    <row r="560" spans="2:13" ht="14.1" customHeight="1" x14ac:dyDescent="0.25">
      <c r="B560" s="46" t="str">
        <f t="shared" si="8"/>
        <v>2010-91-203785</v>
      </c>
      <c r="C560" s="47">
        <v>44123</v>
      </c>
      <c r="D560" s="46">
        <v>91</v>
      </c>
      <c r="E560" s="46">
        <v>20</v>
      </c>
      <c r="F560" s="46">
        <v>203785</v>
      </c>
      <c r="G560" s="48" t="s">
        <v>250</v>
      </c>
      <c r="H560" s="47">
        <v>44132</v>
      </c>
      <c r="I560" s="46">
        <v>50242</v>
      </c>
      <c r="J560" s="46">
        <v>20</v>
      </c>
      <c r="K560" s="47">
        <v>44148</v>
      </c>
      <c r="L560" s="46">
        <v>10343</v>
      </c>
      <c r="M560" s="46">
        <v>20</v>
      </c>
    </row>
    <row r="561" spans="2:13" ht="14.1" customHeight="1" x14ac:dyDescent="0.25">
      <c r="B561" s="46" t="str">
        <f t="shared" si="8"/>
        <v>2010-91-200337</v>
      </c>
      <c r="C561" s="47">
        <v>44123</v>
      </c>
      <c r="D561" s="46">
        <v>91</v>
      </c>
      <c r="E561" s="46">
        <v>10</v>
      </c>
      <c r="F561" s="46">
        <v>200337</v>
      </c>
      <c r="G561" s="48" t="s">
        <v>310</v>
      </c>
      <c r="H561" s="47">
        <v>44132</v>
      </c>
      <c r="I561" s="46">
        <v>50242</v>
      </c>
      <c r="J561" s="46">
        <v>10</v>
      </c>
      <c r="K561" s="47">
        <v>44148</v>
      </c>
      <c r="L561" s="46">
        <v>10343</v>
      </c>
      <c r="M561" s="46">
        <v>10</v>
      </c>
    </row>
    <row r="562" spans="2:13" ht="14.1" customHeight="1" x14ac:dyDescent="0.25">
      <c r="B562" s="46" t="str">
        <f t="shared" si="8"/>
        <v>2010-91-200653</v>
      </c>
      <c r="C562" s="47">
        <v>44123</v>
      </c>
      <c r="D562" s="46">
        <v>91</v>
      </c>
      <c r="E562" s="46">
        <v>3</v>
      </c>
      <c r="F562" s="46">
        <v>200653</v>
      </c>
      <c r="G562" s="50" t="s">
        <v>249</v>
      </c>
      <c r="H562" s="47">
        <v>44132</v>
      </c>
      <c r="I562" s="46">
        <v>50242</v>
      </c>
      <c r="J562" s="46">
        <v>3</v>
      </c>
      <c r="K562" s="47">
        <v>44148</v>
      </c>
      <c r="L562" s="46">
        <v>10343</v>
      </c>
      <c r="M562" s="46">
        <v>3</v>
      </c>
    </row>
    <row r="563" spans="2:13" ht="14.1" customHeight="1" x14ac:dyDescent="0.25">
      <c r="B563" s="46" t="str">
        <f t="shared" si="8"/>
        <v>2010-91-305798</v>
      </c>
      <c r="C563" s="47">
        <v>44123</v>
      </c>
      <c r="D563" s="46">
        <v>91</v>
      </c>
      <c r="E563" s="46">
        <v>2</v>
      </c>
      <c r="F563" s="46">
        <v>305798</v>
      </c>
      <c r="G563" s="48" t="s">
        <v>75</v>
      </c>
      <c r="H563" s="47">
        <v>44132</v>
      </c>
      <c r="I563" s="46">
        <v>50242</v>
      </c>
      <c r="J563" s="46">
        <v>2</v>
      </c>
      <c r="K563" s="47">
        <v>44148</v>
      </c>
      <c r="L563" s="46">
        <v>10343</v>
      </c>
      <c r="M563" s="46">
        <v>2</v>
      </c>
    </row>
    <row r="564" spans="2:13" ht="14.1" customHeight="1" x14ac:dyDescent="0.25">
      <c r="B564" s="46" t="str">
        <f t="shared" si="8"/>
        <v>2010-91-310934</v>
      </c>
      <c r="C564" s="47">
        <v>44123</v>
      </c>
      <c r="D564" s="46">
        <v>91</v>
      </c>
      <c r="E564" s="46">
        <v>1</v>
      </c>
      <c r="F564" s="46">
        <v>310934</v>
      </c>
      <c r="G564" s="48" t="s">
        <v>77</v>
      </c>
      <c r="H564" s="47">
        <v>44132</v>
      </c>
      <c r="I564" s="46">
        <v>50242</v>
      </c>
      <c r="J564" s="46">
        <v>1</v>
      </c>
      <c r="K564" s="47">
        <v>44148</v>
      </c>
      <c r="L564" s="46">
        <v>10343</v>
      </c>
      <c r="M564" s="46">
        <v>1</v>
      </c>
    </row>
    <row r="565" spans="2:13" ht="14.1" customHeight="1" x14ac:dyDescent="0.25">
      <c r="B565" s="46" t="str">
        <f t="shared" si="8"/>
        <v>2010-91-305796</v>
      </c>
      <c r="C565" s="47">
        <v>44123</v>
      </c>
      <c r="D565" s="46">
        <v>91</v>
      </c>
      <c r="E565" s="46">
        <v>1</v>
      </c>
      <c r="F565" s="46">
        <v>305796</v>
      </c>
      <c r="G565" s="48" t="s">
        <v>78</v>
      </c>
      <c r="H565" s="47">
        <v>44132</v>
      </c>
      <c r="I565" s="46">
        <v>50242</v>
      </c>
      <c r="J565" s="46">
        <v>1</v>
      </c>
      <c r="K565" s="47">
        <v>44148</v>
      </c>
      <c r="L565" s="46">
        <v>10343</v>
      </c>
      <c r="M565" s="46">
        <v>1</v>
      </c>
    </row>
    <row r="566" spans="2:13" ht="14.1" customHeight="1" x14ac:dyDescent="0.25">
      <c r="B566" s="46" t="str">
        <f t="shared" si="8"/>
        <v>2010-91-305797</v>
      </c>
      <c r="C566" s="47">
        <v>44123</v>
      </c>
      <c r="D566" s="46">
        <v>91</v>
      </c>
      <c r="E566" s="46">
        <v>2</v>
      </c>
      <c r="F566" s="46">
        <v>305797</v>
      </c>
      <c r="G566" s="48" t="s">
        <v>76</v>
      </c>
      <c r="H566" s="47">
        <v>44132</v>
      </c>
      <c r="I566" s="46">
        <v>50242</v>
      </c>
      <c r="J566" s="46">
        <v>2</v>
      </c>
      <c r="K566" s="47">
        <v>44148</v>
      </c>
      <c r="L566" s="46">
        <v>10343</v>
      </c>
      <c r="M566" s="46">
        <v>2</v>
      </c>
    </row>
    <row r="567" spans="2:13" ht="14.1" customHeight="1" x14ac:dyDescent="0.25">
      <c r="B567" s="46" t="str">
        <f t="shared" si="8"/>
        <v>2010-92-200930</v>
      </c>
      <c r="C567" s="47">
        <v>44123</v>
      </c>
      <c r="D567" s="46">
        <v>92</v>
      </c>
      <c r="E567" s="46">
        <v>4000</v>
      </c>
      <c r="F567" s="46">
        <v>200930</v>
      </c>
      <c r="G567" s="48" t="s">
        <v>264</v>
      </c>
      <c r="H567" s="47">
        <v>44131</v>
      </c>
      <c r="I567" s="46">
        <v>50235</v>
      </c>
      <c r="J567" s="46">
        <v>4000</v>
      </c>
      <c r="K567" s="47">
        <v>44134</v>
      </c>
      <c r="L567" s="46">
        <v>10236</v>
      </c>
      <c r="M567" s="46">
        <v>4000</v>
      </c>
    </row>
    <row r="568" spans="2:13" ht="14.1" customHeight="1" x14ac:dyDescent="0.25">
      <c r="B568" s="46" t="str">
        <f t="shared" si="8"/>
        <v>2010-92-100277</v>
      </c>
      <c r="C568" s="47">
        <v>44123</v>
      </c>
      <c r="D568" s="46">
        <v>92</v>
      </c>
      <c r="E568" s="46">
        <v>100</v>
      </c>
      <c r="F568" s="46">
        <v>100277</v>
      </c>
      <c r="G568" s="48" t="s">
        <v>212</v>
      </c>
      <c r="H568" s="47">
        <v>44131</v>
      </c>
      <c r="I568" s="46">
        <v>50235</v>
      </c>
      <c r="J568" s="46">
        <v>100</v>
      </c>
      <c r="K568" s="47">
        <v>44134</v>
      </c>
      <c r="L568" s="46">
        <v>10236</v>
      </c>
      <c r="M568" s="46">
        <v>100</v>
      </c>
    </row>
    <row r="569" spans="2:13" ht="14.1" customHeight="1" x14ac:dyDescent="0.25">
      <c r="B569" s="46" t="str">
        <f t="shared" si="8"/>
        <v>2010-93-313529</v>
      </c>
      <c r="C569" s="47">
        <v>44123</v>
      </c>
      <c r="D569" s="46">
        <v>93</v>
      </c>
      <c r="E569" s="46">
        <v>4</v>
      </c>
      <c r="F569" s="46">
        <v>313529</v>
      </c>
      <c r="G569" s="48" t="s">
        <v>404</v>
      </c>
      <c r="H569" s="47">
        <v>44125</v>
      </c>
      <c r="I569" s="46">
        <v>50167</v>
      </c>
      <c r="J569" s="46">
        <v>4</v>
      </c>
      <c r="K569" s="47">
        <v>44139</v>
      </c>
      <c r="L569" s="46">
        <v>10249</v>
      </c>
      <c r="M569" s="46">
        <v>4</v>
      </c>
    </row>
    <row r="570" spans="2:13" ht="14.1" customHeight="1" x14ac:dyDescent="0.25">
      <c r="B570" s="46" t="str">
        <f t="shared" si="8"/>
        <v>2010-93-205932</v>
      </c>
      <c r="C570" s="47">
        <v>44123</v>
      </c>
      <c r="D570" s="46">
        <v>93</v>
      </c>
      <c r="E570" s="46">
        <v>3</v>
      </c>
      <c r="F570" s="46">
        <v>205932</v>
      </c>
      <c r="G570" s="48" t="s">
        <v>488</v>
      </c>
      <c r="H570" s="47">
        <v>44124</v>
      </c>
      <c r="I570" s="46">
        <v>50133</v>
      </c>
      <c r="J570" s="46">
        <v>3</v>
      </c>
      <c r="K570" s="47">
        <v>44125</v>
      </c>
      <c r="L570" s="46">
        <v>10157</v>
      </c>
      <c r="M570" s="46">
        <v>3</v>
      </c>
    </row>
    <row r="571" spans="2:13" ht="14.1" customHeight="1" x14ac:dyDescent="0.25">
      <c r="B571" s="46" t="str">
        <f t="shared" si="8"/>
        <v>2010-94-304892</v>
      </c>
      <c r="C571" s="47">
        <v>44123</v>
      </c>
      <c r="D571" s="46">
        <v>94</v>
      </c>
      <c r="E571" s="46">
        <v>1000</v>
      </c>
      <c r="F571" s="46">
        <v>304892</v>
      </c>
      <c r="G571" s="48" t="s">
        <v>198</v>
      </c>
      <c r="H571" s="47">
        <v>44144</v>
      </c>
      <c r="I571" s="46">
        <v>50388</v>
      </c>
      <c r="J571" s="46">
        <v>1000</v>
      </c>
      <c r="K571" s="47">
        <v>44123</v>
      </c>
      <c r="L571" s="46">
        <v>10125</v>
      </c>
      <c r="M571" s="46">
        <v>1000</v>
      </c>
    </row>
    <row r="572" spans="2:13" ht="14.1" customHeight="1" x14ac:dyDescent="0.25">
      <c r="B572" s="46" t="str">
        <f t="shared" si="8"/>
        <v>2010-95-304159</v>
      </c>
      <c r="C572" s="47">
        <v>44123</v>
      </c>
      <c r="D572" s="46">
        <v>95</v>
      </c>
      <c r="E572" s="46">
        <v>1800</v>
      </c>
      <c r="F572" s="46">
        <v>304159</v>
      </c>
      <c r="G572" s="48" t="s">
        <v>152</v>
      </c>
      <c r="H572" s="47">
        <v>44145</v>
      </c>
      <c r="I572" s="46">
        <v>50391</v>
      </c>
      <c r="J572" s="46">
        <v>1800</v>
      </c>
      <c r="K572" s="47">
        <v>44123</v>
      </c>
      <c r="L572" s="46">
        <v>10126</v>
      </c>
      <c r="M572" s="46">
        <v>1800</v>
      </c>
    </row>
    <row r="573" spans="2:13" ht="14.1" customHeight="1" x14ac:dyDescent="0.25">
      <c r="B573" s="46" t="str">
        <f t="shared" si="8"/>
        <v>2010-95-300311</v>
      </c>
      <c r="C573" s="47">
        <v>44123</v>
      </c>
      <c r="D573" s="46">
        <v>95</v>
      </c>
      <c r="E573" s="46">
        <v>400</v>
      </c>
      <c r="F573" s="46">
        <v>300311</v>
      </c>
      <c r="G573" s="48" t="s">
        <v>128</v>
      </c>
      <c r="H573" s="47">
        <v>44145</v>
      </c>
      <c r="I573" s="46">
        <v>50391</v>
      </c>
      <c r="J573" s="46">
        <v>400</v>
      </c>
      <c r="K573" s="47">
        <v>44123</v>
      </c>
      <c r="L573" s="46">
        <v>10126</v>
      </c>
      <c r="M573" s="46">
        <v>400</v>
      </c>
    </row>
    <row r="574" spans="2:13" ht="14.1" customHeight="1" x14ac:dyDescent="0.25">
      <c r="B574" s="46" t="str">
        <f t="shared" si="8"/>
        <v>2010-96-320353</v>
      </c>
      <c r="C574" s="47">
        <v>44123</v>
      </c>
      <c r="D574" s="46">
        <v>96</v>
      </c>
      <c r="E574" s="46">
        <v>2</v>
      </c>
      <c r="F574" s="46">
        <v>320353</v>
      </c>
      <c r="G574" s="48" t="s">
        <v>1048</v>
      </c>
      <c r="H574" s="47">
        <v>44123</v>
      </c>
      <c r="I574" s="46">
        <v>50116</v>
      </c>
      <c r="J574" s="46">
        <v>2</v>
      </c>
      <c r="K574" s="47">
        <v>44127</v>
      </c>
      <c r="L574" s="46">
        <v>10195</v>
      </c>
      <c r="M574" s="46">
        <v>2</v>
      </c>
    </row>
    <row r="575" spans="2:13" ht="14.1" customHeight="1" x14ac:dyDescent="0.25">
      <c r="B575" s="46" t="str">
        <f t="shared" si="8"/>
        <v>2010-97-206211</v>
      </c>
      <c r="C575" s="47">
        <v>44123</v>
      </c>
      <c r="D575" s="46">
        <v>97</v>
      </c>
      <c r="E575" s="46">
        <v>3</v>
      </c>
      <c r="F575" s="46">
        <v>206211</v>
      </c>
      <c r="G575" s="48" t="s">
        <v>68</v>
      </c>
      <c r="H575" s="47">
        <v>44130</v>
      </c>
      <c r="I575" s="46">
        <v>50219</v>
      </c>
      <c r="J575" s="46">
        <v>3</v>
      </c>
      <c r="K575" s="47">
        <v>44132</v>
      </c>
      <c r="L575" s="46">
        <v>10206</v>
      </c>
      <c r="M575" s="46">
        <v>3</v>
      </c>
    </row>
    <row r="576" spans="2:13" ht="14.1" customHeight="1" x14ac:dyDescent="0.25">
      <c r="B576" s="46" t="str">
        <f t="shared" si="8"/>
        <v>2010-108-319359</v>
      </c>
      <c r="C576" s="47">
        <v>44124</v>
      </c>
      <c r="D576" s="46">
        <v>108</v>
      </c>
      <c r="E576" s="46">
        <v>5000</v>
      </c>
      <c r="F576" s="46">
        <v>319359</v>
      </c>
      <c r="G576" s="48" t="s">
        <v>210</v>
      </c>
      <c r="H576" s="47">
        <v>44136</v>
      </c>
      <c r="I576" s="46">
        <v>50335</v>
      </c>
      <c r="J576" s="46">
        <v>5000</v>
      </c>
      <c r="K576" s="47">
        <v>44126</v>
      </c>
      <c r="L576" s="46">
        <v>10171</v>
      </c>
      <c r="M576" s="46">
        <v>5000</v>
      </c>
    </row>
    <row r="577" spans="2:13" ht="14.1" customHeight="1" x14ac:dyDescent="0.25">
      <c r="B577" s="46" t="str">
        <f t="shared" si="8"/>
        <v>2010-109-201824</v>
      </c>
      <c r="C577" s="47">
        <v>44124</v>
      </c>
      <c r="D577" s="46">
        <v>109</v>
      </c>
      <c r="E577" s="46">
        <v>60</v>
      </c>
      <c r="F577" s="46">
        <v>201824</v>
      </c>
      <c r="G577" s="48" t="s">
        <v>33</v>
      </c>
      <c r="H577" s="47">
        <v>44124</v>
      </c>
      <c r="I577" s="46">
        <v>50162</v>
      </c>
      <c r="J577" s="46">
        <v>60</v>
      </c>
      <c r="K577" s="47">
        <v>44124</v>
      </c>
      <c r="L577" s="46">
        <v>10137</v>
      </c>
      <c r="M577" s="46">
        <v>60</v>
      </c>
    </row>
    <row r="578" spans="2:13" ht="14.1" customHeight="1" x14ac:dyDescent="0.25">
      <c r="B578" s="46" t="str">
        <f t="shared" si="8"/>
        <v>2010-109-105898</v>
      </c>
      <c r="C578" s="47">
        <v>44124</v>
      </c>
      <c r="D578" s="46">
        <v>109</v>
      </c>
      <c r="E578" s="46">
        <v>60</v>
      </c>
      <c r="F578" s="46">
        <v>105898</v>
      </c>
      <c r="G578" s="48" t="s">
        <v>441</v>
      </c>
      <c r="H578" s="47">
        <v>44124</v>
      </c>
      <c r="I578" s="46">
        <v>50162</v>
      </c>
      <c r="J578" s="46">
        <v>60</v>
      </c>
      <c r="K578" s="47">
        <v>44124</v>
      </c>
      <c r="L578" s="46">
        <v>10137</v>
      </c>
      <c r="M578" s="46">
        <v>60</v>
      </c>
    </row>
    <row r="579" spans="2:13" ht="14.1" customHeight="1" x14ac:dyDescent="0.25">
      <c r="B579" s="46" t="str">
        <f t="shared" si="8"/>
        <v>2010-110-200155</v>
      </c>
      <c r="C579" s="47">
        <v>44124</v>
      </c>
      <c r="D579" s="46">
        <v>110</v>
      </c>
      <c r="E579" s="46">
        <v>60</v>
      </c>
      <c r="F579" s="46">
        <v>200155</v>
      </c>
      <c r="G579" s="48" t="s">
        <v>356</v>
      </c>
      <c r="H579" s="47">
        <v>44124</v>
      </c>
      <c r="I579" s="46">
        <v>50163</v>
      </c>
      <c r="J579" s="46">
        <v>60</v>
      </c>
      <c r="K579" s="47">
        <v>44124</v>
      </c>
      <c r="L579" s="46">
        <v>10138</v>
      </c>
      <c r="M579" s="46">
        <v>60</v>
      </c>
    </row>
    <row r="580" spans="2:13" ht="14.1" customHeight="1" x14ac:dyDescent="0.25">
      <c r="B580" s="46" t="str">
        <f t="shared" si="8"/>
        <v>2010-110-301987</v>
      </c>
      <c r="C580" s="47">
        <v>44124</v>
      </c>
      <c r="D580" s="46">
        <v>110</v>
      </c>
      <c r="E580" s="46">
        <v>60</v>
      </c>
      <c r="F580" s="46">
        <v>301987</v>
      </c>
      <c r="G580" s="48" t="s">
        <v>357</v>
      </c>
      <c r="H580" s="47">
        <v>44124</v>
      </c>
      <c r="I580" s="46">
        <v>50163</v>
      </c>
      <c r="J580" s="46">
        <v>60</v>
      </c>
      <c r="K580" s="47">
        <v>44124</v>
      </c>
      <c r="L580" s="46">
        <v>10138</v>
      </c>
      <c r="M580" s="46">
        <v>60</v>
      </c>
    </row>
    <row r="581" spans="2:13" ht="14.1" customHeight="1" x14ac:dyDescent="0.25">
      <c r="B581" s="46" t="str">
        <f t="shared" si="8"/>
        <v>2010-111-316787</v>
      </c>
      <c r="C581" s="47">
        <v>44125</v>
      </c>
      <c r="D581" s="46">
        <v>111</v>
      </c>
      <c r="E581" s="46">
        <v>1</v>
      </c>
      <c r="F581" s="46">
        <v>316787</v>
      </c>
      <c r="G581" s="48" t="s">
        <v>899</v>
      </c>
      <c r="H581" s="47">
        <v>44145</v>
      </c>
      <c r="I581" s="46">
        <v>50402</v>
      </c>
      <c r="J581" s="46">
        <v>1</v>
      </c>
      <c r="K581" s="47">
        <v>44125</v>
      </c>
      <c r="L581" s="46">
        <v>10139</v>
      </c>
      <c r="M581" s="46">
        <v>1</v>
      </c>
    </row>
    <row r="582" spans="2:13" ht="14.1" customHeight="1" x14ac:dyDescent="0.25">
      <c r="B582" s="46" t="str">
        <f t="shared" si="8"/>
        <v>2010-111-304934</v>
      </c>
      <c r="C582" s="47">
        <v>44125</v>
      </c>
      <c r="D582" s="46">
        <v>111</v>
      </c>
      <c r="E582" s="46">
        <v>1</v>
      </c>
      <c r="F582" s="46">
        <v>304934</v>
      </c>
      <c r="G582" s="48" t="s">
        <v>685</v>
      </c>
      <c r="H582" s="47">
        <v>44145</v>
      </c>
      <c r="I582" s="46">
        <v>50402</v>
      </c>
      <c r="J582" s="46">
        <v>1</v>
      </c>
      <c r="K582" s="47">
        <v>44125</v>
      </c>
      <c r="L582" s="46">
        <v>10139</v>
      </c>
      <c r="M582" s="46">
        <v>1</v>
      </c>
    </row>
    <row r="583" spans="2:13" ht="14.1" customHeight="1" x14ac:dyDescent="0.25">
      <c r="B583" s="46" t="str">
        <f t="shared" si="8"/>
        <v>2010-112-311271</v>
      </c>
      <c r="C583" s="47">
        <v>44125</v>
      </c>
      <c r="D583" s="46">
        <v>112</v>
      </c>
      <c r="E583" s="46">
        <v>2</v>
      </c>
      <c r="F583" s="46">
        <v>311271</v>
      </c>
      <c r="G583" s="48" t="s">
        <v>789</v>
      </c>
      <c r="H583" s="47">
        <v>44143</v>
      </c>
      <c r="I583" s="46">
        <v>50386</v>
      </c>
      <c r="J583" s="46">
        <v>2</v>
      </c>
      <c r="K583" s="47">
        <v>44179</v>
      </c>
      <c r="L583" s="46">
        <v>10686</v>
      </c>
      <c r="M583" s="46">
        <v>2</v>
      </c>
    </row>
    <row r="584" spans="2:13" ht="14.1" customHeight="1" x14ac:dyDescent="0.25">
      <c r="B584" s="46" t="str">
        <f t="shared" si="8"/>
        <v>2010-113-302515</v>
      </c>
      <c r="C584" s="47">
        <v>44125</v>
      </c>
      <c r="D584" s="46">
        <v>113</v>
      </c>
      <c r="E584" s="46">
        <v>2</v>
      </c>
      <c r="F584" s="46">
        <v>302515</v>
      </c>
      <c r="G584" s="48" t="s">
        <v>144</v>
      </c>
      <c r="I584" s="46">
        <v>0</v>
      </c>
      <c r="J584" s="46">
        <v>0</v>
      </c>
      <c r="L584" s="46">
        <v>0</v>
      </c>
      <c r="M584" s="46">
        <v>0</v>
      </c>
    </row>
    <row r="585" spans="2:13" ht="14.1" customHeight="1" x14ac:dyDescent="0.25">
      <c r="B585" s="46" t="str">
        <f t="shared" si="8"/>
        <v>2010-113-306479</v>
      </c>
      <c r="C585" s="47">
        <v>44125</v>
      </c>
      <c r="D585" s="46">
        <v>113</v>
      </c>
      <c r="E585" s="46">
        <v>2</v>
      </c>
      <c r="F585" s="46">
        <v>306479</v>
      </c>
      <c r="G585" s="48" t="s">
        <v>333</v>
      </c>
      <c r="I585" s="46">
        <v>0</v>
      </c>
      <c r="J585" s="46">
        <v>0</v>
      </c>
      <c r="L585" s="46">
        <v>0</v>
      </c>
      <c r="M585" s="46">
        <v>0</v>
      </c>
    </row>
    <row r="586" spans="2:13" ht="14.1" customHeight="1" x14ac:dyDescent="0.25">
      <c r="B586" s="46" t="str">
        <f t="shared" si="8"/>
        <v>2010-114-311271</v>
      </c>
      <c r="C586" s="47">
        <v>44125</v>
      </c>
      <c r="D586" s="46">
        <v>114</v>
      </c>
      <c r="E586" s="46">
        <v>2</v>
      </c>
      <c r="F586" s="46">
        <v>311271</v>
      </c>
      <c r="G586" s="48" t="s">
        <v>789</v>
      </c>
      <c r="H586" s="47">
        <v>44144</v>
      </c>
      <c r="I586" s="46">
        <v>50387</v>
      </c>
      <c r="J586" s="46">
        <v>2</v>
      </c>
      <c r="K586" s="47">
        <v>44179</v>
      </c>
      <c r="L586" s="46">
        <v>10687</v>
      </c>
      <c r="M586" s="46">
        <v>2</v>
      </c>
    </row>
    <row r="587" spans="2:13" ht="14.1" customHeight="1" x14ac:dyDescent="0.25">
      <c r="B587" s="46" t="str">
        <f t="shared" si="8"/>
        <v>2010-115-205115</v>
      </c>
      <c r="C587" s="47">
        <v>44125</v>
      </c>
      <c r="D587" s="46">
        <v>115</v>
      </c>
      <c r="E587" s="46">
        <v>1</v>
      </c>
      <c r="F587" s="46">
        <v>205115</v>
      </c>
      <c r="G587" s="48" t="s">
        <v>282</v>
      </c>
      <c r="H587" s="47">
        <v>44123</v>
      </c>
      <c r="I587" s="46">
        <v>50170</v>
      </c>
      <c r="J587" s="46">
        <v>1</v>
      </c>
      <c r="K587" s="47">
        <v>44125</v>
      </c>
      <c r="L587" s="46">
        <v>10142</v>
      </c>
      <c r="M587" s="46">
        <v>1</v>
      </c>
    </row>
    <row r="588" spans="2:13" ht="14.1" customHeight="1" x14ac:dyDescent="0.25">
      <c r="B588" s="46" t="str">
        <f t="shared" ref="B588:B651" si="9">TEXT(C588,"yy") &amp; TEXT(C588,"mm") &amp;"-"&amp;(D588) &amp;"-"&amp;(F588)</f>
        <v>2010-124-319919</v>
      </c>
      <c r="C588" s="47">
        <v>44125</v>
      </c>
      <c r="D588" s="46">
        <v>124</v>
      </c>
      <c r="E588" s="46">
        <v>1</v>
      </c>
      <c r="F588" s="46">
        <v>319919</v>
      </c>
      <c r="G588" s="48" t="s">
        <v>339</v>
      </c>
      <c r="I588" s="46">
        <v>0</v>
      </c>
      <c r="J588" s="46">
        <v>0</v>
      </c>
      <c r="L588" s="46">
        <v>0</v>
      </c>
      <c r="M588" s="46">
        <v>0</v>
      </c>
    </row>
    <row r="589" spans="2:13" ht="14.1" customHeight="1" x14ac:dyDescent="0.25">
      <c r="B589" s="46" t="str">
        <f t="shared" si="9"/>
        <v>2010-127-203213</v>
      </c>
      <c r="C589" s="47">
        <v>44125</v>
      </c>
      <c r="D589" s="46">
        <v>127</v>
      </c>
      <c r="E589" s="46">
        <v>1</v>
      </c>
      <c r="F589" s="46">
        <v>203213</v>
      </c>
      <c r="G589" s="48" t="s">
        <v>410</v>
      </c>
      <c r="H589" s="47">
        <v>44140</v>
      </c>
      <c r="I589" s="46">
        <v>50296</v>
      </c>
      <c r="J589" s="46">
        <v>1</v>
      </c>
      <c r="K589" s="47">
        <v>44141</v>
      </c>
      <c r="L589" s="46">
        <v>10280</v>
      </c>
      <c r="M589" s="46">
        <v>1</v>
      </c>
    </row>
    <row r="590" spans="2:13" ht="14.1" customHeight="1" x14ac:dyDescent="0.25">
      <c r="B590" s="46" t="str">
        <f t="shared" si="9"/>
        <v>2010-128-200751</v>
      </c>
      <c r="C590" s="47">
        <v>44126</v>
      </c>
      <c r="D590" s="46">
        <v>128</v>
      </c>
      <c r="E590" s="46">
        <v>20000</v>
      </c>
      <c r="F590" s="46">
        <v>200751</v>
      </c>
      <c r="G590" s="48" t="s">
        <v>151</v>
      </c>
      <c r="H590" s="47">
        <v>44126</v>
      </c>
      <c r="I590" s="46">
        <v>50210</v>
      </c>
      <c r="J590" s="46">
        <v>10000</v>
      </c>
      <c r="K590" s="47">
        <v>44127</v>
      </c>
      <c r="L590" s="46">
        <v>10191</v>
      </c>
      <c r="M590" s="46">
        <v>10000</v>
      </c>
    </row>
    <row r="591" spans="2:13" ht="14.1" customHeight="1" x14ac:dyDescent="0.25">
      <c r="B591" s="46" t="str">
        <f t="shared" si="9"/>
        <v>2010-128-200751</v>
      </c>
      <c r="C591" s="47">
        <v>44126</v>
      </c>
      <c r="D591" s="46">
        <v>128</v>
      </c>
      <c r="E591" s="46">
        <v>20000</v>
      </c>
      <c r="F591" s="46">
        <v>200751</v>
      </c>
      <c r="G591" s="48" t="s">
        <v>151</v>
      </c>
      <c r="H591" s="47">
        <v>44126</v>
      </c>
      <c r="I591" s="46">
        <v>50210</v>
      </c>
      <c r="J591" s="46">
        <v>10000</v>
      </c>
      <c r="K591" s="47">
        <v>44127</v>
      </c>
      <c r="L591" s="46">
        <v>10197</v>
      </c>
      <c r="M591" s="46">
        <v>10000</v>
      </c>
    </row>
    <row r="592" spans="2:13" ht="14.1" customHeight="1" x14ac:dyDescent="0.25">
      <c r="B592" s="46" t="str">
        <f t="shared" si="9"/>
        <v>2010-128-200751</v>
      </c>
      <c r="C592" s="47">
        <v>44126</v>
      </c>
      <c r="D592" s="46">
        <v>128</v>
      </c>
      <c r="E592" s="46">
        <v>20000</v>
      </c>
      <c r="F592" s="46">
        <v>200751</v>
      </c>
      <c r="G592" s="48" t="s">
        <v>151</v>
      </c>
      <c r="H592" s="47">
        <v>44127</v>
      </c>
      <c r="I592" s="46">
        <v>50208</v>
      </c>
      <c r="J592" s="46">
        <v>10000</v>
      </c>
      <c r="K592" s="47">
        <v>44127</v>
      </c>
      <c r="L592" s="46">
        <v>10191</v>
      </c>
      <c r="M592" s="46">
        <v>10000</v>
      </c>
    </row>
    <row r="593" spans="2:13" ht="14.1" customHeight="1" x14ac:dyDescent="0.25">
      <c r="B593" s="46" t="str">
        <f t="shared" si="9"/>
        <v>2010-128-200751</v>
      </c>
      <c r="C593" s="47">
        <v>44126</v>
      </c>
      <c r="D593" s="46">
        <v>128</v>
      </c>
      <c r="E593" s="46">
        <v>20000</v>
      </c>
      <c r="F593" s="46">
        <v>200751</v>
      </c>
      <c r="G593" s="48" t="s">
        <v>151</v>
      </c>
      <c r="H593" s="47">
        <v>44127</v>
      </c>
      <c r="I593" s="46">
        <v>50208</v>
      </c>
      <c r="J593" s="46">
        <v>10000</v>
      </c>
      <c r="K593" s="47">
        <v>44127</v>
      </c>
      <c r="L593" s="46">
        <v>10197</v>
      </c>
      <c r="M593" s="46">
        <v>10000</v>
      </c>
    </row>
    <row r="594" spans="2:13" ht="14.1" customHeight="1" x14ac:dyDescent="0.25">
      <c r="B594" s="46" t="str">
        <f t="shared" si="9"/>
        <v>2010-129-308520</v>
      </c>
      <c r="C594" s="47">
        <v>44126</v>
      </c>
      <c r="D594" s="46">
        <v>129</v>
      </c>
      <c r="E594" s="46">
        <v>70</v>
      </c>
      <c r="F594" s="46">
        <v>308520</v>
      </c>
      <c r="G594" s="48" t="s">
        <v>270</v>
      </c>
      <c r="H594" s="47">
        <v>44144</v>
      </c>
      <c r="I594" s="46">
        <v>50385</v>
      </c>
      <c r="J594" s="46">
        <v>70</v>
      </c>
      <c r="K594" s="47">
        <v>44147</v>
      </c>
      <c r="L594" s="46">
        <v>10330</v>
      </c>
      <c r="M594" s="46">
        <v>70</v>
      </c>
    </row>
    <row r="595" spans="2:13" ht="14.1" customHeight="1" x14ac:dyDescent="0.25">
      <c r="B595" s="46" t="str">
        <f t="shared" si="9"/>
        <v>2010-130-200779</v>
      </c>
      <c r="C595" s="47">
        <v>44126</v>
      </c>
      <c r="D595" s="46">
        <v>130</v>
      </c>
      <c r="E595" s="46">
        <v>15</v>
      </c>
      <c r="F595" s="46">
        <v>200779</v>
      </c>
      <c r="G595" s="48" t="s">
        <v>73</v>
      </c>
      <c r="H595" s="47">
        <v>44144</v>
      </c>
      <c r="I595" s="46">
        <v>50384</v>
      </c>
      <c r="J595" s="46">
        <v>15</v>
      </c>
      <c r="K595" s="47">
        <v>44148</v>
      </c>
      <c r="L595" s="46">
        <v>10347</v>
      </c>
      <c r="M595" s="46">
        <v>15</v>
      </c>
    </row>
    <row r="596" spans="2:13" ht="14.1" customHeight="1" x14ac:dyDescent="0.25">
      <c r="B596" s="46" t="str">
        <f t="shared" si="9"/>
        <v>2010-130-311570</v>
      </c>
      <c r="C596" s="47">
        <v>44126</v>
      </c>
      <c r="D596" s="46">
        <v>130</v>
      </c>
      <c r="E596" s="46">
        <v>5</v>
      </c>
      <c r="F596" s="46">
        <v>311570</v>
      </c>
      <c r="G596" s="48" t="s">
        <v>251</v>
      </c>
      <c r="H596" s="47">
        <v>44144</v>
      </c>
      <c r="I596" s="46">
        <v>50384</v>
      </c>
      <c r="J596" s="46">
        <v>5</v>
      </c>
      <c r="K596" s="47">
        <v>44148</v>
      </c>
      <c r="L596" s="46">
        <v>10347</v>
      </c>
      <c r="M596" s="46">
        <v>5</v>
      </c>
    </row>
    <row r="597" spans="2:13" ht="14.1" customHeight="1" x14ac:dyDescent="0.25">
      <c r="B597" s="46" t="str">
        <f t="shared" si="9"/>
        <v>2010-130-204138</v>
      </c>
      <c r="C597" s="47">
        <v>44126</v>
      </c>
      <c r="D597" s="46">
        <v>130</v>
      </c>
      <c r="E597" s="46">
        <v>10000</v>
      </c>
      <c r="F597" s="46">
        <v>204138</v>
      </c>
      <c r="G597" s="48" t="s">
        <v>72</v>
      </c>
      <c r="H597" s="47">
        <v>44144</v>
      </c>
      <c r="I597" s="46">
        <v>50384</v>
      </c>
      <c r="J597" s="46">
        <v>10000</v>
      </c>
      <c r="K597" s="47">
        <v>44148</v>
      </c>
      <c r="L597" s="46">
        <v>10347</v>
      </c>
      <c r="M597" s="46">
        <v>10000</v>
      </c>
    </row>
    <row r="598" spans="2:13" ht="14.1" customHeight="1" x14ac:dyDescent="0.25">
      <c r="B598" s="46" t="str">
        <f t="shared" si="9"/>
        <v>2010-130-315392</v>
      </c>
      <c r="C598" s="47">
        <v>44126</v>
      </c>
      <c r="D598" s="46">
        <v>130</v>
      </c>
      <c r="E598" s="46">
        <v>5</v>
      </c>
      <c r="F598" s="46">
        <v>315392</v>
      </c>
      <c r="G598" s="48" t="s">
        <v>871</v>
      </c>
      <c r="H598" s="47">
        <v>44144</v>
      </c>
      <c r="I598" s="46">
        <v>50383</v>
      </c>
      <c r="J598" s="46">
        <v>5</v>
      </c>
      <c r="K598" s="47">
        <v>44158</v>
      </c>
      <c r="L598" s="46">
        <v>10445</v>
      </c>
      <c r="M598" s="46">
        <v>5</v>
      </c>
    </row>
    <row r="599" spans="2:13" ht="14.1" customHeight="1" x14ac:dyDescent="0.25">
      <c r="B599" s="46" t="str">
        <f t="shared" si="9"/>
        <v>2010-131-203593</v>
      </c>
      <c r="C599" s="47">
        <v>44126</v>
      </c>
      <c r="D599" s="46">
        <v>131</v>
      </c>
      <c r="E599" s="46">
        <v>500</v>
      </c>
      <c r="F599" s="46">
        <v>203593</v>
      </c>
      <c r="G599" s="48" t="s">
        <v>211</v>
      </c>
      <c r="H599" s="47">
        <v>44124</v>
      </c>
      <c r="I599" s="46">
        <v>50192</v>
      </c>
      <c r="J599" s="46">
        <v>500</v>
      </c>
      <c r="K599" s="47">
        <v>44126</v>
      </c>
      <c r="L599" s="46">
        <v>10172</v>
      </c>
      <c r="M599" s="46">
        <v>500</v>
      </c>
    </row>
    <row r="600" spans="2:13" ht="14.1" customHeight="1" x14ac:dyDescent="0.25">
      <c r="B600" s="46" t="str">
        <f t="shared" si="9"/>
        <v>2010-132-203593</v>
      </c>
      <c r="C600" s="47">
        <v>44126</v>
      </c>
      <c r="D600" s="46">
        <v>132</v>
      </c>
      <c r="E600" s="46">
        <v>13840</v>
      </c>
      <c r="F600" s="46">
        <v>203593</v>
      </c>
      <c r="G600" s="48" t="s">
        <v>211</v>
      </c>
      <c r="H600" s="47">
        <v>44124</v>
      </c>
      <c r="I600" s="46">
        <v>50193</v>
      </c>
      <c r="J600" s="46">
        <v>13840</v>
      </c>
      <c r="K600" s="47">
        <v>44126</v>
      </c>
      <c r="L600" s="46">
        <v>10173</v>
      </c>
      <c r="M600" s="46">
        <v>13840</v>
      </c>
    </row>
    <row r="601" spans="2:13" ht="14.1" customHeight="1" x14ac:dyDescent="0.25">
      <c r="B601" s="46" t="str">
        <f t="shared" si="9"/>
        <v>2010-133-203593</v>
      </c>
      <c r="C601" s="47">
        <v>44126</v>
      </c>
      <c r="D601" s="46">
        <v>133</v>
      </c>
      <c r="E601" s="46">
        <v>5720</v>
      </c>
      <c r="F601" s="46">
        <v>203593</v>
      </c>
      <c r="G601" s="48" t="s">
        <v>211</v>
      </c>
      <c r="H601" s="47">
        <v>44124</v>
      </c>
      <c r="I601" s="46">
        <v>50194</v>
      </c>
      <c r="J601" s="46">
        <v>5720</v>
      </c>
      <c r="K601" s="47">
        <v>44126</v>
      </c>
      <c r="L601" s="46">
        <v>10174</v>
      </c>
      <c r="M601" s="46">
        <v>5720</v>
      </c>
    </row>
    <row r="602" spans="2:13" ht="14.1" customHeight="1" x14ac:dyDescent="0.25">
      <c r="B602" s="46" t="str">
        <f t="shared" si="9"/>
        <v>2010-137-311507</v>
      </c>
      <c r="C602" s="47">
        <v>44126</v>
      </c>
      <c r="D602" s="46">
        <v>137</v>
      </c>
      <c r="E602" s="46">
        <v>20</v>
      </c>
      <c r="F602" s="46">
        <v>311507</v>
      </c>
      <c r="G602" s="48" t="s">
        <v>51</v>
      </c>
      <c r="H602" s="47">
        <v>44130</v>
      </c>
      <c r="I602" s="46">
        <v>50221</v>
      </c>
      <c r="J602" s="46">
        <v>20</v>
      </c>
      <c r="K602" s="47">
        <v>44139</v>
      </c>
      <c r="L602" s="46">
        <v>10251</v>
      </c>
      <c r="M602" s="46">
        <v>20</v>
      </c>
    </row>
    <row r="603" spans="2:13" ht="14.1" customHeight="1" x14ac:dyDescent="0.25">
      <c r="B603" s="46" t="str">
        <f t="shared" si="9"/>
        <v>2010-137-204518</v>
      </c>
      <c r="C603" s="47">
        <v>44126</v>
      </c>
      <c r="D603" s="46">
        <v>137</v>
      </c>
      <c r="E603" s="46">
        <v>40</v>
      </c>
      <c r="F603" s="46">
        <v>204518</v>
      </c>
      <c r="G603" s="48" t="s">
        <v>216</v>
      </c>
      <c r="H603" s="47">
        <v>44130</v>
      </c>
      <c r="I603" s="46">
        <v>50222</v>
      </c>
      <c r="J603" s="46">
        <v>40</v>
      </c>
      <c r="K603" s="47">
        <v>44139</v>
      </c>
      <c r="L603" s="46">
        <v>10248</v>
      </c>
      <c r="M603" s="46">
        <v>40</v>
      </c>
    </row>
    <row r="604" spans="2:13" ht="14.1" customHeight="1" x14ac:dyDescent="0.25">
      <c r="B604" s="46" t="str">
        <f t="shared" si="9"/>
        <v>2010-137-305492</v>
      </c>
      <c r="C604" s="47">
        <v>44126</v>
      </c>
      <c r="D604" s="46">
        <v>137</v>
      </c>
      <c r="E604" s="46">
        <v>40</v>
      </c>
      <c r="F604" s="46">
        <v>305492</v>
      </c>
      <c r="G604" s="48" t="s">
        <v>214</v>
      </c>
      <c r="H604" s="47">
        <v>44130</v>
      </c>
      <c r="I604" s="46">
        <v>50222</v>
      </c>
      <c r="J604" s="46">
        <v>40</v>
      </c>
      <c r="K604" s="47">
        <v>44139</v>
      </c>
      <c r="L604" s="46">
        <v>10248</v>
      </c>
      <c r="M604" s="46">
        <v>40</v>
      </c>
    </row>
    <row r="605" spans="2:13" ht="14.1" customHeight="1" x14ac:dyDescent="0.25">
      <c r="B605" s="46" t="str">
        <f t="shared" si="9"/>
        <v>2010-141-302908</v>
      </c>
      <c r="C605" s="47">
        <v>44126</v>
      </c>
      <c r="D605" s="46">
        <v>141</v>
      </c>
      <c r="E605" s="46">
        <v>2</v>
      </c>
      <c r="F605" s="46">
        <v>302908</v>
      </c>
      <c r="G605" s="48" t="s">
        <v>650</v>
      </c>
      <c r="H605" s="47">
        <v>44160</v>
      </c>
      <c r="I605" s="46">
        <v>50653</v>
      </c>
      <c r="J605" s="46">
        <v>2</v>
      </c>
      <c r="K605" s="47">
        <v>44161</v>
      </c>
      <c r="L605" s="46">
        <v>10488</v>
      </c>
      <c r="M605" s="46">
        <v>2</v>
      </c>
    </row>
    <row r="606" spans="2:13" ht="14.1" customHeight="1" x14ac:dyDescent="0.25">
      <c r="B606" s="46" t="str">
        <f t="shared" si="9"/>
        <v>2010-142-302023</v>
      </c>
      <c r="C606" s="47">
        <v>44126</v>
      </c>
      <c r="D606" s="46">
        <v>142</v>
      </c>
      <c r="E606" s="46">
        <v>12</v>
      </c>
      <c r="F606" s="46">
        <v>302023</v>
      </c>
      <c r="G606" s="48" t="s">
        <v>205</v>
      </c>
      <c r="H606" s="47">
        <v>44132</v>
      </c>
      <c r="I606" s="46">
        <v>50238</v>
      </c>
      <c r="J606" s="46">
        <v>12</v>
      </c>
      <c r="K606" s="47">
        <v>44134</v>
      </c>
      <c r="L606" s="46">
        <v>10225</v>
      </c>
      <c r="M606" s="46">
        <v>12</v>
      </c>
    </row>
    <row r="607" spans="2:13" ht="14.1" customHeight="1" x14ac:dyDescent="0.25">
      <c r="B607" s="46" t="str">
        <f t="shared" si="9"/>
        <v>2010-142-202904</v>
      </c>
      <c r="C607" s="47">
        <v>44126</v>
      </c>
      <c r="D607" s="46">
        <v>142</v>
      </c>
      <c r="E607" s="46">
        <v>3</v>
      </c>
      <c r="F607" s="46">
        <v>202904</v>
      </c>
      <c r="G607" s="48" t="s">
        <v>109</v>
      </c>
      <c r="H607" s="47">
        <v>44132</v>
      </c>
      <c r="I607" s="46">
        <v>50238</v>
      </c>
      <c r="J607" s="46">
        <v>3</v>
      </c>
      <c r="K607" s="47">
        <v>44134</v>
      </c>
      <c r="L607" s="46">
        <v>10225</v>
      </c>
      <c r="M607" s="46">
        <v>3</v>
      </c>
    </row>
    <row r="608" spans="2:13" ht="14.1" customHeight="1" x14ac:dyDescent="0.25">
      <c r="B608" s="46" t="str">
        <f t="shared" si="9"/>
        <v>2010-142-316495</v>
      </c>
      <c r="C608" s="47">
        <v>44126</v>
      </c>
      <c r="D608" s="46">
        <v>142</v>
      </c>
      <c r="E608" s="46">
        <v>4</v>
      </c>
      <c r="F608" s="46">
        <v>316495</v>
      </c>
      <c r="G608" s="48" t="s">
        <v>893</v>
      </c>
      <c r="H608" s="47">
        <v>44132</v>
      </c>
      <c r="I608" s="46">
        <v>50238</v>
      </c>
      <c r="J608" s="46">
        <v>4</v>
      </c>
      <c r="K608" s="47">
        <v>44134</v>
      </c>
      <c r="L608" s="46">
        <v>10225</v>
      </c>
      <c r="M608" s="46">
        <v>4</v>
      </c>
    </row>
    <row r="609" spans="2:13" ht="14.1" customHeight="1" x14ac:dyDescent="0.25">
      <c r="B609" s="46" t="str">
        <f t="shared" si="9"/>
        <v>2010-142-205958</v>
      </c>
      <c r="C609" s="47">
        <v>44126</v>
      </c>
      <c r="D609" s="46">
        <v>142</v>
      </c>
      <c r="E609" s="46">
        <v>6</v>
      </c>
      <c r="F609" s="46">
        <v>205958</v>
      </c>
      <c r="G609" s="48" t="s">
        <v>122</v>
      </c>
      <c r="H609" s="47">
        <v>44132</v>
      </c>
      <c r="I609" s="46">
        <v>50238</v>
      </c>
      <c r="J609" s="46">
        <v>6</v>
      </c>
      <c r="K609" s="47">
        <v>44134</v>
      </c>
      <c r="L609" s="46">
        <v>10225</v>
      </c>
      <c r="M609" s="46">
        <v>6</v>
      </c>
    </row>
    <row r="610" spans="2:13" ht="14.1" customHeight="1" x14ac:dyDescent="0.25">
      <c r="B610" s="46" t="str">
        <f t="shared" si="9"/>
        <v>2010-142-301219</v>
      </c>
      <c r="C610" s="47">
        <v>44126</v>
      </c>
      <c r="D610" s="46">
        <v>142</v>
      </c>
      <c r="E610" s="46">
        <v>3</v>
      </c>
      <c r="F610" s="46">
        <v>301219</v>
      </c>
      <c r="G610" s="48" t="s">
        <v>121</v>
      </c>
      <c r="H610" s="47">
        <v>44132</v>
      </c>
      <c r="I610" s="46">
        <v>50239</v>
      </c>
      <c r="J610" s="46">
        <v>3</v>
      </c>
      <c r="K610" s="47">
        <v>44134</v>
      </c>
      <c r="L610" s="46">
        <v>10231</v>
      </c>
      <c r="M610" s="46">
        <v>3</v>
      </c>
    </row>
    <row r="611" spans="2:13" ht="14.1" customHeight="1" x14ac:dyDescent="0.25">
      <c r="B611" s="46" t="str">
        <f t="shared" si="9"/>
        <v>2010-142-318934</v>
      </c>
      <c r="C611" s="47">
        <v>44126</v>
      </c>
      <c r="D611" s="46">
        <v>142</v>
      </c>
      <c r="E611" s="46">
        <v>2</v>
      </c>
      <c r="F611" s="46">
        <v>318934</v>
      </c>
      <c r="G611" s="48" t="s">
        <v>929</v>
      </c>
      <c r="H611" s="47">
        <v>44132</v>
      </c>
      <c r="I611" s="46">
        <v>50238</v>
      </c>
      <c r="J611" s="46">
        <v>2</v>
      </c>
      <c r="K611" s="47">
        <v>44134</v>
      </c>
      <c r="L611" s="46">
        <v>10225</v>
      </c>
      <c r="M611" s="46">
        <v>2</v>
      </c>
    </row>
    <row r="612" spans="2:13" ht="14.1" customHeight="1" x14ac:dyDescent="0.25">
      <c r="B612" s="46" t="str">
        <f t="shared" si="9"/>
        <v>2010-142-313025</v>
      </c>
      <c r="C612" s="47">
        <v>44126</v>
      </c>
      <c r="D612" s="46">
        <v>142</v>
      </c>
      <c r="E612" s="46">
        <v>6</v>
      </c>
      <c r="F612" s="46">
        <v>313025</v>
      </c>
      <c r="G612" s="48" t="s">
        <v>826</v>
      </c>
      <c r="H612" s="47">
        <v>44132</v>
      </c>
      <c r="I612" s="46">
        <v>50238</v>
      </c>
      <c r="J612" s="46">
        <v>6</v>
      </c>
      <c r="K612" s="47">
        <v>44134</v>
      </c>
      <c r="L612" s="46">
        <v>10225</v>
      </c>
      <c r="M612" s="46">
        <v>6</v>
      </c>
    </row>
    <row r="613" spans="2:13" ht="14.1" customHeight="1" x14ac:dyDescent="0.25">
      <c r="B613" s="46" t="str">
        <f t="shared" si="9"/>
        <v>2010-142-306099</v>
      </c>
      <c r="C613" s="47">
        <v>44126</v>
      </c>
      <c r="D613" s="46">
        <v>142</v>
      </c>
      <c r="E613" s="46">
        <v>6</v>
      </c>
      <c r="F613" s="46">
        <v>306099</v>
      </c>
      <c r="G613" s="48" t="s">
        <v>119</v>
      </c>
      <c r="H613" s="47">
        <v>44132</v>
      </c>
      <c r="I613" s="46">
        <v>50239</v>
      </c>
      <c r="J613" s="46">
        <v>6</v>
      </c>
      <c r="K613" s="47">
        <v>44134</v>
      </c>
      <c r="L613" s="46">
        <v>10231</v>
      </c>
      <c r="M613" s="46">
        <v>6</v>
      </c>
    </row>
    <row r="614" spans="2:13" ht="14.1" customHeight="1" x14ac:dyDescent="0.25">
      <c r="B614" s="46" t="str">
        <f t="shared" si="9"/>
        <v>2010-142-302025</v>
      </c>
      <c r="C614" s="47">
        <v>44126</v>
      </c>
      <c r="D614" s="46">
        <v>142</v>
      </c>
      <c r="E614" s="46">
        <v>24</v>
      </c>
      <c r="F614" s="46">
        <v>302025</v>
      </c>
      <c r="G614" s="48" t="s">
        <v>118</v>
      </c>
      <c r="H614" s="47">
        <v>44132</v>
      </c>
      <c r="I614" s="46">
        <v>50238</v>
      </c>
      <c r="J614" s="46">
        <v>24</v>
      </c>
      <c r="K614" s="47">
        <v>44134</v>
      </c>
      <c r="L614" s="46">
        <v>10225</v>
      </c>
      <c r="M614" s="46">
        <v>24</v>
      </c>
    </row>
    <row r="615" spans="2:13" ht="14.1" customHeight="1" x14ac:dyDescent="0.25">
      <c r="B615" s="46" t="str">
        <f t="shared" si="9"/>
        <v>2010-142-302026</v>
      </c>
      <c r="C615" s="47">
        <v>44126</v>
      </c>
      <c r="D615" s="46">
        <v>142</v>
      </c>
      <c r="E615" s="46">
        <v>4</v>
      </c>
      <c r="F615" s="46">
        <v>302026</v>
      </c>
      <c r="G615" s="48" t="s">
        <v>120</v>
      </c>
      <c r="H615" s="47">
        <v>44132</v>
      </c>
      <c r="I615" s="46">
        <v>50238</v>
      </c>
      <c r="J615" s="46">
        <v>4</v>
      </c>
      <c r="K615" s="47">
        <v>44134</v>
      </c>
      <c r="L615" s="46">
        <v>10225</v>
      </c>
      <c r="M615" s="46">
        <v>4</v>
      </c>
    </row>
    <row r="616" spans="2:13" ht="14.1" customHeight="1" x14ac:dyDescent="0.25">
      <c r="B616" s="46" t="str">
        <f t="shared" si="9"/>
        <v>2010-143-320150</v>
      </c>
      <c r="C616" s="47">
        <v>44126</v>
      </c>
      <c r="D616" s="46">
        <v>143</v>
      </c>
      <c r="E616" s="46">
        <v>3</v>
      </c>
      <c r="F616" s="46">
        <v>320150</v>
      </c>
      <c r="G616" s="48" t="s">
        <v>972</v>
      </c>
      <c r="H616" s="47">
        <v>44140</v>
      </c>
      <c r="I616" s="46">
        <v>50341</v>
      </c>
      <c r="J616" s="46">
        <v>3</v>
      </c>
      <c r="K616" s="47">
        <v>44148</v>
      </c>
      <c r="L616" s="46">
        <v>10340</v>
      </c>
      <c r="M616" s="46">
        <v>3</v>
      </c>
    </row>
    <row r="617" spans="2:13" ht="14.1" customHeight="1" x14ac:dyDescent="0.25">
      <c r="B617" s="46" t="str">
        <f t="shared" si="9"/>
        <v>2010-143-316167</v>
      </c>
      <c r="C617" s="47">
        <v>44126</v>
      </c>
      <c r="D617" s="46">
        <v>143</v>
      </c>
      <c r="E617" s="46">
        <v>2</v>
      </c>
      <c r="F617" s="46">
        <v>316167</v>
      </c>
      <c r="G617" s="48" t="s">
        <v>200</v>
      </c>
      <c r="H617" s="47">
        <v>44140</v>
      </c>
      <c r="I617" s="46">
        <v>50344</v>
      </c>
      <c r="J617" s="46">
        <v>2</v>
      </c>
      <c r="K617" s="47">
        <v>44148</v>
      </c>
      <c r="L617" s="46">
        <v>10341</v>
      </c>
      <c r="M617" s="46">
        <v>2</v>
      </c>
    </row>
    <row r="618" spans="2:13" ht="14.1" customHeight="1" x14ac:dyDescent="0.25">
      <c r="B618" s="46" t="str">
        <f t="shared" si="9"/>
        <v>2010-143-302456</v>
      </c>
      <c r="C618" s="47">
        <v>44126</v>
      </c>
      <c r="D618" s="46">
        <v>143</v>
      </c>
      <c r="E618" s="46">
        <v>3</v>
      </c>
      <c r="F618" s="46">
        <v>302456</v>
      </c>
      <c r="G618" s="48" t="s">
        <v>641</v>
      </c>
      <c r="H618" s="47">
        <v>44140</v>
      </c>
      <c r="I618" s="46">
        <v>50341</v>
      </c>
      <c r="J618" s="46">
        <v>3</v>
      </c>
      <c r="K618" s="47">
        <v>44144</v>
      </c>
      <c r="L618" s="46">
        <v>10294</v>
      </c>
      <c r="M618" s="46">
        <v>3</v>
      </c>
    </row>
    <row r="619" spans="2:13" ht="14.1" customHeight="1" x14ac:dyDescent="0.25">
      <c r="B619" s="46" t="str">
        <f t="shared" si="9"/>
        <v>2010-143-320149</v>
      </c>
      <c r="C619" s="47">
        <v>44126</v>
      </c>
      <c r="D619" s="46">
        <v>143</v>
      </c>
      <c r="E619" s="46">
        <v>15</v>
      </c>
      <c r="F619" s="46">
        <v>320149</v>
      </c>
      <c r="G619" s="48" t="s">
        <v>950</v>
      </c>
      <c r="H619" s="47">
        <v>44140</v>
      </c>
      <c r="I619" s="46">
        <v>50343</v>
      </c>
      <c r="J619" s="46">
        <v>15</v>
      </c>
      <c r="K619" s="47">
        <v>44144</v>
      </c>
      <c r="L619" s="46">
        <v>10293</v>
      </c>
      <c r="M619" s="46">
        <v>15</v>
      </c>
    </row>
    <row r="620" spans="2:13" ht="14.1" customHeight="1" x14ac:dyDescent="0.25">
      <c r="B620" s="46" t="str">
        <f t="shared" si="9"/>
        <v>2010-143-319131</v>
      </c>
      <c r="C620" s="47">
        <v>44126</v>
      </c>
      <c r="D620" s="46">
        <v>143</v>
      </c>
      <c r="E620" s="46">
        <v>2</v>
      </c>
      <c r="F620" s="46">
        <v>319131</v>
      </c>
      <c r="G620" s="48" t="s">
        <v>933</v>
      </c>
      <c r="H620" s="47">
        <v>44140</v>
      </c>
      <c r="I620" s="46">
        <v>50342</v>
      </c>
      <c r="J620" s="46">
        <v>2</v>
      </c>
      <c r="K620" s="47">
        <v>44144</v>
      </c>
      <c r="L620" s="46">
        <v>10296</v>
      </c>
      <c r="M620" s="46">
        <v>2</v>
      </c>
    </row>
    <row r="621" spans="2:13" ht="14.1" customHeight="1" x14ac:dyDescent="0.25">
      <c r="B621" s="46" t="str">
        <f t="shared" si="9"/>
        <v>2010-143-302710</v>
      </c>
      <c r="C621" s="47">
        <v>44126</v>
      </c>
      <c r="D621" s="46">
        <v>143</v>
      </c>
      <c r="E621" s="46">
        <v>3</v>
      </c>
      <c r="F621" s="46">
        <v>302710</v>
      </c>
      <c r="G621" s="48" t="s">
        <v>58</v>
      </c>
      <c r="H621" s="47">
        <v>44140</v>
      </c>
      <c r="I621" s="46">
        <v>50341</v>
      </c>
      <c r="J621" s="46">
        <v>3</v>
      </c>
      <c r="K621" s="47">
        <v>44147</v>
      </c>
      <c r="L621" s="46">
        <v>10325</v>
      </c>
      <c r="M621" s="46">
        <v>3</v>
      </c>
    </row>
    <row r="622" spans="2:13" ht="14.1" customHeight="1" x14ac:dyDescent="0.25">
      <c r="B622" s="46" t="str">
        <f t="shared" si="9"/>
        <v>2010-143-305512</v>
      </c>
      <c r="C622" s="47">
        <v>44126</v>
      </c>
      <c r="D622" s="46">
        <v>143</v>
      </c>
      <c r="E622" s="46">
        <v>5</v>
      </c>
      <c r="F622" s="46">
        <v>305512</v>
      </c>
      <c r="G622" s="48" t="s">
        <v>697</v>
      </c>
      <c r="H622" s="47">
        <v>44140</v>
      </c>
      <c r="I622" s="46">
        <v>50341</v>
      </c>
      <c r="J622" s="46">
        <v>5</v>
      </c>
      <c r="K622" s="47">
        <v>44144</v>
      </c>
      <c r="L622" s="46">
        <v>10294</v>
      </c>
      <c r="M622" s="46">
        <v>5</v>
      </c>
    </row>
    <row r="623" spans="2:13" ht="14.1" customHeight="1" x14ac:dyDescent="0.25">
      <c r="B623" s="46" t="str">
        <f t="shared" si="9"/>
        <v>2010-143-105712</v>
      </c>
      <c r="C623" s="47">
        <v>44126</v>
      </c>
      <c r="D623" s="46">
        <v>143</v>
      </c>
      <c r="E623" s="46">
        <v>3</v>
      </c>
      <c r="F623" s="46">
        <v>105712</v>
      </c>
      <c r="G623" s="50" t="s">
        <v>437</v>
      </c>
      <c r="H623" s="47">
        <v>44140</v>
      </c>
      <c r="I623" s="46">
        <v>50343</v>
      </c>
      <c r="J623" s="46">
        <v>3</v>
      </c>
      <c r="K623" s="47">
        <v>44144</v>
      </c>
      <c r="L623" s="46">
        <v>10293</v>
      </c>
      <c r="M623" s="46">
        <v>3</v>
      </c>
    </row>
    <row r="624" spans="2:13" ht="14.1" customHeight="1" x14ac:dyDescent="0.25">
      <c r="B624" s="46" t="str">
        <f t="shared" si="9"/>
        <v>2010-143-200267</v>
      </c>
      <c r="C624" s="47">
        <v>44126</v>
      </c>
      <c r="D624" s="46">
        <v>143</v>
      </c>
      <c r="E624" s="46">
        <v>5</v>
      </c>
      <c r="F624" s="46">
        <v>200267</v>
      </c>
      <c r="G624" s="48" t="s">
        <v>1053</v>
      </c>
      <c r="H624" s="47">
        <v>44140</v>
      </c>
      <c r="I624" s="46">
        <v>50343</v>
      </c>
      <c r="J624" s="46">
        <v>5</v>
      </c>
      <c r="K624" s="47">
        <v>44144</v>
      </c>
      <c r="L624" s="46">
        <v>10293</v>
      </c>
      <c r="M624" s="46">
        <v>5</v>
      </c>
    </row>
    <row r="625" spans="2:13" ht="14.1" customHeight="1" x14ac:dyDescent="0.25">
      <c r="B625" s="46" t="str">
        <f t="shared" si="9"/>
        <v>2010-143-312720</v>
      </c>
      <c r="C625" s="47">
        <v>44126</v>
      </c>
      <c r="D625" s="46">
        <v>143</v>
      </c>
      <c r="E625" s="46">
        <v>10</v>
      </c>
      <c r="F625" s="46">
        <v>312720</v>
      </c>
      <c r="G625" s="48" t="s">
        <v>296</v>
      </c>
      <c r="H625" s="47">
        <v>44140</v>
      </c>
      <c r="I625" s="46">
        <v>50343</v>
      </c>
      <c r="J625" s="46">
        <v>10</v>
      </c>
      <c r="K625" s="47">
        <v>44144</v>
      </c>
      <c r="L625" s="46">
        <v>10293</v>
      </c>
      <c r="M625" s="46">
        <v>10</v>
      </c>
    </row>
    <row r="626" spans="2:13" ht="14.1" customHeight="1" x14ac:dyDescent="0.25">
      <c r="B626" s="46" t="str">
        <f t="shared" si="9"/>
        <v>2010-143-312717</v>
      </c>
      <c r="C626" s="47">
        <v>44126</v>
      </c>
      <c r="D626" s="46">
        <v>143</v>
      </c>
      <c r="E626" s="46">
        <v>2</v>
      </c>
      <c r="F626" s="46">
        <v>312717</v>
      </c>
      <c r="G626" s="48" t="s">
        <v>822</v>
      </c>
      <c r="H626" s="47">
        <v>44141</v>
      </c>
      <c r="I626" s="46">
        <v>50363</v>
      </c>
      <c r="J626" s="46">
        <v>2</v>
      </c>
      <c r="K626" s="47">
        <v>44144</v>
      </c>
      <c r="L626" s="46">
        <v>10295</v>
      </c>
      <c r="M626" s="46">
        <v>2</v>
      </c>
    </row>
    <row r="627" spans="2:13" ht="14.1" customHeight="1" x14ac:dyDescent="0.25">
      <c r="B627" s="46" t="str">
        <f t="shared" si="9"/>
        <v>2010-144-313442</v>
      </c>
      <c r="C627" s="47">
        <v>44126</v>
      </c>
      <c r="D627" s="46">
        <v>144</v>
      </c>
      <c r="E627" s="46">
        <v>1</v>
      </c>
      <c r="F627" s="46">
        <v>313442</v>
      </c>
      <c r="G627" s="50" t="s">
        <v>831</v>
      </c>
      <c r="H627" s="47">
        <v>44119</v>
      </c>
      <c r="I627" s="46">
        <v>50198</v>
      </c>
      <c r="J627" s="46">
        <v>1</v>
      </c>
      <c r="K627" s="47">
        <v>44126</v>
      </c>
      <c r="L627" s="46">
        <v>10181</v>
      </c>
      <c r="M627" s="46">
        <v>1</v>
      </c>
    </row>
    <row r="628" spans="2:13" ht="14.1" customHeight="1" x14ac:dyDescent="0.25">
      <c r="B628" s="46" t="str">
        <f t="shared" si="9"/>
        <v>2010-144-319694</v>
      </c>
      <c r="C628" s="47">
        <v>44126</v>
      </c>
      <c r="D628" s="46">
        <v>144</v>
      </c>
      <c r="E628" s="46">
        <v>1</v>
      </c>
      <c r="F628" s="46">
        <v>319694</v>
      </c>
      <c r="G628" s="48" t="s">
        <v>937</v>
      </c>
      <c r="H628" s="47">
        <v>44119</v>
      </c>
      <c r="I628" s="46">
        <v>50198</v>
      </c>
      <c r="J628" s="46">
        <v>1</v>
      </c>
      <c r="K628" s="47">
        <v>44126</v>
      </c>
      <c r="L628" s="46">
        <v>10181</v>
      </c>
      <c r="M628" s="46">
        <v>1</v>
      </c>
    </row>
    <row r="629" spans="2:13" ht="14.1" customHeight="1" x14ac:dyDescent="0.25">
      <c r="B629" s="46" t="str">
        <f t="shared" si="9"/>
        <v>2010-144-319765</v>
      </c>
      <c r="C629" s="47">
        <v>44126</v>
      </c>
      <c r="D629" s="46">
        <v>144</v>
      </c>
      <c r="E629" s="46">
        <v>1</v>
      </c>
      <c r="F629" s="46">
        <v>319765</v>
      </c>
      <c r="G629" s="48" t="s">
        <v>940</v>
      </c>
      <c r="H629" s="47">
        <v>44119</v>
      </c>
      <c r="I629" s="46">
        <v>50198</v>
      </c>
      <c r="J629" s="46">
        <v>1</v>
      </c>
      <c r="K629" s="47">
        <v>44126</v>
      </c>
      <c r="L629" s="46">
        <v>10181</v>
      </c>
      <c r="M629" s="46">
        <v>1</v>
      </c>
    </row>
    <row r="630" spans="2:13" ht="14.1" customHeight="1" x14ac:dyDescent="0.25">
      <c r="B630" s="46" t="str">
        <f t="shared" si="9"/>
        <v>2010-145-308888</v>
      </c>
      <c r="C630" s="47">
        <v>44126</v>
      </c>
      <c r="D630" s="46">
        <v>145</v>
      </c>
      <c r="E630" s="46">
        <v>1</v>
      </c>
      <c r="F630" s="46">
        <v>308888</v>
      </c>
      <c r="G630" s="48" t="s">
        <v>318</v>
      </c>
      <c r="H630" s="47">
        <v>44141</v>
      </c>
      <c r="I630" s="46">
        <v>50354</v>
      </c>
      <c r="J630" s="46">
        <v>1</v>
      </c>
      <c r="K630" s="47">
        <v>44144</v>
      </c>
      <c r="L630" s="46">
        <v>10299</v>
      </c>
      <c r="M630" s="46">
        <v>1</v>
      </c>
    </row>
    <row r="631" spans="2:13" ht="14.1" customHeight="1" x14ac:dyDescent="0.25">
      <c r="B631" s="46" t="str">
        <f t="shared" si="9"/>
        <v>2010-145-310886</v>
      </c>
      <c r="C631" s="47">
        <v>44126</v>
      </c>
      <c r="D631" s="46">
        <v>145</v>
      </c>
      <c r="E631" s="46">
        <v>1</v>
      </c>
      <c r="F631" s="46">
        <v>310886</v>
      </c>
      <c r="G631" s="48" t="s">
        <v>184</v>
      </c>
      <c r="H631" s="47">
        <v>44141</v>
      </c>
      <c r="I631" s="46">
        <v>50353</v>
      </c>
      <c r="J631" s="46">
        <v>1</v>
      </c>
      <c r="K631" s="47">
        <v>44144</v>
      </c>
      <c r="L631" s="46">
        <v>10298</v>
      </c>
      <c r="M631" s="46">
        <v>1</v>
      </c>
    </row>
    <row r="632" spans="2:13" ht="14.1" customHeight="1" x14ac:dyDescent="0.25">
      <c r="B632" s="46" t="str">
        <f t="shared" si="9"/>
        <v>2010-145-311209</v>
      </c>
      <c r="C632" s="47">
        <v>44126</v>
      </c>
      <c r="D632" s="46">
        <v>145</v>
      </c>
      <c r="E632" s="46">
        <v>1</v>
      </c>
      <c r="F632" s="46">
        <v>311209</v>
      </c>
      <c r="G632" s="48" t="s">
        <v>786</v>
      </c>
      <c r="H632" s="47">
        <v>44141</v>
      </c>
      <c r="I632" s="46">
        <v>50352</v>
      </c>
      <c r="J632" s="46">
        <v>1</v>
      </c>
      <c r="K632" s="47">
        <v>44144</v>
      </c>
      <c r="L632" s="46">
        <v>10297</v>
      </c>
      <c r="M632" s="46">
        <v>1</v>
      </c>
    </row>
    <row r="633" spans="2:13" ht="14.1" customHeight="1" x14ac:dyDescent="0.25">
      <c r="B633" s="46" t="str">
        <f t="shared" si="9"/>
        <v>2010-145-105282</v>
      </c>
      <c r="C633" s="47">
        <v>44126</v>
      </c>
      <c r="D633" s="46">
        <v>145</v>
      </c>
      <c r="E633" s="46">
        <v>4</v>
      </c>
      <c r="F633" s="46">
        <v>105282</v>
      </c>
      <c r="G633" s="48" t="s">
        <v>430</v>
      </c>
      <c r="H633" s="47">
        <v>44141</v>
      </c>
      <c r="I633" s="46">
        <v>50355</v>
      </c>
      <c r="J633" s="46">
        <v>4</v>
      </c>
      <c r="K633" s="47">
        <v>44145</v>
      </c>
      <c r="L633" s="46">
        <v>10304</v>
      </c>
      <c r="M633" s="46">
        <v>4</v>
      </c>
    </row>
    <row r="634" spans="2:13" ht="14.1" customHeight="1" x14ac:dyDescent="0.25">
      <c r="B634" s="46" t="str">
        <f t="shared" si="9"/>
        <v>2010-145-104982</v>
      </c>
      <c r="C634" s="47">
        <v>44126</v>
      </c>
      <c r="D634" s="46">
        <v>145</v>
      </c>
      <c r="E634" s="46">
        <v>1</v>
      </c>
      <c r="F634" s="46">
        <v>104982</v>
      </c>
      <c r="G634" s="48" t="s">
        <v>428</v>
      </c>
      <c r="H634" s="47">
        <v>44141</v>
      </c>
      <c r="I634" s="46">
        <v>50354</v>
      </c>
      <c r="J634" s="46">
        <v>1</v>
      </c>
      <c r="K634" s="47">
        <v>44148</v>
      </c>
      <c r="L634" s="46">
        <v>10350</v>
      </c>
      <c r="M634" s="46">
        <v>1</v>
      </c>
    </row>
    <row r="635" spans="2:13" ht="14.1" customHeight="1" x14ac:dyDescent="0.25">
      <c r="B635" s="46" t="str">
        <f t="shared" si="9"/>
        <v>2010-145-106021</v>
      </c>
      <c r="C635" s="47">
        <v>44126</v>
      </c>
      <c r="D635" s="46">
        <v>145</v>
      </c>
      <c r="E635" s="46">
        <v>20</v>
      </c>
      <c r="F635" s="46">
        <v>106021</v>
      </c>
      <c r="G635" s="48" t="s">
        <v>81</v>
      </c>
      <c r="H635" s="47">
        <v>44141</v>
      </c>
      <c r="I635" s="46">
        <v>50355</v>
      </c>
      <c r="J635" s="46">
        <v>20</v>
      </c>
      <c r="K635" s="47">
        <v>44145</v>
      </c>
      <c r="L635" s="46">
        <v>10304</v>
      </c>
      <c r="M635" s="46">
        <v>20</v>
      </c>
    </row>
    <row r="636" spans="2:13" ht="14.1" customHeight="1" x14ac:dyDescent="0.25">
      <c r="B636" s="46" t="str">
        <f t="shared" si="9"/>
        <v>2010-145-314510</v>
      </c>
      <c r="C636" s="47">
        <v>44126</v>
      </c>
      <c r="D636" s="46">
        <v>145</v>
      </c>
      <c r="E636" s="46">
        <v>1</v>
      </c>
      <c r="F636" s="46">
        <v>314510</v>
      </c>
      <c r="G636" s="48" t="s">
        <v>854</v>
      </c>
      <c r="H636" s="47">
        <v>44141</v>
      </c>
      <c r="I636" s="46">
        <v>50353</v>
      </c>
      <c r="J636" s="46">
        <v>1</v>
      </c>
      <c r="K636" s="47">
        <v>44144</v>
      </c>
      <c r="L636" s="46">
        <v>10298</v>
      </c>
      <c r="M636" s="46">
        <v>1</v>
      </c>
    </row>
    <row r="637" spans="2:13" ht="14.1" customHeight="1" x14ac:dyDescent="0.25">
      <c r="B637" s="46" t="str">
        <f t="shared" si="9"/>
        <v>2010-145-307320</v>
      </c>
      <c r="C637" s="47">
        <v>44126</v>
      </c>
      <c r="D637" s="46">
        <v>145</v>
      </c>
      <c r="E637" s="46">
        <v>1</v>
      </c>
      <c r="F637" s="46">
        <v>307320</v>
      </c>
      <c r="G637" s="48" t="s">
        <v>284</v>
      </c>
      <c r="H637" s="47">
        <v>44141</v>
      </c>
      <c r="I637" s="46">
        <v>50354</v>
      </c>
      <c r="J637" s="46">
        <v>1</v>
      </c>
      <c r="K637" s="47">
        <v>44144</v>
      </c>
      <c r="L637" s="46">
        <v>10299</v>
      </c>
      <c r="M637" s="46">
        <v>1</v>
      </c>
    </row>
    <row r="638" spans="2:13" ht="14.1" customHeight="1" x14ac:dyDescent="0.25">
      <c r="B638" s="46" t="str">
        <f t="shared" si="9"/>
        <v>2010-145-301252</v>
      </c>
      <c r="C638" s="47">
        <v>44126</v>
      </c>
      <c r="D638" s="46">
        <v>145</v>
      </c>
      <c r="E638" s="46">
        <v>1</v>
      </c>
      <c r="F638" s="46">
        <v>301252</v>
      </c>
      <c r="G638" s="48" t="s">
        <v>616</v>
      </c>
      <c r="H638" s="47">
        <v>44141</v>
      </c>
      <c r="I638" s="46">
        <v>50353</v>
      </c>
      <c r="J638" s="46">
        <v>1</v>
      </c>
      <c r="K638" s="47">
        <v>44144</v>
      </c>
      <c r="L638" s="46">
        <v>10298</v>
      </c>
      <c r="M638" s="46">
        <v>1</v>
      </c>
    </row>
    <row r="639" spans="2:13" ht="14.1" customHeight="1" x14ac:dyDescent="0.25">
      <c r="B639" s="46" t="str">
        <f t="shared" si="9"/>
        <v>2010-145-201864</v>
      </c>
      <c r="C639" s="47">
        <v>44126</v>
      </c>
      <c r="D639" s="46">
        <v>145</v>
      </c>
      <c r="E639" s="46">
        <v>20</v>
      </c>
      <c r="F639" s="46">
        <v>201864</v>
      </c>
      <c r="G639" s="48" t="s">
        <v>496</v>
      </c>
      <c r="H639" s="47">
        <v>44141</v>
      </c>
      <c r="I639" s="46">
        <v>50355</v>
      </c>
      <c r="J639" s="46">
        <v>20</v>
      </c>
      <c r="K639" s="47">
        <v>44145</v>
      </c>
      <c r="L639" s="46">
        <v>10304</v>
      </c>
      <c r="M639" s="46">
        <v>20</v>
      </c>
    </row>
    <row r="640" spans="2:13" ht="14.1" customHeight="1" x14ac:dyDescent="0.25">
      <c r="B640" s="46" t="str">
        <f t="shared" si="9"/>
        <v>2010-146-200267</v>
      </c>
      <c r="C640" s="47">
        <v>44126</v>
      </c>
      <c r="D640" s="46">
        <v>146</v>
      </c>
      <c r="E640" s="46">
        <v>8</v>
      </c>
      <c r="F640" s="46">
        <v>200267</v>
      </c>
      <c r="G640" s="48" t="s">
        <v>1053</v>
      </c>
      <c r="H640" s="47">
        <v>44141</v>
      </c>
      <c r="I640" s="46">
        <v>50351</v>
      </c>
      <c r="J640" s="46">
        <v>8</v>
      </c>
      <c r="K640" s="47">
        <v>44144</v>
      </c>
      <c r="L640" s="46">
        <v>10291</v>
      </c>
      <c r="M640" s="46">
        <v>8</v>
      </c>
    </row>
    <row r="641" spans="2:13" ht="14.1" customHeight="1" x14ac:dyDescent="0.25">
      <c r="B641" s="46" t="str">
        <f t="shared" si="9"/>
        <v>2010-146-302456</v>
      </c>
      <c r="C641" s="47">
        <v>44126</v>
      </c>
      <c r="D641" s="46">
        <v>146</v>
      </c>
      <c r="E641" s="46">
        <v>3</v>
      </c>
      <c r="F641" s="46">
        <v>302456</v>
      </c>
      <c r="G641" s="48" t="s">
        <v>641</v>
      </c>
      <c r="H641" s="47">
        <v>44141</v>
      </c>
      <c r="I641" s="46">
        <v>50356</v>
      </c>
      <c r="J641" s="46">
        <v>3</v>
      </c>
      <c r="K641" s="47">
        <v>44144</v>
      </c>
      <c r="L641" s="46">
        <v>10290</v>
      </c>
      <c r="M641" s="46">
        <v>3</v>
      </c>
    </row>
    <row r="642" spans="2:13" ht="14.1" customHeight="1" x14ac:dyDescent="0.25">
      <c r="B642" s="46" t="str">
        <f t="shared" si="9"/>
        <v>2010-146-312720</v>
      </c>
      <c r="C642" s="47">
        <v>44126</v>
      </c>
      <c r="D642" s="46">
        <v>146</v>
      </c>
      <c r="E642" s="46">
        <v>15</v>
      </c>
      <c r="F642" s="46">
        <v>312720</v>
      </c>
      <c r="G642" s="48" t="s">
        <v>296</v>
      </c>
      <c r="H642" s="47">
        <v>44141</v>
      </c>
      <c r="I642" s="46">
        <v>50350</v>
      </c>
      <c r="J642" s="46">
        <v>15</v>
      </c>
      <c r="K642" s="47">
        <v>44144</v>
      </c>
      <c r="L642" s="46">
        <v>10292</v>
      </c>
      <c r="M642" s="46">
        <v>15</v>
      </c>
    </row>
    <row r="643" spans="2:13" ht="14.1" customHeight="1" x14ac:dyDescent="0.25">
      <c r="B643" s="46" t="str">
        <f t="shared" si="9"/>
        <v>2010-146-319131</v>
      </c>
      <c r="C643" s="47">
        <v>44126</v>
      </c>
      <c r="D643" s="46">
        <v>146</v>
      </c>
      <c r="E643" s="46">
        <v>4</v>
      </c>
      <c r="F643" s="46">
        <v>319131</v>
      </c>
      <c r="G643" s="48" t="s">
        <v>933</v>
      </c>
      <c r="H643" s="47">
        <v>44141</v>
      </c>
      <c r="I643" s="46">
        <v>50350</v>
      </c>
      <c r="J643" s="46">
        <v>4</v>
      </c>
      <c r="K643" s="47">
        <v>44144</v>
      </c>
      <c r="L643" s="46">
        <v>10292</v>
      </c>
      <c r="M643" s="46">
        <v>4</v>
      </c>
    </row>
    <row r="644" spans="2:13" ht="14.1" customHeight="1" x14ac:dyDescent="0.25">
      <c r="B644" s="46" t="str">
        <f t="shared" si="9"/>
        <v>2010-146-320149</v>
      </c>
      <c r="C644" s="47">
        <v>44126</v>
      </c>
      <c r="D644" s="46">
        <v>146</v>
      </c>
      <c r="E644" s="46">
        <v>20</v>
      </c>
      <c r="F644" s="46">
        <v>320149</v>
      </c>
      <c r="G644" s="48" t="s">
        <v>950</v>
      </c>
      <c r="H644" s="47">
        <v>44141</v>
      </c>
      <c r="I644" s="46">
        <v>50351</v>
      </c>
      <c r="J644" s="46">
        <v>20</v>
      </c>
      <c r="K644" s="47">
        <v>44144</v>
      </c>
      <c r="L644" s="46">
        <v>10291</v>
      </c>
      <c r="M644" s="46">
        <v>20</v>
      </c>
    </row>
    <row r="645" spans="2:13" ht="14.1" customHeight="1" x14ac:dyDescent="0.25">
      <c r="B645" s="46" t="str">
        <f t="shared" si="9"/>
        <v>2010-146-304800</v>
      </c>
      <c r="C645" s="47">
        <v>44126</v>
      </c>
      <c r="D645" s="46">
        <v>146</v>
      </c>
      <c r="E645" s="46">
        <v>3</v>
      </c>
      <c r="F645" s="46">
        <v>304800</v>
      </c>
      <c r="G645" s="48" t="s">
        <v>684</v>
      </c>
      <c r="H645" s="47">
        <v>44141</v>
      </c>
      <c r="I645" s="46">
        <v>50350</v>
      </c>
      <c r="J645" s="46">
        <v>3</v>
      </c>
      <c r="K645" s="47">
        <v>44144</v>
      </c>
      <c r="L645" s="46">
        <v>10292</v>
      </c>
      <c r="M645" s="46">
        <v>3</v>
      </c>
    </row>
    <row r="646" spans="2:13" ht="14.1" customHeight="1" x14ac:dyDescent="0.25">
      <c r="B646" s="46" t="str">
        <f t="shared" si="9"/>
        <v>2010-146-105921</v>
      </c>
      <c r="C646" s="47">
        <v>44126</v>
      </c>
      <c r="D646" s="46">
        <v>146</v>
      </c>
      <c r="E646" s="46">
        <v>7</v>
      </c>
      <c r="F646" s="46">
        <v>105921</v>
      </c>
      <c r="G646" s="48" t="s">
        <v>445</v>
      </c>
      <c r="H646" s="47">
        <v>44141</v>
      </c>
      <c r="I646" s="46">
        <v>50350</v>
      </c>
      <c r="J646" s="46">
        <v>7</v>
      </c>
      <c r="K646" s="47">
        <v>44144</v>
      </c>
      <c r="L646" s="46">
        <v>10292</v>
      </c>
      <c r="M646" s="46">
        <v>7</v>
      </c>
    </row>
    <row r="647" spans="2:13" ht="14.1" customHeight="1" x14ac:dyDescent="0.25">
      <c r="B647" s="46" t="str">
        <f t="shared" si="9"/>
        <v>2010-146-320363</v>
      </c>
      <c r="C647" s="47">
        <v>44126</v>
      </c>
      <c r="D647" s="46">
        <v>146</v>
      </c>
      <c r="E647" s="46">
        <v>8</v>
      </c>
      <c r="F647" s="46">
        <v>320363</v>
      </c>
      <c r="G647" s="48" t="s">
        <v>1051</v>
      </c>
      <c r="H647" s="47">
        <v>44141</v>
      </c>
      <c r="I647" s="46">
        <v>50351</v>
      </c>
      <c r="J647" s="46">
        <v>8</v>
      </c>
      <c r="K647" s="47">
        <v>44144</v>
      </c>
      <c r="L647" s="46">
        <v>10291</v>
      </c>
      <c r="M647" s="46">
        <v>8</v>
      </c>
    </row>
    <row r="648" spans="2:13" ht="14.1" customHeight="1" x14ac:dyDescent="0.25">
      <c r="B648" s="46" t="str">
        <f t="shared" si="9"/>
        <v>2010-155-300312</v>
      </c>
      <c r="C648" s="47">
        <v>44127</v>
      </c>
      <c r="D648" s="46">
        <v>155</v>
      </c>
      <c r="E648" s="46">
        <v>2000</v>
      </c>
      <c r="F648" s="46">
        <v>300312</v>
      </c>
      <c r="G648" s="48" t="s">
        <v>186</v>
      </c>
      <c r="H648" s="47">
        <v>44145</v>
      </c>
      <c r="I648" s="46">
        <v>50396</v>
      </c>
      <c r="J648" s="46">
        <v>2000</v>
      </c>
      <c r="K648" s="47">
        <v>44127</v>
      </c>
      <c r="L648" s="46">
        <v>10190</v>
      </c>
      <c r="M648" s="46">
        <v>2000</v>
      </c>
    </row>
    <row r="649" spans="2:13" ht="14.1" customHeight="1" x14ac:dyDescent="0.25">
      <c r="B649" s="46" t="str">
        <f t="shared" si="9"/>
        <v>2010-158-105259</v>
      </c>
      <c r="C649" s="47">
        <v>44127</v>
      </c>
      <c r="D649" s="46">
        <v>158</v>
      </c>
      <c r="E649" s="46">
        <v>1</v>
      </c>
      <c r="F649" s="46">
        <v>105259</v>
      </c>
      <c r="G649" s="48" t="s">
        <v>34</v>
      </c>
      <c r="I649" s="46">
        <v>0</v>
      </c>
      <c r="J649" s="46">
        <v>0</v>
      </c>
      <c r="L649" s="46">
        <v>0</v>
      </c>
      <c r="M649" s="46">
        <v>0</v>
      </c>
    </row>
    <row r="650" spans="2:13" ht="14.1" customHeight="1" x14ac:dyDescent="0.25">
      <c r="B650" s="46" t="str">
        <f t="shared" si="9"/>
        <v>2010-159-312030</v>
      </c>
      <c r="C650" s="47">
        <v>44127</v>
      </c>
      <c r="D650" s="46">
        <v>159</v>
      </c>
      <c r="E650" s="46">
        <v>5</v>
      </c>
      <c r="F650" s="46">
        <v>312030</v>
      </c>
      <c r="G650" s="48" t="s">
        <v>188</v>
      </c>
      <c r="H650" s="47">
        <v>44141</v>
      </c>
      <c r="I650" s="46">
        <v>50358</v>
      </c>
      <c r="J650" s="46">
        <v>5</v>
      </c>
      <c r="L650" s="46">
        <v>0</v>
      </c>
      <c r="M650" s="46">
        <v>0</v>
      </c>
    </row>
    <row r="651" spans="2:13" ht="14.1" customHeight="1" x14ac:dyDescent="0.25">
      <c r="B651" s="46" t="str">
        <f t="shared" si="9"/>
        <v>2010-160-318384</v>
      </c>
      <c r="C651" s="47">
        <v>44127</v>
      </c>
      <c r="D651" s="46">
        <v>160</v>
      </c>
      <c r="E651" s="46">
        <v>2</v>
      </c>
      <c r="F651" s="46">
        <v>318384</v>
      </c>
      <c r="G651" s="48" t="s">
        <v>919</v>
      </c>
      <c r="H651" s="47">
        <v>44223</v>
      </c>
      <c r="I651" s="46">
        <v>51391</v>
      </c>
      <c r="J651" s="46">
        <v>2</v>
      </c>
      <c r="K651" s="47">
        <v>44229</v>
      </c>
      <c r="L651" s="46">
        <v>11058</v>
      </c>
      <c r="M651" s="46">
        <v>2</v>
      </c>
    </row>
    <row r="652" spans="2:13" ht="14.1" customHeight="1" x14ac:dyDescent="0.25">
      <c r="B652" s="46" t="str">
        <f t="shared" ref="B652:B715" si="10">TEXT(C652,"yy") &amp; TEXT(C652,"mm") &amp;"-"&amp;(D652) &amp;"-"&amp;(F652)</f>
        <v>2010-160-319983</v>
      </c>
      <c r="C652" s="47">
        <v>44127</v>
      </c>
      <c r="D652" s="46">
        <v>160</v>
      </c>
      <c r="E652" s="46">
        <v>4</v>
      </c>
      <c r="F652" s="46">
        <v>319983</v>
      </c>
      <c r="G652" s="48" t="s">
        <v>358</v>
      </c>
      <c r="H652" s="47">
        <v>44223</v>
      </c>
      <c r="I652" s="46">
        <v>51391</v>
      </c>
      <c r="J652" s="46">
        <v>4</v>
      </c>
      <c r="K652" s="47">
        <v>44229</v>
      </c>
      <c r="L652" s="46">
        <v>11058</v>
      </c>
      <c r="M652" s="46">
        <v>4</v>
      </c>
    </row>
    <row r="653" spans="2:13" ht="14.1" customHeight="1" x14ac:dyDescent="0.25">
      <c r="B653" s="46" t="str">
        <f t="shared" si="10"/>
        <v>2010-160-319203</v>
      </c>
      <c r="C653" s="47">
        <v>44127</v>
      </c>
      <c r="D653" s="46">
        <v>160</v>
      </c>
      <c r="E653" s="46">
        <v>2</v>
      </c>
      <c r="F653" s="46">
        <v>319203</v>
      </c>
      <c r="G653" s="48" t="s">
        <v>934</v>
      </c>
      <c r="H653" s="47">
        <v>44223</v>
      </c>
      <c r="I653" s="46">
        <v>51391</v>
      </c>
      <c r="J653" s="46">
        <v>2</v>
      </c>
      <c r="K653" s="47">
        <v>44229</v>
      </c>
      <c r="L653" s="46">
        <v>11058</v>
      </c>
      <c r="M653" s="46">
        <v>2</v>
      </c>
    </row>
    <row r="654" spans="2:13" ht="14.1" customHeight="1" x14ac:dyDescent="0.25">
      <c r="B654" s="46" t="str">
        <f t="shared" si="10"/>
        <v>2010-161-319688</v>
      </c>
      <c r="C654" s="47">
        <v>44127</v>
      </c>
      <c r="D654" s="46">
        <v>161</v>
      </c>
      <c r="E654" s="46">
        <v>2000</v>
      </c>
      <c r="F654" s="46">
        <v>319688</v>
      </c>
      <c r="G654" s="48" t="s">
        <v>281</v>
      </c>
      <c r="H654" s="47">
        <v>44144</v>
      </c>
      <c r="I654" s="46">
        <v>50381</v>
      </c>
      <c r="J654" s="46">
        <v>2000</v>
      </c>
      <c r="K654" s="47">
        <v>44148</v>
      </c>
      <c r="L654" s="46">
        <v>10349</v>
      </c>
      <c r="M654" s="46">
        <v>2000</v>
      </c>
    </row>
    <row r="655" spans="2:13" ht="14.1" customHeight="1" x14ac:dyDescent="0.25">
      <c r="B655" s="46" t="str">
        <f t="shared" si="10"/>
        <v>2010-162-310867</v>
      </c>
      <c r="C655" s="47">
        <v>44127</v>
      </c>
      <c r="D655" s="46">
        <v>162</v>
      </c>
      <c r="E655" s="46">
        <v>30</v>
      </c>
      <c r="F655" s="46">
        <v>310867</v>
      </c>
      <c r="G655" s="48" t="s">
        <v>96</v>
      </c>
      <c r="H655" s="47">
        <v>44140</v>
      </c>
      <c r="I655" s="46">
        <v>50348</v>
      </c>
      <c r="J655" s="46">
        <v>30</v>
      </c>
      <c r="K655" s="47">
        <v>44158</v>
      </c>
      <c r="L655" s="46">
        <v>10448</v>
      </c>
      <c r="M655" s="46">
        <v>30</v>
      </c>
    </row>
    <row r="656" spans="2:13" ht="14.1" customHeight="1" x14ac:dyDescent="0.25">
      <c r="B656" s="46" t="str">
        <f t="shared" si="10"/>
        <v>2010-162-311660</v>
      </c>
      <c r="C656" s="47">
        <v>44127</v>
      </c>
      <c r="D656" s="46">
        <v>162</v>
      </c>
      <c r="E656" s="46">
        <v>30</v>
      </c>
      <c r="F656" s="46">
        <v>311660</v>
      </c>
      <c r="G656" s="48" t="s">
        <v>97</v>
      </c>
      <c r="H656" s="47">
        <v>44140</v>
      </c>
      <c r="I656" s="46">
        <v>50347</v>
      </c>
      <c r="J656" s="46">
        <v>30</v>
      </c>
      <c r="K656" s="47">
        <v>44147</v>
      </c>
      <c r="L656" s="46">
        <v>10329</v>
      </c>
      <c r="M656" s="46">
        <v>30</v>
      </c>
    </row>
    <row r="657" spans="2:13" ht="14.1" customHeight="1" x14ac:dyDescent="0.25">
      <c r="B657" s="46" t="str">
        <f t="shared" si="10"/>
        <v>2010-162-107280</v>
      </c>
      <c r="C657" s="47">
        <v>44127</v>
      </c>
      <c r="D657" s="46">
        <v>162</v>
      </c>
      <c r="E657" s="46">
        <v>4000</v>
      </c>
      <c r="F657" s="46">
        <v>107280</v>
      </c>
      <c r="G657" s="48" t="s">
        <v>131</v>
      </c>
      <c r="H657" s="47">
        <v>44140</v>
      </c>
      <c r="I657" s="46">
        <v>50349</v>
      </c>
      <c r="J657" s="46">
        <v>4000</v>
      </c>
      <c r="K657" s="47">
        <v>44147</v>
      </c>
      <c r="L657" s="46">
        <v>10322</v>
      </c>
      <c r="M657" s="46">
        <v>4000</v>
      </c>
    </row>
    <row r="658" spans="2:13" ht="14.1" customHeight="1" x14ac:dyDescent="0.25">
      <c r="B658" s="46" t="str">
        <f t="shared" si="10"/>
        <v>2010-162-107539</v>
      </c>
      <c r="C658" s="47">
        <v>44127</v>
      </c>
      <c r="D658" s="46">
        <v>162</v>
      </c>
      <c r="E658" s="46">
        <v>40</v>
      </c>
      <c r="F658" s="46">
        <v>107539</v>
      </c>
      <c r="G658" s="48" t="s">
        <v>113</v>
      </c>
      <c r="H658" s="47">
        <v>44140</v>
      </c>
      <c r="I658" s="46">
        <v>50347</v>
      </c>
      <c r="J658" s="46">
        <v>40</v>
      </c>
      <c r="K658" s="47">
        <v>44147</v>
      </c>
      <c r="L658" s="46">
        <v>10329</v>
      </c>
      <c r="M658" s="46">
        <v>40</v>
      </c>
    </row>
    <row r="659" spans="2:13" ht="14.1" customHeight="1" x14ac:dyDescent="0.25">
      <c r="B659" s="46" t="str">
        <f t="shared" si="10"/>
        <v>2010-163-301219</v>
      </c>
      <c r="C659" s="47">
        <v>44130</v>
      </c>
      <c r="D659" s="46">
        <v>163</v>
      </c>
      <c r="E659" s="46">
        <v>2</v>
      </c>
      <c r="F659" s="46">
        <v>301219</v>
      </c>
      <c r="G659" s="48" t="s">
        <v>121</v>
      </c>
      <c r="H659" s="47">
        <v>44132</v>
      </c>
      <c r="I659" s="46">
        <v>50241</v>
      </c>
      <c r="J659" s="46">
        <v>2</v>
      </c>
      <c r="K659" s="47">
        <v>44134</v>
      </c>
      <c r="L659" s="46">
        <v>10233</v>
      </c>
      <c r="M659" s="46">
        <v>2</v>
      </c>
    </row>
    <row r="660" spans="2:13" ht="14.1" customHeight="1" x14ac:dyDescent="0.25">
      <c r="B660" s="46" t="str">
        <f t="shared" si="10"/>
        <v>2010-163-302023</v>
      </c>
      <c r="C660" s="47">
        <v>44130</v>
      </c>
      <c r="D660" s="46">
        <v>163</v>
      </c>
      <c r="E660" s="46">
        <v>4</v>
      </c>
      <c r="F660" s="46">
        <v>302023</v>
      </c>
      <c r="G660" s="48" t="s">
        <v>205</v>
      </c>
      <c r="H660" s="47">
        <v>44132</v>
      </c>
      <c r="I660" s="46">
        <v>50240</v>
      </c>
      <c r="J660" s="46">
        <v>4</v>
      </c>
      <c r="K660" s="47">
        <v>44134</v>
      </c>
      <c r="L660" s="46">
        <v>10226</v>
      </c>
      <c r="M660" s="46">
        <v>4</v>
      </c>
    </row>
    <row r="661" spans="2:13" ht="14.1" customHeight="1" x14ac:dyDescent="0.25">
      <c r="B661" s="46" t="str">
        <f t="shared" si="10"/>
        <v>2010-163-107222</v>
      </c>
      <c r="C661" s="47">
        <v>44130</v>
      </c>
      <c r="D661" s="46">
        <v>163</v>
      </c>
      <c r="E661" s="46">
        <v>6</v>
      </c>
      <c r="F661" s="46">
        <v>107222</v>
      </c>
      <c r="G661" s="48" t="s">
        <v>84</v>
      </c>
      <c r="H661" s="47">
        <v>44132</v>
      </c>
      <c r="I661" s="46">
        <v>50240</v>
      </c>
      <c r="J661" s="46">
        <v>6</v>
      </c>
      <c r="K661" s="47">
        <v>44134</v>
      </c>
      <c r="L661" s="46">
        <v>10226</v>
      </c>
      <c r="M661" s="46">
        <v>6</v>
      </c>
    </row>
    <row r="662" spans="2:13" ht="14.1" customHeight="1" x14ac:dyDescent="0.25">
      <c r="B662" s="46" t="str">
        <f t="shared" si="10"/>
        <v>2010-163-204997</v>
      </c>
      <c r="C662" s="47">
        <v>44130</v>
      </c>
      <c r="D662" s="46">
        <v>163</v>
      </c>
      <c r="E662" s="46">
        <v>8</v>
      </c>
      <c r="F662" s="46">
        <v>204997</v>
      </c>
      <c r="G662" s="48" t="s">
        <v>206</v>
      </c>
      <c r="H662" s="47">
        <v>44132</v>
      </c>
      <c r="I662" s="46">
        <v>50240</v>
      </c>
      <c r="J662" s="46">
        <v>8</v>
      </c>
      <c r="K662" s="47">
        <v>44134</v>
      </c>
      <c r="L662" s="46">
        <v>10226</v>
      </c>
      <c r="M662" s="46">
        <v>8</v>
      </c>
    </row>
    <row r="663" spans="2:13" ht="14.1" customHeight="1" x14ac:dyDescent="0.25">
      <c r="B663" s="46" t="str">
        <f t="shared" si="10"/>
        <v>2010-163-304751</v>
      </c>
      <c r="C663" s="47">
        <v>44130</v>
      </c>
      <c r="D663" s="46">
        <v>163</v>
      </c>
      <c r="E663" s="46">
        <v>2</v>
      </c>
      <c r="F663" s="46">
        <v>304751</v>
      </c>
      <c r="G663" s="48" t="s">
        <v>679</v>
      </c>
      <c r="H663" s="47">
        <v>44132</v>
      </c>
      <c r="I663" s="46">
        <v>50241</v>
      </c>
      <c r="J663" s="46">
        <v>2</v>
      </c>
      <c r="K663" s="47">
        <v>44134</v>
      </c>
      <c r="L663" s="46">
        <v>10233</v>
      </c>
      <c r="M663" s="46">
        <v>2</v>
      </c>
    </row>
    <row r="664" spans="2:13" ht="14.1" customHeight="1" x14ac:dyDescent="0.25">
      <c r="B664" s="46" t="str">
        <f t="shared" si="10"/>
        <v>2010-165-319478</v>
      </c>
      <c r="C664" s="47">
        <v>44130</v>
      </c>
      <c r="D664" s="46">
        <v>165</v>
      </c>
      <c r="E664" s="46">
        <v>2</v>
      </c>
      <c r="F664" s="46">
        <v>319478</v>
      </c>
      <c r="G664" s="50" t="s">
        <v>191</v>
      </c>
      <c r="H664" s="47">
        <v>44159</v>
      </c>
      <c r="I664" s="46">
        <v>50633</v>
      </c>
      <c r="J664" s="46">
        <v>1</v>
      </c>
      <c r="K664" s="47">
        <v>44162</v>
      </c>
      <c r="L664" s="46">
        <v>10506</v>
      </c>
      <c r="M664" s="46">
        <v>1</v>
      </c>
    </row>
    <row r="665" spans="2:13" ht="14.1" customHeight="1" x14ac:dyDescent="0.25">
      <c r="B665" s="46" t="str">
        <f t="shared" si="10"/>
        <v>2010-165-319477</v>
      </c>
      <c r="C665" s="47">
        <v>44130</v>
      </c>
      <c r="D665" s="46">
        <v>165</v>
      </c>
      <c r="E665" s="46">
        <v>2</v>
      </c>
      <c r="F665" s="46">
        <v>319477</v>
      </c>
      <c r="G665" s="48" t="s">
        <v>192</v>
      </c>
      <c r="H665" s="47">
        <v>44159</v>
      </c>
      <c r="I665" s="46">
        <v>50633</v>
      </c>
      <c r="J665" s="46">
        <v>1</v>
      </c>
      <c r="K665" s="47">
        <v>44162</v>
      </c>
      <c r="L665" s="46">
        <v>10506</v>
      </c>
      <c r="M665" s="46">
        <v>1</v>
      </c>
    </row>
    <row r="666" spans="2:13" ht="14.1" customHeight="1" x14ac:dyDescent="0.25">
      <c r="B666" s="46" t="str">
        <f t="shared" si="10"/>
        <v>2010-165-318552</v>
      </c>
      <c r="C666" s="47">
        <v>44130</v>
      </c>
      <c r="D666" s="46">
        <v>165</v>
      </c>
      <c r="E666" s="46">
        <v>4</v>
      </c>
      <c r="F666" s="46">
        <v>318552</v>
      </c>
      <c r="G666" s="48" t="s">
        <v>924</v>
      </c>
      <c r="H666" s="47">
        <v>44159</v>
      </c>
      <c r="I666" s="46">
        <v>50633</v>
      </c>
      <c r="J666" s="46">
        <v>2</v>
      </c>
      <c r="K666" s="47">
        <v>44162</v>
      </c>
      <c r="L666" s="46">
        <v>10506</v>
      </c>
      <c r="M666" s="46">
        <v>2</v>
      </c>
    </row>
    <row r="667" spans="2:13" ht="14.1" customHeight="1" x14ac:dyDescent="0.25">
      <c r="B667" s="46" t="str">
        <f t="shared" si="10"/>
        <v>2010-166-205512</v>
      </c>
      <c r="C667" s="47">
        <v>44130</v>
      </c>
      <c r="D667" s="46">
        <v>166</v>
      </c>
      <c r="E667" s="46">
        <v>20</v>
      </c>
      <c r="F667" s="46">
        <v>205512</v>
      </c>
      <c r="G667" s="48" t="s">
        <v>104</v>
      </c>
      <c r="H667" s="47">
        <v>44141</v>
      </c>
      <c r="I667" s="46">
        <v>50359</v>
      </c>
      <c r="J667" s="46">
        <v>20</v>
      </c>
      <c r="K667" s="47">
        <v>44145</v>
      </c>
      <c r="L667" s="46">
        <v>10300</v>
      </c>
      <c r="M667" s="46">
        <v>20</v>
      </c>
    </row>
    <row r="668" spans="2:13" ht="14.1" customHeight="1" x14ac:dyDescent="0.25">
      <c r="B668" s="46" t="str">
        <f t="shared" si="10"/>
        <v>2010-167-307031</v>
      </c>
      <c r="C668" s="47">
        <v>44130</v>
      </c>
      <c r="D668" s="46">
        <v>167</v>
      </c>
      <c r="E668" s="46">
        <v>1</v>
      </c>
      <c r="F668" s="46">
        <v>307031</v>
      </c>
      <c r="G668" s="48" t="s">
        <v>263</v>
      </c>
      <c r="H668" s="47">
        <v>44160</v>
      </c>
      <c r="I668" s="46">
        <v>50654</v>
      </c>
      <c r="J668" s="46">
        <v>1</v>
      </c>
      <c r="K668" s="47">
        <v>44161</v>
      </c>
      <c r="L668" s="46">
        <v>10486</v>
      </c>
      <c r="M668" s="46">
        <v>1</v>
      </c>
    </row>
    <row r="669" spans="2:13" ht="14.1" customHeight="1" x14ac:dyDescent="0.25">
      <c r="B669" s="46" t="str">
        <f t="shared" si="10"/>
        <v>2010-167-301163</v>
      </c>
      <c r="C669" s="47">
        <v>44130</v>
      </c>
      <c r="D669" s="46">
        <v>167</v>
      </c>
      <c r="E669" s="46">
        <v>1</v>
      </c>
      <c r="F669" s="46">
        <v>301163</v>
      </c>
      <c r="G669" s="48" t="s">
        <v>85</v>
      </c>
      <c r="H669" s="47">
        <v>44160</v>
      </c>
      <c r="I669" s="46">
        <v>50654</v>
      </c>
      <c r="J669" s="46">
        <v>1</v>
      </c>
      <c r="K669" s="47">
        <v>44161</v>
      </c>
      <c r="L669" s="46">
        <v>10486</v>
      </c>
      <c r="M669" s="46">
        <v>1</v>
      </c>
    </row>
    <row r="670" spans="2:13" ht="14.1" customHeight="1" x14ac:dyDescent="0.25">
      <c r="B670" s="46" t="str">
        <f t="shared" si="10"/>
        <v>2010-167-319127</v>
      </c>
      <c r="C670" s="47">
        <v>44130</v>
      </c>
      <c r="D670" s="46">
        <v>167</v>
      </c>
      <c r="E670" s="46">
        <v>1</v>
      </c>
      <c r="F670" s="46">
        <v>319127</v>
      </c>
      <c r="G670" s="48" t="s">
        <v>931</v>
      </c>
      <c r="H670" s="47">
        <v>44160</v>
      </c>
      <c r="I670" s="46">
        <v>50654</v>
      </c>
      <c r="J670" s="46">
        <v>1</v>
      </c>
      <c r="K670" s="47">
        <v>44161</v>
      </c>
      <c r="L670" s="46">
        <v>10486</v>
      </c>
      <c r="M670" s="46">
        <v>1</v>
      </c>
    </row>
    <row r="671" spans="2:13" ht="14.1" customHeight="1" x14ac:dyDescent="0.25">
      <c r="B671" s="46" t="str">
        <f t="shared" si="10"/>
        <v>2010-168-200751</v>
      </c>
      <c r="C671" s="47">
        <v>44131</v>
      </c>
      <c r="D671" s="46">
        <v>168</v>
      </c>
      <c r="E671" s="46">
        <v>30000</v>
      </c>
      <c r="F671" s="46">
        <v>200751</v>
      </c>
      <c r="G671" s="48" t="s">
        <v>151</v>
      </c>
      <c r="H671" s="47">
        <v>44133</v>
      </c>
      <c r="I671" s="46">
        <v>50247</v>
      </c>
      <c r="J671" s="46">
        <v>10000</v>
      </c>
      <c r="K671" s="47">
        <v>44132</v>
      </c>
      <c r="L671" s="46">
        <v>10211</v>
      </c>
      <c r="M671" s="46">
        <v>10000</v>
      </c>
    </row>
    <row r="672" spans="2:13" ht="14.1" customHeight="1" x14ac:dyDescent="0.25">
      <c r="B672" s="46" t="str">
        <f t="shared" si="10"/>
        <v>2010-168-200751</v>
      </c>
      <c r="C672" s="47">
        <v>44131</v>
      </c>
      <c r="D672" s="46">
        <v>168</v>
      </c>
      <c r="E672" s="46">
        <v>30000</v>
      </c>
      <c r="F672" s="46">
        <v>200751</v>
      </c>
      <c r="G672" s="48" t="s">
        <v>151</v>
      </c>
      <c r="H672" s="47">
        <v>44133</v>
      </c>
      <c r="I672" s="46">
        <v>50247</v>
      </c>
      <c r="J672" s="46">
        <v>10000</v>
      </c>
      <c r="K672" s="47">
        <v>44134</v>
      </c>
      <c r="L672" s="46">
        <v>10239</v>
      </c>
      <c r="M672" s="46">
        <v>10000</v>
      </c>
    </row>
    <row r="673" spans="2:13" ht="14.1" customHeight="1" x14ac:dyDescent="0.25">
      <c r="B673" s="46" t="str">
        <f t="shared" si="10"/>
        <v>2010-168-200751</v>
      </c>
      <c r="C673" s="47">
        <v>44131</v>
      </c>
      <c r="D673" s="46">
        <v>168</v>
      </c>
      <c r="E673" s="46">
        <v>30000</v>
      </c>
      <c r="F673" s="46">
        <v>200751</v>
      </c>
      <c r="G673" s="48" t="s">
        <v>151</v>
      </c>
      <c r="H673" s="47">
        <v>44133</v>
      </c>
      <c r="I673" s="46">
        <v>50247</v>
      </c>
      <c r="J673" s="46">
        <v>10000</v>
      </c>
      <c r="K673" s="47">
        <v>44140</v>
      </c>
      <c r="L673" s="46">
        <v>10266</v>
      </c>
      <c r="M673" s="46">
        <v>10000</v>
      </c>
    </row>
    <row r="674" spans="2:13" ht="14.1" customHeight="1" x14ac:dyDescent="0.25">
      <c r="B674" s="46" t="str">
        <f t="shared" si="10"/>
        <v>2010-168-200751</v>
      </c>
      <c r="C674" s="47">
        <v>44131</v>
      </c>
      <c r="D674" s="46">
        <v>168</v>
      </c>
      <c r="E674" s="46">
        <v>30000</v>
      </c>
      <c r="F674" s="46">
        <v>200751</v>
      </c>
      <c r="G674" s="48" t="s">
        <v>151</v>
      </c>
      <c r="H674" s="47">
        <v>44134</v>
      </c>
      <c r="I674" s="46">
        <v>50270</v>
      </c>
      <c r="J674" s="46">
        <v>10000</v>
      </c>
      <c r="K674" s="47">
        <v>44132</v>
      </c>
      <c r="L674" s="46">
        <v>10211</v>
      </c>
      <c r="M674" s="46">
        <v>10000</v>
      </c>
    </row>
    <row r="675" spans="2:13" ht="14.1" customHeight="1" x14ac:dyDescent="0.25">
      <c r="B675" s="46" t="str">
        <f t="shared" si="10"/>
        <v>2010-168-200751</v>
      </c>
      <c r="C675" s="47">
        <v>44131</v>
      </c>
      <c r="D675" s="46">
        <v>168</v>
      </c>
      <c r="E675" s="46">
        <v>30000</v>
      </c>
      <c r="F675" s="46">
        <v>200751</v>
      </c>
      <c r="G675" s="48" t="s">
        <v>151</v>
      </c>
      <c r="H675" s="47">
        <v>44134</v>
      </c>
      <c r="I675" s="46">
        <v>50270</v>
      </c>
      <c r="J675" s="46">
        <v>10000</v>
      </c>
      <c r="K675" s="47">
        <v>44134</v>
      </c>
      <c r="L675" s="46">
        <v>10239</v>
      </c>
      <c r="M675" s="46">
        <v>10000</v>
      </c>
    </row>
    <row r="676" spans="2:13" ht="14.1" customHeight="1" x14ac:dyDescent="0.25">
      <c r="B676" s="46" t="str">
        <f t="shared" si="10"/>
        <v>2010-168-200751</v>
      </c>
      <c r="C676" s="47">
        <v>44131</v>
      </c>
      <c r="D676" s="46">
        <v>168</v>
      </c>
      <c r="E676" s="46">
        <v>30000</v>
      </c>
      <c r="F676" s="46">
        <v>200751</v>
      </c>
      <c r="G676" s="48" t="s">
        <v>151</v>
      </c>
      <c r="H676" s="47">
        <v>44134</v>
      </c>
      <c r="I676" s="46">
        <v>50270</v>
      </c>
      <c r="J676" s="46">
        <v>10000</v>
      </c>
      <c r="K676" s="47">
        <v>44140</v>
      </c>
      <c r="L676" s="46">
        <v>10266</v>
      </c>
      <c r="M676" s="46">
        <v>10000</v>
      </c>
    </row>
    <row r="677" spans="2:13" ht="14.1" customHeight="1" x14ac:dyDescent="0.25">
      <c r="B677" s="46" t="str">
        <f t="shared" si="10"/>
        <v>2010-168-200751</v>
      </c>
      <c r="C677" s="47">
        <v>44131</v>
      </c>
      <c r="D677" s="46">
        <v>168</v>
      </c>
      <c r="E677" s="46">
        <v>30000</v>
      </c>
      <c r="F677" s="46">
        <v>200751</v>
      </c>
      <c r="G677" s="48" t="s">
        <v>151</v>
      </c>
      <c r="H677" s="47">
        <v>44140</v>
      </c>
      <c r="I677" s="46">
        <v>50315</v>
      </c>
      <c r="J677" s="46">
        <v>10000</v>
      </c>
      <c r="K677" s="47">
        <v>44132</v>
      </c>
      <c r="L677" s="46">
        <v>10211</v>
      </c>
      <c r="M677" s="46">
        <v>10000</v>
      </c>
    </row>
    <row r="678" spans="2:13" ht="14.1" customHeight="1" x14ac:dyDescent="0.25">
      <c r="B678" s="46" t="str">
        <f t="shared" si="10"/>
        <v>2010-168-200751</v>
      </c>
      <c r="C678" s="47">
        <v>44131</v>
      </c>
      <c r="D678" s="46">
        <v>168</v>
      </c>
      <c r="E678" s="46">
        <v>30000</v>
      </c>
      <c r="F678" s="46">
        <v>200751</v>
      </c>
      <c r="G678" s="48" t="s">
        <v>151</v>
      </c>
      <c r="H678" s="47">
        <v>44140</v>
      </c>
      <c r="I678" s="46">
        <v>50315</v>
      </c>
      <c r="J678" s="46">
        <v>10000</v>
      </c>
      <c r="K678" s="47">
        <v>44134</v>
      </c>
      <c r="L678" s="46">
        <v>10239</v>
      </c>
      <c r="M678" s="46">
        <v>10000</v>
      </c>
    </row>
    <row r="679" spans="2:13" ht="14.1" customHeight="1" x14ac:dyDescent="0.25">
      <c r="B679" s="46" t="str">
        <f t="shared" si="10"/>
        <v>2010-168-200751</v>
      </c>
      <c r="C679" s="47">
        <v>44131</v>
      </c>
      <c r="D679" s="46">
        <v>168</v>
      </c>
      <c r="E679" s="46">
        <v>30000</v>
      </c>
      <c r="F679" s="46">
        <v>200751</v>
      </c>
      <c r="G679" s="48" t="s">
        <v>151</v>
      </c>
      <c r="H679" s="47">
        <v>44140</v>
      </c>
      <c r="I679" s="46">
        <v>50315</v>
      </c>
      <c r="J679" s="46">
        <v>10000</v>
      </c>
      <c r="K679" s="47">
        <v>44140</v>
      </c>
      <c r="L679" s="46">
        <v>10266</v>
      </c>
      <c r="M679" s="46">
        <v>10000</v>
      </c>
    </row>
    <row r="680" spans="2:13" ht="14.1" customHeight="1" x14ac:dyDescent="0.25">
      <c r="B680" s="46" t="str">
        <f t="shared" si="10"/>
        <v>2010-169-304892</v>
      </c>
      <c r="C680" s="47">
        <v>44131</v>
      </c>
      <c r="D680" s="46">
        <v>169</v>
      </c>
      <c r="E680" s="46">
        <v>1000</v>
      </c>
      <c r="F680" s="46">
        <v>304892</v>
      </c>
      <c r="G680" s="48" t="s">
        <v>198</v>
      </c>
      <c r="H680" s="47">
        <v>44145</v>
      </c>
      <c r="I680" s="46">
        <v>50395</v>
      </c>
      <c r="J680" s="46">
        <v>1000</v>
      </c>
      <c r="K680" s="47">
        <v>44131</v>
      </c>
      <c r="L680" s="46">
        <v>10201</v>
      </c>
      <c r="M680" s="46">
        <v>1000</v>
      </c>
    </row>
    <row r="681" spans="2:13" ht="14.1" customHeight="1" x14ac:dyDescent="0.25">
      <c r="B681" s="46" t="str">
        <f t="shared" si="10"/>
        <v>2010-170-300311</v>
      </c>
      <c r="C681" s="47">
        <v>44131</v>
      </c>
      <c r="D681" s="46">
        <v>170</v>
      </c>
      <c r="E681" s="46">
        <v>600</v>
      </c>
      <c r="F681" s="46">
        <v>300311</v>
      </c>
      <c r="G681" s="48" t="s">
        <v>128</v>
      </c>
      <c r="H681" s="47">
        <v>44166</v>
      </c>
      <c r="I681" s="46">
        <v>50700</v>
      </c>
      <c r="J681" s="46">
        <v>600</v>
      </c>
      <c r="K681" s="47">
        <v>44131</v>
      </c>
      <c r="L681" s="46">
        <v>10202</v>
      </c>
      <c r="M681" s="46">
        <v>600</v>
      </c>
    </row>
    <row r="682" spans="2:13" ht="14.1" customHeight="1" x14ac:dyDescent="0.25">
      <c r="B682" s="46" t="str">
        <f t="shared" si="10"/>
        <v>2010-171-308812</v>
      </c>
      <c r="C682" s="47">
        <v>44131</v>
      </c>
      <c r="D682" s="46">
        <v>171</v>
      </c>
      <c r="E682" s="46">
        <v>1</v>
      </c>
      <c r="F682" s="46">
        <v>308812</v>
      </c>
      <c r="G682" s="48" t="s">
        <v>747</v>
      </c>
      <c r="H682" s="47">
        <v>44139</v>
      </c>
      <c r="I682" s="46">
        <v>50312</v>
      </c>
      <c r="J682" s="46">
        <v>1</v>
      </c>
      <c r="K682" s="47">
        <v>44131</v>
      </c>
      <c r="L682" s="46">
        <v>10203</v>
      </c>
      <c r="M682" s="46">
        <v>1</v>
      </c>
    </row>
    <row r="683" spans="2:13" ht="14.1" customHeight="1" x14ac:dyDescent="0.25">
      <c r="B683" s="46" t="str">
        <f t="shared" si="10"/>
        <v>2010-171-311253</v>
      </c>
      <c r="C683" s="47">
        <v>44131</v>
      </c>
      <c r="D683" s="46">
        <v>171</v>
      </c>
      <c r="E683" s="46">
        <v>1</v>
      </c>
      <c r="F683" s="46">
        <v>311253</v>
      </c>
      <c r="G683" s="48" t="s">
        <v>787</v>
      </c>
      <c r="H683" s="47">
        <v>44139</v>
      </c>
      <c r="I683" s="46">
        <v>50312</v>
      </c>
      <c r="J683" s="46">
        <v>1</v>
      </c>
      <c r="K683" s="47">
        <v>44131</v>
      </c>
      <c r="L683" s="46">
        <v>10203</v>
      </c>
      <c r="M683" s="46">
        <v>1</v>
      </c>
    </row>
    <row r="684" spans="2:13" ht="14.1" customHeight="1" x14ac:dyDescent="0.25">
      <c r="B684" s="46" t="str">
        <f t="shared" si="10"/>
        <v>2010-172-106255</v>
      </c>
      <c r="C684" s="47">
        <v>44131</v>
      </c>
      <c r="D684" s="46">
        <v>172</v>
      </c>
      <c r="E684" s="46">
        <v>30</v>
      </c>
      <c r="F684" s="46">
        <v>106255</v>
      </c>
      <c r="G684" s="48" t="s">
        <v>455</v>
      </c>
      <c r="H684" s="47">
        <v>44145</v>
      </c>
      <c r="I684" s="46">
        <v>50394</v>
      </c>
      <c r="J684" s="46">
        <v>30</v>
      </c>
      <c r="K684" s="47">
        <v>44131</v>
      </c>
      <c r="L684" s="46">
        <v>10204</v>
      </c>
      <c r="M684" s="46">
        <v>30</v>
      </c>
    </row>
    <row r="685" spans="2:13" ht="14.1" customHeight="1" x14ac:dyDescent="0.25">
      <c r="B685" s="46" t="str">
        <f t="shared" si="10"/>
        <v>2010-173-310435</v>
      </c>
      <c r="C685" s="47">
        <v>44131</v>
      </c>
      <c r="D685" s="46">
        <v>173</v>
      </c>
      <c r="E685" s="46">
        <v>2</v>
      </c>
      <c r="F685" s="46">
        <v>310435</v>
      </c>
      <c r="G685" s="48" t="s">
        <v>222</v>
      </c>
      <c r="H685" s="47">
        <v>44158</v>
      </c>
      <c r="I685" s="46">
        <v>50617</v>
      </c>
      <c r="J685" s="46">
        <v>2</v>
      </c>
      <c r="K685" s="47">
        <v>44168</v>
      </c>
      <c r="L685" s="46">
        <v>10581</v>
      </c>
      <c r="M685" s="46">
        <v>2</v>
      </c>
    </row>
    <row r="686" spans="2:13" ht="14.1" customHeight="1" x14ac:dyDescent="0.25">
      <c r="B686" s="46" t="str">
        <f t="shared" si="10"/>
        <v>2010-174-106145</v>
      </c>
      <c r="C686" s="47">
        <v>44132</v>
      </c>
      <c r="D686" s="46">
        <v>174</v>
      </c>
      <c r="E686" s="46">
        <v>8</v>
      </c>
      <c r="F686" s="46">
        <v>106145</v>
      </c>
      <c r="G686" s="48" t="s">
        <v>48</v>
      </c>
      <c r="H686" s="47">
        <v>44148</v>
      </c>
      <c r="I686" s="46">
        <v>50487</v>
      </c>
      <c r="J686" s="46">
        <v>8</v>
      </c>
      <c r="K686" s="47">
        <v>44175</v>
      </c>
      <c r="L686" s="46">
        <v>10645</v>
      </c>
      <c r="M686" s="46">
        <v>8</v>
      </c>
    </row>
    <row r="687" spans="2:13" ht="14.1" customHeight="1" x14ac:dyDescent="0.25">
      <c r="B687" s="46" t="str">
        <f t="shared" si="10"/>
        <v>2010-174-206715</v>
      </c>
      <c r="C687" s="47">
        <v>44132</v>
      </c>
      <c r="D687" s="46">
        <v>174</v>
      </c>
      <c r="E687" s="46">
        <v>20</v>
      </c>
      <c r="F687" s="46">
        <v>206715</v>
      </c>
      <c r="G687" s="48" t="s">
        <v>47</v>
      </c>
      <c r="H687" s="47">
        <v>44148</v>
      </c>
      <c r="I687" s="46">
        <v>50487</v>
      </c>
      <c r="J687" s="46">
        <v>20</v>
      </c>
      <c r="L687" s="46">
        <v>0</v>
      </c>
      <c r="M687" s="46">
        <v>0</v>
      </c>
    </row>
    <row r="688" spans="2:13" ht="14.1" customHeight="1" x14ac:dyDescent="0.25">
      <c r="B688" s="46" t="str">
        <f t="shared" si="10"/>
        <v>2010-174-309500</v>
      </c>
      <c r="C688" s="47">
        <v>44132</v>
      </c>
      <c r="D688" s="46">
        <v>174</v>
      </c>
      <c r="E688" s="46">
        <v>10</v>
      </c>
      <c r="F688" s="46">
        <v>309500</v>
      </c>
      <c r="G688" s="48" t="s">
        <v>233</v>
      </c>
      <c r="H688" s="47">
        <v>44148</v>
      </c>
      <c r="I688" s="46">
        <v>50487</v>
      </c>
      <c r="J688" s="46">
        <v>10</v>
      </c>
      <c r="K688" s="47">
        <v>44175</v>
      </c>
      <c r="L688" s="46">
        <v>10645</v>
      </c>
      <c r="M688" s="46">
        <v>10</v>
      </c>
    </row>
    <row r="689" spans="2:13" ht="14.1" customHeight="1" x14ac:dyDescent="0.25">
      <c r="B689" s="46" t="str">
        <f t="shared" si="10"/>
        <v>2010-174-306994</v>
      </c>
      <c r="C689" s="47">
        <v>44132</v>
      </c>
      <c r="D689" s="46">
        <v>174</v>
      </c>
      <c r="E689" s="46">
        <v>10</v>
      </c>
      <c r="F689" s="46">
        <v>306994</v>
      </c>
      <c r="G689" s="48" t="s">
        <v>67</v>
      </c>
      <c r="H689" s="47">
        <v>44148</v>
      </c>
      <c r="I689" s="46">
        <v>50487</v>
      </c>
      <c r="J689" s="46">
        <v>1</v>
      </c>
      <c r="K689" s="47">
        <v>44158</v>
      </c>
      <c r="L689" s="46">
        <v>10457</v>
      </c>
      <c r="M689" s="46">
        <v>9</v>
      </c>
    </row>
    <row r="690" spans="2:13" ht="14.1" customHeight="1" x14ac:dyDescent="0.25">
      <c r="B690" s="46" t="str">
        <f t="shared" si="10"/>
        <v>2010-174-306994</v>
      </c>
      <c r="C690" s="47">
        <v>44132</v>
      </c>
      <c r="D690" s="46">
        <v>174</v>
      </c>
      <c r="E690" s="46">
        <v>10</v>
      </c>
      <c r="F690" s="46">
        <v>306994</v>
      </c>
      <c r="G690" s="48" t="s">
        <v>67</v>
      </c>
      <c r="H690" s="47">
        <v>44148</v>
      </c>
      <c r="I690" s="46">
        <v>50487</v>
      </c>
      <c r="J690" s="46">
        <v>1</v>
      </c>
      <c r="K690" s="47">
        <v>44175</v>
      </c>
      <c r="L690" s="46">
        <v>10645</v>
      </c>
      <c r="M690" s="46">
        <v>1</v>
      </c>
    </row>
    <row r="691" spans="2:13" ht="14.1" customHeight="1" x14ac:dyDescent="0.25">
      <c r="B691" s="46" t="str">
        <f t="shared" si="10"/>
        <v>2010-174-306994</v>
      </c>
      <c r="C691" s="47">
        <v>44132</v>
      </c>
      <c r="D691" s="46">
        <v>174</v>
      </c>
      <c r="E691" s="46">
        <v>10</v>
      </c>
      <c r="F691" s="46">
        <v>306994</v>
      </c>
      <c r="G691" s="48" t="s">
        <v>67</v>
      </c>
      <c r="H691" s="47">
        <v>44148</v>
      </c>
      <c r="I691" s="46">
        <v>50490</v>
      </c>
      <c r="J691" s="46">
        <v>9</v>
      </c>
      <c r="K691" s="47">
        <v>44158</v>
      </c>
      <c r="L691" s="46">
        <v>10457</v>
      </c>
      <c r="M691" s="46">
        <v>9</v>
      </c>
    </row>
    <row r="692" spans="2:13" ht="14.1" customHeight="1" x14ac:dyDescent="0.25">
      <c r="B692" s="46" t="str">
        <f t="shared" si="10"/>
        <v>2010-174-306994</v>
      </c>
      <c r="C692" s="47">
        <v>44132</v>
      </c>
      <c r="D692" s="46">
        <v>174</v>
      </c>
      <c r="E692" s="46">
        <v>10</v>
      </c>
      <c r="F692" s="46">
        <v>306994</v>
      </c>
      <c r="G692" s="48" t="s">
        <v>67</v>
      </c>
      <c r="H692" s="47">
        <v>44148</v>
      </c>
      <c r="I692" s="46">
        <v>50490</v>
      </c>
      <c r="J692" s="46">
        <v>9</v>
      </c>
      <c r="K692" s="47">
        <v>44175</v>
      </c>
      <c r="L692" s="46">
        <v>10645</v>
      </c>
      <c r="M692" s="46">
        <v>1</v>
      </c>
    </row>
    <row r="693" spans="2:13" ht="14.1" customHeight="1" x14ac:dyDescent="0.25">
      <c r="B693" s="46" t="str">
        <f t="shared" si="10"/>
        <v>2010-175-318077</v>
      </c>
      <c r="C693" s="47">
        <v>44132</v>
      </c>
      <c r="D693" s="46">
        <v>175</v>
      </c>
      <c r="E693" s="46">
        <v>1</v>
      </c>
      <c r="F693" s="46">
        <v>318077</v>
      </c>
      <c r="G693" s="48" t="s">
        <v>287</v>
      </c>
      <c r="H693" s="47">
        <v>44143</v>
      </c>
      <c r="I693" s="46">
        <v>50444</v>
      </c>
      <c r="J693" s="46">
        <v>1</v>
      </c>
      <c r="K693" s="47">
        <v>44141</v>
      </c>
      <c r="L693" s="46">
        <v>10287</v>
      </c>
      <c r="M693" s="46">
        <v>1</v>
      </c>
    </row>
    <row r="694" spans="2:13" ht="14.1" customHeight="1" x14ac:dyDescent="0.25">
      <c r="B694" s="46" t="str">
        <f t="shared" si="10"/>
        <v>2010-175-205146</v>
      </c>
      <c r="C694" s="47">
        <v>44132</v>
      </c>
      <c r="D694" s="46">
        <v>175</v>
      </c>
      <c r="E694" s="46">
        <v>1</v>
      </c>
      <c r="F694" s="46">
        <v>205146</v>
      </c>
      <c r="G694" s="48" t="s">
        <v>44</v>
      </c>
      <c r="H694" s="47">
        <v>44143</v>
      </c>
      <c r="I694" s="46">
        <v>50444</v>
      </c>
      <c r="J694" s="46">
        <v>1</v>
      </c>
      <c r="K694" s="47">
        <v>44141</v>
      </c>
      <c r="L694" s="46">
        <v>10287</v>
      </c>
      <c r="M694" s="46">
        <v>1</v>
      </c>
    </row>
    <row r="695" spans="2:13" ht="14.1" customHeight="1" x14ac:dyDescent="0.25">
      <c r="B695" s="46" t="str">
        <f t="shared" si="10"/>
        <v>2010-177-320381</v>
      </c>
      <c r="C695" s="47">
        <v>44132</v>
      </c>
      <c r="D695" s="46">
        <v>177</v>
      </c>
      <c r="E695" s="46">
        <v>2</v>
      </c>
      <c r="F695" s="46">
        <v>320381</v>
      </c>
      <c r="G695" s="48" t="s">
        <v>1054</v>
      </c>
      <c r="H695" s="47">
        <v>44158</v>
      </c>
      <c r="I695" s="46">
        <v>50614</v>
      </c>
      <c r="J695" s="46">
        <v>2</v>
      </c>
      <c r="K695" s="47">
        <v>44207</v>
      </c>
      <c r="L695" s="46">
        <v>10847</v>
      </c>
      <c r="M695" s="46">
        <v>2</v>
      </c>
    </row>
    <row r="696" spans="2:13" ht="14.1" customHeight="1" x14ac:dyDescent="0.25">
      <c r="B696" s="46" t="str">
        <f t="shared" si="10"/>
        <v>2010-177-320384</v>
      </c>
      <c r="C696" s="47">
        <v>44132</v>
      </c>
      <c r="D696" s="46">
        <v>177</v>
      </c>
      <c r="E696" s="46">
        <v>10</v>
      </c>
      <c r="F696" s="46">
        <v>320384</v>
      </c>
      <c r="G696" s="48" t="s">
        <v>1057</v>
      </c>
      <c r="H696" s="47">
        <v>44158</v>
      </c>
      <c r="I696" s="46">
        <v>50614</v>
      </c>
      <c r="J696" s="46">
        <v>10</v>
      </c>
      <c r="K696" s="47">
        <v>44207</v>
      </c>
      <c r="L696" s="46">
        <v>10847</v>
      </c>
      <c r="M696" s="46">
        <v>10</v>
      </c>
    </row>
    <row r="697" spans="2:13" ht="14.1" customHeight="1" x14ac:dyDescent="0.25">
      <c r="B697" s="46" t="str">
        <f t="shared" si="10"/>
        <v>2010-177-320383</v>
      </c>
      <c r="C697" s="47">
        <v>44132</v>
      </c>
      <c r="D697" s="46">
        <v>177</v>
      </c>
      <c r="E697" s="46">
        <v>4</v>
      </c>
      <c r="F697" s="46">
        <v>320383</v>
      </c>
      <c r="G697" s="48" t="s">
        <v>1056</v>
      </c>
      <c r="H697" s="47">
        <v>44158</v>
      </c>
      <c r="I697" s="46">
        <v>50614</v>
      </c>
      <c r="J697" s="46">
        <v>4</v>
      </c>
      <c r="K697" s="47">
        <v>44207</v>
      </c>
      <c r="L697" s="46">
        <v>10847</v>
      </c>
      <c r="M697" s="46">
        <v>4</v>
      </c>
    </row>
    <row r="698" spans="2:13" ht="14.1" customHeight="1" x14ac:dyDescent="0.25">
      <c r="B698" s="46" t="str">
        <f t="shared" si="10"/>
        <v>2010-177-320382</v>
      </c>
      <c r="C698" s="47">
        <v>44132</v>
      </c>
      <c r="D698" s="46">
        <v>177</v>
      </c>
      <c r="E698" s="46">
        <v>2</v>
      </c>
      <c r="F698" s="46">
        <v>320382</v>
      </c>
      <c r="G698" s="48" t="s">
        <v>1055</v>
      </c>
      <c r="H698" s="47">
        <v>44158</v>
      </c>
      <c r="I698" s="46">
        <v>50614</v>
      </c>
      <c r="J698" s="46">
        <v>2</v>
      </c>
      <c r="K698" s="47">
        <v>44207</v>
      </c>
      <c r="L698" s="46">
        <v>10847</v>
      </c>
      <c r="M698" s="46">
        <v>2</v>
      </c>
    </row>
    <row r="699" spans="2:13" ht="14.1" customHeight="1" x14ac:dyDescent="0.25">
      <c r="B699" s="46" t="str">
        <f t="shared" si="10"/>
        <v>2010-178-308976</v>
      </c>
      <c r="C699" s="47">
        <v>44132</v>
      </c>
      <c r="D699" s="46">
        <v>178</v>
      </c>
      <c r="E699" s="46">
        <v>20</v>
      </c>
      <c r="F699" s="46">
        <v>308976</v>
      </c>
      <c r="G699" s="48" t="s">
        <v>750</v>
      </c>
      <c r="H699" s="47">
        <v>44172</v>
      </c>
      <c r="I699" s="46">
        <v>50785</v>
      </c>
      <c r="J699" s="46">
        <v>20</v>
      </c>
      <c r="K699" s="47">
        <v>44173</v>
      </c>
      <c r="L699" s="46">
        <v>10622</v>
      </c>
      <c r="M699" s="46">
        <v>20</v>
      </c>
    </row>
    <row r="700" spans="2:13" ht="14.1" customHeight="1" x14ac:dyDescent="0.25">
      <c r="B700" s="46" t="str">
        <f t="shared" si="10"/>
        <v>2010-178-309158</v>
      </c>
      <c r="C700" s="47">
        <v>44132</v>
      </c>
      <c r="D700" s="46">
        <v>178</v>
      </c>
      <c r="E700" s="46">
        <v>6</v>
      </c>
      <c r="F700" s="46">
        <v>309158</v>
      </c>
      <c r="G700" s="48" t="s">
        <v>231</v>
      </c>
      <c r="H700" s="47">
        <v>44172</v>
      </c>
      <c r="I700" s="46">
        <v>50785</v>
      </c>
      <c r="J700" s="46">
        <v>6</v>
      </c>
      <c r="K700" s="47">
        <v>44173</v>
      </c>
      <c r="L700" s="46">
        <v>10622</v>
      </c>
      <c r="M700" s="46">
        <v>6</v>
      </c>
    </row>
    <row r="701" spans="2:13" ht="14.1" customHeight="1" x14ac:dyDescent="0.25">
      <c r="B701" s="46" t="str">
        <f t="shared" si="10"/>
        <v>2010-178-313470</v>
      </c>
      <c r="C701" s="47">
        <v>44132</v>
      </c>
      <c r="D701" s="46">
        <v>178</v>
      </c>
      <c r="E701" s="46">
        <v>10</v>
      </c>
      <c r="F701" s="46">
        <v>313470</v>
      </c>
      <c r="G701" s="48" t="s">
        <v>353</v>
      </c>
      <c r="H701" s="47">
        <v>44172</v>
      </c>
      <c r="I701" s="46">
        <v>50785</v>
      </c>
      <c r="J701" s="46">
        <v>10</v>
      </c>
      <c r="K701" s="47">
        <v>44173</v>
      </c>
      <c r="L701" s="46">
        <v>10622</v>
      </c>
      <c r="M701" s="46">
        <v>10</v>
      </c>
    </row>
    <row r="702" spans="2:13" ht="14.1" customHeight="1" x14ac:dyDescent="0.25">
      <c r="B702" s="46" t="str">
        <f t="shared" si="10"/>
        <v>2010-178-302985</v>
      </c>
      <c r="C702" s="47">
        <v>44132</v>
      </c>
      <c r="D702" s="46">
        <v>178</v>
      </c>
      <c r="E702" s="46">
        <v>10</v>
      </c>
      <c r="F702" s="46">
        <v>302985</v>
      </c>
      <c r="G702" s="48" t="s">
        <v>652</v>
      </c>
      <c r="H702" s="47">
        <v>44172</v>
      </c>
      <c r="I702" s="46">
        <v>50785</v>
      </c>
      <c r="J702" s="46">
        <v>10</v>
      </c>
      <c r="K702" s="47">
        <v>44173</v>
      </c>
      <c r="L702" s="46">
        <v>10622</v>
      </c>
      <c r="M702" s="46">
        <v>10</v>
      </c>
    </row>
    <row r="703" spans="2:13" ht="14.1" customHeight="1" x14ac:dyDescent="0.25">
      <c r="B703" s="46" t="str">
        <f t="shared" si="10"/>
        <v>2010-179-202013</v>
      </c>
      <c r="C703" s="47">
        <v>44132</v>
      </c>
      <c r="D703" s="46">
        <v>179</v>
      </c>
      <c r="E703" s="46">
        <v>60000</v>
      </c>
      <c r="F703" s="46">
        <v>202013</v>
      </c>
      <c r="G703" s="48" t="s">
        <v>149</v>
      </c>
      <c r="H703" s="47">
        <v>44141</v>
      </c>
      <c r="I703" s="46">
        <v>50361</v>
      </c>
      <c r="J703" s="46">
        <v>60000</v>
      </c>
      <c r="K703" s="47">
        <v>44151</v>
      </c>
      <c r="L703" s="46">
        <v>10358</v>
      </c>
      <c r="M703" s="46">
        <v>20000</v>
      </c>
    </row>
    <row r="704" spans="2:13" ht="14.1" customHeight="1" x14ac:dyDescent="0.25">
      <c r="B704" s="46" t="str">
        <f t="shared" si="10"/>
        <v>2010-179-202013</v>
      </c>
      <c r="C704" s="47">
        <v>44132</v>
      </c>
      <c r="D704" s="46">
        <v>179</v>
      </c>
      <c r="E704" s="46">
        <v>60000</v>
      </c>
      <c r="F704" s="46">
        <v>202013</v>
      </c>
      <c r="G704" s="48" t="s">
        <v>149</v>
      </c>
      <c r="H704" s="47">
        <v>44141</v>
      </c>
      <c r="I704" s="46">
        <v>50361</v>
      </c>
      <c r="J704" s="46">
        <v>60000</v>
      </c>
      <c r="K704" s="47">
        <v>44182</v>
      </c>
      <c r="L704" s="46">
        <v>10706</v>
      </c>
      <c r="M704" s="46">
        <v>40000</v>
      </c>
    </row>
    <row r="705" spans="2:13" ht="14.1" customHeight="1" x14ac:dyDescent="0.25">
      <c r="B705" s="46" t="str">
        <f t="shared" si="10"/>
        <v>2010-179-200275</v>
      </c>
      <c r="C705" s="47">
        <v>44132</v>
      </c>
      <c r="D705" s="46">
        <v>179</v>
      </c>
      <c r="E705" s="46">
        <v>48</v>
      </c>
      <c r="F705" s="46">
        <v>200275</v>
      </c>
      <c r="G705" s="48" t="s">
        <v>193</v>
      </c>
      <c r="H705" s="47">
        <v>44141</v>
      </c>
      <c r="I705" s="46">
        <v>50360</v>
      </c>
      <c r="J705" s="46">
        <v>48</v>
      </c>
      <c r="K705" s="47">
        <v>44145</v>
      </c>
      <c r="L705" s="46">
        <v>10302</v>
      </c>
      <c r="M705" s="46">
        <v>48</v>
      </c>
    </row>
    <row r="706" spans="2:13" ht="14.1" customHeight="1" x14ac:dyDescent="0.25">
      <c r="B706" s="46" t="str">
        <f t="shared" si="10"/>
        <v>2010-191-203847</v>
      </c>
      <c r="C706" s="47">
        <v>44133</v>
      </c>
      <c r="D706" s="46">
        <v>191</v>
      </c>
      <c r="E706" s="46">
        <v>6</v>
      </c>
      <c r="F706" s="46">
        <v>203847</v>
      </c>
      <c r="G706" s="48" t="s">
        <v>518</v>
      </c>
      <c r="H706" s="47">
        <v>44160</v>
      </c>
      <c r="I706" s="46">
        <v>50661</v>
      </c>
      <c r="J706" s="46">
        <v>6</v>
      </c>
      <c r="K706" s="47">
        <v>44169</v>
      </c>
      <c r="L706" s="46">
        <v>10595</v>
      </c>
      <c r="M706" s="46">
        <v>6</v>
      </c>
    </row>
    <row r="707" spans="2:13" ht="14.1" customHeight="1" x14ac:dyDescent="0.25">
      <c r="B707" s="46" t="str">
        <f t="shared" si="10"/>
        <v>2010-191-105872</v>
      </c>
      <c r="C707" s="47">
        <v>44133</v>
      </c>
      <c r="D707" s="46">
        <v>191</v>
      </c>
      <c r="E707" s="46">
        <v>10</v>
      </c>
      <c r="F707" s="46">
        <v>105872</v>
      </c>
      <c r="G707" s="48" t="s">
        <v>257</v>
      </c>
      <c r="H707" s="47">
        <v>44160</v>
      </c>
      <c r="I707" s="46">
        <v>50662</v>
      </c>
      <c r="J707" s="46">
        <v>10</v>
      </c>
      <c r="K707" s="47">
        <v>44166</v>
      </c>
      <c r="L707" s="46">
        <v>10554</v>
      </c>
      <c r="M707" s="46">
        <v>10</v>
      </c>
    </row>
    <row r="708" spans="2:13" ht="14.1" customHeight="1" x14ac:dyDescent="0.25">
      <c r="B708" s="46" t="str">
        <f t="shared" si="10"/>
        <v>2010-191-301387</v>
      </c>
      <c r="C708" s="47">
        <v>44133</v>
      </c>
      <c r="D708" s="46">
        <v>191</v>
      </c>
      <c r="E708" s="46">
        <v>2</v>
      </c>
      <c r="F708" s="46">
        <v>301387</v>
      </c>
      <c r="G708" s="48" t="s">
        <v>622</v>
      </c>
      <c r="H708" s="47">
        <v>44160</v>
      </c>
      <c r="I708" s="46">
        <v>50660</v>
      </c>
      <c r="J708" s="46">
        <v>2</v>
      </c>
      <c r="K708" s="47">
        <v>44166</v>
      </c>
      <c r="L708" s="46">
        <v>10563</v>
      </c>
      <c r="M708" s="46">
        <v>2</v>
      </c>
    </row>
    <row r="709" spans="2:13" ht="14.1" customHeight="1" x14ac:dyDescent="0.25">
      <c r="B709" s="46" t="str">
        <f t="shared" si="10"/>
        <v>2010-191-100603</v>
      </c>
      <c r="C709" s="47">
        <v>44133</v>
      </c>
      <c r="D709" s="46">
        <v>191</v>
      </c>
      <c r="E709" s="46">
        <v>60</v>
      </c>
      <c r="F709" s="46">
        <v>100603</v>
      </c>
      <c r="G709" s="48" t="s">
        <v>56</v>
      </c>
      <c r="H709" s="47">
        <v>44160</v>
      </c>
      <c r="I709" s="46">
        <v>50664</v>
      </c>
      <c r="J709" s="46">
        <v>60</v>
      </c>
      <c r="K709" s="47">
        <v>44166</v>
      </c>
      <c r="L709" s="46">
        <v>10559</v>
      </c>
      <c r="M709" s="46">
        <v>60</v>
      </c>
    </row>
    <row r="710" spans="2:13" ht="14.1" customHeight="1" x14ac:dyDescent="0.25">
      <c r="B710" s="46" t="str">
        <f t="shared" si="10"/>
        <v>2010-191-203849</v>
      </c>
      <c r="C710" s="47">
        <v>44133</v>
      </c>
      <c r="D710" s="46">
        <v>191</v>
      </c>
      <c r="E710" s="46">
        <v>2</v>
      </c>
      <c r="F710" s="46">
        <v>203849</v>
      </c>
      <c r="G710" s="48" t="s">
        <v>123</v>
      </c>
      <c r="H710" s="47">
        <v>44160</v>
      </c>
      <c r="I710" s="46">
        <v>50663</v>
      </c>
      <c r="J710" s="46">
        <v>2</v>
      </c>
      <c r="K710" s="47">
        <v>44166</v>
      </c>
      <c r="L710" s="46">
        <v>10566</v>
      </c>
      <c r="M710" s="46">
        <v>2</v>
      </c>
    </row>
    <row r="711" spans="2:13" ht="14.1" customHeight="1" x14ac:dyDescent="0.25">
      <c r="B711" s="46" t="str">
        <f t="shared" si="10"/>
        <v>2010-191-202057</v>
      </c>
      <c r="C711" s="47">
        <v>44133</v>
      </c>
      <c r="D711" s="46">
        <v>191</v>
      </c>
      <c r="E711" s="46">
        <v>60</v>
      </c>
      <c r="F711" s="46">
        <v>202057</v>
      </c>
      <c r="G711" s="48" t="s">
        <v>340</v>
      </c>
      <c r="H711" s="47">
        <v>44160</v>
      </c>
      <c r="I711" s="46">
        <v>50664</v>
      </c>
      <c r="J711" s="46">
        <v>60</v>
      </c>
      <c r="K711" s="47">
        <v>44166</v>
      </c>
      <c r="L711" s="46">
        <v>10559</v>
      </c>
      <c r="M711" s="46">
        <v>60</v>
      </c>
    </row>
    <row r="712" spans="2:13" ht="14.1" customHeight="1" x14ac:dyDescent="0.25">
      <c r="B712" s="46" t="str">
        <f t="shared" si="10"/>
        <v>2010-191-106527</v>
      </c>
      <c r="C712" s="47">
        <v>44133</v>
      </c>
      <c r="D712" s="46">
        <v>191</v>
      </c>
      <c r="E712" s="46">
        <v>2</v>
      </c>
      <c r="F712" s="46">
        <v>106527</v>
      </c>
      <c r="G712" s="48" t="s">
        <v>464</v>
      </c>
      <c r="H712" s="47">
        <v>44160</v>
      </c>
      <c r="I712" s="46">
        <v>50663</v>
      </c>
      <c r="J712" s="46">
        <v>2</v>
      </c>
      <c r="K712" s="47">
        <v>44166</v>
      </c>
      <c r="L712" s="46">
        <v>10565</v>
      </c>
      <c r="M712" s="46">
        <v>2</v>
      </c>
    </row>
    <row r="713" spans="2:13" ht="14.1" customHeight="1" x14ac:dyDescent="0.25">
      <c r="B713" s="46" t="str">
        <f t="shared" si="10"/>
        <v>2010-192-200534</v>
      </c>
      <c r="C713" s="47">
        <v>44133</v>
      </c>
      <c r="D713" s="46">
        <v>192</v>
      </c>
      <c r="E713" s="46">
        <v>10</v>
      </c>
      <c r="F713" s="46">
        <v>200534</v>
      </c>
      <c r="G713" s="48" t="s">
        <v>90</v>
      </c>
      <c r="H713" s="47">
        <v>44140</v>
      </c>
      <c r="I713" s="46">
        <v>50346</v>
      </c>
      <c r="J713" s="46">
        <v>10</v>
      </c>
      <c r="K713" s="47">
        <v>44147</v>
      </c>
      <c r="L713" s="46">
        <v>10331</v>
      </c>
      <c r="M713" s="46">
        <v>10</v>
      </c>
    </row>
    <row r="714" spans="2:13" ht="14.1" customHeight="1" x14ac:dyDescent="0.25">
      <c r="B714" s="46" t="str">
        <f t="shared" si="10"/>
        <v>2010-192-306518</v>
      </c>
      <c r="C714" s="47">
        <v>44133</v>
      </c>
      <c r="D714" s="46">
        <v>192</v>
      </c>
      <c r="E714" s="46">
        <v>10</v>
      </c>
      <c r="F714" s="46">
        <v>306518</v>
      </c>
      <c r="G714" s="48" t="s">
        <v>89</v>
      </c>
      <c r="H714" s="47">
        <v>44140</v>
      </c>
      <c r="I714" s="46">
        <v>50346</v>
      </c>
      <c r="J714" s="46">
        <v>10</v>
      </c>
      <c r="K714" s="47">
        <v>44147</v>
      </c>
      <c r="L714" s="46">
        <v>10331</v>
      </c>
      <c r="M714" s="46">
        <v>10</v>
      </c>
    </row>
    <row r="715" spans="2:13" ht="14.1" customHeight="1" x14ac:dyDescent="0.25">
      <c r="B715" s="46" t="str">
        <f t="shared" si="10"/>
        <v>2010-192-203825</v>
      </c>
      <c r="C715" s="47">
        <v>44133</v>
      </c>
      <c r="D715" s="46">
        <v>192</v>
      </c>
      <c r="E715" s="46">
        <v>15</v>
      </c>
      <c r="F715" s="46">
        <v>203825</v>
      </c>
      <c r="G715" s="48" t="s">
        <v>86</v>
      </c>
      <c r="H715" s="47">
        <v>44140</v>
      </c>
      <c r="I715" s="46">
        <v>50346</v>
      </c>
      <c r="J715" s="46">
        <v>15</v>
      </c>
      <c r="K715" s="47">
        <v>44147</v>
      </c>
      <c r="L715" s="46">
        <v>10331</v>
      </c>
      <c r="M715" s="46">
        <v>15</v>
      </c>
    </row>
    <row r="716" spans="2:13" ht="14.1" customHeight="1" x14ac:dyDescent="0.25">
      <c r="B716" s="46" t="str">
        <f t="shared" ref="B716:B779" si="11">TEXT(C716,"yy") &amp; TEXT(C716,"mm") &amp;"-"&amp;(D716) &amp;"-"&amp;(F716)</f>
        <v>2010-192-302475</v>
      </c>
      <c r="C716" s="47">
        <v>44133</v>
      </c>
      <c r="D716" s="46">
        <v>192</v>
      </c>
      <c r="E716" s="46">
        <v>10</v>
      </c>
      <c r="F716" s="46">
        <v>302475</v>
      </c>
      <c r="G716" s="48" t="s">
        <v>153</v>
      </c>
      <c r="H716" s="47">
        <v>44140</v>
      </c>
      <c r="I716" s="46">
        <v>50346</v>
      </c>
      <c r="J716" s="46">
        <v>10</v>
      </c>
      <c r="K716" s="47">
        <v>44147</v>
      </c>
      <c r="L716" s="46">
        <v>10331</v>
      </c>
      <c r="M716" s="46">
        <v>10</v>
      </c>
    </row>
    <row r="717" spans="2:13" ht="14.1" customHeight="1" x14ac:dyDescent="0.25">
      <c r="B717" s="46" t="str">
        <f t="shared" si="11"/>
        <v>2010-197-203593</v>
      </c>
      <c r="C717" s="47">
        <v>44133</v>
      </c>
      <c r="D717" s="46">
        <v>197</v>
      </c>
      <c r="E717" s="46">
        <v>18000</v>
      </c>
      <c r="F717" s="46">
        <v>203593</v>
      </c>
      <c r="G717" s="48" t="s">
        <v>211</v>
      </c>
      <c r="H717" s="47">
        <v>44138</v>
      </c>
      <c r="I717" s="46">
        <v>50336</v>
      </c>
      <c r="J717" s="46">
        <v>18000</v>
      </c>
      <c r="K717" s="47">
        <v>44133</v>
      </c>
      <c r="L717" s="46">
        <v>10224</v>
      </c>
      <c r="M717" s="46">
        <v>18000</v>
      </c>
    </row>
    <row r="718" spans="2:13" ht="14.1" customHeight="1" x14ac:dyDescent="0.25">
      <c r="B718" s="46" t="str">
        <f t="shared" si="11"/>
        <v>2010-198-100219</v>
      </c>
      <c r="C718" s="47">
        <v>44134</v>
      </c>
      <c r="D718" s="46">
        <v>198</v>
      </c>
      <c r="E718" s="46">
        <v>55</v>
      </c>
      <c r="F718" s="46">
        <v>100219</v>
      </c>
      <c r="G718" s="48" t="s">
        <v>411</v>
      </c>
      <c r="H718" s="47">
        <v>44144</v>
      </c>
      <c r="I718" s="46">
        <v>50380</v>
      </c>
      <c r="J718" s="46">
        <v>55</v>
      </c>
      <c r="K718" s="47">
        <v>44151</v>
      </c>
      <c r="L718" s="46">
        <v>10356</v>
      </c>
      <c r="M718" s="46">
        <v>55</v>
      </c>
    </row>
    <row r="719" spans="2:13" ht="14.1" customHeight="1" x14ac:dyDescent="0.25">
      <c r="B719" s="46" t="str">
        <f t="shared" si="11"/>
        <v>2010-199-200551</v>
      </c>
      <c r="C719" s="47">
        <v>44134</v>
      </c>
      <c r="D719" s="46">
        <v>199</v>
      </c>
      <c r="E719" s="46">
        <v>110</v>
      </c>
      <c r="F719" s="46">
        <v>200551</v>
      </c>
      <c r="G719" s="48" t="s">
        <v>229</v>
      </c>
      <c r="H719" s="47">
        <v>44144</v>
      </c>
      <c r="I719" s="46">
        <v>50379</v>
      </c>
      <c r="J719" s="46">
        <v>110</v>
      </c>
      <c r="K719" s="47">
        <v>44151</v>
      </c>
      <c r="L719" s="46">
        <v>10355</v>
      </c>
      <c r="M719" s="46">
        <v>110</v>
      </c>
    </row>
    <row r="720" spans="2:13" ht="14.1" customHeight="1" x14ac:dyDescent="0.25">
      <c r="B720" s="46" t="str">
        <f t="shared" si="11"/>
        <v>2010-202-304892</v>
      </c>
      <c r="C720" s="47">
        <v>44134</v>
      </c>
      <c r="D720" s="46">
        <v>202</v>
      </c>
      <c r="E720" s="46">
        <v>600</v>
      </c>
      <c r="F720" s="46">
        <v>304892</v>
      </c>
      <c r="G720" s="48" t="s">
        <v>198</v>
      </c>
      <c r="H720" s="47">
        <v>44145</v>
      </c>
      <c r="I720" s="46">
        <v>50392</v>
      </c>
      <c r="J720" s="46">
        <v>600</v>
      </c>
      <c r="K720" s="47">
        <v>44134</v>
      </c>
      <c r="L720" s="46">
        <v>10241</v>
      </c>
      <c r="M720" s="46">
        <v>600</v>
      </c>
    </row>
    <row r="721" spans="2:13" ht="14.1" customHeight="1" x14ac:dyDescent="0.25">
      <c r="B721" s="46" t="str">
        <f t="shared" si="11"/>
        <v>2010-204-300311</v>
      </c>
      <c r="C721" s="47">
        <v>44134</v>
      </c>
      <c r="D721" s="46">
        <v>204</v>
      </c>
      <c r="E721" s="46">
        <v>1000</v>
      </c>
      <c r="F721" s="46">
        <v>300311</v>
      </c>
      <c r="G721" s="48" t="s">
        <v>128</v>
      </c>
      <c r="H721" s="47">
        <v>44145</v>
      </c>
      <c r="I721" s="46">
        <v>50393</v>
      </c>
      <c r="J721" s="46">
        <v>1000</v>
      </c>
      <c r="K721" s="47">
        <v>44134</v>
      </c>
      <c r="L721" s="46">
        <v>10243</v>
      </c>
      <c r="M721" s="46">
        <v>1000</v>
      </c>
    </row>
    <row r="722" spans="2:13" ht="14.1" customHeight="1" x14ac:dyDescent="0.25">
      <c r="B722" s="46" t="str">
        <f t="shared" si="11"/>
        <v>2011-1-303869</v>
      </c>
      <c r="C722" s="47">
        <v>44139</v>
      </c>
      <c r="D722" s="46">
        <v>1</v>
      </c>
      <c r="E722" s="46">
        <v>10</v>
      </c>
      <c r="F722" s="46">
        <v>303869</v>
      </c>
      <c r="G722" s="48" t="s">
        <v>666</v>
      </c>
      <c r="H722" s="47">
        <v>44154</v>
      </c>
      <c r="I722" s="46">
        <v>50566</v>
      </c>
      <c r="J722" s="46">
        <v>5</v>
      </c>
      <c r="K722" s="47">
        <v>44214</v>
      </c>
      <c r="L722" s="46">
        <v>10939</v>
      </c>
      <c r="M722" s="46">
        <v>5</v>
      </c>
    </row>
    <row r="723" spans="2:13" ht="14.1" customHeight="1" x14ac:dyDescent="0.25">
      <c r="B723" s="46" t="str">
        <f t="shared" si="11"/>
        <v>2011-1-303872</v>
      </c>
      <c r="C723" s="47">
        <v>44139</v>
      </c>
      <c r="D723" s="46">
        <v>1</v>
      </c>
      <c r="E723" s="46">
        <v>10</v>
      </c>
      <c r="F723" s="46">
        <v>303872</v>
      </c>
      <c r="G723" s="48" t="s">
        <v>115</v>
      </c>
      <c r="H723" s="47">
        <v>44153</v>
      </c>
      <c r="I723" s="46">
        <v>50550</v>
      </c>
      <c r="J723" s="46">
        <v>5</v>
      </c>
      <c r="K723" s="47">
        <v>44166</v>
      </c>
      <c r="L723" s="46">
        <v>10553</v>
      </c>
      <c r="M723" s="46">
        <v>5</v>
      </c>
    </row>
    <row r="724" spans="2:13" ht="14.1" customHeight="1" x14ac:dyDescent="0.25">
      <c r="B724" s="46" t="str">
        <f t="shared" si="11"/>
        <v>2011-1-303870</v>
      </c>
      <c r="C724" s="47">
        <v>44139</v>
      </c>
      <c r="D724" s="46">
        <v>1</v>
      </c>
      <c r="E724" s="46">
        <v>5</v>
      </c>
      <c r="F724" s="46">
        <v>303870</v>
      </c>
      <c r="G724" s="50" t="s">
        <v>239</v>
      </c>
      <c r="H724" s="47">
        <v>44153</v>
      </c>
      <c r="I724" s="46">
        <v>50550</v>
      </c>
      <c r="J724" s="46">
        <v>2</v>
      </c>
      <c r="L724" s="46">
        <v>0</v>
      </c>
      <c r="M724" s="46">
        <v>0</v>
      </c>
    </row>
    <row r="725" spans="2:13" ht="14.1" customHeight="1" x14ac:dyDescent="0.25">
      <c r="B725" s="46" t="str">
        <f t="shared" si="11"/>
        <v>2011-1-303868</v>
      </c>
      <c r="C725" s="47">
        <v>44139</v>
      </c>
      <c r="D725" s="46">
        <v>1</v>
      </c>
      <c r="E725" s="46">
        <v>5</v>
      </c>
      <c r="F725" s="46">
        <v>303868</v>
      </c>
      <c r="G725" s="50" t="s">
        <v>238</v>
      </c>
      <c r="H725" s="47">
        <v>44153</v>
      </c>
      <c r="I725" s="46">
        <v>50550</v>
      </c>
      <c r="J725" s="46">
        <v>2</v>
      </c>
      <c r="K725" s="47">
        <v>44166</v>
      </c>
      <c r="L725" s="46">
        <v>10553</v>
      </c>
      <c r="M725" s="46">
        <v>2</v>
      </c>
    </row>
    <row r="726" spans="2:13" ht="14.1" customHeight="1" x14ac:dyDescent="0.25">
      <c r="B726" s="46" t="str">
        <f t="shared" si="11"/>
        <v>2011-1-303871</v>
      </c>
      <c r="C726" s="47">
        <v>44139</v>
      </c>
      <c r="D726" s="46">
        <v>1</v>
      </c>
      <c r="E726" s="46">
        <v>10</v>
      </c>
      <c r="F726" s="46">
        <v>303871</v>
      </c>
      <c r="G726" s="48" t="s">
        <v>114</v>
      </c>
      <c r="H726" s="47">
        <v>44154</v>
      </c>
      <c r="I726" s="46">
        <v>50566</v>
      </c>
      <c r="J726" s="46">
        <v>5</v>
      </c>
      <c r="K726" s="47">
        <v>44166</v>
      </c>
      <c r="L726" s="46">
        <v>10553</v>
      </c>
      <c r="M726" s="46">
        <v>2</v>
      </c>
    </row>
    <row r="727" spans="2:13" ht="14.1" customHeight="1" x14ac:dyDescent="0.25">
      <c r="B727" s="46" t="str">
        <f t="shared" si="11"/>
        <v>2011-1-303871</v>
      </c>
      <c r="C727" s="47">
        <v>44139</v>
      </c>
      <c r="D727" s="46">
        <v>1</v>
      </c>
      <c r="E727" s="46">
        <v>10</v>
      </c>
      <c r="F727" s="46">
        <v>303871</v>
      </c>
      <c r="G727" s="48" t="s">
        <v>114</v>
      </c>
      <c r="H727" s="47">
        <v>44154</v>
      </c>
      <c r="I727" s="46">
        <v>50566</v>
      </c>
      <c r="J727" s="46">
        <v>5</v>
      </c>
      <c r="K727" s="47">
        <v>44214</v>
      </c>
      <c r="L727" s="46">
        <v>10939</v>
      </c>
      <c r="M727" s="46">
        <v>5</v>
      </c>
    </row>
    <row r="728" spans="2:13" ht="14.1" customHeight="1" x14ac:dyDescent="0.25">
      <c r="B728" s="46" t="str">
        <f t="shared" si="11"/>
        <v>2011-2-306238</v>
      </c>
      <c r="C728" s="47">
        <v>44139</v>
      </c>
      <c r="D728" s="46">
        <v>2</v>
      </c>
      <c r="E728" s="46">
        <v>15</v>
      </c>
      <c r="F728" s="46">
        <v>306238</v>
      </c>
      <c r="G728" s="50" t="s">
        <v>350</v>
      </c>
      <c r="H728" s="47">
        <v>44153</v>
      </c>
      <c r="I728" s="46">
        <v>50546</v>
      </c>
      <c r="J728" s="46">
        <v>15</v>
      </c>
      <c r="K728" s="47">
        <v>44158</v>
      </c>
      <c r="L728" s="46">
        <v>10451</v>
      </c>
      <c r="M728" s="46">
        <v>15</v>
      </c>
    </row>
    <row r="729" spans="2:13" ht="14.1" customHeight="1" x14ac:dyDescent="0.25">
      <c r="B729" s="46" t="str">
        <f t="shared" si="11"/>
        <v>2011-2-200154</v>
      </c>
      <c r="C729" s="47">
        <v>44139</v>
      </c>
      <c r="D729" s="46">
        <v>2</v>
      </c>
      <c r="E729" s="46">
        <v>30</v>
      </c>
      <c r="F729" s="46">
        <v>200154</v>
      </c>
      <c r="G729" s="48" t="s">
        <v>98</v>
      </c>
      <c r="H729" s="47">
        <v>44153</v>
      </c>
      <c r="I729" s="46">
        <v>50546</v>
      </c>
      <c r="J729" s="46">
        <v>30</v>
      </c>
      <c r="K729" s="47">
        <v>44158</v>
      </c>
      <c r="L729" s="46">
        <v>10451</v>
      </c>
      <c r="M729" s="46">
        <v>30</v>
      </c>
    </row>
    <row r="730" spans="2:13" ht="14.1" customHeight="1" x14ac:dyDescent="0.25">
      <c r="B730" s="46" t="str">
        <f t="shared" si="11"/>
        <v>2011-2-205175</v>
      </c>
      <c r="C730" s="47">
        <v>44139</v>
      </c>
      <c r="D730" s="46">
        <v>2</v>
      </c>
      <c r="E730" s="46">
        <v>40</v>
      </c>
      <c r="F730" s="46">
        <v>205175</v>
      </c>
      <c r="G730" s="50" t="s">
        <v>208</v>
      </c>
      <c r="H730" s="47">
        <v>44153</v>
      </c>
      <c r="I730" s="46">
        <v>50546</v>
      </c>
      <c r="J730" s="46">
        <v>40</v>
      </c>
      <c r="K730" s="47">
        <v>44158</v>
      </c>
      <c r="L730" s="46">
        <v>10451</v>
      </c>
      <c r="M730" s="46">
        <v>40</v>
      </c>
    </row>
    <row r="731" spans="2:13" ht="14.1" customHeight="1" x14ac:dyDescent="0.25">
      <c r="B731" s="46" t="str">
        <f t="shared" si="11"/>
        <v>2011-2-304092</v>
      </c>
      <c r="C731" s="47">
        <v>44139</v>
      </c>
      <c r="D731" s="46">
        <v>2</v>
      </c>
      <c r="E731" s="46">
        <v>30</v>
      </c>
      <c r="F731" s="46">
        <v>304092</v>
      </c>
      <c r="G731" s="48" t="s">
        <v>669</v>
      </c>
      <c r="H731" s="47">
        <v>44153</v>
      </c>
      <c r="I731" s="46">
        <v>50546</v>
      </c>
      <c r="J731" s="46">
        <v>30</v>
      </c>
      <c r="K731" s="47">
        <v>44158</v>
      </c>
      <c r="L731" s="46">
        <v>10451</v>
      </c>
      <c r="M731" s="46">
        <v>30</v>
      </c>
    </row>
    <row r="732" spans="2:13" ht="14.1" customHeight="1" x14ac:dyDescent="0.25">
      <c r="B732" s="46" t="str">
        <f t="shared" si="11"/>
        <v>2011-2-204408</v>
      </c>
      <c r="C732" s="47">
        <v>44139</v>
      </c>
      <c r="D732" s="46">
        <v>2</v>
      </c>
      <c r="E732" s="46">
        <v>10</v>
      </c>
      <c r="F732" s="46">
        <v>204408</v>
      </c>
      <c r="G732" s="48" t="s">
        <v>147</v>
      </c>
      <c r="H732" s="47">
        <v>44153</v>
      </c>
      <c r="I732" s="46">
        <v>50546</v>
      </c>
      <c r="J732" s="46">
        <v>10</v>
      </c>
      <c r="K732" s="47">
        <v>44158</v>
      </c>
      <c r="L732" s="46">
        <v>10451</v>
      </c>
      <c r="M732" s="46">
        <v>10</v>
      </c>
    </row>
    <row r="733" spans="2:13" ht="14.1" customHeight="1" x14ac:dyDescent="0.25">
      <c r="B733" s="46" t="str">
        <f t="shared" si="11"/>
        <v>2011-2-303337</v>
      </c>
      <c r="C733" s="47">
        <v>44139</v>
      </c>
      <c r="D733" s="46">
        <v>2</v>
      </c>
      <c r="E733" s="46">
        <v>30</v>
      </c>
      <c r="F733" s="46">
        <v>303337</v>
      </c>
      <c r="G733" s="48" t="s">
        <v>209</v>
      </c>
      <c r="H733" s="47">
        <v>44153</v>
      </c>
      <c r="I733" s="46">
        <v>50546</v>
      </c>
      <c r="J733" s="46">
        <v>30</v>
      </c>
      <c r="K733" s="47">
        <v>44158</v>
      </c>
      <c r="L733" s="46">
        <v>10451</v>
      </c>
      <c r="M733" s="46">
        <v>30</v>
      </c>
    </row>
    <row r="734" spans="2:13" ht="14.1" customHeight="1" x14ac:dyDescent="0.25">
      <c r="B734" s="46" t="str">
        <f t="shared" si="11"/>
        <v>2011-2-311957</v>
      </c>
      <c r="C734" s="47">
        <v>44139</v>
      </c>
      <c r="D734" s="46">
        <v>2</v>
      </c>
      <c r="E734" s="46">
        <v>30</v>
      </c>
      <c r="F734" s="46">
        <v>311957</v>
      </c>
      <c r="G734" s="48" t="s">
        <v>794</v>
      </c>
      <c r="H734" s="47">
        <v>44153</v>
      </c>
      <c r="I734" s="46">
        <v>50546</v>
      </c>
      <c r="J734" s="46">
        <v>30</v>
      </c>
      <c r="K734" s="47">
        <v>44158</v>
      </c>
      <c r="L734" s="46">
        <v>10451</v>
      </c>
      <c r="M734" s="46">
        <v>30</v>
      </c>
    </row>
    <row r="735" spans="2:13" ht="14.1" customHeight="1" x14ac:dyDescent="0.25">
      <c r="B735" s="46" t="str">
        <f t="shared" si="11"/>
        <v>2011-2-302359</v>
      </c>
      <c r="C735" s="47">
        <v>44139</v>
      </c>
      <c r="D735" s="46">
        <v>2</v>
      </c>
      <c r="E735" s="46">
        <v>30</v>
      </c>
      <c r="F735" s="46">
        <v>302359</v>
      </c>
      <c r="G735" s="48" t="s">
        <v>178</v>
      </c>
      <c r="H735" s="47">
        <v>44153</v>
      </c>
      <c r="I735" s="46">
        <v>50546</v>
      </c>
      <c r="J735" s="46">
        <v>30</v>
      </c>
      <c r="K735" s="47">
        <v>44158</v>
      </c>
      <c r="L735" s="46">
        <v>10451</v>
      </c>
      <c r="M735" s="46">
        <v>30</v>
      </c>
    </row>
    <row r="736" spans="2:13" ht="14.1" customHeight="1" x14ac:dyDescent="0.25">
      <c r="B736" s="46" t="str">
        <f t="shared" si="11"/>
        <v>2011-3-304492</v>
      </c>
      <c r="C736" s="47">
        <v>44139</v>
      </c>
      <c r="D736" s="46">
        <v>3</v>
      </c>
      <c r="E736" s="46">
        <v>15</v>
      </c>
      <c r="F736" s="46">
        <v>304492</v>
      </c>
      <c r="G736" s="48" t="s">
        <v>674</v>
      </c>
      <c r="H736" s="47">
        <v>44158</v>
      </c>
      <c r="I736" s="46">
        <v>50615</v>
      </c>
      <c r="J736" s="46">
        <v>15</v>
      </c>
      <c r="K736" s="47">
        <v>44162</v>
      </c>
      <c r="L736" s="46">
        <v>10500</v>
      </c>
      <c r="M736" s="46">
        <v>15</v>
      </c>
    </row>
    <row r="737" spans="2:13" ht="14.1" customHeight="1" x14ac:dyDescent="0.25">
      <c r="B737" s="46" t="str">
        <f t="shared" si="11"/>
        <v>2011-4-205455</v>
      </c>
      <c r="C737" s="47">
        <v>44139</v>
      </c>
      <c r="D737" s="46">
        <v>4</v>
      </c>
      <c r="E737" s="46">
        <v>6</v>
      </c>
      <c r="F737" s="46">
        <v>205455</v>
      </c>
      <c r="G737" s="48" t="s">
        <v>563</v>
      </c>
      <c r="H737" s="47">
        <v>44172</v>
      </c>
      <c r="I737" s="46">
        <v>50769</v>
      </c>
      <c r="J737" s="46">
        <v>6</v>
      </c>
      <c r="K737" s="47">
        <v>44193</v>
      </c>
      <c r="L737" s="46">
        <v>10762</v>
      </c>
      <c r="M737" s="46">
        <v>6</v>
      </c>
    </row>
    <row r="738" spans="2:13" ht="14.1" customHeight="1" x14ac:dyDescent="0.25">
      <c r="B738" s="46" t="str">
        <f t="shared" si="11"/>
        <v>2011-4-316334</v>
      </c>
      <c r="C738" s="47">
        <v>44139</v>
      </c>
      <c r="D738" s="46">
        <v>4</v>
      </c>
      <c r="E738" s="46">
        <v>10</v>
      </c>
      <c r="F738" s="46">
        <v>316334</v>
      </c>
      <c r="G738" s="48" t="s">
        <v>891</v>
      </c>
      <c r="H738" s="47">
        <v>44166</v>
      </c>
      <c r="I738" s="46">
        <v>50702</v>
      </c>
      <c r="J738" s="46">
        <v>10</v>
      </c>
      <c r="K738" s="47">
        <v>44209</v>
      </c>
      <c r="L738" s="46">
        <v>10874</v>
      </c>
      <c r="M738" s="46">
        <v>10</v>
      </c>
    </row>
    <row r="739" spans="2:13" ht="14.1" customHeight="1" x14ac:dyDescent="0.25">
      <c r="B739" s="46" t="str">
        <f t="shared" si="11"/>
        <v>2011-4-316824</v>
      </c>
      <c r="C739" s="47">
        <v>44139</v>
      </c>
      <c r="D739" s="46">
        <v>4</v>
      </c>
      <c r="E739" s="46">
        <v>10</v>
      </c>
      <c r="F739" s="46">
        <v>316824</v>
      </c>
      <c r="G739" s="48" t="s">
        <v>50</v>
      </c>
      <c r="H739" s="47">
        <v>44166</v>
      </c>
      <c r="I739" s="46">
        <v>50702</v>
      </c>
      <c r="J739" s="46">
        <v>10</v>
      </c>
      <c r="K739" s="47">
        <v>44209</v>
      </c>
      <c r="L739" s="46">
        <v>10874</v>
      </c>
      <c r="M739" s="46">
        <v>10</v>
      </c>
    </row>
    <row r="740" spans="2:13" ht="14.1" customHeight="1" x14ac:dyDescent="0.25">
      <c r="B740" s="46" t="str">
        <f t="shared" si="11"/>
        <v>2011-4-316434</v>
      </c>
      <c r="C740" s="47">
        <v>44139</v>
      </c>
      <c r="D740" s="46">
        <v>4</v>
      </c>
      <c r="E740" s="46">
        <v>1</v>
      </c>
      <c r="F740" s="46">
        <v>316434</v>
      </c>
      <c r="G740" s="48" t="s">
        <v>892</v>
      </c>
      <c r="H740" s="47">
        <v>44166</v>
      </c>
      <c r="I740" s="46">
        <v>50702</v>
      </c>
      <c r="J740" s="46">
        <v>1</v>
      </c>
      <c r="K740" s="47">
        <v>44209</v>
      </c>
      <c r="L740" s="46">
        <v>10874</v>
      </c>
      <c r="M740" s="46">
        <v>1</v>
      </c>
    </row>
    <row r="741" spans="2:13" ht="14.1" customHeight="1" x14ac:dyDescent="0.25">
      <c r="B741" s="46" t="str">
        <f t="shared" si="11"/>
        <v>2011-5-318483</v>
      </c>
      <c r="C741" s="47">
        <v>44139</v>
      </c>
      <c r="D741" s="46">
        <v>5</v>
      </c>
      <c r="E741" s="46">
        <v>2</v>
      </c>
      <c r="F741" s="46">
        <v>318483</v>
      </c>
      <c r="G741" s="48" t="s">
        <v>921</v>
      </c>
      <c r="H741" s="47">
        <v>44139</v>
      </c>
      <c r="I741" s="46">
        <v>50306</v>
      </c>
      <c r="J741" s="46">
        <v>2</v>
      </c>
      <c r="K741" s="47">
        <v>44139</v>
      </c>
      <c r="L741" s="46">
        <v>10252</v>
      </c>
      <c r="M741" s="46">
        <v>2</v>
      </c>
    </row>
    <row r="742" spans="2:13" ht="14.1" customHeight="1" x14ac:dyDescent="0.25">
      <c r="B742" s="46" t="str">
        <f t="shared" si="11"/>
        <v>2011-5-311116</v>
      </c>
      <c r="C742" s="47">
        <v>44139</v>
      </c>
      <c r="D742" s="46">
        <v>5</v>
      </c>
      <c r="E742" s="46">
        <v>4</v>
      </c>
      <c r="F742" s="46">
        <v>311116</v>
      </c>
      <c r="G742" s="48" t="s">
        <v>783</v>
      </c>
      <c r="H742" s="47">
        <v>44139</v>
      </c>
      <c r="I742" s="46">
        <v>50306</v>
      </c>
      <c r="J742" s="46">
        <v>4</v>
      </c>
      <c r="K742" s="47">
        <v>44139</v>
      </c>
      <c r="L742" s="46">
        <v>10252</v>
      </c>
      <c r="M742" s="46">
        <v>4</v>
      </c>
    </row>
    <row r="743" spans="2:13" ht="14.1" customHeight="1" x14ac:dyDescent="0.25">
      <c r="B743" s="46" t="str">
        <f t="shared" si="11"/>
        <v>2011-5-312095</v>
      </c>
      <c r="C743" s="47">
        <v>44139</v>
      </c>
      <c r="D743" s="46">
        <v>5</v>
      </c>
      <c r="E743" s="46">
        <v>2</v>
      </c>
      <c r="F743" s="46">
        <v>312095</v>
      </c>
      <c r="G743" s="48" t="s">
        <v>797</v>
      </c>
      <c r="H743" s="47">
        <v>44139</v>
      </c>
      <c r="I743" s="46">
        <v>50306</v>
      </c>
      <c r="J743" s="46">
        <v>2</v>
      </c>
      <c r="K743" s="47">
        <v>44139</v>
      </c>
      <c r="L743" s="46">
        <v>10252</v>
      </c>
      <c r="M743" s="46">
        <v>2</v>
      </c>
    </row>
    <row r="744" spans="2:13" ht="14.1" customHeight="1" x14ac:dyDescent="0.25">
      <c r="B744" s="46" t="str">
        <f t="shared" si="11"/>
        <v>2011-5-312501</v>
      </c>
      <c r="C744" s="47">
        <v>44139</v>
      </c>
      <c r="D744" s="46">
        <v>5</v>
      </c>
      <c r="E744" s="46">
        <v>25</v>
      </c>
      <c r="F744" s="46">
        <v>312501</v>
      </c>
      <c r="G744" s="48" t="s">
        <v>811</v>
      </c>
      <c r="H744" s="47">
        <v>44139</v>
      </c>
      <c r="I744" s="46">
        <v>50306</v>
      </c>
      <c r="J744" s="46">
        <v>25</v>
      </c>
      <c r="K744" s="47">
        <v>44139</v>
      </c>
      <c r="L744" s="46">
        <v>10252</v>
      </c>
      <c r="M744" s="46">
        <v>25</v>
      </c>
    </row>
    <row r="745" spans="2:13" ht="14.1" customHeight="1" x14ac:dyDescent="0.25">
      <c r="B745" s="46" t="str">
        <f t="shared" si="11"/>
        <v>2011-5-308284</v>
      </c>
      <c r="C745" s="47">
        <v>44139</v>
      </c>
      <c r="D745" s="46">
        <v>5</v>
      </c>
      <c r="E745" s="46">
        <v>6</v>
      </c>
      <c r="F745" s="46">
        <v>308284</v>
      </c>
      <c r="G745" s="48" t="s">
        <v>741</v>
      </c>
      <c r="H745" s="47">
        <v>44139</v>
      </c>
      <c r="I745" s="46">
        <v>50306</v>
      </c>
      <c r="J745" s="46">
        <v>6</v>
      </c>
      <c r="K745" s="47">
        <v>44139</v>
      </c>
      <c r="L745" s="46">
        <v>10252</v>
      </c>
      <c r="M745" s="46">
        <v>6</v>
      </c>
    </row>
    <row r="746" spans="2:13" ht="14.1" customHeight="1" x14ac:dyDescent="0.25">
      <c r="B746" s="46" t="str">
        <f t="shared" si="11"/>
        <v>2011-5-320121</v>
      </c>
      <c r="C746" s="47">
        <v>44139</v>
      </c>
      <c r="D746" s="46">
        <v>5</v>
      </c>
      <c r="E746" s="46">
        <v>2</v>
      </c>
      <c r="F746" s="46">
        <v>320121</v>
      </c>
      <c r="G746" s="48" t="s">
        <v>947</v>
      </c>
      <c r="H746" s="47">
        <v>44139</v>
      </c>
      <c r="I746" s="46">
        <v>50306</v>
      </c>
      <c r="J746" s="46">
        <v>2</v>
      </c>
      <c r="K746" s="47">
        <v>44139</v>
      </c>
      <c r="L746" s="46">
        <v>10252</v>
      </c>
      <c r="M746" s="46">
        <v>2</v>
      </c>
    </row>
    <row r="747" spans="2:13" ht="14.1" customHeight="1" x14ac:dyDescent="0.25">
      <c r="B747" s="46" t="str">
        <f t="shared" si="11"/>
        <v>2011-5-300599</v>
      </c>
      <c r="C747" s="47">
        <v>44139</v>
      </c>
      <c r="D747" s="46">
        <v>5</v>
      </c>
      <c r="E747" s="46">
        <v>1</v>
      </c>
      <c r="F747" s="46">
        <v>300599</v>
      </c>
      <c r="G747" s="48" t="s">
        <v>306</v>
      </c>
      <c r="H747" s="47">
        <v>44139</v>
      </c>
      <c r="I747" s="46">
        <v>50306</v>
      </c>
      <c r="J747" s="46">
        <v>1</v>
      </c>
      <c r="K747" s="47">
        <v>44139</v>
      </c>
      <c r="L747" s="46">
        <v>10252</v>
      </c>
      <c r="M747" s="46">
        <v>1</v>
      </c>
    </row>
    <row r="748" spans="2:13" ht="14.1" customHeight="1" x14ac:dyDescent="0.25">
      <c r="B748" s="46" t="str">
        <f t="shared" si="11"/>
        <v>2011-5-318601</v>
      </c>
      <c r="C748" s="47">
        <v>44139</v>
      </c>
      <c r="D748" s="46">
        <v>5</v>
      </c>
      <c r="E748" s="46">
        <v>4</v>
      </c>
      <c r="F748" s="46">
        <v>318601</v>
      </c>
      <c r="G748" s="48" t="s">
        <v>925</v>
      </c>
      <c r="H748" s="47">
        <v>44139</v>
      </c>
      <c r="I748" s="46">
        <v>50306</v>
      </c>
      <c r="J748" s="46">
        <v>4</v>
      </c>
      <c r="K748" s="47">
        <v>44139</v>
      </c>
      <c r="L748" s="46">
        <v>10252</v>
      </c>
      <c r="M748" s="46">
        <v>4</v>
      </c>
    </row>
    <row r="749" spans="2:13" ht="14.1" customHeight="1" x14ac:dyDescent="0.25">
      <c r="B749" s="46" t="str">
        <f t="shared" si="11"/>
        <v>2011-5-306580</v>
      </c>
      <c r="C749" s="47">
        <v>44139</v>
      </c>
      <c r="D749" s="46">
        <v>5</v>
      </c>
      <c r="E749" s="46">
        <v>25</v>
      </c>
      <c r="F749" s="46">
        <v>306580</v>
      </c>
      <c r="G749" s="48" t="s">
        <v>402</v>
      </c>
      <c r="H749" s="47">
        <v>44139</v>
      </c>
      <c r="I749" s="46">
        <v>50306</v>
      </c>
      <c r="J749" s="46">
        <v>25</v>
      </c>
      <c r="K749" s="47">
        <v>44139</v>
      </c>
      <c r="L749" s="46">
        <v>10252</v>
      </c>
      <c r="M749" s="46">
        <v>25</v>
      </c>
    </row>
    <row r="750" spans="2:13" ht="14.1" customHeight="1" x14ac:dyDescent="0.25">
      <c r="B750" s="46" t="str">
        <f t="shared" si="11"/>
        <v>2011-6-314644</v>
      </c>
      <c r="C750" s="47">
        <v>44139</v>
      </c>
      <c r="D750" s="46">
        <v>6</v>
      </c>
      <c r="E750" s="46">
        <v>2</v>
      </c>
      <c r="F750" s="46">
        <v>314644</v>
      </c>
      <c r="G750" s="48" t="s">
        <v>858</v>
      </c>
      <c r="H750" s="47">
        <v>44139</v>
      </c>
      <c r="I750" s="46">
        <v>50302</v>
      </c>
      <c r="J750" s="46">
        <v>2</v>
      </c>
      <c r="K750" s="47">
        <v>44139</v>
      </c>
      <c r="L750" s="46">
        <v>10253</v>
      </c>
      <c r="M750" s="46">
        <v>2</v>
      </c>
    </row>
    <row r="751" spans="2:13" ht="14.1" customHeight="1" x14ac:dyDescent="0.25">
      <c r="B751" s="46" t="str">
        <f t="shared" si="11"/>
        <v>2011-6-311455</v>
      </c>
      <c r="C751" s="47">
        <v>44139</v>
      </c>
      <c r="D751" s="46">
        <v>6</v>
      </c>
      <c r="E751" s="46">
        <v>2</v>
      </c>
      <c r="F751" s="46">
        <v>311455</v>
      </c>
      <c r="G751" s="48" t="s">
        <v>791</v>
      </c>
      <c r="H751" s="47">
        <v>44139</v>
      </c>
      <c r="I751" s="46">
        <v>50302</v>
      </c>
      <c r="J751" s="46">
        <v>2</v>
      </c>
      <c r="K751" s="47">
        <v>44139</v>
      </c>
      <c r="L751" s="46">
        <v>10253</v>
      </c>
      <c r="M751" s="46">
        <v>2</v>
      </c>
    </row>
    <row r="752" spans="2:13" ht="14.1" customHeight="1" x14ac:dyDescent="0.25">
      <c r="B752" s="46" t="str">
        <f t="shared" si="11"/>
        <v>2011-7-204528</v>
      </c>
      <c r="C752" s="47">
        <v>44139</v>
      </c>
      <c r="D752" s="46">
        <v>7</v>
      </c>
      <c r="E752" s="46">
        <v>1</v>
      </c>
      <c r="F752" s="46">
        <v>204528</v>
      </c>
      <c r="G752" s="48" t="s">
        <v>329</v>
      </c>
      <c r="H752" s="47">
        <v>44139</v>
      </c>
      <c r="I752" s="46">
        <v>50307</v>
      </c>
      <c r="J752" s="46">
        <v>1</v>
      </c>
      <c r="K752" s="47">
        <v>44139</v>
      </c>
      <c r="L752" s="46">
        <v>10254</v>
      </c>
      <c r="M752" s="46">
        <v>1</v>
      </c>
    </row>
    <row r="753" spans="2:13" ht="14.1" customHeight="1" x14ac:dyDescent="0.25">
      <c r="B753" s="46" t="str">
        <f t="shared" si="11"/>
        <v>2011-7-204532</v>
      </c>
      <c r="C753" s="47">
        <v>44139</v>
      </c>
      <c r="D753" s="46">
        <v>7</v>
      </c>
      <c r="E753" s="46">
        <v>1</v>
      </c>
      <c r="F753" s="46">
        <v>204532</v>
      </c>
      <c r="G753" s="48" t="s">
        <v>331</v>
      </c>
      <c r="H753" s="47">
        <v>44139</v>
      </c>
      <c r="I753" s="46">
        <v>50307</v>
      </c>
      <c r="J753" s="46">
        <v>1</v>
      </c>
      <c r="K753" s="47">
        <v>44139</v>
      </c>
      <c r="L753" s="46">
        <v>10254</v>
      </c>
      <c r="M753" s="46">
        <v>1</v>
      </c>
    </row>
    <row r="754" spans="2:13" ht="14.1" customHeight="1" x14ac:dyDescent="0.25">
      <c r="B754" s="46" t="str">
        <f t="shared" si="11"/>
        <v>2011-7-316223</v>
      </c>
      <c r="C754" s="47">
        <v>44139</v>
      </c>
      <c r="D754" s="46">
        <v>7</v>
      </c>
      <c r="E754" s="46">
        <v>1</v>
      </c>
      <c r="F754" s="46">
        <v>316223</v>
      </c>
      <c r="G754" s="50" t="s">
        <v>889</v>
      </c>
      <c r="H754" s="47">
        <v>44139</v>
      </c>
      <c r="I754" s="46">
        <v>50307</v>
      </c>
      <c r="J754" s="46">
        <v>1</v>
      </c>
      <c r="K754" s="47">
        <v>44139</v>
      </c>
      <c r="L754" s="46">
        <v>10254</v>
      </c>
      <c r="M754" s="46">
        <v>1</v>
      </c>
    </row>
    <row r="755" spans="2:13" ht="14.1" customHeight="1" x14ac:dyDescent="0.25">
      <c r="B755" s="46" t="str">
        <f t="shared" si="11"/>
        <v>2011-7-107649</v>
      </c>
      <c r="C755" s="47">
        <v>44139</v>
      </c>
      <c r="D755" s="46">
        <v>7</v>
      </c>
      <c r="E755" s="46">
        <v>4</v>
      </c>
      <c r="F755" s="46">
        <v>107649</v>
      </c>
      <c r="G755" s="48" t="s">
        <v>484</v>
      </c>
      <c r="H755" s="47">
        <v>44139</v>
      </c>
      <c r="I755" s="46">
        <v>50307</v>
      </c>
      <c r="J755" s="46">
        <v>4</v>
      </c>
      <c r="K755" s="47">
        <v>44139</v>
      </c>
      <c r="L755" s="46">
        <v>10254</v>
      </c>
      <c r="M755" s="46">
        <v>4</v>
      </c>
    </row>
    <row r="756" spans="2:13" ht="14.1" customHeight="1" x14ac:dyDescent="0.25">
      <c r="B756" s="46" t="str">
        <f t="shared" si="11"/>
        <v>2011-7-204531</v>
      </c>
      <c r="C756" s="47">
        <v>44139</v>
      </c>
      <c r="D756" s="46">
        <v>7</v>
      </c>
      <c r="E756" s="46">
        <v>1</v>
      </c>
      <c r="F756" s="46">
        <v>204531</v>
      </c>
      <c r="G756" s="48" t="s">
        <v>330</v>
      </c>
      <c r="H756" s="47">
        <v>44139</v>
      </c>
      <c r="I756" s="46">
        <v>50307</v>
      </c>
      <c r="J756" s="46">
        <v>1</v>
      </c>
      <c r="K756" s="47">
        <v>44139</v>
      </c>
      <c r="L756" s="46">
        <v>10254</v>
      </c>
      <c r="M756" s="46">
        <v>1</v>
      </c>
    </row>
    <row r="757" spans="2:13" ht="14.1" customHeight="1" x14ac:dyDescent="0.25">
      <c r="B757" s="46" t="str">
        <f t="shared" si="11"/>
        <v>2011-7-307425</v>
      </c>
      <c r="C757" s="47">
        <v>44139</v>
      </c>
      <c r="D757" s="46">
        <v>7</v>
      </c>
      <c r="E757" s="46">
        <v>1</v>
      </c>
      <c r="F757" s="46">
        <v>307425</v>
      </c>
      <c r="G757" s="48" t="s">
        <v>728</v>
      </c>
      <c r="H757" s="47">
        <v>44139</v>
      </c>
      <c r="I757" s="46">
        <v>50307</v>
      </c>
      <c r="J757" s="46">
        <v>1</v>
      </c>
      <c r="K757" s="47">
        <v>44139</v>
      </c>
      <c r="L757" s="46">
        <v>10254</v>
      </c>
      <c r="M757" s="46">
        <v>1</v>
      </c>
    </row>
    <row r="758" spans="2:13" ht="14.1" customHeight="1" x14ac:dyDescent="0.25">
      <c r="B758" s="46" t="str">
        <f t="shared" si="11"/>
        <v>2011-8-300348</v>
      </c>
      <c r="C758" s="47">
        <v>44139</v>
      </c>
      <c r="D758" s="46">
        <v>8</v>
      </c>
      <c r="E758" s="46">
        <v>1</v>
      </c>
      <c r="F758" s="46">
        <v>300348</v>
      </c>
      <c r="G758" s="48" t="s">
        <v>351</v>
      </c>
      <c r="H758" s="47">
        <v>44139</v>
      </c>
      <c r="I758" s="46">
        <v>50308</v>
      </c>
      <c r="J758" s="46">
        <v>1</v>
      </c>
      <c r="K758" s="47">
        <v>44139</v>
      </c>
      <c r="L758" s="46">
        <v>10256</v>
      </c>
      <c r="M758" s="46">
        <v>1</v>
      </c>
    </row>
    <row r="759" spans="2:13" ht="14.1" customHeight="1" x14ac:dyDescent="0.25">
      <c r="B759" s="46" t="str">
        <f t="shared" si="11"/>
        <v>2011-9-105680</v>
      </c>
      <c r="C759" s="47">
        <v>44139</v>
      </c>
      <c r="D759" s="46">
        <v>9</v>
      </c>
      <c r="E759" s="46">
        <v>2</v>
      </c>
      <c r="F759" s="46">
        <v>105680</v>
      </c>
      <c r="G759" s="48" t="s">
        <v>435</v>
      </c>
      <c r="H759" s="47">
        <v>44139</v>
      </c>
      <c r="I759" s="46">
        <v>50309</v>
      </c>
      <c r="J759" s="46">
        <v>2</v>
      </c>
      <c r="K759" s="47">
        <v>44139</v>
      </c>
      <c r="L759" s="46">
        <v>10258</v>
      </c>
      <c r="M759" s="46">
        <v>2</v>
      </c>
    </row>
    <row r="760" spans="2:13" ht="14.1" customHeight="1" x14ac:dyDescent="0.25">
      <c r="B760" s="46" t="str">
        <f t="shared" si="11"/>
        <v>2011-10-307985</v>
      </c>
      <c r="C760" s="47">
        <v>44139</v>
      </c>
      <c r="D760" s="46">
        <v>10</v>
      </c>
      <c r="E760" s="46">
        <v>2</v>
      </c>
      <c r="F760" s="46">
        <v>307985</v>
      </c>
      <c r="G760" s="48" t="s">
        <v>735</v>
      </c>
      <c r="H760" s="47">
        <v>44139</v>
      </c>
      <c r="I760" s="46">
        <v>50310</v>
      </c>
      <c r="J760" s="46">
        <v>2</v>
      </c>
      <c r="K760" s="47">
        <v>44139</v>
      </c>
      <c r="L760" s="46">
        <v>10259</v>
      </c>
      <c r="M760" s="46">
        <v>2</v>
      </c>
    </row>
    <row r="761" spans="2:13" ht="14.1" customHeight="1" x14ac:dyDescent="0.25">
      <c r="B761" s="46" t="str">
        <f t="shared" si="11"/>
        <v>2011-11-308768</v>
      </c>
      <c r="C761" s="47">
        <v>44139</v>
      </c>
      <c r="D761" s="46">
        <v>11</v>
      </c>
      <c r="E761" s="46">
        <v>1</v>
      </c>
      <c r="F761" s="46">
        <v>308768</v>
      </c>
      <c r="G761" s="48" t="s">
        <v>746</v>
      </c>
      <c r="H761" s="47">
        <v>44139</v>
      </c>
      <c r="I761" s="46">
        <v>50311</v>
      </c>
      <c r="J761" s="46">
        <v>1</v>
      </c>
      <c r="K761" s="47">
        <v>44139</v>
      </c>
      <c r="L761" s="46">
        <v>10261</v>
      </c>
      <c r="M761" s="46">
        <v>1</v>
      </c>
    </row>
    <row r="762" spans="2:13" ht="14.1" customHeight="1" x14ac:dyDescent="0.25">
      <c r="B762" s="46" t="str">
        <f t="shared" si="11"/>
        <v>2011-13-313502</v>
      </c>
      <c r="C762" s="47">
        <v>44140</v>
      </c>
      <c r="D762" s="46">
        <v>13</v>
      </c>
      <c r="E762" s="46">
        <v>1</v>
      </c>
      <c r="F762" s="46">
        <v>313502</v>
      </c>
      <c r="G762" s="48" t="s">
        <v>835</v>
      </c>
      <c r="H762" s="47">
        <v>44139</v>
      </c>
      <c r="I762" s="46">
        <v>50313</v>
      </c>
      <c r="J762" s="46">
        <v>1</v>
      </c>
      <c r="K762" s="47">
        <v>44140</v>
      </c>
      <c r="L762" s="46">
        <v>10263</v>
      </c>
      <c r="M762" s="46">
        <v>1</v>
      </c>
    </row>
    <row r="763" spans="2:13" ht="14.1" customHeight="1" x14ac:dyDescent="0.25">
      <c r="B763" s="46" t="str">
        <f t="shared" si="11"/>
        <v>2011-13-107016</v>
      </c>
      <c r="C763" s="47">
        <v>44140</v>
      </c>
      <c r="D763" s="46">
        <v>13</v>
      </c>
      <c r="E763" s="46">
        <v>1</v>
      </c>
      <c r="F763" s="46">
        <v>107016</v>
      </c>
      <c r="G763" s="48" t="s">
        <v>479</v>
      </c>
      <c r="H763" s="47">
        <v>44139</v>
      </c>
      <c r="I763" s="46">
        <v>50313</v>
      </c>
      <c r="J763" s="46">
        <v>1</v>
      </c>
      <c r="K763" s="47">
        <v>44140</v>
      </c>
      <c r="L763" s="46">
        <v>10263</v>
      </c>
      <c r="M763" s="46">
        <v>1</v>
      </c>
    </row>
    <row r="764" spans="2:13" ht="14.1" customHeight="1" x14ac:dyDescent="0.25">
      <c r="B764" s="46" t="str">
        <f t="shared" si="11"/>
        <v>2011-13-318469</v>
      </c>
      <c r="C764" s="47">
        <v>44140</v>
      </c>
      <c r="D764" s="46">
        <v>13</v>
      </c>
      <c r="E764" s="46">
        <v>1</v>
      </c>
      <c r="F764" s="46">
        <v>318469</v>
      </c>
      <c r="G764" s="48" t="s">
        <v>920</v>
      </c>
      <c r="H764" s="47">
        <v>44139</v>
      </c>
      <c r="I764" s="46">
        <v>50313</v>
      </c>
      <c r="J764" s="46">
        <v>1</v>
      </c>
      <c r="K764" s="47">
        <v>44140</v>
      </c>
      <c r="L764" s="46">
        <v>10263</v>
      </c>
      <c r="M764" s="46">
        <v>1</v>
      </c>
    </row>
    <row r="765" spans="2:13" ht="14.1" customHeight="1" x14ac:dyDescent="0.25">
      <c r="B765" s="46" t="str">
        <f t="shared" si="11"/>
        <v>2011-14-313099</v>
      </c>
      <c r="C765" s="47">
        <v>44140</v>
      </c>
      <c r="D765" s="46">
        <v>14</v>
      </c>
      <c r="E765" s="46">
        <v>1</v>
      </c>
      <c r="F765" s="46">
        <v>313099</v>
      </c>
      <c r="G765" s="48" t="s">
        <v>827</v>
      </c>
      <c r="H765" s="47">
        <v>44139</v>
      </c>
      <c r="I765" s="46">
        <v>50314</v>
      </c>
      <c r="J765" s="46">
        <v>1</v>
      </c>
      <c r="K765" s="47">
        <v>44140</v>
      </c>
      <c r="L765" s="46">
        <v>10264</v>
      </c>
      <c r="M765" s="46">
        <v>1</v>
      </c>
    </row>
    <row r="766" spans="2:13" ht="14.1" customHeight="1" x14ac:dyDescent="0.25">
      <c r="B766" s="46" t="str">
        <f t="shared" si="11"/>
        <v>2011-14-309158</v>
      </c>
      <c r="C766" s="47">
        <v>44140</v>
      </c>
      <c r="D766" s="46">
        <v>14</v>
      </c>
      <c r="E766" s="46">
        <v>1</v>
      </c>
      <c r="F766" s="46">
        <v>309158</v>
      </c>
      <c r="G766" s="50" t="s">
        <v>231</v>
      </c>
      <c r="H766" s="47">
        <v>44139</v>
      </c>
      <c r="I766" s="46">
        <v>50314</v>
      </c>
      <c r="J766" s="46">
        <v>1</v>
      </c>
      <c r="K766" s="47">
        <v>44140</v>
      </c>
      <c r="L766" s="46">
        <v>10264</v>
      </c>
      <c r="M766" s="46">
        <v>1</v>
      </c>
    </row>
    <row r="767" spans="2:13" ht="14.1" customHeight="1" x14ac:dyDescent="0.25">
      <c r="B767" s="46" t="str">
        <f t="shared" si="11"/>
        <v>2011-16-301212</v>
      </c>
      <c r="C767" s="47">
        <v>44140</v>
      </c>
      <c r="D767" s="46">
        <v>16</v>
      </c>
      <c r="E767" s="46">
        <v>1</v>
      </c>
      <c r="F767" s="46">
        <v>301212</v>
      </c>
      <c r="G767" s="48" t="s">
        <v>615</v>
      </c>
      <c r="H767" s="47">
        <v>44158</v>
      </c>
      <c r="I767" s="46">
        <v>50613</v>
      </c>
      <c r="J767" s="46">
        <v>1</v>
      </c>
      <c r="K767" s="47">
        <v>44207</v>
      </c>
      <c r="L767" s="46">
        <v>10849</v>
      </c>
      <c r="M767" s="46">
        <v>1</v>
      </c>
    </row>
    <row r="768" spans="2:13" ht="14.1" customHeight="1" x14ac:dyDescent="0.25">
      <c r="B768" s="46" t="str">
        <f t="shared" si="11"/>
        <v>2011-30-312411</v>
      </c>
      <c r="C768" s="47">
        <v>44141</v>
      </c>
      <c r="D768" s="46">
        <v>30</v>
      </c>
      <c r="E768" s="46">
        <v>2</v>
      </c>
      <c r="F768" s="46">
        <v>312411</v>
      </c>
      <c r="G768" s="48" t="s">
        <v>809</v>
      </c>
      <c r="H768" s="47">
        <v>44160</v>
      </c>
      <c r="I768" s="46">
        <v>50652</v>
      </c>
      <c r="J768" s="46">
        <v>2</v>
      </c>
      <c r="K768" s="47">
        <v>44161</v>
      </c>
      <c r="L768" s="46">
        <v>10489</v>
      </c>
      <c r="M768" s="46">
        <v>2</v>
      </c>
    </row>
    <row r="769" spans="2:13" ht="14.1" customHeight="1" x14ac:dyDescent="0.25">
      <c r="B769" s="46" t="str">
        <f t="shared" si="11"/>
        <v>2011-30-205357</v>
      </c>
      <c r="C769" s="47">
        <v>44141</v>
      </c>
      <c r="D769" s="46">
        <v>30</v>
      </c>
      <c r="E769" s="46">
        <v>4</v>
      </c>
      <c r="F769" s="46">
        <v>205357</v>
      </c>
      <c r="G769" s="48" t="s">
        <v>560</v>
      </c>
      <c r="H769" s="47">
        <v>44160</v>
      </c>
      <c r="I769" s="46">
        <v>50652</v>
      </c>
      <c r="J769" s="46">
        <v>4</v>
      </c>
      <c r="K769" s="47">
        <v>44161</v>
      </c>
      <c r="L769" s="46">
        <v>10489</v>
      </c>
      <c r="M769" s="46">
        <v>4</v>
      </c>
    </row>
    <row r="770" spans="2:13" ht="14.1" customHeight="1" x14ac:dyDescent="0.25">
      <c r="B770" s="46" t="str">
        <f t="shared" si="11"/>
        <v>2011-30-205690</v>
      </c>
      <c r="C770" s="47">
        <v>44141</v>
      </c>
      <c r="D770" s="46">
        <v>30</v>
      </c>
      <c r="E770" s="46">
        <v>3</v>
      </c>
      <c r="F770" s="46">
        <v>205690</v>
      </c>
      <c r="G770" s="48" t="s">
        <v>570</v>
      </c>
      <c r="H770" s="47">
        <v>44160</v>
      </c>
      <c r="I770" s="46">
        <v>50652</v>
      </c>
      <c r="J770" s="46">
        <v>3</v>
      </c>
      <c r="K770" s="47">
        <v>44161</v>
      </c>
      <c r="L770" s="46">
        <v>10489</v>
      </c>
      <c r="M770" s="46">
        <v>3</v>
      </c>
    </row>
    <row r="771" spans="2:13" ht="14.1" customHeight="1" x14ac:dyDescent="0.25">
      <c r="B771" s="46" t="str">
        <f t="shared" si="11"/>
        <v>2011-31-203922</v>
      </c>
      <c r="C771" s="47">
        <v>44141</v>
      </c>
      <c r="D771" s="46">
        <v>31</v>
      </c>
      <c r="E771" s="46">
        <v>2</v>
      </c>
      <c r="F771" s="46">
        <v>203922</v>
      </c>
      <c r="G771" s="48" t="s">
        <v>92</v>
      </c>
      <c r="H771" s="47">
        <v>44166</v>
      </c>
      <c r="I771" s="46">
        <v>50706</v>
      </c>
      <c r="J771" s="46">
        <v>2</v>
      </c>
      <c r="K771" s="47">
        <v>44172</v>
      </c>
      <c r="L771" s="46">
        <v>10599</v>
      </c>
      <c r="M771" s="46">
        <v>2</v>
      </c>
    </row>
    <row r="772" spans="2:13" ht="14.1" customHeight="1" x14ac:dyDescent="0.25">
      <c r="B772" s="46" t="str">
        <f t="shared" si="11"/>
        <v>2011-31-312166</v>
      </c>
      <c r="C772" s="47">
        <v>44141</v>
      </c>
      <c r="D772" s="46">
        <v>31</v>
      </c>
      <c r="E772" s="46">
        <v>1</v>
      </c>
      <c r="F772" s="46">
        <v>312166</v>
      </c>
      <c r="G772" s="48" t="s">
        <v>800</v>
      </c>
      <c r="H772" s="47">
        <v>44166</v>
      </c>
      <c r="I772" s="46">
        <v>50706</v>
      </c>
      <c r="J772" s="46">
        <v>1</v>
      </c>
      <c r="K772" s="47">
        <v>44172</v>
      </c>
      <c r="L772" s="46">
        <v>10599</v>
      </c>
      <c r="M772" s="46">
        <v>1</v>
      </c>
    </row>
    <row r="773" spans="2:13" ht="14.1" customHeight="1" x14ac:dyDescent="0.25">
      <c r="B773" s="46" t="str">
        <f t="shared" si="11"/>
        <v>2011-32-206413</v>
      </c>
      <c r="C773" s="47">
        <v>44141</v>
      </c>
      <c r="D773" s="46">
        <v>32</v>
      </c>
      <c r="E773" s="46">
        <v>2</v>
      </c>
      <c r="F773" s="46">
        <v>206413</v>
      </c>
      <c r="G773" s="48" t="s">
        <v>584</v>
      </c>
      <c r="I773" s="46">
        <v>0</v>
      </c>
      <c r="J773" s="46">
        <v>0</v>
      </c>
      <c r="L773" s="46">
        <v>0</v>
      </c>
      <c r="M773" s="46">
        <v>0</v>
      </c>
    </row>
    <row r="774" spans="2:13" ht="14.1" customHeight="1" x14ac:dyDescent="0.25">
      <c r="B774" s="46" t="str">
        <f t="shared" si="11"/>
        <v>2011-34-105328</v>
      </c>
      <c r="C774" s="47">
        <v>44144</v>
      </c>
      <c r="D774" s="46">
        <v>34</v>
      </c>
      <c r="E774" s="46">
        <v>30</v>
      </c>
      <c r="F774" s="46">
        <v>105328</v>
      </c>
      <c r="G774" s="48" t="s">
        <v>344</v>
      </c>
      <c r="H774" s="47">
        <v>44151</v>
      </c>
      <c r="I774" s="46">
        <v>50521</v>
      </c>
      <c r="J774" s="46">
        <v>30</v>
      </c>
      <c r="K774" s="47">
        <v>44159</v>
      </c>
      <c r="L774" s="46">
        <v>10466</v>
      </c>
      <c r="M774" s="46">
        <v>30</v>
      </c>
    </row>
    <row r="775" spans="2:13" ht="14.1" customHeight="1" x14ac:dyDescent="0.25">
      <c r="B775" s="46" t="str">
        <f t="shared" si="11"/>
        <v>2011-34-310416</v>
      </c>
      <c r="C775" s="47">
        <v>44144</v>
      </c>
      <c r="D775" s="46">
        <v>34</v>
      </c>
      <c r="E775" s="46">
        <v>30</v>
      </c>
      <c r="F775" s="46">
        <v>310416</v>
      </c>
      <c r="G775" s="48" t="s">
        <v>240</v>
      </c>
      <c r="H775" s="47">
        <v>44151</v>
      </c>
      <c r="I775" s="46">
        <v>50520</v>
      </c>
      <c r="J775" s="46">
        <v>30</v>
      </c>
      <c r="K775" s="47">
        <v>44158</v>
      </c>
      <c r="L775" s="46">
        <v>10455</v>
      </c>
      <c r="M775" s="46">
        <v>30</v>
      </c>
    </row>
    <row r="776" spans="2:13" ht="14.1" customHeight="1" x14ac:dyDescent="0.25">
      <c r="B776" s="46" t="str">
        <f t="shared" si="11"/>
        <v>2011-34-106761</v>
      </c>
      <c r="C776" s="47">
        <v>44144</v>
      </c>
      <c r="D776" s="46">
        <v>34</v>
      </c>
      <c r="E776" s="46">
        <v>20</v>
      </c>
      <c r="F776" s="46">
        <v>106761</v>
      </c>
      <c r="G776" s="48" t="s">
        <v>95</v>
      </c>
      <c r="H776" s="47">
        <v>44151</v>
      </c>
      <c r="I776" s="46">
        <v>50520</v>
      </c>
      <c r="J776" s="46">
        <v>20</v>
      </c>
      <c r="K776" s="47">
        <v>44158</v>
      </c>
      <c r="L776" s="46">
        <v>10455</v>
      </c>
      <c r="M776" s="46">
        <v>20</v>
      </c>
    </row>
    <row r="777" spans="2:13" ht="14.1" customHeight="1" x14ac:dyDescent="0.25">
      <c r="B777" s="46" t="str">
        <f t="shared" si="11"/>
        <v>2011-34-201460</v>
      </c>
      <c r="C777" s="47">
        <v>44144</v>
      </c>
      <c r="D777" s="46">
        <v>34</v>
      </c>
      <c r="E777" s="46">
        <v>30</v>
      </c>
      <c r="F777" s="46">
        <v>201460</v>
      </c>
      <c r="G777" s="48" t="s">
        <v>298</v>
      </c>
      <c r="H777" s="47">
        <v>44151</v>
      </c>
      <c r="I777" s="46">
        <v>50520</v>
      </c>
      <c r="J777" s="46">
        <v>30</v>
      </c>
      <c r="K777" s="47">
        <v>44158</v>
      </c>
      <c r="L777" s="46">
        <v>10455</v>
      </c>
      <c r="M777" s="46">
        <v>30</v>
      </c>
    </row>
    <row r="778" spans="2:13" ht="14.1" customHeight="1" x14ac:dyDescent="0.25">
      <c r="B778" s="46" t="str">
        <f t="shared" si="11"/>
        <v>2011-34-311507</v>
      </c>
      <c r="C778" s="47">
        <v>44144</v>
      </c>
      <c r="D778" s="46">
        <v>34</v>
      </c>
      <c r="E778" s="46">
        <v>20</v>
      </c>
      <c r="F778" s="46">
        <v>311507</v>
      </c>
      <c r="G778" s="48" t="s">
        <v>51</v>
      </c>
      <c r="I778" s="46">
        <v>0</v>
      </c>
      <c r="J778" s="46">
        <v>0</v>
      </c>
      <c r="L778" s="46">
        <v>0</v>
      </c>
      <c r="M778" s="46">
        <v>0</v>
      </c>
    </row>
    <row r="779" spans="2:13" ht="14.1" customHeight="1" x14ac:dyDescent="0.25">
      <c r="B779" s="46" t="str">
        <f t="shared" si="11"/>
        <v>2011-35-200271</v>
      </c>
      <c r="C779" s="47">
        <v>44144</v>
      </c>
      <c r="D779" s="46">
        <v>35</v>
      </c>
      <c r="E779" s="46">
        <v>220</v>
      </c>
      <c r="F779" s="46">
        <v>200271</v>
      </c>
      <c r="G779" s="48" t="s">
        <v>241</v>
      </c>
      <c r="H779" s="47">
        <v>44151</v>
      </c>
      <c r="I779" s="46">
        <v>50519</v>
      </c>
      <c r="J779" s="46">
        <v>220</v>
      </c>
      <c r="K779" s="47">
        <v>44160</v>
      </c>
      <c r="L779" s="46">
        <v>10482</v>
      </c>
      <c r="M779" s="46">
        <v>220</v>
      </c>
    </row>
    <row r="780" spans="2:13" ht="14.1" customHeight="1" x14ac:dyDescent="0.25">
      <c r="B780" s="46" t="str">
        <f t="shared" ref="B780:B843" si="12">TEXT(C780,"yy") &amp; TEXT(C780,"mm") &amp;"-"&amp;(D780) &amp;"-"&amp;(F780)</f>
        <v>2011-36-200154</v>
      </c>
      <c r="C780" s="47">
        <v>44144</v>
      </c>
      <c r="D780" s="46">
        <v>36</v>
      </c>
      <c r="E780" s="46">
        <v>30</v>
      </c>
      <c r="F780" s="46">
        <v>200154</v>
      </c>
      <c r="G780" s="48" t="s">
        <v>98</v>
      </c>
      <c r="H780" s="47">
        <v>44151</v>
      </c>
      <c r="I780" s="46">
        <v>50523</v>
      </c>
      <c r="J780" s="46">
        <v>30</v>
      </c>
      <c r="K780" s="47">
        <v>44158</v>
      </c>
      <c r="L780" s="46">
        <v>10452</v>
      </c>
      <c r="M780" s="46">
        <v>30</v>
      </c>
    </row>
    <row r="781" spans="2:13" ht="14.1" customHeight="1" x14ac:dyDescent="0.25">
      <c r="B781" s="46" t="str">
        <f t="shared" si="12"/>
        <v>2011-36-311888</v>
      </c>
      <c r="C781" s="47">
        <v>44144</v>
      </c>
      <c r="D781" s="46">
        <v>36</v>
      </c>
      <c r="E781" s="46">
        <v>15</v>
      </c>
      <c r="F781" s="46">
        <v>311888</v>
      </c>
      <c r="G781" s="50" t="s">
        <v>42</v>
      </c>
      <c r="H781" s="47">
        <v>44151</v>
      </c>
      <c r="I781" s="46">
        <v>50524</v>
      </c>
      <c r="J781" s="46">
        <v>15</v>
      </c>
      <c r="K781" s="47">
        <v>44158</v>
      </c>
      <c r="L781" s="46">
        <v>10454</v>
      </c>
      <c r="M781" s="46">
        <v>15</v>
      </c>
    </row>
    <row r="782" spans="2:13" ht="14.1" customHeight="1" x14ac:dyDescent="0.25">
      <c r="B782" s="46" t="str">
        <f t="shared" si="12"/>
        <v>2011-36-200210</v>
      </c>
      <c r="C782" s="47">
        <v>44144</v>
      </c>
      <c r="D782" s="46">
        <v>36</v>
      </c>
      <c r="E782" s="46">
        <v>10</v>
      </c>
      <c r="F782" s="46">
        <v>200210</v>
      </c>
      <c r="G782" s="48" t="s">
        <v>227</v>
      </c>
      <c r="H782" s="47">
        <v>44151</v>
      </c>
      <c r="I782" s="46">
        <v>50523</v>
      </c>
      <c r="J782" s="46">
        <v>10</v>
      </c>
      <c r="K782" s="47">
        <v>44158</v>
      </c>
      <c r="L782" s="46">
        <v>10452</v>
      </c>
      <c r="M782" s="46">
        <v>10</v>
      </c>
    </row>
    <row r="783" spans="2:13" ht="14.1" customHeight="1" x14ac:dyDescent="0.25">
      <c r="B783" s="46" t="str">
        <f t="shared" si="12"/>
        <v>2011-36-200867</v>
      </c>
      <c r="C783" s="47">
        <v>44144</v>
      </c>
      <c r="D783" s="46">
        <v>36</v>
      </c>
      <c r="E783" s="46">
        <v>30</v>
      </c>
      <c r="F783" s="46">
        <v>200867</v>
      </c>
      <c r="G783" s="48" t="s">
        <v>199</v>
      </c>
      <c r="H783" s="47">
        <v>44151</v>
      </c>
      <c r="I783" s="46">
        <v>50525</v>
      </c>
      <c r="J783" s="46">
        <v>30</v>
      </c>
      <c r="K783" s="47">
        <v>44167</v>
      </c>
      <c r="L783" s="46">
        <v>10578</v>
      </c>
      <c r="M783" s="46">
        <v>28</v>
      </c>
    </row>
    <row r="784" spans="2:13" ht="14.1" customHeight="1" x14ac:dyDescent="0.25">
      <c r="B784" s="46" t="str">
        <f t="shared" si="12"/>
        <v>2011-36-200209</v>
      </c>
      <c r="C784" s="47">
        <v>44144</v>
      </c>
      <c r="D784" s="46">
        <v>36</v>
      </c>
      <c r="E784" s="46">
        <v>30</v>
      </c>
      <c r="F784" s="46">
        <v>200209</v>
      </c>
      <c r="G784" s="48" t="s">
        <v>228</v>
      </c>
      <c r="H784" s="47">
        <v>44151</v>
      </c>
      <c r="I784" s="46">
        <v>50523</v>
      </c>
      <c r="J784" s="46">
        <v>30</v>
      </c>
      <c r="K784" s="47">
        <v>44158</v>
      </c>
      <c r="L784" s="46">
        <v>10452</v>
      </c>
      <c r="M784" s="46">
        <v>30</v>
      </c>
    </row>
    <row r="785" spans="2:13" ht="14.1" customHeight="1" x14ac:dyDescent="0.25">
      <c r="B785" s="46" t="str">
        <f t="shared" si="12"/>
        <v>2011-37-300311</v>
      </c>
      <c r="C785" s="47">
        <v>44144</v>
      </c>
      <c r="D785" s="46">
        <v>37</v>
      </c>
      <c r="E785" s="46">
        <v>400</v>
      </c>
      <c r="F785" s="46">
        <v>300311</v>
      </c>
      <c r="G785" s="48" t="s">
        <v>128</v>
      </c>
      <c r="H785" s="47">
        <v>44151</v>
      </c>
      <c r="I785" s="46">
        <v>50522</v>
      </c>
      <c r="J785" s="46">
        <v>400</v>
      </c>
      <c r="K785" s="47">
        <v>44144</v>
      </c>
      <c r="L785" s="46">
        <v>10289</v>
      </c>
      <c r="M785" s="46">
        <v>400</v>
      </c>
    </row>
    <row r="786" spans="2:13" ht="14.1" customHeight="1" x14ac:dyDescent="0.25">
      <c r="B786" s="46" t="str">
        <f t="shared" si="12"/>
        <v>2011-37-300312</v>
      </c>
      <c r="C786" s="47">
        <v>44144</v>
      </c>
      <c r="D786" s="46">
        <v>37</v>
      </c>
      <c r="E786" s="46">
        <v>750</v>
      </c>
      <c r="F786" s="46">
        <v>300312</v>
      </c>
      <c r="G786" s="48" t="s">
        <v>186</v>
      </c>
      <c r="H786" s="47">
        <v>44151</v>
      </c>
      <c r="I786" s="46">
        <v>50522</v>
      </c>
      <c r="J786" s="46">
        <v>750</v>
      </c>
      <c r="K786" s="47">
        <v>44144</v>
      </c>
      <c r="L786" s="46">
        <v>10289</v>
      </c>
      <c r="M786" s="46">
        <v>750</v>
      </c>
    </row>
    <row r="787" spans="2:13" ht="14.1" customHeight="1" x14ac:dyDescent="0.25">
      <c r="B787" s="46" t="str">
        <f t="shared" si="12"/>
        <v>2011-37-304159</v>
      </c>
      <c r="C787" s="47">
        <v>44144</v>
      </c>
      <c r="D787" s="46">
        <v>37</v>
      </c>
      <c r="E787" s="46">
        <v>1500</v>
      </c>
      <c r="F787" s="46">
        <v>304159</v>
      </c>
      <c r="G787" s="48" t="s">
        <v>152</v>
      </c>
      <c r="H787" s="47">
        <v>44151</v>
      </c>
      <c r="I787" s="46">
        <v>50522</v>
      </c>
      <c r="J787" s="46">
        <v>1500</v>
      </c>
      <c r="K787" s="47">
        <v>44144</v>
      </c>
      <c r="L787" s="46">
        <v>10289</v>
      </c>
      <c r="M787" s="46">
        <v>1500</v>
      </c>
    </row>
    <row r="788" spans="2:13" ht="14.1" customHeight="1" x14ac:dyDescent="0.25">
      <c r="B788" s="46" t="str">
        <f t="shared" si="12"/>
        <v>2011-38-315137</v>
      </c>
      <c r="C788" s="47">
        <v>44144</v>
      </c>
      <c r="D788" s="46">
        <v>38</v>
      </c>
      <c r="E788" s="46">
        <v>2</v>
      </c>
      <c r="F788" s="46">
        <v>315137</v>
      </c>
      <c r="G788" s="48" t="s">
        <v>328</v>
      </c>
      <c r="H788" s="47">
        <v>44152</v>
      </c>
      <c r="I788" s="46">
        <v>50542</v>
      </c>
      <c r="J788" s="46">
        <v>2</v>
      </c>
      <c r="K788" s="47">
        <v>44160</v>
      </c>
      <c r="L788" s="46">
        <v>10483</v>
      </c>
      <c r="M788" s="46">
        <v>2</v>
      </c>
    </row>
    <row r="789" spans="2:13" ht="14.1" customHeight="1" x14ac:dyDescent="0.25">
      <c r="B789" s="46" t="str">
        <f t="shared" si="12"/>
        <v>2011-38-303562</v>
      </c>
      <c r="C789" s="47">
        <v>44144</v>
      </c>
      <c r="D789" s="46">
        <v>38</v>
      </c>
      <c r="E789" s="46">
        <v>4</v>
      </c>
      <c r="F789" s="46">
        <v>303562</v>
      </c>
      <c r="G789" s="48" t="s">
        <v>658</v>
      </c>
      <c r="H789" s="47">
        <v>44152</v>
      </c>
      <c r="I789" s="46">
        <v>50542</v>
      </c>
      <c r="J789" s="46">
        <v>4</v>
      </c>
      <c r="K789" s="47">
        <v>44160</v>
      </c>
      <c r="L789" s="46">
        <v>10483</v>
      </c>
      <c r="M789" s="46">
        <v>4</v>
      </c>
    </row>
    <row r="790" spans="2:13" ht="14.1" customHeight="1" x14ac:dyDescent="0.25">
      <c r="B790" s="46" t="str">
        <f t="shared" si="12"/>
        <v>2011-40-310100</v>
      </c>
      <c r="C790" s="47">
        <v>44145</v>
      </c>
      <c r="D790" s="46">
        <v>40</v>
      </c>
      <c r="E790" s="46">
        <v>1</v>
      </c>
      <c r="F790" s="46">
        <v>310100</v>
      </c>
      <c r="G790" s="48" t="s">
        <v>768</v>
      </c>
      <c r="H790" s="47">
        <v>44144</v>
      </c>
      <c r="I790" s="46">
        <v>50445</v>
      </c>
      <c r="J790" s="46">
        <v>1</v>
      </c>
      <c r="K790" s="47">
        <v>44145</v>
      </c>
      <c r="L790" s="46">
        <v>10305</v>
      </c>
      <c r="M790" s="46">
        <v>1</v>
      </c>
    </row>
    <row r="791" spans="2:13" ht="14.1" customHeight="1" x14ac:dyDescent="0.25">
      <c r="B791" s="46" t="str">
        <f t="shared" si="12"/>
        <v>2011-46-200751</v>
      </c>
      <c r="C791" s="47">
        <v>44145</v>
      </c>
      <c r="D791" s="46">
        <v>46</v>
      </c>
      <c r="E791" s="46">
        <v>20000</v>
      </c>
      <c r="F791" s="46">
        <v>200751</v>
      </c>
      <c r="G791" s="48" t="s">
        <v>151</v>
      </c>
      <c r="H791" s="47">
        <v>44146</v>
      </c>
      <c r="I791" s="46">
        <v>50528</v>
      </c>
      <c r="J791" s="46">
        <v>10000</v>
      </c>
      <c r="K791" s="47">
        <v>44151</v>
      </c>
      <c r="L791" s="46">
        <v>10372</v>
      </c>
      <c r="M791" s="46">
        <v>10000</v>
      </c>
    </row>
    <row r="792" spans="2:13" ht="14.1" customHeight="1" x14ac:dyDescent="0.25">
      <c r="B792" s="46" t="str">
        <f t="shared" si="12"/>
        <v>2011-46-200751</v>
      </c>
      <c r="C792" s="47">
        <v>44145</v>
      </c>
      <c r="D792" s="46">
        <v>46</v>
      </c>
      <c r="E792" s="46">
        <v>20000</v>
      </c>
      <c r="F792" s="46">
        <v>200751</v>
      </c>
      <c r="G792" s="48" t="s">
        <v>151</v>
      </c>
      <c r="H792" s="47">
        <v>44146</v>
      </c>
      <c r="I792" s="46">
        <v>50528</v>
      </c>
      <c r="J792" s="46">
        <v>10000</v>
      </c>
      <c r="K792" s="47">
        <v>44151</v>
      </c>
      <c r="L792" s="46">
        <v>10373</v>
      </c>
      <c r="M792" s="46">
        <v>10000</v>
      </c>
    </row>
    <row r="793" spans="2:13" ht="14.1" customHeight="1" x14ac:dyDescent="0.25">
      <c r="B793" s="46" t="str">
        <f t="shared" si="12"/>
        <v>2011-46-200751</v>
      </c>
      <c r="C793" s="47">
        <v>44145</v>
      </c>
      <c r="D793" s="46">
        <v>46</v>
      </c>
      <c r="E793" s="46">
        <v>20000</v>
      </c>
      <c r="F793" s="46">
        <v>200751</v>
      </c>
      <c r="G793" s="48" t="s">
        <v>151</v>
      </c>
      <c r="H793" s="47">
        <v>44148</v>
      </c>
      <c r="I793" s="46">
        <v>50530</v>
      </c>
      <c r="J793" s="46">
        <v>10000</v>
      </c>
      <c r="K793" s="47">
        <v>44151</v>
      </c>
      <c r="L793" s="46">
        <v>10372</v>
      </c>
      <c r="M793" s="46">
        <v>10000</v>
      </c>
    </row>
    <row r="794" spans="2:13" ht="14.1" customHeight="1" x14ac:dyDescent="0.25">
      <c r="B794" s="46" t="str">
        <f t="shared" si="12"/>
        <v>2011-46-200751</v>
      </c>
      <c r="C794" s="47">
        <v>44145</v>
      </c>
      <c r="D794" s="46">
        <v>46</v>
      </c>
      <c r="E794" s="46">
        <v>20000</v>
      </c>
      <c r="F794" s="46">
        <v>200751</v>
      </c>
      <c r="G794" s="48" t="s">
        <v>151</v>
      </c>
      <c r="H794" s="47">
        <v>44148</v>
      </c>
      <c r="I794" s="46">
        <v>50530</v>
      </c>
      <c r="J794" s="46">
        <v>10000</v>
      </c>
      <c r="K794" s="47">
        <v>44151</v>
      </c>
      <c r="L794" s="46">
        <v>10373</v>
      </c>
      <c r="M794" s="46">
        <v>10000</v>
      </c>
    </row>
    <row r="795" spans="2:13" ht="14.1" customHeight="1" x14ac:dyDescent="0.25">
      <c r="B795" s="46" t="str">
        <f t="shared" si="12"/>
        <v>2011-52-200930</v>
      </c>
      <c r="C795" s="47">
        <v>44145</v>
      </c>
      <c r="D795" s="46">
        <v>52</v>
      </c>
      <c r="E795" s="46">
        <v>2000</v>
      </c>
      <c r="F795" s="46">
        <v>200930</v>
      </c>
      <c r="G795" s="48" t="s">
        <v>264</v>
      </c>
      <c r="H795" s="47">
        <v>44151</v>
      </c>
      <c r="I795" s="46">
        <v>50502</v>
      </c>
      <c r="J795" s="46">
        <v>2000</v>
      </c>
      <c r="K795" s="47">
        <v>44158</v>
      </c>
      <c r="L795" s="46">
        <v>10450</v>
      </c>
      <c r="M795" s="46">
        <v>2000</v>
      </c>
    </row>
    <row r="796" spans="2:13" ht="14.1" customHeight="1" x14ac:dyDescent="0.25">
      <c r="B796" s="46" t="str">
        <f t="shared" si="12"/>
        <v>2011-52-206218</v>
      </c>
      <c r="C796" s="47">
        <v>44145</v>
      </c>
      <c r="D796" s="46">
        <v>52</v>
      </c>
      <c r="E796" s="46">
        <v>2000</v>
      </c>
      <c r="F796" s="46">
        <v>206218</v>
      </c>
      <c r="G796" s="48" t="s">
        <v>213</v>
      </c>
      <c r="H796" s="47">
        <v>44151</v>
      </c>
      <c r="I796" s="46">
        <v>50500</v>
      </c>
      <c r="J796" s="46">
        <v>2000</v>
      </c>
      <c r="K796" s="47">
        <v>44159</v>
      </c>
      <c r="L796" s="46">
        <v>10461</v>
      </c>
      <c r="M796" s="46">
        <v>2000</v>
      </c>
    </row>
    <row r="797" spans="2:13" ht="14.1" customHeight="1" x14ac:dyDescent="0.25">
      <c r="B797" s="46" t="str">
        <f t="shared" si="12"/>
        <v>2011-52-107280</v>
      </c>
      <c r="C797" s="47">
        <v>44145</v>
      </c>
      <c r="D797" s="46">
        <v>52</v>
      </c>
      <c r="E797" s="46">
        <v>4000</v>
      </c>
      <c r="F797" s="46">
        <v>107280</v>
      </c>
      <c r="G797" s="48" t="s">
        <v>131</v>
      </c>
      <c r="H797" s="47">
        <v>44151</v>
      </c>
      <c r="I797" s="46">
        <v>50501</v>
      </c>
      <c r="J797" s="46">
        <v>4000</v>
      </c>
      <c r="K797" s="47">
        <v>44159</v>
      </c>
      <c r="L797" s="46">
        <v>10465</v>
      </c>
      <c r="M797" s="46">
        <v>4000</v>
      </c>
    </row>
    <row r="798" spans="2:13" ht="14.1" customHeight="1" x14ac:dyDescent="0.25">
      <c r="B798" s="46" t="str">
        <f t="shared" si="12"/>
        <v>2011-53-303924</v>
      </c>
      <c r="C798" s="47">
        <v>44145</v>
      </c>
      <c r="D798" s="46">
        <v>53</v>
      </c>
      <c r="E798" s="46">
        <v>4</v>
      </c>
      <c r="F798" s="46">
        <v>303924</v>
      </c>
      <c r="G798" s="48" t="s">
        <v>295</v>
      </c>
      <c r="H798" s="47">
        <v>44146</v>
      </c>
      <c r="I798" s="46">
        <v>50428</v>
      </c>
      <c r="J798" s="46">
        <v>4</v>
      </c>
      <c r="K798" s="47">
        <v>44148</v>
      </c>
      <c r="L798" s="46">
        <v>10338</v>
      </c>
      <c r="M798" s="46">
        <v>4</v>
      </c>
    </row>
    <row r="799" spans="2:13" ht="14.1" customHeight="1" x14ac:dyDescent="0.25">
      <c r="B799" s="46" t="str">
        <f t="shared" si="12"/>
        <v>2011-53-315552</v>
      </c>
      <c r="C799" s="47">
        <v>44145</v>
      </c>
      <c r="D799" s="46">
        <v>53</v>
      </c>
      <c r="E799" s="46">
        <v>1</v>
      </c>
      <c r="F799" s="46">
        <v>315552</v>
      </c>
      <c r="G799" s="48" t="s">
        <v>879</v>
      </c>
      <c r="H799" s="47">
        <v>44146</v>
      </c>
      <c r="I799" s="46">
        <v>50425</v>
      </c>
      <c r="J799" s="46">
        <v>1</v>
      </c>
      <c r="K799" s="47">
        <v>44166</v>
      </c>
      <c r="L799" s="46">
        <v>10567</v>
      </c>
      <c r="M799" s="46">
        <v>1</v>
      </c>
    </row>
    <row r="800" spans="2:13" ht="14.1" customHeight="1" x14ac:dyDescent="0.25">
      <c r="B800" s="46" t="str">
        <f t="shared" si="12"/>
        <v>2011-53-304035</v>
      </c>
      <c r="C800" s="47">
        <v>44145</v>
      </c>
      <c r="D800" s="46">
        <v>53</v>
      </c>
      <c r="E800" s="46">
        <v>24</v>
      </c>
      <c r="F800" s="46">
        <v>304035</v>
      </c>
      <c r="G800" s="48" t="s">
        <v>280</v>
      </c>
      <c r="H800" s="47">
        <v>44146</v>
      </c>
      <c r="I800" s="46">
        <v>50426</v>
      </c>
      <c r="J800" s="46">
        <v>24</v>
      </c>
      <c r="K800" s="47">
        <v>44154</v>
      </c>
      <c r="L800" s="46">
        <v>10419</v>
      </c>
      <c r="M800" s="46">
        <v>24</v>
      </c>
    </row>
    <row r="801" spans="2:13" ht="14.1" customHeight="1" x14ac:dyDescent="0.25">
      <c r="B801" s="46" t="str">
        <f t="shared" si="12"/>
        <v>2011-53-300360</v>
      </c>
      <c r="C801" s="47">
        <v>44145</v>
      </c>
      <c r="D801" s="46">
        <v>53</v>
      </c>
      <c r="E801" s="46">
        <v>24</v>
      </c>
      <c r="F801" s="46">
        <v>300360</v>
      </c>
      <c r="G801" s="48" t="s">
        <v>70</v>
      </c>
      <c r="H801" s="47">
        <v>44146</v>
      </c>
      <c r="I801" s="46">
        <v>50426</v>
      </c>
      <c r="J801" s="46">
        <v>24</v>
      </c>
      <c r="K801" s="47">
        <v>44154</v>
      </c>
      <c r="L801" s="46">
        <v>10419</v>
      </c>
      <c r="M801" s="46">
        <v>24</v>
      </c>
    </row>
    <row r="802" spans="2:13" ht="14.1" customHeight="1" x14ac:dyDescent="0.25">
      <c r="B802" s="46" t="str">
        <f t="shared" si="12"/>
        <v>2011-53-205957</v>
      </c>
      <c r="C802" s="47">
        <v>44145</v>
      </c>
      <c r="D802" s="46">
        <v>53</v>
      </c>
      <c r="E802" s="46">
        <v>4</v>
      </c>
      <c r="F802" s="46">
        <v>205957</v>
      </c>
      <c r="G802" s="48" t="s">
        <v>43</v>
      </c>
      <c r="H802" s="47">
        <v>44146</v>
      </c>
      <c r="I802" s="46">
        <v>50428</v>
      </c>
      <c r="J802" s="46">
        <v>4</v>
      </c>
      <c r="K802" s="47">
        <v>44148</v>
      </c>
      <c r="L802" s="46">
        <v>10338</v>
      </c>
      <c r="M802" s="46">
        <v>4</v>
      </c>
    </row>
    <row r="803" spans="2:13" ht="14.1" customHeight="1" x14ac:dyDescent="0.25">
      <c r="B803" s="46" t="str">
        <f t="shared" si="12"/>
        <v>2011-53-300976</v>
      </c>
      <c r="C803" s="47">
        <v>44145</v>
      </c>
      <c r="D803" s="46">
        <v>53</v>
      </c>
      <c r="E803" s="46">
        <v>1</v>
      </c>
      <c r="F803" s="46">
        <v>300976</v>
      </c>
      <c r="G803" s="48" t="s">
        <v>613</v>
      </c>
      <c r="H803" s="47">
        <v>44146</v>
      </c>
      <c r="I803" s="46">
        <v>50428</v>
      </c>
      <c r="J803" s="46">
        <v>1</v>
      </c>
      <c r="K803" s="47">
        <v>44148</v>
      </c>
      <c r="L803" s="46">
        <v>10338</v>
      </c>
      <c r="M803" s="46">
        <v>1</v>
      </c>
    </row>
    <row r="804" spans="2:13" ht="14.1" customHeight="1" x14ac:dyDescent="0.25">
      <c r="B804" s="46" t="str">
        <f t="shared" si="12"/>
        <v>2011-53-304326</v>
      </c>
      <c r="C804" s="47">
        <v>44145</v>
      </c>
      <c r="D804" s="46">
        <v>53</v>
      </c>
      <c r="E804" s="46">
        <v>2</v>
      </c>
      <c r="F804" s="46">
        <v>304326</v>
      </c>
      <c r="G804" s="48" t="s">
        <v>286</v>
      </c>
      <c r="H804" s="47">
        <v>44146</v>
      </c>
      <c r="I804" s="46">
        <v>50428</v>
      </c>
      <c r="J804" s="46">
        <v>2</v>
      </c>
      <c r="K804" s="47">
        <v>44148</v>
      </c>
      <c r="L804" s="46">
        <v>10338</v>
      </c>
      <c r="M804" s="46">
        <v>2</v>
      </c>
    </row>
    <row r="805" spans="2:13" ht="14.1" customHeight="1" x14ac:dyDescent="0.25">
      <c r="B805" s="46" t="str">
        <f t="shared" si="12"/>
        <v>2011-53-304756</v>
      </c>
      <c r="C805" s="47">
        <v>44145</v>
      </c>
      <c r="D805" s="46">
        <v>53</v>
      </c>
      <c r="E805" s="46">
        <v>6</v>
      </c>
      <c r="F805" s="46">
        <v>304756</v>
      </c>
      <c r="G805" s="48" t="s">
        <v>682</v>
      </c>
      <c r="H805" s="47">
        <v>44146</v>
      </c>
      <c r="I805" s="46">
        <v>50423</v>
      </c>
      <c r="J805" s="46">
        <v>6</v>
      </c>
      <c r="K805" s="47">
        <v>44152</v>
      </c>
      <c r="L805" s="46">
        <v>10385</v>
      </c>
      <c r="M805" s="46">
        <v>6</v>
      </c>
    </row>
    <row r="806" spans="2:13" ht="14.1" customHeight="1" x14ac:dyDescent="0.25">
      <c r="B806" s="46" t="str">
        <f t="shared" si="12"/>
        <v>2011-53-302950</v>
      </c>
      <c r="C806" s="47">
        <v>44145</v>
      </c>
      <c r="D806" s="46">
        <v>53</v>
      </c>
      <c r="E806" s="46">
        <v>2</v>
      </c>
      <c r="F806" s="46">
        <v>302950</v>
      </c>
      <c r="G806" s="48" t="s">
        <v>651</v>
      </c>
      <c r="H806" s="47">
        <v>44146</v>
      </c>
      <c r="I806" s="46">
        <v>50428</v>
      </c>
      <c r="J806" s="46">
        <v>2</v>
      </c>
      <c r="K806" s="47">
        <v>44148</v>
      </c>
      <c r="L806" s="46">
        <v>10338</v>
      </c>
      <c r="M806" s="46">
        <v>2</v>
      </c>
    </row>
    <row r="807" spans="2:13" ht="14.1" customHeight="1" x14ac:dyDescent="0.25">
      <c r="B807" s="46" t="str">
        <f t="shared" si="12"/>
        <v>2011-53-205589</v>
      </c>
      <c r="C807" s="47">
        <v>44145</v>
      </c>
      <c r="D807" s="46">
        <v>53</v>
      </c>
      <c r="E807" s="46">
        <v>1</v>
      </c>
      <c r="F807" s="46">
        <v>205589</v>
      </c>
      <c r="G807" s="48" t="s">
        <v>202</v>
      </c>
      <c r="H807" s="47">
        <v>44146</v>
      </c>
      <c r="I807" s="46">
        <v>50428</v>
      </c>
      <c r="J807" s="46">
        <v>1</v>
      </c>
      <c r="K807" s="47">
        <v>44161</v>
      </c>
      <c r="L807" s="46">
        <v>10490</v>
      </c>
      <c r="M807" s="46">
        <v>1</v>
      </c>
    </row>
    <row r="808" spans="2:13" ht="14.1" customHeight="1" x14ac:dyDescent="0.25">
      <c r="B808" s="46" t="str">
        <f t="shared" si="12"/>
        <v>2011-53-317156</v>
      </c>
      <c r="C808" s="47">
        <v>44145</v>
      </c>
      <c r="D808" s="46">
        <v>53</v>
      </c>
      <c r="E808" s="46">
        <v>2</v>
      </c>
      <c r="F808" s="46">
        <v>317156</v>
      </c>
      <c r="G808" s="48" t="s">
        <v>907</v>
      </c>
      <c r="H808" s="47">
        <v>44146</v>
      </c>
      <c r="I808" s="46">
        <v>50425</v>
      </c>
      <c r="J808" s="46">
        <v>2</v>
      </c>
      <c r="K808" s="47">
        <v>44166</v>
      </c>
      <c r="L808" s="46">
        <v>10567</v>
      </c>
      <c r="M808" s="46">
        <v>2</v>
      </c>
    </row>
    <row r="809" spans="2:13" ht="14.1" customHeight="1" x14ac:dyDescent="0.25">
      <c r="B809" s="46" t="str">
        <f t="shared" si="12"/>
        <v>2011-53-201872</v>
      </c>
      <c r="C809" s="47">
        <v>44145</v>
      </c>
      <c r="D809" s="46">
        <v>53</v>
      </c>
      <c r="E809" s="46">
        <v>40</v>
      </c>
      <c r="F809" s="46">
        <v>201872</v>
      </c>
      <c r="G809" s="48" t="s">
        <v>341</v>
      </c>
      <c r="H809" s="47">
        <v>44146</v>
      </c>
      <c r="I809" s="46">
        <v>50426</v>
      </c>
      <c r="J809" s="46">
        <v>40</v>
      </c>
      <c r="K809" s="47">
        <v>44154</v>
      </c>
      <c r="L809" s="46">
        <v>10419</v>
      </c>
      <c r="M809" s="46">
        <v>40</v>
      </c>
    </row>
    <row r="810" spans="2:13" ht="14.1" customHeight="1" x14ac:dyDescent="0.25">
      <c r="B810" s="46" t="str">
        <f t="shared" si="12"/>
        <v>2011-53-202512</v>
      </c>
      <c r="C810" s="47">
        <v>44145</v>
      </c>
      <c r="D810" s="46">
        <v>53</v>
      </c>
      <c r="E810" s="46">
        <v>2</v>
      </c>
      <c r="F810" s="46">
        <v>202512</v>
      </c>
      <c r="G810" s="48" t="s">
        <v>292</v>
      </c>
      <c r="H810" s="47">
        <v>44146</v>
      </c>
      <c r="I810" s="46">
        <v>50424</v>
      </c>
      <c r="J810" s="46">
        <v>2</v>
      </c>
      <c r="K810" s="47">
        <v>44151</v>
      </c>
      <c r="L810" s="46">
        <v>10363</v>
      </c>
      <c r="M810" s="46">
        <v>2</v>
      </c>
    </row>
    <row r="811" spans="2:13" ht="14.1" customHeight="1" x14ac:dyDescent="0.25">
      <c r="B811" s="46" t="str">
        <f t="shared" si="12"/>
        <v>2011-53-319125</v>
      </c>
      <c r="C811" s="47">
        <v>44145</v>
      </c>
      <c r="D811" s="46">
        <v>53</v>
      </c>
      <c r="E811" s="46">
        <v>14</v>
      </c>
      <c r="F811" s="46">
        <v>319125</v>
      </c>
      <c r="G811" s="48" t="s">
        <v>253</v>
      </c>
      <c r="H811" s="47">
        <v>44146</v>
      </c>
      <c r="I811" s="46">
        <v>50422</v>
      </c>
      <c r="J811" s="46">
        <v>14</v>
      </c>
      <c r="K811" s="47">
        <v>44152</v>
      </c>
      <c r="L811" s="46">
        <v>10390</v>
      </c>
      <c r="M811" s="46">
        <v>14</v>
      </c>
    </row>
    <row r="812" spans="2:13" ht="14.1" customHeight="1" x14ac:dyDescent="0.25">
      <c r="B812" s="46" t="str">
        <f t="shared" si="12"/>
        <v>2011-53-319131</v>
      </c>
      <c r="C812" s="47">
        <v>44145</v>
      </c>
      <c r="D812" s="46">
        <v>53</v>
      </c>
      <c r="E812" s="46">
        <v>4</v>
      </c>
      <c r="F812" s="46">
        <v>319131</v>
      </c>
      <c r="G812" s="48" t="s">
        <v>933</v>
      </c>
      <c r="H812" s="47">
        <v>44146</v>
      </c>
      <c r="I812" s="46">
        <v>50427</v>
      </c>
      <c r="J812" s="46">
        <v>4</v>
      </c>
      <c r="K812" s="47">
        <v>44154</v>
      </c>
      <c r="L812" s="46">
        <v>10420</v>
      </c>
      <c r="M812" s="46">
        <v>4</v>
      </c>
    </row>
    <row r="813" spans="2:13" ht="14.1" customHeight="1" x14ac:dyDescent="0.25">
      <c r="B813" s="46" t="str">
        <f t="shared" si="12"/>
        <v>2011-53-303885</v>
      </c>
      <c r="C813" s="47">
        <v>44145</v>
      </c>
      <c r="D813" s="46">
        <v>53</v>
      </c>
      <c r="E813" s="46">
        <v>1</v>
      </c>
      <c r="F813" s="46">
        <v>303885</v>
      </c>
      <c r="G813" s="48" t="s">
        <v>207</v>
      </c>
      <c r="H813" s="47">
        <v>44146</v>
      </c>
      <c r="I813" s="46">
        <v>50427</v>
      </c>
      <c r="J813" s="46">
        <v>1</v>
      </c>
      <c r="K813" s="47">
        <v>44154</v>
      </c>
      <c r="L813" s="46">
        <v>10420</v>
      </c>
      <c r="M813" s="46">
        <v>1</v>
      </c>
    </row>
    <row r="814" spans="2:13" ht="14.1" customHeight="1" x14ac:dyDescent="0.25">
      <c r="B814" s="46" t="str">
        <f t="shared" si="12"/>
        <v>2011-53-105259</v>
      </c>
      <c r="C814" s="47">
        <v>44145</v>
      </c>
      <c r="D814" s="46">
        <v>53</v>
      </c>
      <c r="E814" s="46">
        <v>3</v>
      </c>
      <c r="F814" s="46">
        <v>105259</v>
      </c>
      <c r="G814" s="48" t="s">
        <v>34</v>
      </c>
      <c r="H814" s="47">
        <v>44146</v>
      </c>
      <c r="I814" s="46">
        <v>50429</v>
      </c>
      <c r="J814" s="46">
        <v>3</v>
      </c>
      <c r="K814" s="47">
        <v>44152</v>
      </c>
      <c r="L814" s="46">
        <v>10388</v>
      </c>
      <c r="M814" s="46">
        <v>3</v>
      </c>
    </row>
    <row r="815" spans="2:13" ht="14.1" customHeight="1" x14ac:dyDescent="0.25">
      <c r="B815" s="46" t="str">
        <f t="shared" si="12"/>
        <v>2011-53-307320</v>
      </c>
      <c r="C815" s="47">
        <v>44145</v>
      </c>
      <c r="D815" s="46">
        <v>53</v>
      </c>
      <c r="E815" s="46">
        <v>3</v>
      </c>
      <c r="F815" s="46">
        <v>307320</v>
      </c>
      <c r="G815" s="48" t="s">
        <v>284</v>
      </c>
      <c r="H815" s="47">
        <v>44146</v>
      </c>
      <c r="I815" s="46">
        <v>50428</v>
      </c>
      <c r="J815" s="46">
        <v>3</v>
      </c>
      <c r="K815" s="47">
        <v>44148</v>
      </c>
      <c r="L815" s="46">
        <v>10338</v>
      </c>
      <c r="M815" s="46">
        <v>3</v>
      </c>
    </row>
    <row r="816" spans="2:13" ht="14.1" customHeight="1" x14ac:dyDescent="0.25">
      <c r="B816" s="46" t="str">
        <f t="shared" si="12"/>
        <v>2011-53-200267</v>
      </c>
      <c r="C816" s="47">
        <v>44145</v>
      </c>
      <c r="D816" s="46">
        <v>53</v>
      </c>
      <c r="E816" s="46">
        <v>5</v>
      </c>
      <c r="F816" s="46">
        <v>200267</v>
      </c>
      <c r="G816" s="48" t="s">
        <v>1053</v>
      </c>
      <c r="H816" s="47">
        <v>44146</v>
      </c>
      <c r="I816" s="46">
        <v>50430</v>
      </c>
      <c r="J816" s="46">
        <v>5</v>
      </c>
      <c r="K816" s="47">
        <v>44151</v>
      </c>
      <c r="L816" s="46">
        <v>10364</v>
      </c>
      <c r="M816" s="46">
        <v>5</v>
      </c>
    </row>
    <row r="817" spans="2:13" ht="14.1" customHeight="1" x14ac:dyDescent="0.25">
      <c r="B817" s="46" t="str">
        <f t="shared" si="12"/>
        <v>2011-53-300403</v>
      </c>
      <c r="C817" s="47">
        <v>44145</v>
      </c>
      <c r="D817" s="46">
        <v>53</v>
      </c>
      <c r="E817" s="46">
        <v>1</v>
      </c>
      <c r="F817" s="46">
        <v>300403</v>
      </c>
      <c r="G817" s="48" t="s">
        <v>596</v>
      </c>
      <c r="H817" s="47">
        <v>44146</v>
      </c>
      <c r="I817" s="46">
        <v>50425</v>
      </c>
      <c r="J817" s="46">
        <v>1</v>
      </c>
      <c r="K817" s="47">
        <v>44166</v>
      </c>
      <c r="L817" s="46">
        <v>10567</v>
      </c>
      <c r="M817" s="46">
        <v>1</v>
      </c>
    </row>
    <row r="818" spans="2:13" ht="14.1" customHeight="1" x14ac:dyDescent="0.25">
      <c r="B818" s="46" t="str">
        <f t="shared" si="12"/>
        <v>2011-53-320149</v>
      </c>
      <c r="C818" s="47">
        <v>44145</v>
      </c>
      <c r="D818" s="46">
        <v>53</v>
      </c>
      <c r="E818" s="46">
        <v>10</v>
      </c>
      <c r="F818" s="46">
        <v>320149</v>
      </c>
      <c r="G818" s="48" t="s">
        <v>950</v>
      </c>
      <c r="H818" s="47">
        <v>44146</v>
      </c>
      <c r="I818" s="46">
        <v>50427</v>
      </c>
      <c r="J818" s="46">
        <v>10</v>
      </c>
      <c r="K818" s="47">
        <v>44154</v>
      </c>
      <c r="L818" s="46">
        <v>10420</v>
      </c>
      <c r="M818" s="46">
        <v>10</v>
      </c>
    </row>
    <row r="819" spans="2:13" ht="14.1" customHeight="1" x14ac:dyDescent="0.25">
      <c r="B819" s="46" t="str">
        <f t="shared" si="12"/>
        <v>2011-53-320184</v>
      </c>
      <c r="C819" s="47">
        <v>44145</v>
      </c>
      <c r="D819" s="46">
        <v>53</v>
      </c>
      <c r="E819" s="46">
        <v>2</v>
      </c>
      <c r="F819" s="46">
        <v>320184</v>
      </c>
      <c r="G819" s="48" t="s">
        <v>954</v>
      </c>
      <c r="H819" s="47">
        <v>44146</v>
      </c>
      <c r="I819" s="46">
        <v>50428</v>
      </c>
      <c r="J819" s="46">
        <v>2</v>
      </c>
      <c r="K819" s="47">
        <v>44161</v>
      </c>
      <c r="L819" s="46">
        <v>10490</v>
      </c>
      <c r="M819" s="46">
        <v>2</v>
      </c>
    </row>
    <row r="820" spans="2:13" ht="14.1" customHeight="1" x14ac:dyDescent="0.25">
      <c r="B820" s="46" t="str">
        <f t="shared" si="12"/>
        <v>2011-53-314207</v>
      </c>
      <c r="C820" s="47">
        <v>44145</v>
      </c>
      <c r="D820" s="46">
        <v>53</v>
      </c>
      <c r="E820" s="46">
        <v>1</v>
      </c>
      <c r="F820" s="46">
        <v>314207</v>
      </c>
      <c r="G820" s="48" t="s">
        <v>850</v>
      </c>
      <c r="H820" s="47">
        <v>44146</v>
      </c>
      <c r="I820" s="46">
        <v>50426</v>
      </c>
      <c r="J820" s="46">
        <v>1</v>
      </c>
      <c r="K820" s="47">
        <v>44154</v>
      </c>
      <c r="L820" s="46">
        <v>10419</v>
      </c>
      <c r="M820" s="46">
        <v>1</v>
      </c>
    </row>
    <row r="821" spans="2:13" ht="14.1" customHeight="1" x14ac:dyDescent="0.25">
      <c r="B821" s="46" t="str">
        <f t="shared" si="12"/>
        <v>2011-53-308888</v>
      </c>
      <c r="C821" s="47">
        <v>44145</v>
      </c>
      <c r="D821" s="46">
        <v>53</v>
      </c>
      <c r="E821" s="46">
        <v>24</v>
      </c>
      <c r="F821" s="46">
        <v>308888</v>
      </c>
      <c r="G821" s="48" t="s">
        <v>318</v>
      </c>
      <c r="H821" s="47">
        <v>44146</v>
      </c>
      <c r="I821" s="46">
        <v>50428</v>
      </c>
      <c r="J821" s="46">
        <v>24</v>
      </c>
      <c r="K821" s="47">
        <v>44148</v>
      </c>
      <c r="L821" s="46">
        <v>10338</v>
      </c>
      <c r="M821" s="46">
        <v>24</v>
      </c>
    </row>
    <row r="822" spans="2:13" ht="14.1" customHeight="1" x14ac:dyDescent="0.25">
      <c r="B822" s="46" t="str">
        <f t="shared" si="12"/>
        <v>2011-54-303924</v>
      </c>
      <c r="C822" s="47">
        <v>44145</v>
      </c>
      <c r="D822" s="46">
        <v>54</v>
      </c>
      <c r="E822" s="46">
        <v>2</v>
      </c>
      <c r="F822" s="46">
        <v>303924</v>
      </c>
      <c r="G822" s="48" t="s">
        <v>295</v>
      </c>
      <c r="H822" s="47">
        <v>44146</v>
      </c>
      <c r="I822" s="46">
        <v>50420</v>
      </c>
      <c r="J822" s="46">
        <v>2</v>
      </c>
      <c r="K822" s="47">
        <v>44148</v>
      </c>
      <c r="L822" s="46">
        <v>10337</v>
      </c>
      <c r="M822" s="46">
        <v>2</v>
      </c>
    </row>
    <row r="823" spans="2:13" ht="14.1" customHeight="1" x14ac:dyDescent="0.25">
      <c r="B823" s="46" t="str">
        <f t="shared" si="12"/>
        <v>2011-54-315552</v>
      </c>
      <c r="C823" s="47">
        <v>44145</v>
      </c>
      <c r="D823" s="46">
        <v>54</v>
      </c>
      <c r="E823" s="46">
        <v>1</v>
      </c>
      <c r="F823" s="46">
        <v>315552</v>
      </c>
      <c r="G823" s="48" t="s">
        <v>879</v>
      </c>
      <c r="H823" s="47">
        <v>44146</v>
      </c>
      <c r="I823" s="46">
        <v>50418</v>
      </c>
      <c r="J823" s="46">
        <v>1</v>
      </c>
      <c r="K823" s="47">
        <v>44166</v>
      </c>
      <c r="L823" s="46">
        <v>10568</v>
      </c>
      <c r="M823" s="46">
        <v>1</v>
      </c>
    </row>
    <row r="824" spans="2:13" ht="14.1" customHeight="1" x14ac:dyDescent="0.25">
      <c r="B824" s="46" t="str">
        <f t="shared" si="12"/>
        <v>2011-54-304035</v>
      </c>
      <c r="C824" s="47">
        <v>44145</v>
      </c>
      <c r="D824" s="46">
        <v>54</v>
      </c>
      <c r="E824" s="46">
        <v>12</v>
      </c>
      <c r="F824" s="46">
        <v>304035</v>
      </c>
      <c r="G824" s="48" t="s">
        <v>280</v>
      </c>
      <c r="H824" s="47">
        <v>44146</v>
      </c>
      <c r="I824" s="46">
        <v>50419</v>
      </c>
      <c r="J824" s="46">
        <v>12</v>
      </c>
      <c r="K824" s="47">
        <v>44154</v>
      </c>
      <c r="L824" s="46">
        <v>10422</v>
      </c>
      <c r="M824" s="46">
        <v>12</v>
      </c>
    </row>
    <row r="825" spans="2:13" ht="14.1" customHeight="1" x14ac:dyDescent="0.25">
      <c r="B825" s="46" t="str">
        <f t="shared" si="12"/>
        <v>2011-54-300360</v>
      </c>
      <c r="C825" s="47">
        <v>44145</v>
      </c>
      <c r="D825" s="46">
        <v>54</v>
      </c>
      <c r="E825" s="46">
        <v>12</v>
      </c>
      <c r="F825" s="46">
        <v>300360</v>
      </c>
      <c r="G825" s="50" t="s">
        <v>70</v>
      </c>
      <c r="H825" s="47">
        <v>44146</v>
      </c>
      <c r="I825" s="46">
        <v>50419</v>
      </c>
      <c r="J825" s="46">
        <v>12</v>
      </c>
      <c r="K825" s="47">
        <v>44154</v>
      </c>
      <c r="L825" s="46">
        <v>10422</v>
      </c>
      <c r="M825" s="46">
        <v>12</v>
      </c>
    </row>
    <row r="826" spans="2:13" ht="14.1" customHeight="1" x14ac:dyDescent="0.25">
      <c r="B826" s="46" t="str">
        <f t="shared" si="12"/>
        <v>2011-54-205957</v>
      </c>
      <c r="C826" s="47">
        <v>44145</v>
      </c>
      <c r="D826" s="46">
        <v>54</v>
      </c>
      <c r="E826" s="46">
        <v>2</v>
      </c>
      <c r="F826" s="46">
        <v>205957</v>
      </c>
      <c r="G826" s="48" t="s">
        <v>43</v>
      </c>
      <c r="H826" s="47">
        <v>44146</v>
      </c>
      <c r="I826" s="46">
        <v>50420</v>
      </c>
      <c r="J826" s="46">
        <v>2</v>
      </c>
      <c r="K826" s="47">
        <v>44148</v>
      </c>
      <c r="L826" s="46">
        <v>10337</v>
      </c>
      <c r="M826" s="46">
        <v>2</v>
      </c>
    </row>
    <row r="827" spans="2:13" ht="14.1" customHeight="1" x14ac:dyDescent="0.25">
      <c r="B827" s="46" t="str">
        <f t="shared" si="12"/>
        <v>2011-54-300976</v>
      </c>
      <c r="C827" s="47">
        <v>44145</v>
      </c>
      <c r="D827" s="46">
        <v>54</v>
      </c>
      <c r="E827" s="46">
        <v>1</v>
      </c>
      <c r="F827" s="46">
        <v>300976</v>
      </c>
      <c r="G827" s="48" t="s">
        <v>613</v>
      </c>
      <c r="H827" s="47">
        <v>44146</v>
      </c>
      <c r="I827" s="46">
        <v>50420</v>
      </c>
      <c r="J827" s="46">
        <v>1</v>
      </c>
      <c r="K827" s="47">
        <v>44148</v>
      </c>
      <c r="L827" s="46">
        <v>10337</v>
      </c>
      <c r="M827" s="46">
        <v>1</v>
      </c>
    </row>
    <row r="828" spans="2:13" ht="14.1" customHeight="1" x14ac:dyDescent="0.25">
      <c r="B828" s="46" t="str">
        <f t="shared" si="12"/>
        <v>2011-54-304756</v>
      </c>
      <c r="C828" s="47">
        <v>44145</v>
      </c>
      <c r="D828" s="46">
        <v>54</v>
      </c>
      <c r="E828" s="46">
        <v>1</v>
      </c>
      <c r="F828" s="46">
        <v>304756</v>
      </c>
      <c r="G828" s="48" t="s">
        <v>682</v>
      </c>
      <c r="H828" s="47">
        <v>44146</v>
      </c>
      <c r="I828" s="46">
        <v>50414</v>
      </c>
      <c r="J828" s="46">
        <v>1</v>
      </c>
      <c r="K828" s="47">
        <v>44153</v>
      </c>
      <c r="L828" s="46">
        <v>10400</v>
      </c>
      <c r="M828" s="46">
        <v>1</v>
      </c>
    </row>
    <row r="829" spans="2:13" ht="14.1" customHeight="1" x14ac:dyDescent="0.25">
      <c r="B829" s="46" t="str">
        <f t="shared" si="12"/>
        <v>2011-54-302950</v>
      </c>
      <c r="C829" s="47">
        <v>44145</v>
      </c>
      <c r="D829" s="46">
        <v>54</v>
      </c>
      <c r="E829" s="46">
        <v>1</v>
      </c>
      <c r="F829" s="46">
        <v>302950</v>
      </c>
      <c r="G829" s="48" t="s">
        <v>651</v>
      </c>
      <c r="H829" s="47">
        <v>44146</v>
      </c>
      <c r="I829" s="46">
        <v>50420</v>
      </c>
      <c r="J829" s="46">
        <v>1</v>
      </c>
      <c r="K829" s="47">
        <v>44161</v>
      </c>
      <c r="L829" s="46">
        <v>10487</v>
      </c>
      <c r="M829" s="46">
        <v>1</v>
      </c>
    </row>
    <row r="830" spans="2:13" ht="14.1" customHeight="1" x14ac:dyDescent="0.25">
      <c r="B830" s="46" t="str">
        <f t="shared" si="12"/>
        <v>2011-54-205589</v>
      </c>
      <c r="C830" s="47">
        <v>44145</v>
      </c>
      <c r="D830" s="46">
        <v>54</v>
      </c>
      <c r="E830" s="46">
        <v>1</v>
      </c>
      <c r="F830" s="46">
        <v>205589</v>
      </c>
      <c r="G830" s="48" t="s">
        <v>202</v>
      </c>
      <c r="H830" s="47">
        <v>44146</v>
      </c>
      <c r="I830" s="46">
        <v>50420</v>
      </c>
      <c r="J830" s="46">
        <v>1</v>
      </c>
      <c r="K830" s="47">
        <v>44161</v>
      </c>
      <c r="L830" s="46">
        <v>10492</v>
      </c>
      <c r="M830" s="46">
        <v>1</v>
      </c>
    </row>
    <row r="831" spans="2:13" ht="14.1" customHeight="1" x14ac:dyDescent="0.25">
      <c r="B831" s="46" t="str">
        <f t="shared" si="12"/>
        <v>2011-54-317156</v>
      </c>
      <c r="C831" s="47">
        <v>44145</v>
      </c>
      <c r="D831" s="46">
        <v>54</v>
      </c>
      <c r="E831" s="46">
        <v>1</v>
      </c>
      <c r="F831" s="46">
        <v>317156</v>
      </c>
      <c r="G831" s="48" t="s">
        <v>907</v>
      </c>
      <c r="H831" s="47">
        <v>44146</v>
      </c>
      <c r="I831" s="46">
        <v>50418</v>
      </c>
      <c r="J831" s="46">
        <v>1</v>
      </c>
      <c r="K831" s="47">
        <v>44166</v>
      </c>
      <c r="L831" s="46">
        <v>10564</v>
      </c>
      <c r="M831" s="46">
        <v>1</v>
      </c>
    </row>
    <row r="832" spans="2:13" ht="14.1" customHeight="1" x14ac:dyDescent="0.25">
      <c r="B832" s="46" t="str">
        <f t="shared" si="12"/>
        <v>2011-54-201872</v>
      </c>
      <c r="C832" s="47">
        <v>44145</v>
      </c>
      <c r="D832" s="46">
        <v>54</v>
      </c>
      <c r="E832" s="46">
        <v>30</v>
      </c>
      <c r="F832" s="46">
        <v>201872</v>
      </c>
      <c r="G832" s="48" t="s">
        <v>341</v>
      </c>
      <c r="H832" s="47">
        <v>44146</v>
      </c>
      <c r="I832" s="46">
        <v>50419</v>
      </c>
      <c r="J832" s="46">
        <v>30</v>
      </c>
      <c r="K832" s="47">
        <v>44154</v>
      </c>
      <c r="L832" s="46">
        <v>10422</v>
      </c>
      <c r="M832" s="46">
        <v>30</v>
      </c>
    </row>
    <row r="833" spans="2:13" ht="14.1" customHeight="1" x14ac:dyDescent="0.25">
      <c r="B833" s="46" t="str">
        <f t="shared" si="12"/>
        <v>2011-54-202512</v>
      </c>
      <c r="C833" s="47">
        <v>44145</v>
      </c>
      <c r="D833" s="46">
        <v>54</v>
      </c>
      <c r="E833" s="46">
        <v>1</v>
      </c>
      <c r="F833" s="46">
        <v>202512</v>
      </c>
      <c r="G833" s="48" t="s">
        <v>292</v>
      </c>
      <c r="H833" s="47">
        <v>44146</v>
      </c>
      <c r="I833" s="46">
        <v>50417</v>
      </c>
      <c r="J833" s="46">
        <v>1</v>
      </c>
      <c r="K833" s="47">
        <v>44151</v>
      </c>
      <c r="L833" s="46">
        <v>10357</v>
      </c>
      <c r="M833" s="46">
        <v>1</v>
      </c>
    </row>
    <row r="834" spans="2:13" ht="14.1" customHeight="1" x14ac:dyDescent="0.25">
      <c r="B834" s="46" t="str">
        <f t="shared" si="12"/>
        <v>2011-54-319131</v>
      </c>
      <c r="C834" s="47">
        <v>44145</v>
      </c>
      <c r="D834" s="46">
        <v>54</v>
      </c>
      <c r="E834" s="46">
        <v>2</v>
      </c>
      <c r="F834" s="46">
        <v>319131</v>
      </c>
      <c r="G834" s="48" t="s">
        <v>933</v>
      </c>
      <c r="H834" s="47">
        <v>44146</v>
      </c>
      <c r="I834" s="46">
        <v>50421</v>
      </c>
      <c r="J834" s="46">
        <v>2</v>
      </c>
      <c r="K834" s="47">
        <v>44154</v>
      </c>
      <c r="L834" s="46">
        <v>10421</v>
      </c>
      <c r="M834" s="46">
        <v>2</v>
      </c>
    </row>
    <row r="835" spans="2:13" ht="14.1" customHeight="1" x14ac:dyDescent="0.25">
      <c r="B835" s="46" t="str">
        <f t="shared" si="12"/>
        <v>2011-54-303885</v>
      </c>
      <c r="C835" s="47">
        <v>44145</v>
      </c>
      <c r="D835" s="46">
        <v>54</v>
      </c>
      <c r="E835" s="46">
        <v>1</v>
      </c>
      <c r="F835" s="46">
        <v>303885</v>
      </c>
      <c r="G835" s="48" t="s">
        <v>207</v>
      </c>
      <c r="H835" s="47">
        <v>44146</v>
      </c>
      <c r="I835" s="46">
        <v>50421</v>
      </c>
      <c r="J835" s="46">
        <v>1</v>
      </c>
      <c r="K835" s="47">
        <v>44154</v>
      </c>
      <c r="L835" s="46">
        <v>10421</v>
      </c>
      <c r="M835" s="46">
        <v>1</v>
      </c>
    </row>
    <row r="836" spans="2:13" ht="14.1" customHeight="1" x14ac:dyDescent="0.25">
      <c r="B836" s="46" t="str">
        <f t="shared" si="12"/>
        <v>2011-54-105259</v>
      </c>
      <c r="C836" s="47">
        <v>44145</v>
      </c>
      <c r="D836" s="46">
        <v>54</v>
      </c>
      <c r="E836" s="46">
        <v>2</v>
      </c>
      <c r="F836" s="46">
        <v>105259</v>
      </c>
      <c r="G836" s="48" t="s">
        <v>34</v>
      </c>
      <c r="H836" s="47">
        <v>44146</v>
      </c>
      <c r="I836" s="46">
        <v>50416</v>
      </c>
      <c r="J836" s="46">
        <v>2</v>
      </c>
      <c r="K836" s="47">
        <v>44152</v>
      </c>
      <c r="L836" s="46">
        <v>10389</v>
      </c>
      <c r="M836" s="46">
        <v>2</v>
      </c>
    </row>
    <row r="837" spans="2:13" ht="14.1" customHeight="1" x14ac:dyDescent="0.25">
      <c r="B837" s="46" t="str">
        <f t="shared" si="12"/>
        <v>2011-54-307320</v>
      </c>
      <c r="C837" s="47">
        <v>44145</v>
      </c>
      <c r="D837" s="46">
        <v>54</v>
      </c>
      <c r="E837" s="46">
        <v>2</v>
      </c>
      <c r="F837" s="46">
        <v>307320</v>
      </c>
      <c r="G837" s="48" t="s">
        <v>284</v>
      </c>
      <c r="H837" s="47">
        <v>44146</v>
      </c>
      <c r="I837" s="46">
        <v>50420</v>
      </c>
      <c r="J837" s="46">
        <v>2</v>
      </c>
      <c r="K837" s="47">
        <v>44148</v>
      </c>
      <c r="L837" s="46">
        <v>10337</v>
      </c>
      <c r="M837" s="46">
        <v>2</v>
      </c>
    </row>
    <row r="838" spans="2:13" ht="14.1" customHeight="1" x14ac:dyDescent="0.25">
      <c r="B838" s="46" t="str">
        <f t="shared" si="12"/>
        <v>2011-54-304326</v>
      </c>
      <c r="C838" s="47">
        <v>44145</v>
      </c>
      <c r="D838" s="46">
        <v>54</v>
      </c>
      <c r="E838" s="46">
        <v>1</v>
      </c>
      <c r="F838" s="46">
        <v>304326</v>
      </c>
      <c r="G838" s="48" t="s">
        <v>286</v>
      </c>
      <c r="H838" s="47">
        <v>44146</v>
      </c>
      <c r="I838" s="46">
        <v>50420</v>
      </c>
      <c r="J838" s="46">
        <v>1</v>
      </c>
      <c r="K838" s="47">
        <v>44148</v>
      </c>
      <c r="L838" s="46">
        <v>10337</v>
      </c>
      <c r="M838" s="46">
        <v>1</v>
      </c>
    </row>
    <row r="839" spans="2:13" ht="14.1" customHeight="1" x14ac:dyDescent="0.25">
      <c r="B839" s="46" t="str">
        <f t="shared" si="12"/>
        <v>2011-54-200267</v>
      </c>
      <c r="C839" s="47">
        <v>44145</v>
      </c>
      <c r="D839" s="46">
        <v>54</v>
      </c>
      <c r="E839" s="46">
        <v>3</v>
      </c>
      <c r="F839" s="46">
        <v>200267</v>
      </c>
      <c r="G839" s="48" t="s">
        <v>1053</v>
      </c>
      <c r="H839" s="47">
        <v>44146</v>
      </c>
      <c r="I839" s="46">
        <v>50415</v>
      </c>
      <c r="J839" s="46">
        <v>3</v>
      </c>
      <c r="K839" s="47">
        <v>44151</v>
      </c>
      <c r="L839" s="46">
        <v>10365</v>
      </c>
      <c r="M839" s="46">
        <v>3</v>
      </c>
    </row>
    <row r="840" spans="2:13" ht="14.1" customHeight="1" x14ac:dyDescent="0.25">
      <c r="B840" s="46" t="str">
        <f t="shared" si="12"/>
        <v>2011-54-300403</v>
      </c>
      <c r="C840" s="47">
        <v>44145</v>
      </c>
      <c r="D840" s="46">
        <v>54</v>
      </c>
      <c r="E840" s="46">
        <v>0.5</v>
      </c>
      <c r="F840" s="46">
        <v>300403</v>
      </c>
      <c r="G840" s="48" t="s">
        <v>596</v>
      </c>
      <c r="H840" s="47">
        <v>44146</v>
      </c>
      <c r="I840" s="46">
        <v>50418</v>
      </c>
      <c r="J840" s="46">
        <v>0.5</v>
      </c>
      <c r="K840" s="47">
        <v>44166</v>
      </c>
      <c r="L840" s="46">
        <v>10568</v>
      </c>
      <c r="M840" s="46">
        <v>0.5</v>
      </c>
    </row>
    <row r="841" spans="2:13" ht="14.1" customHeight="1" x14ac:dyDescent="0.25">
      <c r="B841" s="46" t="str">
        <f t="shared" si="12"/>
        <v>2011-54-320149</v>
      </c>
      <c r="C841" s="47">
        <v>44145</v>
      </c>
      <c r="D841" s="46">
        <v>54</v>
      </c>
      <c r="E841" s="46">
        <v>5</v>
      </c>
      <c r="F841" s="46">
        <v>320149</v>
      </c>
      <c r="G841" s="48" t="s">
        <v>950</v>
      </c>
      <c r="H841" s="47">
        <v>44146</v>
      </c>
      <c r="I841" s="46">
        <v>50421</v>
      </c>
      <c r="J841" s="46">
        <v>5</v>
      </c>
      <c r="K841" s="47">
        <v>44154</v>
      </c>
      <c r="L841" s="46">
        <v>10421</v>
      </c>
      <c r="M841" s="46">
        <v>5</v>
      </c>
    </row>
    <row r="842" spans="2:13" ht="14.1" customHeight="1" x14ac:dyDescent="0.25">
      <c r="B842" s="46" t="str">
        <f t="shared" si="12"/>
        <v>2011-54-320184</v>
      </c>
      <c r="C842" s="47">
        <v>44145</v>
      </c>
      <c r="D842" s="46">
        <v>54</v>
      </c>
      <c r="E842" s="46">
        <v>1</v>
      </c>
      <c r="F842" s="46">
        <v>320184</v>
      </c>
      <c r="G842" s="48" t="s">
        <v>954</v>
      </c>
      <c r="H842" s="47">
        <v>44146</v>
      </c>
      <c r="I842" s="46">
        <v>50420</v>
      </c>
      <c r="J842" s="46">
        <v>1</v>
      </c>
      <c r="K842" s="47">
        <v>44161</v>
      </c>
      <c r="L842" s="46">
        <v>10492</v>
      </c>
      <c r="M842" s="46">
        <v>1</v>
      </c>
    </row>
    <row r="843" spans="2:13" ht="14.1" customHeight="1" x14ac:dyDescent="0.25">
      <c r="B843" s="46" t="str">
        <f t="shared" si="12"/>
        <v>2011-54-314207</v>
      </c>
      <c r="C843" s="47">
        <v>44145</v>
      </c>
      <c r="D843" s="46">
        <v>54</v>
      </c>
      <c r="E843" s="46">
        <v>1</v>
      </c>
      <c r="F843" s="46">
        <v>314207</v>
      </c>
      <c r="G843" s="48" t="s">
        <v>850</v>
      </c>
      <c r="H843" s="47">
        <v>44146</v>
      </c>
      <c r="I843" s="46">
        <v>50419</v>
      </c>
      <c r="J843" s="46">
        <v>1</v>
      </c>
      <c r="K843" s="47">
        <v>44154</v>
      </c>
      <c r="L843" s="46">
        <v>10422</v>
      </c>
      <c r="M843" s="46">
        <v>1</v>
      </c>
    </row>
    <row r="844" spans="2:13" ht="14.1" customHeight="1" x14ac:dyDescent="0.25">
      <c r="B844" s="46" t="str">
        <f t="shared" ref="B844:B907" si="13">TEXT(C844,"yy") &amp; TEXT(C844,"mm") &amp;"-"&amp;(D844) &amp;"-"&amp;(F844)</f>
        <v>2011-54-308888</v>
      </c>
      <c r="C844" s="47">
        <v>44145</v>
      </c>
      <c r="D844" s="46">
        <v>54</v>
      </c>
      <c r="E844" s="46">
        <v>19</v>
      </c>
      <c r="F844" s="46">
        <v>308888</v>
      </c>
      <c r="G844" s="48" t="s">
        <v>318</v>
      </c>
      <c r="H844" s="47">
        <v>44146</v>
      </c>
      <c r="I844" s="46">
        <v>50420</v>
      </c>
      <c r="J844" s="46">
        <v>19</v>
      </c>
      <c r="K844" s="47">
        <v>44148</v>
      </c>
      <c r="L844" s="46">
        <v>10337</v>
      </c>
      <c r="M844" s="46">
        <v>19</v>
      </c>
    </row>
    <row r="845" spans="2:13" ht="14.1" customHeight="1" x14ac:dyDescent="0.25">
      <c r="B845" s="46" t="str">
        <f t="shared" si="13"/>
        <v>2011-55-105913</v>
      </c>
      <c r="C845" s="47">
        <v>44145</v>
      </c>
      <c r="D845" s="46">
        <v>55</v>
      </c>
      <c r="E845" s="46">
        <v>7</v>
      </c>
      <c r="F845" s="46">
        <v>105913</v>
      </c>
      <c r="G845" s="48" t="s">
        <v>444</v>
      </c>
      <c r="H845" s="47">
        <v>44147</v>
      </c>
      <c r="I845" s="46">
        <v>50434</v>
      </c>
      <c r="J845" s="46">
        <v>7</v>
      </c>
      <c r="K845" s="47">
        <v>44148</v>
      </c>
      <c r="L845" s="46">
        <v>10339</v>
      </c>
      <c r="M845" s="46">
        <v>7</v>
      </c>
    </row>
    <row r="846" spans="2:13" ht="14.1" customHeight="1" x14ac:dyDescent="0.25">
      <c r="B846" s="46" t="str">
        <f t="shared" si="13"/>
        <v>2011-55-319532</v>
      </c>
      <c r="C846" s="47">
        <v>44145</v>
      </c>
      <c r="D846" s="46">
        <v>55</v>
      </c>
      <c r="E846" s="46">
        <v>10</v>
      </c>
      <c r="F846" s="46">
        <v>319532</v>
      </c>
      <c r="G846" s="48" t="s">
        <v>897</v>
      </c>
      <c r="H846" s="47">
        <v>44147</v>
      </c>
      <c r="I846" s="46">
        <v>50434</v>
      </c>
      <c r="J846" s="46">
        <v>10</v>
      </c>
      <c r="K846" s="47">
        <v>44148</v>
      </c>
      <c r="L846" s="46">
        <v>10339</v>
      </c>
      <c r="M846" s="46">
        <v>10</v>
      </c>
    </row>
    <row r="847" spans="2:13" ht="14.1" customHeight="1" x14ac:dyDescent="0.25">
      <c r="B847" s="46" t="str">
        <f t="shared" si="13"/>
        <v>2011-55-316167</v>
      </c>
      <c r="C847" s="47">
        <v>44145</v>
      </c>
      <c r="D847" s="46">
        <v>55</v>
      </c>
      <c r="E847" s="46">
        <v>2</v>
      </c>
      <c r="F847" s="46">
        <v>316167</v>
      </c>
      <c r="G847" s="48" t="s">
        <v>200</v>
      </c>
      <c r="H847" s="47">
        <v>44147</v>
      </c>
      <c r="I847" s="46">
        <v>50431</v>
      </c>
      <c r="J847" s="46">
        <v>2</v>
      </c>
      <c r="K847" s="47">
        <v>44152</v>
      </c>
      <c r="L847" s="46">
        <v>10386</v>
      </c>
      <c r="M847" s="46">
        <v>2</v>
      </c>
    </row>
    <row r="848" spans="2:13" ht="14.1" customHeight="1" x14ac:dyDescent="0.25">
      <c r="B848" s="46" t="str">
        <f t="shared" si="13"/>
        <v>2011-55-320363</v>
      </c>
      <c r="C848" s="47">
        <v>44145</v>
      </c>
      <c r="D848" s="46">
        <v>55</v>
      </c>
      <c r="E848" s="46">
        <v>8</v>
      </c>
      <c r="F848" s="46">
        <v>320363</v>
      </c>
      <c r="G848" s="48" t="s">
        <v>1051</v>
      </c>
      <c r="H848" s="47">
        <v>44147</v>
      </c>
      <c r="I848" s="46">
        <v>50433</v>
      </c>
      <c r="J848" s="46">
        <v>8</v>
      </c>
      <c r="K848" s="47">
        <v>44154</v>
      </c>
      <c r="L848" s="46">
        <v>10417</v>
      </c>
      <c r="M848" s="46">
        <v>8</v>
      </c>
    </row>
    <row r="849" spans="2:13" ht="14.1" customHeight="1" x14ac:dyDescent="0.25">
      <c r="B849" s="46" t="str">
        <f t="shared" si="13"/>
        <v>2011-55-200267</v>
      </c>
      <c r="C849" s="47">
        <v>44145</v>
      </c>
      <c r="D849" s="46">
        <v>55</v>
      </c>
      <c r="E849" s="46">
        <v>12</v>
      </c>
      <c r="F849" s="46">
        <v>200267</v>
      </c>
      <c r="G849" s="48" t="s">
        <v>1053</v>
      </c>
      <c r="H849" s="47">
        <v>44147</v>
      </c>
      <c r="I849" s="46">
        <v>50435</v>
      </c>
      <c r="J849" s="46">
        <v>12</v>
      </c>
      <c r="K849" s="47">
        <v>44151</v>
      </c>
      <c r="L849" s="46">
        <v>10366</v>
      </c>
      <c r="M849" s="46">
        <v>12</v>
      </c>
    </row>
    <row r="850" spans="2:13" ht="14.1" customHeight="1" x14ac:dyDescent="0.25">
      <c r="B850" s="46" t="str">
        <f t="shared" si="13"/>
        <v>2011-55-312720</v>
      </c>
      <c r="C850" s="47">
        <v>44145</v>
      </c>
      <c r="D850" s="46">
        <v>55</v>
      </c>
      <c r="E850" s="46">
        <v>4</v>
      </c>
      <c r="F850" s="46">
        <v>312720</v>
      </c>
      <c r="G850" s="48" t="s">
        <v>296</v>
      </c>
      <c r="H850" s="47">
        <v>44147</v>
      </c>
      <c r="I850" s="46">
        <v>50432</v>
      </c>
      <c r="J850" s="46">
        <v>4</v>
      </c>
      <c r="K850" s="47">
        <v>44154</v>
      </c>
      <c r="L850" s="46">
        <v>10423</v>
      </c>
      <c r="M850" s="46">
        <v>4</v>
      </c>
    </row>
    <row r="851" spans="2:13" ht="14.1" customHeight="1" x14ac:dyDescent="0.25">
      <c r="B851" s="46" t="str">
        <f t="shared" si="13"/>
        <v>2011-55-315078</v>
      </c>
      <c r="C851" s="47">
        <v>44145</v>
      </c>
      <c r="D851" s="46">
        <v>55</v>
      </c>
      <c r="E851" s="46">
        <v>2</v>
      </c>
      <c r="F851" s="46">
        <v>315078</v>
      </c>
      <c r="G851" s="48" t="s">
        <v>1058</v>
      </c>
      <c r="H851" s="47">
        <v>44147</v>
      </c>
      <c r="I851" s="46">
        <v>50433</v>
      </c>
      <c r="J851" s="46">
        <v>2</v>
      </c>
      <c r="K851" s="47">
        <v>44154</v>
      </c>
      <c r="L851" s="46">
        <v>10418</v>
      </c>
      <c r="M851" s="46">
        <v>2</v>
      </c>
    </row>
    <row r="852" spans="2:13" ht="14.1" customHeight="1" x14ac:dyDescent="0.25">
      <c r="B852" s="46" t="str">
        <f t="shared" si="13"/>
        <v>2011-55-320149</v>
      </c>
      <c r="C852" s="47">
        <v>44145</v>
      </c>
      <c r="D852" s="46">
        <v>55</v>
      </c>
      <c r="E852" s="46">
        <v>12</v>
      </c>
      <c r="F852" s="46">
        <v>320149</v>
      </c>
      <c r="G852" s="48" t="s">
        <v>950</v>
      </c>
      <c r="H852" s="47">
        <v>44147</v>
      </c>
      <c r="I852" s="46">
        <v>50432</v>
      </c>
      <c r="J852" s="46">
        <v>12</v>
      </c>
      <c r="K852" s="47">
        <v>44154</v>
      </c>
      <c r="L852" s="46">
        <v>10423</v>
      </c>
      <c r="M852" s="46">
        <v>12</v>
      </c>
    </row>
    <row r="853" spans="2:13" ht="14.1" customHeight="1" x14ac:dyDescent="0.25">
      <c r="B853" s="46" t="str">
        <f t="shared" si="13"/>
        <v>2011-59-319608</v>
      </c>
      <c r="C853" s="47">
        <v>44146</v>
      </c>
      <c r="D853" s="46">
        <v>59</v>
      </c>
      <c r="E853" s="46">
        <v>150</v>
      </c>
      <c r="F853" s="46">
        <v>319608</v>
      </c>
      <c r="G853" s="48" t="s">
        <v>230</v>
      </c>
      <c r="H853" s="47">
        <v>44148</v>
      </c>
      <c r="I853" s="46">
        <v>50484</v>
      </c>
      <c r="J853" s="46">
        <v>150</v>
      </c>
      <c r="K853" s="47">
        <v>44154</v>
      </c>
      <c r="L853" s="46">
        <v>10408</v>
      </c>
      <c r="M853" s="46">
        <v>150</v>
      </c>
    </row>
    <row r="854" spans="2:13" ht="14.1" customHeight="1" x14ac:dyDescent="0.25">
      <c r="B854" s="46" t="str">
        <f t="shared" si="13"/>
        <v>2011-60-310695</v>
      </c>
      <c r="C854" s="47">
        <v>44146</v>
      </c>
      <c r="D854" s="46">
        <v>60</v>
      </c>
      <c r="E854" s="46">
        <v>2</v>
      </c>
      <c r="F854" s="46">
        <v>310695</v>
      </c>
      <c r="G854" s="48" t="s">
        <v>777</v>
      </c>
      <c r="H854" s="47">
        <v>44147</v>
      </c>
      <c r="I854" s="46">
        <v>50436</v>
      </c>
      <c r="J854" s="46">
        <v>2</v>
      </c>
      <c r="K854" s="47">
        <v>44151</v>
      </c>
      <c r="L854" s="46">
        <v>10361</v>
      </c>
      <c r="M854" s="46">
        <v>2</v>
      </c>
    </row>
    <row r="855" spans="2:13" ht="14.1" customHeight="1" x14ac:dyDescent="0.25">
      <c r="B855" s="46" t="str">
        <f t="shared" si="13"/>
        <v>2011-60-310692</v>
      </c>
      <c r="C855" s="47">
        <v>44146</v>
      </c>
      <c r="D855" s="46">
        <v>60</v>
      </c>
      <c r="E855" s="46">
        <v>2</v>
      </c>
      <c r="F855" s="46">
        <v>310692</v>
      </c>
      <c r="G855" s="50" t="s">
        <v>774</v>
      </c>
      <c r="H855" s="47">
        <v>44147</v>
      </c>
      <c r="I855" s="46">
        <v>50436</v>
      </c>
      <c r="J855" s="46">
        <v>2</v>
      </c>
      <c r="K855" s="47">
        <v>44151</v>
      </c>
      <c r="L855" s="46">
        <v>10361</v>
      </c>
      <c r="M855" s="46">
        <v>2</v>
      </c>
    </row>
    <row r="856" spans="2:13" ht="14.1" customHeight="1" x14ac:dyDescent="0.25">
      <c r="B856" s="46" t="str">
        <f t="shared" si="13"/>
        <v>2011-60-310693</v>
      </c>
      <c r="C856" s="47">
        <v>44146</v>
      </c>
      <c r="D856" s="46">
        <v>60</v>
      </c>
      <c r="E856" s="46">
        <v>2</v>
      </c>
      <c r="F856" s="46">
        <v>310693</v>
      </c>
      <c r="G856" s="48" t="s">
        <v>775</v>
      </c>
      <c r="H856" s="47">
        <v>44147</v>
      </c>
      <c r="I856" s="46">
        <v>50436</v>
      </c>
      <c r="J856" s="46">
        <v>2</v>
      </c>
      <c r="K856" s="47">
        <v>44151</v>
      </c>
      <c r="L856" s="46">
        <v>10361</v>
      </c>
      <c r="M856" s="46">
        <v>2</v>
      </c>
    </row>
    <row r="857" spans="2:13" ht="14.1" customHeight="1" x14ac:dyDescent="0.25">
      <c r="B857" s="46" t="str">
        <f t="shared" si="13"/>
        <v>2011-60-310694</v>
      </c>
      <c r="C857" s="47">
        <v>44146</v>
      </c>
      <c r="D857" s="46">
        <v>60</v>
      </c>
      <c r="E857" s="46">
        <v>1</v>
      </c>
      <c r="F857" s="46">
        <v>310694</v>
      </c>
      <c r="G857" s="48" t="s">
        <v>776</v>
      </c>
      <c r="H857" s="47">
        <v>44147</v>
      </c>
      <c r="I857" s="46">
        <v>50436</v>
      </c>
      <c r="J857" s="46">
        <v>1</v>
      </c>
      <c r="K857" s="47">
        <v>44151</v>
      </c>
      <c r="L857" s="46">
        <v>10361</v>
      </c>
      <c r="M857" s="46">
        <v>1</v>
      </c>
    </row>
    <row r="858" spans="2:13" ht="14.1" customHeight="1" x14ac:dyDescent="0.25">
      <c r="B858" s="46" t="str">
        <f t="shared" si="13"/>
        <v>2011-61-308212</v>
      </c>
      <c r="C858" s="47">
        <v>44147</v>
      </c>
      <c r="D858" s="46">
        <v>61</v>
      </c>
      <c r="E858" s="46">
        <v>2</v>
      </c>
      <c r="F858" s="46">
        <v>308212</v>
      </c>
      <c r="G858" s="48" t="s">
        <v>739</v>
      </c>
      <c r="H858" s="47">
        <v>44151</v>
      </c>
      <c r="I858" s="46">
        <v>50499</v>
      </c>
      <c r="J858" s="46">
        <v>2</v>
      </c>
      <c r="K858" s="47">
        <v>44154</v>
      </c>
      <c r="L858" s="46">
        <v>10413</v>
      </c>
      <c r="M858" s="46">
        <v>2</v>
      </c>
    </row>
    <row r="859" spans="2:13" ht="14.1" customHeight="1" x14ac:dyDescent="0.25">
      <c r="B859" s="46" t="str">
        <f t="shared" si="13"/>
        <v>2011-61-314832</v>
      </c>
      <c r="C859" s="47">
        <v>44147</v>
      </c>
      <c r="D859" s="46">
        <v>61</v>
      </c>
      <c r="E859" s="46">
        <v>2</v>
      </c>
      <c r="F859" s="46">
        <v>314832</v>
      </c>
      <c r="G859" s="48" t="s">
        <v>862</v>
      </c>
      <c r="H859" s="47">
        <v>44151</v>
      </c>
      <c r="I859" s="46">
        <v>50499</v>
      </c>
      <c r="J859" s="46">
        <v>2</v>
      </c>
      <c r="K859" s="47">
        <v>44154</v>
      </c>
      <c r="L859" s="46">
        <v>10413</v>
      </c>
      <c r="M859" s="46">
        <v>2</v>
      </c>
    </row>
    <row r="860" spans="2:13" ht="14.1" customHeight="1" x14ac:dyDescent="0.25">
      <c r="B860" s="46" t="str">
        <f t="shared" si="13"/>
        <v>2011-61-203234</v>
      </c>
      <c r="C860" s="47">
        <v>44147</v>
      </c>
      <c r="D860" s="46">
        <v>61</v>
      </c>
      <c r="E860" s="46">
        <v>6</v>
      </c>
      <c r="F860" s="46">
        <v>203234</v>
      </c>
      <c r="G860" s="48" t="s">
        <v>509</v>
      </c>
      <c r="H860" s="47">
        <v>44151</v>
      </c>
      <c r="I860" s="46">
        <v>50499</v>
      </c>
      <c r="J860" s="46">
        <v>6</v>
      </c>
      <c r="K860" s="47">
        <v>44154</v>
      </c>
      <c r="L860" s="46">
        <v>10413</v>
      </c>
      <c r="M860" s="46">
        <v>6</v>
      </c>
    </row>
    <row r="861" spans="2:13" ht="14.1" customHeight="1" x14ac:dyDescent="0.25">
      <c r="B861" s="46" t="str">
        <f t="shared" si="13"/>
        <v>2011-61-203236</v>
      </c>
      <c r="C861" s="47">
        <v>44147</v>
      </c>
      <c r="D861" s="46">
        <v>61</v>
      </c>
      <c r="E861" s="46">
        <v>5</v>
      </c>
      <c r="F861" s="46">
        <v>203236</v>
      </c>
      <c r="G861" s="48" t="s">
        <v>511</v>
      </c>
      <c r="H861" s="47">
        <v>44151</v>
      </c>
      <c r="I861" s="46">
        <v>50499</v>
      </c>
      <c r="J861" s="46">
        <v>5</v>
      </c>
      <c r="K861" s="47">
        <v>44154</v>
      </c>
      <c r="L861" s="46">
        <v>10413</v>
      </c>
      <c r="M861" s="46">
        <v>5</v>
      </c>
    </row>
    <row r="862" spans="2:13" ht="14.1" customHeight="1" x14ac:dyDescent="0.25">
      <c r="B862" s="46" t="str">
        <f t="shared" si="13"/>
        <v>2011-61-314053</v>
      </c>
      <c r="C862" s="47">
        <v>44147</v>
      </c>
      <c r="D862" s="46">
        <v>61</v>
      </c>
      <c r="E862" s="46">
        <v>12</v>
      </c>
      <c r="F862" s="46">
        <v>314053</v>
      </c>
      <c r="G862" s="48" t="s">
        <v>847</v>
      </c>
      <c r="H862" s="47">
        <v>44151</v>
      </c>
      <c r="I862" s="46">
        <v>50499</v>
      </c>
      <c r="J862" s="46">
        <v>12</v>
      </c>
      <c r="K862" s="47">
        <v>44154</v>
      </c>
      <c r="L862" s="46">
        <v>10413</v>
      </c>
      <c r="M862" s="46">
        <v>12</v>
      </c>
    </row>
    <row r="863" spans="2:13" ht="14.1" customHeight="1" x14ac:dyDescent="0.25">
      <c r="B863" s="46" t="str">
        <f t="shared" si="13"/>
        <v>2011-61-203971</v>
      </c>
      <c r="C863" s="47">
        <v>44147</v>
      </c>
      <c r="D863" s="46">
        <v>61</v>
      </c>
      <c r="E863" s="46">
        <v>140</v>
      </c>
      <c r="F863" s="46">
        <v>203971</v>
      </c>
      <c r="G863" s="48" t="s">
        <v>520</v>
      </c>
      <c r="H863" s="47">
        <v>44151</v>
      </c>
      <c r="I863" s="46">
        <v>50499</v>
      </c>
      <c r="J863" s="46">
        <v>140</v>
      </c>
      <c r="K863" s="47">
        <v>44154</v>
      </c>
      <c r="L863" s="46">
        <v>10415</v>
      </c>
      <c r="M863" s="46">
        <v>140</v>
      </c>
    </row>
    <row r="864" spans="2:13" ht="14.1" customHeight="1" x14ac:dyDescent="0.25">
      <c r="B864" s="46" t="str">
        <f t="shared" si="13"/>
        <v>2011-61-312353</v>
      </c>
      <c r="C864" s="47">
        <v>44147</v>
      </c>
      <c r="D864" s="46">
        <v>61</v>
      </c>
      <c r="E864" s="46">
        <v>2</v>
      </c>
      <c r="F864" s="46">
        <v>312353</v>
      </c>
      <c r="G864" s="48" t="s">
        <v>808</v>
      </c>
      <c r="H864" s="47">
        <v>44151</v>
      </c>
      <c r="I864" s="46">
        <v>50499</v>
      </c>
      <c r="J864" s="46">
        <v>2</v>
      </c>
      <c r="K864" s="47">
        <v>44154</v>
      </c>
      <c r="L864" s="46">
        <v>10413</v>
      </c>
      <c r="M864" s="46">
        <v>2</v>
      </c>
    </row>
    <row r="865" spans="2:13" ht="14.1" customHeight="1" x14ac:dyDescent="0.25">
      <c r="B865" s="46" t="str">
        <f t="shared" si="13"/>
        <v>2011-61-302339</v>
      </c>
      <c r="C865" s="47">
        <v>44147</v>
      </c>
      <c r="D865" s="46">
        <v>61</v>
      </c>
      <c r="E865" s="46">
        <v>1</v>
      </c>
      <c r="F865" s="46">
        <v>302339</v>
      </c>
      <c r="G865" s="48" t="s">
        <v>363</v>
      </c>
      <c r="H865" s="47">
        <v>44151</v>
      </c>
      <c r="I865" s="46">
        <v>50499</v>
      </c>
      <c r="J865" s="46">
        <v>1</v>
      </c>
      <c r="K865" s="47">
        <v>44158</v>
      </c>
      <c r="L865" s="46">
        <v>10459</v>
      </c>
      <c r="M865" s="46">
        <v>1</v>
      </c>
    </row>
    <row r="866" spans="2:13" ht="14.1" customHeight="1" x14ac:dyDescent="0.25">
      <c r="B866" s="46" t="str">
        <f t="shared" si="13"/>
        <v>2011-61-203372</v>
      </c>
      <c r="C866" s="47">
        <v>44147</v>
      </c>
      <c r="D866" s="46">
        <v>61</v>
      </c>
      <c r="E866" s="46">
        <v>80</v>
      </c>
      <c r="F866" s="46">
        <v>203372</v>
      </c>
      <c r="G866" s="48" t="s">
        <v>101</v>
      </c>
      <c r="H866" s="47">
        <v>44151</v>
      </c>
      <c r="I866" s="46">
        <v>50499</v>
      </c>
      <c r="J866" s="46">
        <v>80</v>
      </c>
      <c r="K866" s="47">
        <v>44154</v>
      </c>
      <c r="L866" s="46">
        <v>10415</v>
      </c>
      <c r="M866" s="46">
        <v>80</v>
      </c>
    </row>
    <row r="867" spans="2:13" ht="14.1" customHeight="1" x14ac:dyDescent="0.25">
      <c r="B867" s="46" t="str">
        <f t="shared" si="13"/>
        <v>2011-61-203232</v>
      </c>
      <c r="C867" s="47">
        <v>44147</v>
      </c>
      <c r="D867" s="46">
        <v>61</v>
      </c>
      <c r="E867" s="46">
        <v>12</v>
      </c>
      <c r="F867" s="46">
        <v>203232</v>
      </c>
      <c r="G867" s="48" t="s">
        <v>508</v>
      </c>
      <c r="H867" s="47">
        <v>44151</v>
      </c>
      <c r="I867" s="46">
        <v>50499</v>
      </c>
      <c r="J867" s="46">
        <v>12</v>
      </c>
      <c r="K867" s="47">
        <v>44154</v>
      </c>
      <c r="L867" s="46">
        <v>10413</v>
      </c>
      <c r="M867" s="46">
        <v>12</v>
      </c>
    </row>
    <row r="868" spans="2:13" ht="14.1" customHeight="1" x14ac:dyDescent="0.25">
      <c r="B868" s="46" t="str">
        <f t="shared" si="13"/>
        <v>2011-62-202690</v>
      </c>
      <c r="C868" s="47">
        <v>44147</v>
      </c>
      <c r="D868" s="46">
        <v>62</v>
      </c>
      <c r="E868" s="46">
        <v>4</v>
      </c>
      <c r="F868" s="46">
        <v>202690</v>
      </c>
      <c r="G868" s="48" t="s">
        <v>323</v>
      </c>
      <c r="H868" s="47">
        <v>44151</v>
      </c>
      <c r="I868" s="46">
        <v>50499</v>
      </c>
      <c r="J868" s="46">
        <v>4</v>
      </c>
      <c r="K868" s="47">
        <v>44154</v>
      </c>
      <c r="L868" s="46">
        <v>10414</v>
      </c>
      <c r="M868" s="46">
        <v>4</v>
      </c>
    </row>
    <row r="869" spans="2:13" ht="14.1" customHeight="1" x14ac:dyDescent="0.25">
      <c r="B869" s="46" t="str">
        <f t="shared" si="13"/>
        <v>2011-62-203972</v>
      </c>
      <c r="C869" s="47">
        <v>44147</v>
      </c>
      <c r="D869" s="46">
        <v>62</v>
      </c>
      <c r="E869" s="46">
        <v>8</v>
      </c>
      <c r="F869" s="46">
        <v>203972</v>
      </c>
      <c r="G869" s="48" t="s">
        <v>325</v>
      </c>
      <c r="H869" s="47">
        <v>44151</v>
      </c>
      <c r="I869" s="46">
        <v>50499</v>
      </c>
      <c r="J869" s="46">
        <v>8</v>
      </c>
      <c r="K869" s="47">
        <v>44158</v>
      </c>
      <c r="L869" s="46">
        <v>10458</v>
      </c>
      <c r="M869" s="46">
        <v>8</v>
      </c>
    </row>
    <row r="870" spans="2:13" ht="14.1" customHeight="1" x14ac:dyDescent="0.25">
      <c r="B870" s="46" t="str">
        <f t="shared" si="13"/>
        <v>2011-62-204416</v>
      </c>
      <c r="C870" s="47">
        <v>44147</v>
      </c>
      <c r="D870" s="46">
        <v>62</v>
      </c>
      <c r="E870" s="46">
        <v>16</v>
      </c>
      <c r="F870" s="46">
        <v>204416</v>
      </c>
      <c r="G870" s="48" t="s">
        <v>322</v>
      </c>
      <c r="H870" s="47">
        <v>44151</v>
      </c>
      <c r="I870" s="46">
        <v>50499</v>
      </c>
      <c r="J870" s="46">
        <v>16</v>
      </c>
      <c r="K870" s="47">
        <v>44154</v>
      </c>
      <c r="L870" s="46">
        <v>10414</v>
      </c>
      <c r="M870" s="46">
        <v>16</v>
      </c>
    </row>
    <row r="871" spans="2:13" ht="14.1" customHeight="1" x14ac:dyDescent="0.25">
      <c r="B871" s="46" t="str">
        <f t="shared" si="13"/>
        <v>2011-62-203230</v>
      </c>
      <c r="C871" s="47">
        <v>44147</v>
      </c>
      <c r="D871" s="46">
        <v>62</v>
      </c>
      <c r="E871" s="46">
        <v>12</v>
      </c>
      <c r="F871" s="46">
        <v>203230</v>
      </c>
      <c r="G871" s="48" t="s">
        <v>506</v>
      </c>
      <c r="H871" s="47">
        <v>44151</v>
      </c>
      <c r="I871" s="46">
        <v>50499</v>
      </c>
      <c r="J871" s="46">
        <v>12</v>
      </c>
      <c r="K871" s="47">
        <v>44154</v>
      </c>
      <c r="L871" s="46">
        <v>10414</v>
      </c>
      <c r="M871" s="46">
        <v>12</v>
      </c>
    </row>
    <row r="872" spans="2:13" ht="14.1" customHeight="1" x14ac:dyDescent="0.25">
      <c r="B872" s="46" t="str">
        <f t="shared" si="13"/>
        <v>2011-63-307031</v>
      </c>
      <c r="C872" s="47">
        <v>44147</v>
      </c>
      <c r="D872" s="46">
        <v>63</v>
      </c>
      <c r="E872" s="46">
        <v>2</v>
      </c>
      <c r="F872" s="46">
        <v>307031</v>
      </c>
      <c r="G872" s="48" t="s">
        <v>263</v>
      </c>
      <c r="H872" s="47">
        <v>44148</v>
      </c>
      <c r="I872" s="46">
        <v>50491</v>
      </c>
      <c r="J872" s="46">
        <v>2</v>
      </c>
      <c r="K872" s="47">
        <v>44151</v>
      </c>
      <c r="L872" s="46">
        <v>10354</v>
      </c>
      <c r="M872" s="46">
        <v>2</v>
      </c>
    </row>
    <row r="873" spans="2:13" ht="14.1" customHeight="1" x14ac:dyDescent="0.25">
      <c r="B873" s="46" t="str">
        <f t="shared" si="13"/>
        <v>2011-63-300985</v>
      </c>
      <c r="C873" s="47">
        <v>44147</v>
      </c>
      <c r="D873" s="46">
        <v>63</v>
      </c>
      <c r="E873" s="46">
        <v>4</v>
      </c>
      <c r="F873" s="46">
        <v>300985</v>
      </c>
      <c r="G873" s="48" t="s">
        <v>614</v>
      </c>
      <c r="H873" s="47">
        <v>44148</v>
      </c>
      <c r="I873" s="46">
        <v>50492</v>
      </c>
      <c r="J873" s="46">
        <v>4</v>
      </c>
      <c r="K873" s="47">
        <v>44155</v>
      </c>
      <c r="L873" s="46">
        <v>10429</v>
      </c>
      <c r="M873" s="46">
        <v>4</v>
      </c>
    </row>
    <row r="874" spans="2:13" ht="14.1" customHeight="1" x14ac:dyDescent="0.25">
      <c r="B874" s="46" t="str">
        <f t="shared" si="13"/>
        <v>2011-63-303947</v>
      </c>
      <c r="C874" s="47">
        <v>44147</v>
      </c>
      <c r="D874" s="46">
        <v>63</v>
      </c>
      <c r="E874" s="46">
        <v>4</v>
      </c>
      <c r="F874" s="46">
        <v>303947</v>
      </c>
      <c r="G874" s="48" t="s">
        <v>203</v>
      </c>
      <c r="H874" s="47">
        <v>44148</v>
      </c>
      <c r="I874" s="46">
        <v>50492</v>
      </c>
      <c r="J874" s="46">
        <v>4</v>
      </c>
      <c r="K874" s="47">
        <v>44155</v>
      </c>
      <c r="L874" s="46">
        <v>10429</v>
      </c>
      <c r="M874" s="46">
        <v>4</v>
      </c>
    </row>
    <row r="875" spans="2:13" ht="14.1" customHeight="1" x14ac:dyDescent="0.25">
      <c r="B875" s="46" t="str">
        <f t="shared" si="13"/>
        <v>2011-63-303510</v>
      </c>
      <c r="C875" s="47">
        <v>44147</v>
      </c>
      <c r="D875" s="46">
        <v>63</v>
      </c>
      <c r="E875" s="46">
        <v>6</v>
      </c>
      <c r="F875" s="46">
        <v>303510</v>
      </c>
      <c r="G875" s="48" t="s">
        <v>262</v>
      </c>
      <c r="H875" s="47">
        <v>44148</v>
      </c>
      <c r="I875" s="46">
        <v>50491</v>
      </c>
      <c r="J875" s="46">
        <v>6</v>
      </c>
      <c r="K875" s="47">
        <v>44151</v>
      </c>
      <c r="L875" s="46">
        <v>10354</v>
      </c>
      <c r="M875" s="46">
        <v>6</v>
      </c>
    </row>
    <row r="876" spans="2:13" ht="14.1" customHeight="1" x14ac:dyDescent="0.25">
      <c r="B876" s="46" t="str">
        <f t="shared" si="13"/>
        <v>2011-63-307697</v>
      </c>
      <c r="C876" s="47">
        <v>44147</v>
      </c>
      <c r="D876" s="46">
        <v>63</v>
      </c>
      <c r="E876" s="46">
        <v>4</v>
      </c>
      <c r="F876" s="46">
        <v>307697</v>
      </c>
      <c r="G876" s="48" t="s">
        <v>730</v>
      </c>
      <c r="H876" s="47">
        <v>44148</v>
      </c>
      <c r="I876" s="46">
        <v>50492</v>
      </c>
      <c r="J876" s="46">
        <v>4</v>
      </c>
      <c r="K876" s="47">
        <v>44155</v>
      </c>
      <c r="L876" s="46">
        <v>10429</v>
      </c>
      <c r="M876" s="46">
        <v>4</v>
      </c>
    </row>
    <row r="877" spans="2:13" ht="14.1" customHeight="1" x14ac:dyDescent="0.25">
      <c r="B877" s="46" t="str">
        <f t="shared" si="13"/>
        <v>2011-64-300500</v>
      </c>
      <c r="C877" s="47">
        <v>44147</v>
      </c>
      <c r="D877" s="46">
        <v>64</v>
      </c>
      <c r="E877" s="46">
        <v>12</v>
      </c>
      <c r="F877" s="46">
        <v>300500</v>
      </c>
      <c r="G877" s="48" t="s">
        <v>346</v>
      </c>
      <c r="H877" s="47">
        <v>44154</v>
      </c>
      <c r="I877" s="46">
        <v>50557</v>
      </c>
      <c r="J877" s="46">
        <v>12</v>
      </c>
      <c r="K877" s="47">
        <v>44162</v>
      </c>
      <c r="L877" s="46">
        <v>10499</v>
      </c>
      <c r="M877" s="46">
        <v>12</v>
      </c>
    </row>
    <row r="878" spans="2:13" ht="14.1" customHeight="1" x14ac:dyDescent="0.25">
      <c r="B878" s="46" t="str">
        <f t="shared" si="13"/>
        <v>2011-72-313534</v>
      </c>
      <c r="C878" s="47">
        <v>44147</v>
      </c>
      <c r="D878" s="46">
        <v>72</v>
      </c>
      <c r="E878" s="46">
        <v>60</v>
      </c>
      <c r="F878" s="46">
        <v>313534</v>
      </c>
      <c r="G878" s="48" t="s">
        <v>836</v>
      </c>
      <c r="H878" s="47">
        <v>44160</v>
      </c>
      <c r="I878" s="46">
        <v>50665</v>
      </c>
      <c r="J878" s="46">
        <v>60</v>
      </c>
      <c r="K878" s="47">
        <v>44167</v>
      </c>
      <c r="L878" s="46">
        <v>10579</v>
      </c>
      <c r="M878" s="46">
        <v>60</v>
      </c>
    </row>
    <row r="879" spans="2:13" ht="14.1" customHeight="1" x14ac:dyDescent="0.25">
      <c r="B879" s="46" t="str">
        <f t="shared" si="13"/>
        <v>2011-72-319549</v>
      </c>
      <c r="C879" s="47">
        <v>44147</v>
      </c>
      <c r="D879" s="46">
        <v>72</v>
      </c>
      <c r="E879" s="46">
        <v>15</v>
      </c>
      <c r="F879" s="46">
        <v>319549</v>
      </c>
      <c r="G879" s="48" t="s">
        <v>218</v>
      </c>
      <c r="H879" s="47">
        <v>44159</v>
      </c>
      <c r="I879" s="46">
        <v>50642</v>
      </c>
      <c r="J879" s="46">
        <v>15</v>
      </c>
      <c r="K879" s="47">
        <v>44167</v>
      </c>
      <c r="L879" s="46">
        <v>10576</v>
      </c>
      <c r="M879" s="46">
        <v>15</v>
      </c>
    </row>
    <row r="880" spans="2:13" ht="14.1" customHeight="1" x14ac:dyDescent="0.25">
      <c r="B880" s="46" t="str">
        <f t="shared" si="13"/>
        <v>2011-73-204272</v>
      </c>
      <c r="C880" s="47">
        <v>44147</v>
      </c>
      <c r="D880" s="46">
        <v>73</v>
      </c>
      <c r="E880" s="46">
        <v>1</v>
      </c>
      <c r="F880" s="46">
        <v>204272</v>
      </c>
      <c r="G880" s="48" t="s">
        <v>532</v>
      </c>
      <c r="H880" s="47">
        <v>44155</v>
      </c>
      <c r="I880" s="46">
        <v>50573</v>
      </c>
      <c r="J880" s="46">
        <v>1</v>
      </c>
      <c r="K880" s="47">
        <v>44159</v>
      </c>
      <c r="L880" s="46">
        <v>10467</v>
      </c>
      <c r="M880" s="46">
        <v>1</v>
      </c>
    </row>
    <row r="881" spans="2:13" ht="14.1" customHeight="1" x14ac:dyDescent="0.25">
      <c r="B881" s="46" t="str">
        <f t="shared" si="13"/>
        <v>2011-75-203593</v>
      </c>
      <c r="C881" s="47">
        <v>44148</v>
      </c>
      <c r="D881" s="46">
        <v>75</v>
      </c>
      <c r="E881" s="46">
        <v>20175</v>
      </c>
      <c r="F881" s="46">
        <v>203593</v>
      </c>
      <c r="G881" s="48" t="s">
        <v>211</v>
      </c>
      <c r="H881" s="47">
        <v>44148</v>
      </c>
      <c r="I881" s="46">
        <v>50515</v>
      </c>
      <c r="J881" s="46">
        <v>20175</v>
      </c>
      <c r="K881" s="47">
        <v>44148</v>
      </c>
      <c r="L881" s="46">
        <v>10335</v>
      </c>
      <c r="M881" s="46">
        <v>20175</v>
      </c>
    </row>
    <row r="882" spans="2:13" ht="14.1" customHeight="1" x14ac:dyDescent="0.25">
      <c r="B882" s="46" t="str">
        <f t="shared" si="13"/>
        <v>2011-76-314023</v>
      </c>
      <c r="C882" s="47">
        <v>44148</v>
      </c>
      <c r="D882" s="46">
        <v>76</v>
      </c>
      <c r="E882" s="46">
        <v>1</v>
      </c>
      <c r="F882" s="46">
        <v>314023</v>
      </c>
      <c r="G882" s="48" t="s">
        <v>846</v>
      </c>
      <c r="H882" s="47">
        <v>44147</v>
      </c>
      <c r="I882" s="46">
        <v>50507</v>
      </c>
      <c r="J882" s="46">
        <v>1</v>
      </c>
      <c r="K882" s="47">
        <v>44148</v>
      </c>
      <c r="L882" s="46">
        <v>10346</v>
      </c>
      <c r="M882" s="46">
        <v>1</v>
      </c>
    </row>
    <row r="883" spans="2:13" ht="14.1" customHeight="1" x14ac:dyDescent="0.25">
      <c r="B883" s="46" t="str">
        <f t="shared" si="13"/>
        <v>2011-76-309723</v>
      </c>
      <c r="C883" s="47">
        <v>44148</v>
      </c>
      <c r="D883" s="46">
        <v>76</v>
      </c>
      <c r="E883" s="46">
        <v>4</v>
      </c>
      <c r="F883" s="46">
        <v>309723</v>
      </c>
      <c r="G883" s="48" t="s">
        <v>760</v>
      </c>
      <c r="H883" s="47">
        <v>44147</v>
      </c>
      <c r="I883" s="46">
        <v>50507</v>
      </c>
      <c r="J883" s="46">
        <v>4</v>
      </c>
      <c r="K883" s="47">
        <v>44148</v>
      </c>
      <c r="L883" s="46">
        <v>10346</v>
      </c>
      <c r="M883" s="46">
        <v>4</v>
      </c>
    </row>
    <row r="884" spans="2:13" ht="14.1" customHeight="1" x14ac:dyDescent="0.25">
      <c r="B884" s="46" t="str">
        <f t="shared" si="13"/>
        <v>2011-76-314152</v>
      </c>
      <c r="C884" s="47">
        <v>44148</v>
      </c>
      <c r="D884" s="46">
        <v>76</v>
      </c>
      <c r="E884" s="46">
        <v>1</v>
      </c>
      <c r="F884" s="46">
        <v>314152</v>
      </c>
      <c r="G884" s="48" t="s">
        <v>848</v>
      </c>
      <c r="H884" s="47">
        <v>44147</v>
      </c>
      <c r="I884" s="46">
        <v>50507</v>
      </c>
      <c r="J884" s="46">
        <v>1</v>
      </c>
      <c r="K884" s="47">
        <v>44148</v>
      </c>
      <c r="L884" s="46">
        <v>10346</v>
      </c>
      <c r="M884" s="46">
        <v>1</v>
      </c>
    </row>
    <row r="885" spans="2:13" ht="14.1" customHeight="1" x14ac:dyDescent="0.25">
      <c r="B885" s="46" t="str">
        <f t="shared" si="13"/>
        <v>2011-76-301375</v>
      </c>
      <c r="C885" s="47">
        <v>44148</v>
      </c>
      <c r="D885" s="46">
        <v>76</v>
      </c>
      <c r="E885" s="46">
        <v>1</v>
      </c>
      <c r="F885" s="46">
        <v>301375</v>
      </c>
      <c r="G885" s="48" t="s">
        <v>620</v>
      </c>
      <c r="H885" s="47">
        <v>44147</v>
      </c>
      <c r="I885" s="46">
        <v>50507</v>
      </c>
      <c r="J885" s="46">
        <v>1</v>
      </c>
      <c r="K885" s="47">
        <v>44148</v>
      </c>
      <c r="L885" s="46">
        <v>10346</v>
      </c>
      <c r="M885" s="46">
        <v>1</v>
      </c>
    </row>
    <row r="886" spans="2:13" ht="14.1" customHeight="1" x14ac:dyDescent="0.25">
      <c r="B886" s="46" t="str">
        <f t="shared" si="13"/>
        <v>2011-76-312508</v>
      </c>
      <c r="C886" s="47">
        <v>44148</v>
      </c>
      <c r="D886" s="46">
        <v>76</v>
      </c>
      <c r="E886" s="46">
        <v>2</v>
      </c>
      <c r="F886" s="46">
        <v>312508</v>
      </c>
      <c r="G886" s="48" t="s">
        <v>313</v>
      </c>
      <c r="H886" s="47">
        <v>44147</v>
      </c>
      <c r="I886" s="46">
        <v>50507</v>
      </c>
      <c r="J886" s="46">
        <v>2</v>
      </c>
      <c r="K886" s="47">
        <v>44148</v>
      </c>
      <c r="L886" s="46">
        <v>10346</v>
      </c>
      <c r="M886" s="46">
        <v>2</v>
      </c>
    </row>
    <row r="887" spans="2:13" ht="14.1" customHeight="1" x14ac:dyDescent="0.25">
      <c r="B887" s="46" t="str">
        <f t="shared" si="13"/>
        <v>2011-76-320123</v>
      </c>
      <c r="C887" s="47">
        <v>44148</v>
      </c>
      <c r="D887" s="46">
        <v>76</v>
      </c>
      <c r="E887" s="46">
        <v>1</v>
      </c>
      <c r="F887" s="46">
        <v>320123</v>
      </c>
      <c r="G887" s="48" t="s">
        <v>949</v>
      </c>
      <c r="H887" s="47">
        <v>44147</v>
      </c>
      <c r="I887" s="46">
        <v>50507</v>
      </c>
      <c r="J887" s="46">
        <v>1</v>
      </c>
      <c r="K887" s="47">
        <v>44148</v>
      </c>
      <c r="L887" s="46">
        <v>10346</v>
      </c>
      <c r="M887" s="46">
        <v>1</v>
      </c>
    </row>
    <row r="888" spans="2:13" ht="14.1" customHeight="1" x14ac:dyDescent="0.25">
      <c r="B888" s="46" t="str">
        <f t="shared" si="13"/>
        <v>2011-76-301377</v>
      </c>
      <c r="C888" s="47">
        <v>44148</v>
      </c>
      <c r="D888" s="46">
        <v>76</v>
      </c>
      <c r="E888" s="46">
        <v>3</v>
      </c>
      <c r="F888" s="46">
        <v>301377</v>
      </c>
      <c r="G888" s="48" t="s">
        <v>621</v>
      </c>
      <c r="H888" s="47">
        <v>44147</v>
      </c>
      <c r="I888" s="46">
        <v>50507</v>
      </c>
      <c r="J888" s="46">
        <v>3</v>
      </c>
      <c r="K888" s="47">
        <v>44148</v>
      </c>
      <c r="L888" s="46">
        <v>10346</v>
      </c>
      <c r="M888" s="46">
        <v>3</v>
      </c>
    </row>
    <row r="889" spans="2:13" ht="14.1" customHeight="1" x14ac:dyDescent="0.25">
      <c r="B889" s="46" t="str">
        <f t="shared" si="13"/>
        <v>2011-77-319359</v>
      </c>
      <c r="C889" s="47">
        <v>44148</v>
      </c>
      <c r="D889" s="46">
        <v>77</v>
      </c>
      <c r="E889" s="46">
        <v>6000</v>
      </c>
      <c r="F889" s="46">
        <v>319359</v>
      </c>
      <c r="G889" s="48" t="s">
        <v>210</v>
      </c>
      <c r="H889" s="47">
        <v>44152</v>
      </c>
      <c r="I889" s="46">
        <v>50581</v>
      </c>
      <c r="J889" s="46">
        <v>5000</v>
      </c>
      <c r="K889" s="47">
        <v>44152</v>
      </c>
      <c r="L889" s="46">
        <v>10391</v>
      </c>
      <c r="M889" s="46">
        <v>5000</v>
      </c>
    </row>
    <row r="890" spans="2:13" ht="14.1" customHeight="1" x14ac:dyDescent="0.25">
      <c r="B890" s="46" t="str">
        <f t="shared" si="13"/>
        <v>2011-78-320415</v>
      </c>
      <c r="C890" s="47">
        <v>44151</v>
      </c>
      <c r="D890" s="46">
        <v>78</v>
      </c>
      <c r="E890" s="46">
        <v>6</v>
      </c>
      <c r="F890" s="46">
        <v>320415</v>
      </c>
      <c r="G890" s="48" t="s">
        <v>1062</v>
      </c>
      <c r="H890" s="47">
        <v>44167</v>
      </c>
      <c r="I890" s="46">
        <v>50717</v>
      </c>
      <c r="J890" s="46">
        <v>6</v>
      </c>
      <c r="K890" s="47">
        <v>44168</v>
      </c>
      <c r="L890" s="46">
        <v>10587</v>
      </c>
      <c r="M890" s="46">
        <v>6</v>
      </c>
    </row>
    <row r="891" spans="2:13" ht="14.1" customHeight="1" x14ac:dyDescent="0.25">
      <c r="B891" s="46" t="str">
        <f t="shared" si="13"/>
        <v>2011-78-303463</v>
      </c>
      <c r="C891" s="47">
        <v>44151</v>
      </c>
      <c r="D891" s="46">
        <v>78</v>
      </c>
      <c r="E891" s="46">
        <v>1</v>
      </c>
      <c r="F891" s="46">
        <v>303463</v>
      </c>
      <c r="G891" s="50" t="s">
        <v>656</v>
      </c>
      <c r="H891" s="47">
        <v>44167</v>
      </c>
      <c r="I891" s="46">
        <v>50717</v>
      </c>
      <c r="J891" s="46">
        <v>1</v>
      </c>
      <c r="K891" s="47">
        <v>44168</v>
      </c>
      <c r="L891" s="46">
        <v>10587</v>
      </c>
      <c r="M891" s="46">
        <v>1</v>
      </c>
    </row>
    <row r="892" spans="2:13" ht="14.1" customHeight="1" x14ac:dyDescent="0.25">
      <c r="B892" s="46" t="str">
        <f t="shared" si="13"/>
        <v>2011-82-305103</v>
      </c>
      <c r="C892" s="47">
        <v>44151</v>
      </c>
      <c r="D892" s="46">
        <v>82</v>
      </c>
      <c r="E892" s="46">
        <v>1</v>
      </c>
      <c r="F892" s="46">
        <v>305103</v>
      </c>
      <c r="G892" s="48" t="s">
        <v>1534</v>
      </c>
      <c r="H892" s="47">
        <v>44226</v>
      </c>
      <c r="I892" s="46">
        <v>51438</v>
      </c>
      <c r="J892" s="46">
        <v>1</v>
      </c>
      <c r="K892" s="47">
        <v>44151</v>
      </c>
      <c r="L892" s="46">
        <v>10370</v>
      </c>
      <c r="M892" s="46">
        <v>1</v>
      </c>
    </row>
    <row r="893" spans="2:13" ht="14.1" customHeight="1" x14ac:dyDescent="0.25">
      <c r="B893" s="46" t="str">
        <f t="shared" si="13"/>
        <v>2011-84-320123</v>
      </c>
      <c r="C893" s="47">
        <v>44151</v>
      </c>
      <c r="D893" s="46">
        <v>84</v>
      </c>
      <c r="E893" s="46">
        <v>1</v>
      </c>
      <c r="F893" s="46">
        <v>320123</v>
      </c>
      <c r="G893" s="50" t="s">
        <v>949</v>
      </c>
      <c r="H893" s="47">
        <v>44146</v>
      </c>
      <c r="I893" s="46">
        <v>50533</v>
      </c>
      <c r="J893" s="46">
        <v>1</v>
      </c>
      <c r="K893" s="47">
        <v>44151</v>
      </c>
      <c r="L893" s="46">
        <v>10374</v>
      </c>
      <c r="M893" s="46">
        <v>1</v>
      </c>
    </row>
    <row r="894" spans="2:13" ht="14.1" customHeight="1" x14ac:dyDescent="0.25">
      <c r="B894" s="46" t="str">
        <f t="shared" si="13"/>
        <v>2011-84-314152</v>
      </c>
      <c r="C894" s="47">
        <v>44151</v>
      </c>
      <c r="D894" s="46">
        <v>84</v>
      </c>
      <c r="E894" s="46">
        <v>2</v>
      </c>
      <c r="F894" s="46">
        <v>314152</v>
      </c>
      <c r="G894" s="48" t="s">
        <v>848</v>
      </c>
      <c r="H894" s="47">
        <v>44146</v>
      </c>
      <c r="I894" s="46">
        <v>50533</v>
      </c>
      <c r="J894" s="46">
        <v>2</v>
      </c>
      <c r="K894" s="47">
        <v>44151</v>
      </c>
      <c r="L894" s="46">
        <v>10374</v>
      </c>
      <c r="M894" s="46">
        <v>2</v>
      </c>
    </row>
    <row r="895" spans="2:13" ht="14.1" customHeight="1" x14ac:dyDescent="0.25">
      <c r="B895" s="46" t="str">
        <f t="shared" si="13"/>
        <v>2011-84-206139</v>
      </c>
      <c r="C895" s="47">
        <v>44151</v>
      </c>
      <c r="D895" s="46">
        <v>84</v>
      </c>
      <c r="E895" s="46">
        <v>1</v>
      </c>
      <c r="F895" s="46">
        <v>206139</v>
      </c>
      <c r="G895" s="48" t="s">
        <v>578</v>
      </c>
      <c r="H895" s="47">
        <v>44146</v>
      </c>
      <c r="I895" s="46">
        <v>50533</v>
      </c>
      <c r="J895" s="46">
        <v>1</v>
      </c>
      <c r="K895" s="47">
        <v>44151</v>
      </c>
      <c r="L895" s="46">
        <v>10374</v>
      </c>
      <c r="M895" s="46">
        <v>1</v>
      </c>
    </row>
    <row r="896" spans="2:13" ht="14.1" customHeight="1" x14ac:dyDescent="0.25">
      <c r="B896" s="46" t="str">
        <f t="shared" si="13"/>
        <v>2011-84-307985</v>
      </c>
      <c r="C896" s="47">
        <v>44151</v>
      </c>
      <c r="D896" s="46">
        <v>84</v>
      </c>
      <c r="E896" s="46">
        <v>1</v>
      </c>
      <c r="F896" s="46">
        <v>307985</v>
      </c>
      <c r="G896" s="48" t="s">
        <v>735</v>
      </c>
      <c r="H896" s="47">
        <v>44146</v>
      </c>
      <c r="I896" s="46">
        <v>50533</v>
      </c>
      <c r="J896" s="46">
        <v>1</v>
      </c>
      <c r="K896" s="47">
        <v>44151</v>
      </c>
      <c r="L896" s="46">
        <v>10374</v>
      </c>
      <c r="M896" s="46">
        <v>1</v>
      </c>
    </row>
    <row r="897" spans="2:13" ht="14.1" customHeight="1" x14ac:dyDescent="0.25">
      <c r="B897" s="46" t="str">
        <f t="shared" si="13"/>
        <v>2011-84-206587</v>
      </c>
      <c r="C897" s="47">
        <v>44151</v>
      </c>
      <c r="D897" s="46">
        <v>84</v>
      </c>
      <c r="E897" s="46">
        <v>2</v>
      </c>
      <c r="F897" s="46">
        <v>206587</v>
      </c>
      <c r="G897" s="48" t="s">
        <v>586</v>
      </c>
      <c r="H897" s="47">
        <v>44146</v>
      </c>
      <c r="I897" s="46">
        <v>50533</v>
      </c>
      <c r="J897" s="46">
        <v>2</v>
      </c>
      <c r="K897" s="47">
        <v>44151</v>
      </c>
      <c r="L897" s="46">
        <v>10374</v>
      </c>
      <c r="M897" s="46">
        <v>2</v>
      </c>
    </row>
    <row r="898" spans="2:13" ht="14.1" customHeight="1" x14ac:dyDescent="0.25">
      <c r="B898" s="46" t="str">
        <f t="shared" si="13"/>
        <v>2011-84-302039</v>
      </c>
      <c r="C898" s="47">
        <v>44151</v>
      </c>
      <c r="D898" s="46">
        <v>84</v>
      </c>
      <c r="E898" s="46">
        <v>2</v>
      </c>
      <c r="F898" s="46">
        <v>302039</v>
      </c>
      <c r="G898" s="48" t="s">
        <v>632</v>
      </c>
      <c r="H898" s="47">
        <v>44146</v>
      </c>
      <c r="I898" s="46">
        <v>50533</v>
      </c>
      <c r="J898" s="46">
        <v>2</v>
      </c>
      <c r="K898" s="47">
        <v>44151</v>
      </c>
      <c r="L898" s="46">
        <v>10374</v>
      </c>
      <c r="M898" s="46">
        <v>2</v>
      </c>
    </row>
    <row r="899" spans="2:13" ht="14.1" customHeight="1" x14ac:dyDescent="0.25">
      <c r="B899" s="46" t="str">
        <f t="shared" si="13"/>
        <v>2011-84-301375</v>
      </c>
      <c r="C899" s="47">
        <v>44151</v>
      </c>
      <c r="D899" s="46">
        <v>84</v>
      </c>
      <c r="E899" s="46">
        <v>2</v>
      </c>
      <c r="F899" s="46">
        <v>301375</v>
      </c>
      <c r="G899" s="48" t="s">
        <v>620</v>
      </c>
      <c r="H899" s="47">
        <v>44146</v>
      </c>
      <c r="I899" s="46">
        <v>50533</v>
      </c>
      <c r="J899" s="46">
        <v>2</v>
      </c>
      <c r="K899" s="47">
        <v>44151</v>
      </c>
      <c r="L899" s="46">
        <v>10374</v>
      </c>
      <c r="M899" s="46">
        <v>2</v>
      </c>
    </row>
    <row r="900" spans="2:13" ht="14.1" customHeight="1" x14ac:dyDescent="0.25">
      <c r="B900" s="46" t="str">
        <f t="shared" si="13"/>
        <v>2011-84-311484</v>
      </c>
      <c r="C900" s="47">
        <v>44151</v>
      </c>
      <c r="D900" s="46">
        <v>84</v>
      </c>
      <c r="E900" s="46">
        <v>4</v>
      </c>
      <c r="F900" s="46">
        <v>311484</v>
      </c>
      <c r="G900" s="48" t="s">
        <v>792</v>
      </c>
      <c r="H900" s="47">
        <v>44146</v>
      </c>
      <c r="I900" s="46">
        <v>50533</v>
      </c>
      <c r="J900" s="46">
        <v>4</v>
      </c>
      <c r="K900" s="47">
        <v>44151</v>
      </c>
      <c r="L900" s="46">
        <v>10374</v>
      </c>
      <c r="M900" s="46">
        <v>4</v>
      </c>
    </row>
    <row r="901" spans="2:13" ht="14.1" customHeight="1" x14ac:dyDescent="0.25">
      <c r="B901" s="46" t="str">
        <f t="shared" si="13"/>
        <v>2011-85-302893</v>
      </c>
      <c r="C901" s="47">
        <v>44151</v>
      </c>
      <c r="D901" s="46">
        <v>85</v>
      </c>
      <c r="E901" s="46">
        <v>4</v>
      </c>
      <c r="F901" s="46">
        <v>302893</v>
      </c>
      <c r="G901" s="48" t="s">
        <v>649</v>
      </c>
      <c r="H901" s="47">
        <v>44141</v>
      </c>
      <c r="I901" s="46">
        <v>50537</v>
      </c>
      <c r="J901" s="46">
        <v>4</v>
      </c>
      <c r="K901" s="47">
        <v>44151</v>
      </c>
      <c r="L901" s="46">
        <v>10375</v>
      </c>
      <c r="M901" s="46">
        <v>4</v>
      </c>
    </row>
    <row r="902" spans="2:13" ht="14.1" customHeight="1" x14ac:dyDescent="0.25">
      <c r="B902" s="46" t="str">
        <f t="shared" si="13"/>
        <v>2011-85-203884</v>
      </c>
      <c r="C902" s="47">
        <v>44151</v>
      </c>
      <c r="D902" s="46">
        <v>85</v>
      </c>
      <c r="E902" s="46">
        <v>4</v>
      </c>
      <c r="F902" s="46">
        <v>203884</v>
      </c>
      <c r="G902" s="50" t="s">
        <v>519</v>
      </c>
      <c r="H902" s="47">
        <v>44141</v>
      </c>
      <c r="I902" s="46">
        <v>50537</v>
      </c>
      <c r="J902" s="46">
        <v>4</v>
      </c>
      <c r="K902" s="47">
        <v>44151</v>
      </c>
      <c r="L902" s="46">
        <v>10375</v>
      </c>
      <c r="M902" s="46">
        <v>4</v>
      </c>
    </row>
    <row r="903" spans="2:13" ht="14.1" customHeight="1" x14ac:dyDescent="0.25">
      <c r="B903" s="46" t="str">
        <f t="shared" si="13"/>
        <v>2011-85-319701</v>
      </c>
      <c r="C903" s="47">
        <v>44151</v>
      </c>
      <c r="D903" s="46">
        <v>85</v>
      </c>
      <c r="E903" s="46">
        <v>1</v>
      </c>
      <c r="F903" s="46">
        <v>319701</v>
      </c>
      <c r="G903" s="48" t="s">
        <v>939</v>
      </c>
      <c r="H903" s="47">
        <v>44141</v>
      </c>
      <c r="I903" s="46">
        <v>50537</v>
      </c>
      <c r="J903" s="46">
        <v>1</v>
      </c>
      <c r="K903" s="47">
        <v>44151</v>
      </c>
      <c r="L903" s="46">
        <v>10375</v>
      </c>
      <c r="M903" s="46">
        <v>1</v>
      </c>
    </row>
    <row r="904" spans="2:13" ht="14.1" customHeight="1" x14ac:dyDescent="0.25">
      <c r="B904" s="46" t="str">
        <f t="shared" si="13"/>
        <v>2011-85-305182</v>
      </c>
      <c r="C904" s="47">
        <v>44151</v>
      </c>
      <c r="D904" s="46">
        <v>85</v>
      </c>
      <c r="E904" s="46">
        <v>4</v>
      </c>
      <c r="F904" s="46">
        <v>305182</v>
      </c>
      <c r="G904" s="50" t="s">
        <v>689</v>
      </c>
      <c r="H904" s="47">
        <v>44141</v>
      </c>
      <c r="I904" s="46">
        <v>50537</v>
      </c>
      <c r="J904" s="46">
        <v>4</v>
      </c>
      <c r="K904" s="47">
        <v>44151</v>
      </c>
      <c r="L904" s="46">
        <v>10375</v>
      </c>
      <c r="M904" s="46">
        <v>4</v>
      </c>
    </row>
    <row r="905" spans="2:13" ht="14.1" customHeight="1" x14ac:dyDescent="0.25">
      <c r="B905" s="46" t="str">
        <f t="shared" si="13"/>
        <v>2011-86-302010</v>
      </c>
      <c r="C905" s="47">
        <v>44151</v>
      </c>
      <c r="D905" s="46">
        <v>86</v>
      </c>
      <c r="E905" s="46">
        <v>2</v>
      </c>
      <c r="F905" s="46">
        <v>302010</v>
      </c>
      <c r="G905" s="50" t="s">
        <v>630</v>
      </c>
      <c r="H905" s="47">
        <v>44144</v>
      </c>
      <c r="I905" s="46">
        <v>50534</v>
      </c>
      <c r="J905" s="46">
        <v>2</v>
      </c>
      <c r="K905" s="47">
        <v>44151</v>
      </c>
      <c r="L905" s="46">
        <v>10376</v>
      </c>
      <c r="M905" s="46">
        <v>2</v>
      </c>
    </row>
    <row r="906" spans="2:13" ht="14.1" customHeight="1" x14ac:dyDescent="0.25">
      <c r="B906" s="46" t="str">
        <f t="shared" si="13"/>
        <v>2011-87-205241</v>
      </c>
      <c r="C906" s="47">
        <v>44151</v>
      </c>
      <c r="D906" s="46">
        <v>87</v>
      </c>
      <c r="E906" s="46">
        <v>4</v>
      </c>
      <c r="F906" s="46">
        <v>205241</v>
      </c>
      <c r="G906" s="50" t="s">
        <v>555</v>
      </c>
      <c r="H906" s="47">
        <v>44148</v>
      </c>
      <c r="I906" s="46">
        <v>50535</v>
      </c>
      <c r="J906" s="46">
        <v>4</v>
      </c>
      <c r="K906" s="47">
        <v>44151</v>
      </c>
      <c r="L906" s="46">
        <v>10377</v>
      </c>
      <c r="M906" s="46">
        <v>4</v>
      </c>
    </row>
    <row r="907" spans="2:13" ht="14.1" customHeight="1" x14ac:dyDescent="0.25">
      <c r="B907" s="46" t="str">
        <f t="shared" si="13"/>
        <v>2011-88-320416</v>
      </c>
      <c r="C907" s="47">
        <v>44151</v>
      </c>
      <c r="D907" s="46">
        <v>88</v>
      </c>
      <c r="E907" s="46">
        <v>50</v>
      </c>
      <c r="F907" s="46">
        <v>320416</v>
      </c>
      <c r="G907" s="50" t="s">
        <v>1063</v>
      </c>
      <c r="H907" s="47">
        <v>44172</v>
      </c>
      <c r="I907" s="46">
        <v>50787</v>
      </c>
      <c r="J907" s="46">
        <v>50</v>
      </c>
      <c r="K907" s="47">
        <v>44188</v>
      </c>
      <c r="L907" s="46">
        <v>10748</v>
      </c>
      <c r="M907" s="46">
        <v>50</v>
      </c>
    </row>
    <row r="908" spans="2:13" ht="14.1" customHeight="1" x14ac:dyDescent="0.25">
      <c r="B908" s="46" t="str">
        <f t="shared" ref="B908:B971" si="14">TEXT(C908,"yy") &amp; TEXT(C908,"mm") &amp;"-"&amp;(D908) &amp;"-"&amp;(F908)</f>
        <v>2011-89-302023</v>
      </c>
      <c r="C908" s="47">
        <v>44151</v>
      </c>
      <c r="D908" s="46">
        <v>89</v>
      </c>
      <c r="E908" s="46">
        <v>8</v>
      </c>
      <c r="F908" s="46">
        <v>302023</v>
      </c>
      <c r="G908" s="48" t="s">
        <v>205</v>
      </c>
      <c r="H908" s="47">
        <v>44158</v>
      </c>
      <c r="I908" s="46">
        <v>50616</v>
      </c>
      <c r="J908" s="46">
        <v>8</v>
      </c>
      <c r="K908" s="47">
        <v>44151</v>
      </c>
      <c r="L908" s="46">
        <v>10378</v>
      </c>
      <c r="M908" s="46">
        <v>8</v>
      </c>
    </row>
    <row r="909" spans="2:13" ht="14.1" customHeight="1" x14ac:dyDescent="0.25">
      <c r="B909" s="46" t="str">
        <f t="shared" si="14"/>
        <v>2011-89-301219</v>
      </c>
      <c r="C909" s="47">
        <v>44151</v>
      </c>
      <c r="D909" s="46">
        <v>89</v>
      </c>
      <c r="E909" s="46">
        <v>2</v>
      </c>
      <c r="F909" s="46">
        <v>301219</v>
      </c>
      <c r="G909" s="48" t="s">
        <v>121</v>
      </c>
      <c r="H909" s="47">
        <v>44158</v>
      </c>
      <c r="I909" s="46">
        <v>50616</v>
      </c>
      <c r="J909" s="46">
        <v>2</v>
      </c>
      <c r="K909" s="47">
        <v>44151</v>
      </c>
      <c r="L909" s="46">
        <v>10378</v>
      </c>
      <c r="M909" s="46">
        <v>2</v>
      </c>
    </row>
    <row r="910" spans="2:13" ht="14.1" customHeight="1" x14ac:dyDescent="0.25">
      <c r="B910" s="46" t="str">
        <f t="shared" si="14"/>
        <v>2011-89-306099</v>
      </c>
      <c r="C910" s="47">
        <v>44151</v>
      </c>
      <c r="D910" s="46">
        <v>89</v>
      </c>
      <c r="E910" s="46">
        <v>8</v>
      </c>
      <c r="F910" s="46">
        <v>306099</v>
      </c>
      <c r="G910" s="50" t="s">
        <v>119</v>
      </c>
      <c r="H910" s="47">
        <v>44158</v>
      </c>
      <c r="I910" s="46">
        <v>50616</v>
      </c>
      <c r="J910" s="46">
        <v>8</v>
      </c>
      <c r="K910" s="47">
        <v>44151</v>
      </c>
      <c r="L910" s="46">
        <v>10378</v>
      </c>
      <c r="M910" s="46">
        <v>8</v>
      </c>
    </row>
    <row r="911" spans="2:13" ht="14.1" customHeight="1" x14ac:dyDescent="0.25">
      <c r="B911" s="46" t="str">
        <f t="shared" si="14"/>
        <v>2011-89-302025</v>
      </c>
      <c r="C911" s="47">
        <v>44151</v>
      </c>
      <c r="D911" s="46">
        <v>89</v>
      </c>
      <c r="E911" s="46">
        <v>8</v>
      </c>
      <c r="F911" s="46">
        <v>302025</v>
      </c>
      <c r="G911" s="48" t="s">
        <v>118</v>
      </c>
      <c r="H911" s="47">
        <v>44158</v>
      </c>
      <c r="I911" s="46">
        <v>50616</v>
      </c>
      <c r="J911" s="46">
        <v>8</v>
      </c>
      <c r="K911" s="47">
        <v>44151</v>
      </c>
      <c r="L911" s="46">
        <v>10378</v>
      </c>
      <c r="M911" s="46">
        <v>8</v>
      </c>
    </row>
    <row r="912" spans="2:13" ht="14.1" customHeight="1" x14ac:dyDescent="0.25">
      <c r="B912" s="46" t="str">
        <f t="shared" si="14"/>
        <v>2011-90-205275</v>
      </c>
      <c r="C912" s="47">
        <v>44151</v>
      </c>
      <c r="D912" s="46">
        <v>90</v>
      </c>
      <c r="E912" s="46">
        <v>8</v>
      </c>
      <c r="F912" s="46">
        <v>205275</v>
      </c>
      <c r="G912" s="48" t="s">
        <v>223</v>
      </c>
      <c r="H912" s="47">
        <v>44176</v>
      </c>
      <c r="I912" s="46">
        <v>50851</v>
      </c>
      <c r="J912" s="46">
        <v>8</v>
      </c>
      <c r="K912" s="47">
        <v>44186</v>
      </c>
      <c r="L912" s="46">
        <v>10732</v>
      </c>
      <c r="M912" s="46">
        <v>8</v>
      </c>
    </row>
    <row r="913" spans="2:13" ht="14.1" customHeight="1" x14ac:dyDescent="0.25">
      <c r="B913" s="46" t="str">
        <f t="shared" si="14"/>
        <v>2011-93-304892</v>
      </c>
      <c r="C913" s="47">
        <v>44152</v>
      </c>
      <c r="D913" s="46">
        <v>93</v>
      </c>
      <c r="E913" s="46">
        <v>1000</v>
      </c>
      <c r="F913" s="46">
        <v>304892</v>
      </c>
      <c r="G913" s="48" t="s">
        <v>198</v>
      </c>
      <c r="H913" s="47">
        <v>44159</v>
      </c>
      <c r="I913" s="46">
        <v>50643</v>
      </c>
      <c r="J913" s="46">
        <v>1000</v>
      </c>
      <c r="K913" s="47">
        <v>44152</v>
      </c>
      <c r="L913" s="46">
        <v>10381</v>
      </c>
      <c r="M913" s="46">
        <v>1000</v>
      </c>
    </row>
    <row r="914" spans="2:13" ht="14.1" customHeight="1" x14ac:dyDescent="0.25">
      <c r="B914" s="46" t="str">
        <f t="shared" si="14"/>
        <v>2011-94-300312</v>
      </c>
      <c r="C914" s="47">
        <v>44152</v>
      </c>
      <c r="D914" s="46">
        <v>94</v>
      </c>
      <c r="E914" s="46">
        <v>750</v>
      </c>
      <c r="F914" s="46">
        <v>300312</v>
      </c>
      <c r="G914" s="48" t="s">
        <v>186</v>
      </c>
      <c r="H914" s="47">
        <v>44159</v>
      </c>
      <c r="I914" s="46">
        <v>50644</v>
      </c>
      <c r="J914" s="46">
        <v>750</v>
      </c>
      <c r="K914" s="47">
        <v>44152</v>
      </c>
      <c r="L914" s="46">
        <v>10382</v>
      </c>
      <c r="M914" s="46">
        <v>750</v>
      </c>
    </row>
    <row r="915" spans="2:13" ht="14.1" customHeight="1" x14ac:dyDescent="0.25">
      <c r="B915" s="46" t="str">
        <f t="shared" si="14"/>
        <v>2011-94-304159</v>
      </c>
      <c r="C915" s="47">
        <v>44152</v>
      </c>
      <c r="D915" s="46">
        <v>94</v>
      </c>
      <c r="E915" s="46">
        <v>1500</v>
      </c>
      <c r="F915" s="46">
        <v>304159</v>
      </c>
      <c r="G915" s="48" t="s">
        <v>152</v>
      </c>
      <c r="H915" s="47">
        <v>44159</v>
      </c>
      <c r="I915" s="46">
        <v>50644</v>
      </c>
      <c r="J915" s="46">
        <v>1500</v>
      </c>
      <c r="K915" s="47">
        <v>44152</v>
      </c>
      <c r="L915" s="46">
        <v>10382</v>
      </c>
      <c r="M915" s="46">
        <v>1500</v>
      </c>
    </row>
    <row r="916" spans="2:13" ht="14.1" customHeight="1" x14ac:dyDescent="0.25">
      <c r="B916" s="46" t="str">
        <f t="shared" si="14"/>
        <v>2011-109-200751</v>
      </c>
      <c r="C916" s="47">
        <v>44154</v>
      </c>
      <c r="D916" s="46">
        <v>109</v>
      </c>
      <c r="E916" s="46">
        <v>30000</v>
      </c>
      <c r="F916" s="46">
        <v>200751</v>
      </c>
      <c r="G916" s="48" t="s">
        <v>151</v>
      </c>
      <c r="H916" s="47">
        <v>44152</v>
      </c>
      <c r="I916" s="46">
        <v>50582</v>
      </c>
      <c r="J916" s="46">
        <v>10000</v>
      </c>
      <c r="K916" s="47">
        <v>44154</v>
      </c>
      <c r="L916" s="46">
        <v>10409</v>
      </c>
      <c r="M916" s="46">
        <v>10000</v>
      </c>
    </row>
    <row r="917" spans="2:13" ht="14.1" customHeight="1" x14ac:dyDescent="0.25">
      <c r="B917" s="46" t="str">
        <f t="shared" si="14"/>
        <v>2011-109-200751</v>
      </c>
      <c r="C917" s="47">
        <v>44154</v>
      </c>
      <c r="D917" s="46">
        <v>109</v>
      </c>
      <c r="E917" s="46">
        <v>30000</v>
      </c>
      <c r="F917" s="46">
        <v>200751</v>
      </c>
      <c r="G917" s="48" t="s">
        <v>151</v>
      </c>
      <c r="H917" s="47">
        <v>44152</v>
      </c>
      <c r="I917" s="46">
        <v>50582</v>
      </c>
      <c r="J917" s="46">
        <v>10000</v>
      </c>
      <c r="K917" s="47">
        <v>44154</v>
      </c>
      <c r="L917" s="46">
        <v>10410</v>
      </c>
      <c r="M917" s="46">
        <v>10000</v>
      </c>
    </row>
    <row r="918" spans="2:13" ht="14.1" customHeight="1" x14ac:dyDescent="0.25">
      <c r="B918" s="46" t="str">
        <f t="shared" si="14"/>
        <v>2011-109-200751</v>
      </c>
      <c r="C918" s="47">
        <v>44154</v>
      </c>
      <c r="D918" s="46">
        <v>109</v>
      </c>
      <c r="E918" s="46">
        <v>30000</v>
      </c>
      <c r="F918" s="46">
        <v>200751</v>
      </c>
      <c r="G918" s="48" t="s">
        <v>151</v>
      </c>
      <c r="H918" s="47">
        <v>44152</v>
      </c>
      <c r="I918" s="46">
        <v>50582</v>
      </c>
      <c r="J918" s="46">
        <v>10000</v>
      </c>
      <c r="K918" s="47">
        <v>44159</v>
      </c>
      <c r="L918" s="46">
        <v>10460</v>
      </c>
      <c r="M918" s="46">
        <v>10000</v>
      </c>
    </row>
    <row r="919" spans="2:13" ht="14.1" customHeight="1" x14ac:dyDescent="0.25">
      <c r="B919" s="46" t="str">
        <f t="shared" si="14"/>
        <v>2011-109-200751</v>
      </c>
      <c r="C919" s="47">
        <v>44154</v>
      </c>
      <c r="D919" s="46">
        <v>109</v>
      </c>
      <c r="E919" s="46">
        <v>30000</v>
      </c>
      <c r="F919" s="46">
        <v>200751</v>
      </c>
      <c r="G919" s="48" t="s">
        <v>151</v>
      </c>
      <c r="H919" s="47">
        <v>44153</v>
      </c>
      <c r="I919" s="46">
        <v>50584</v>
      </c>
      <c r="J919" s="46">
        <v>10000</v>
      </c>
      <c r="K919" s="47">
        <v>44154</v>
      </c>
      <c r="L919" s="46">
        <v>10409</v>
      </c>
      <c r="M919" s="46">
        <v>10000</v>
      </c>
    </row>
    <row r="920" spans="2:13" ht="14.1" customHeight="1" x14ac:dyDescent="0.25">
      <c r="B920" s="46" t="str">
        <f t="shared" si="14"/>
        <v>2011-109-200751</v>
      </c>
      <c r="C920" s="47">
        <v>44154</v>
      </c>
      <c r="D920" s="46">
        <v>109</v>
      </c>
      <c r="E920" s="46">
        <v>30000</v>
      </c>
      <c r="F920" s="46">
        <v>200751</v>
      </c>
      <c r="G920" s="48" t="s">
        <v>151</v>
      </c>
      <c r="H920" s="47">
        <v>44153</v>
      </c>
      <c r="I920" s="46">
        <v>50584</v>
      </c>
      <c r="J920" s="46">
        <v>10000</v>
      </c>
      <c r="K920" s="47">
        <v>44154</v>
      </c>
      <c r="L920" s="46">
        <v>10410</v>
      </c>
      <c r="M920" s="46">
        <v>10000</v>
      </c>
    </row>
    <row r="921" spans="2:13" ht="14.1" customHeight="1" x14ac:dyDescent="0.25">
      <c r="B921" s="46" t="str">
        <f t="shared" si="14"/>
        <v>2011-109-200751</v>
      </c>
      <c r="C921" s="47">
        <v>44154</v>
      </c>
      <c r="D921" s="46">
        <v>109</v>
      </c>
      <c r="E921" s="46">
        <v>30000</v>
      </c>
      <c r="F921" s="46">
        <v>200751</v>
      </c>
      <c r="G921" s="48" t="s">
        <v>151</v>
      </c>
      <c r="H921" s="47">
        <v>44153</v>
      </c>
      <c r="I921" s="46">
        <v>50584</v>
      </c>
      <c r="J921" s="46">
        <v>10000</v>
      </c>
      <c r="K921" s="47">
        <v>44159</v>
      </c>
      <c r="L921" s="46">
        <v>10460</v>
      </c>
      <c r="M921" s="46">
        <v>10000</v>
      </c>
    </row>
    <row r="922" spans="2:13" ht="14.1" customHeight="1" x14ac:dyDescent="0.25">
      <c r="B922" s="46" t="str">
        <f t="shared" si="14"/>
        <v>2011-109-200751</v>
      </c>
      <c r="C922" s="47">
        <v>44154</v>
      </c>
      <c r="D922" s="46">
        <v>109</v>
      </c>
      <c r="E922" s="46">
        <v>30000</v>
      </c>
      <c r="F922" s="46">
        <v>200751</v>
      </c>
      <c r="G922" s="48" t="s">
        <v>151</v>
      </c>
      <c r="H922" s="47">
        <v>44155</v>
      </c>
      <c r="I922" s="46">
        <v>50627</v>
      </c>
      <c r="J922" s="46">
        <v>10000</v>
      </c>
      <c r="K922" s="47">
        <v>44154</v>
      </c>
      <c r="L922" s="46">
        <v>10409</v>
      </c>
      <c r="M922" s="46">
        <v>10000</v>
      </c>
    </row>
    <row r="923" spans="2:13" ht="14.1" customHeight="1" x14ac:dyDescent="0.25">
      <c r="B923" s="46" t="str">
        <f t="shared" si="14"/>
        <v>2011-109-200751</v>
      </c>
      <c r="C923" s="47">
        <v>44154</v>
      </c>
      <c r="D923" s="46">
        <v>109</v>
      </c>
      <c r="E923" s="46">
        <v>30000</v>
      </c>
      <c r="F923" s="46">
        <v>200751</v>
      </c>
      <c r="G923" s="48" t="s">
        <v>151</v>
      </c>
      <c r="H923" s="47">
        <v>44155</v>
      </c>
      <c r="I923" s="46">
        <v>50627</v>
      </c>
      <c r="J923" s="46">
        <v>10000</v>
      </c>
      <c r="K923" s="47">
        <v>44154</v>
      </c>
      <c r="L923" s="46">
        <v>10410</v>
      </c>
      <c r="M923" s="46">
        <v>10000</v>
      </c>
    </row>
    <row r="924" spans="2:13" ht="14.1" customHeight="1" x14ac:dyDescent="0.25">
      <c r="B924" s="46" t="str">
        <f t="shared" si="14"/>
        <v>2011-109-200751</v>
      </c>
      <c r="C924" s="47">
        <v>44154</v>
      </c>
      <c r="D924" s="46">
        <v>109</v>
      </c>
      <c r="E924" s="46">
        <v>30000</v>
      </c>
      <c r="F924" s="46">
        <v>200751</v>
      </c>
      <c r="G924" s="48" t="s">
        <v>151</v>
      </c>
      <c r="H924" s="47">
        <v>44155</v>
      </c>
      <c r="I924" s="46">
        <v>50627</v>
      </c>
      <c r="J924" s="46">
        <v>10000</v>
      </c>
      <c r="K924" s="47">
        <v>44159</v>
      </c>
      <c r="L924" s="46">
        <v>10460</v>
      </c>
      <c r="M924" s="46">
        <v>10000</v>
      </c>
    </row>
    <row r="925" spans="2:13" ht="14.1" customHeight="1" x14ac:dyDescent="0.25">
      <c r="B925" s="46" t="str">
        <f t="shared" si="14"/>
        <v>2011-110-301163</v>
      </c>
      <c r="C925" s="47">
        <v>44154</v>
      </c>
      <c r="D925" s="46">
        <v>110</v>
      </c>
      <c r="E925" s="46">
        <v>2</v>
      </c>
      <c r="F925" s="46">
        <v>301163</v>
      </c>
      <c r="G925" s="48" t="s">
        <v>85</v>
      </c>
      <c r="H925" s="47">
        <v>44159</v>
      </c>
      <c r="I925" s="46">
        <v>50639</v>
      </c>
      <c r="J925" s="46">
        <v>2</v>
      </c>
      <c r="K925" s="47">
        <v>44161</v>
      </c>
      <c r="L925" s="46">
        <v>10485</v>
      </c>
      <c r="M925" s="46">
        <v>2</v>
      </c>
    </row>
    <row r="926" spans="2:13" ht="14.1" customHeight="1" x14ac:dyDescent="0.25">
      <c r="B926" s="46" t="str">
        <f t="shared" si="14"/>
        <v>2011-110-313825</v>
      </c>
      <c r="C926" s="47">
        <v>44154</v>
      </c>
      <c r="D926" s="46">
        <v>110</v>
      </c>
      <c r="E926" s="46">
        <v>3</v>
      </c>
      <c r="F926" s="46">
        <v>313825</v>
      </c>
      <c r="G926" s="48" t="s">
        <v>841</v>
      </c>
      <c r="H926" s="47">
        <v>44159</v>
      </c>
      <c r="I926" s="46">
        <v>50639</v>
      </c>
      <c r="J926" s="46">
        <v>3</v>
      </c>
      <c r="K926" s="47">
        <v>44161</v>
      </c>
      <c r="L926" s="46">
        <v>10485</v>
      </c>
      <c r="M926" s="46">
        <v>3</v>
      </c>
    </row>
    <row r="927" spans="2:13" ht="14.1" customHeight="1" x14ac:dyDescent="0.25">
      <c r="B927" s="46" t="str">
        <f t="shared" si="14"/>
        <v>2011-110-204201</v>
      </c>
      <c r="C927" s="47">
        <v>44154</v>
      </c>
      <c r="D927" s="46">
        <v>110</v>
      </c>
      <c r="E927" s="46">
        <v>1</v>
      </c>
      <c r="F927" s="46">
        <v>204201</v>
      </c>
      <c r="G927" s="48" t="s">
        <v>531</v>
      </c>
      <c r="H927" s="47">
        <v>44159</v>
      </c>
      <c r="I927" s="46">
        <v>50639</v>
      </c>
      <c r="J927" s="46">
        <v>1</v>
      </c>
      <c r="K927" s="47">
        <v>44161</v>
      </c>
      <c r="L927" s="46">
        <v>10485</v>
      </c>
      <c r="M927" s="46">
        <v>1</v>
      </c>
    </row>
    <row r="928" spans="2:13" ht="14.1" customHeight="1" x14ac:dyDescent="0.25">
      <c r="B928" s="46" t="str">
        <f t="shared" si="14"/>
        <v>2011-110-309720</v>
      </c>
      <c r="C928" s="47">
        <v>44154</v>
      </c>
      <c r="D928" s="46">
        <v>110</v>
      </c>
      <c r="E928" s="46">
        <v>1</v>
      </c>
      <c r="F928" s="46">
        <v>309720</v>
      </c>
      <c r="G928" s="48" t="s">
        <v>759</v>
      </c>
      <c r="H928" s="47">
        <v>44159</v>
      </c>
      <c r="I928" s="46">
        <v>50639</v>
      </c>
      <c r="J928" s="46">
        <v>1</v>
      </c>
      <c r="K928" s="47">
        <v>44161</v>
      </c>
      <c r="L928" s="46">
        <v>10485</v>
      </c>
      <c r="M928" s="46">
        <v>1</v>
      </c>
    </row>
    <row r="929" spans="2:13" ht="14.1" customHeight="1" x14ac:dyDescent="0.25">
      <c r="B929" s="46" t="str">
        <f t="shared" si="14"/>
        <v>2011-110-303021</v>
      </c>
      <c r="C929" s="47">
        <v>44154</v>
      </c>
      <c r="D929" s="46">
        <v>110</v>
      </c>
      <c r="E929" s="46">
        <v>1</v>
      </c>
      <c r="F929" s="46">
        <v>303021</v>
      </c>
      <c r="G929" s="48" t="s">
        <v>653</v>
      </c>
      <c r="H929" s="47">
        <v>44159</v>
      </c>
      <c r="I929" s="46">
        <v>50640</v>
      </c>
      <c r="J929" s="46">
        <v>1</v>
      </c>
      <c r="K929" s="47">
        <v>44166</v>
      </c>
      <c r="L929" s="46">
        <v>10570</v>
      </c>
      <c r="M929" s="46">
        <v>1</v>
      </c>
    </row>
    <row r="930" spans="2:13" ht="14.1" customHeight="1" x14ac:dyDescent="0.25">
      <c r="B930" s="46" t="str">
        <f t="shared" si="14"/>
        <v>2011-110-100015</v>
      </c>
      <c r="C930" s="47">
        <v>44154</v>
      </c>
      <c r="D930" s="46">
        <v>110</v>
      </c>
      <c r="E930" s="46">
        <v>8</v>
      </c>
      <c r="F930" s="46">
        <v>100015</v>
      </c>
      <c r="G930" s="48" t="s">
        <v>261</v>
      </c>
      <c r="H930" s="47">
        <v>44159</v>
      </c>
      <c r="I930" s="46">
        <v>50639</v>
      </c>
      <c r="J930" s="46">
        <v>8</v>
      </c>
      <c r="K930" s="47">
        <v>44161</v>
      </c>
      <c r="L930" s="46">
        <v>10485</v>
      </c>
      <c r="M930" s="46">
        <v>8</v>
      </c>
    </row>
    <row r="931" spans="2:13" ht="14.1" customHeight="1" x14ac:dyDescent="0.25">
      <c r="B931" s="46" t="str">
        <f t="shared" si="14"/>
        <v>2011-110-203010</v>
      </c>
      <c r="C931" s="47">
        <v>44154</v>
      </c>
      <c r="D931" s="46">
        <v>110</v>
      </c>
      <c r="E931" s="46">
        <v>3</v>
      </c>
      <c r="F931" s="46">
        <v>203010</v>
      </c>
      <c r="G931" s="48" t="s">
        <v>502</v>
      </c>
      <c r="H931" s="47">
        <v>44159</v>
      </c>
      <c r="I931" s="46">
        <v>50639</v>
      </c>
      <c r="J931" s="46">
        <v>3</v>
      </c>
      <c r="K931" s="47">
        <v>44161</v>
      </c>
      <c r="L931" s="46">
        <v>10485</v>
      </c>
      <c r="M931" s="46">
        <v>3</v>
      </c>
    </row>
    <row r="932" spans="2:13" ht="14.1" customHeight="1" x14ac:dyDescent="0.25">
      <c r="B932" s="46" t="str">
        <f t="shared" si="14"/>
        <v>2011-111-310692</v>
      </c>
      <c r="C932" s="47">
        <v>44154</v>
      </c>
      <c r="D932" s="46">
        <v>111</v>
      </c>
      <c r="E932" s="46">
        <v>2</v>
      </c>
      <c r="F932" s="46">
        <v>310692</v>
      </c>
      <c r="G932" s="48" t="s">
        <v>774</v>
      </c>
      <c r="H932" s="47">
        <v>44154</v>
      </c>
      <c r="I932" s="46">
        <v>50559</v>
      </c>
      <c r="J932" s="46">
        <v>2</v>
      </c>
      <c r="K932" s="47">
        <v>44166</v>
      </c>
      <c r="L932" s="46">
        <v>10546</v>
      </c>
      <c r="M932" s="46">
        <v>2</v>
      </c>
    </row>
    <row r="933" spans="2:13" ht="14.1" customHeight="1" x14ac:dyDescent="0.25">
      <c r="B933" s="46" t="str">
        <f t="shared" si="14"/>
        <v>2011-111-300500</v>
      </c>
      <c r="C933" s="47">
        <v>44154</v>
      </c>
      <c r="D933" s="46">
        <v>111</v>
      </c>
      <c r="E933" s="46">
        <v>12</v>
      </c>
      <c r="F933" s="46">
        <v>300500</v>
      </c>
      <c r="G933" s="50" t="s">
        <v>346</v>
      </c>
      <c r="H933" s="47">
        <v>44154</v>
      </c>
      <c r="I933" s="46">
        <v>50557</v>
      </c>
      <c r="J933" s="46">
        <v>12</v>
      </c>
      <c r="K933" s="47">
        <v>44162</v>
      </c>
      <c r="L933" s="46">
        <v>10499</v>
      </c>
      <c r="M933" s="46">
        <v>12</v>
      </c>
    </row>
    <row r="934" spans="2:13" ht="14.1" customHeight="1" x14ac:dyDescent="0.25">
      <c r="B934" s="46" t="str">
        <f t="shared" si="14"/>
        <v>2011-112-319688</v>
      </c>
      <c r="C934" s="47">
        <v>44154</v>
      </c>
      <c r="D934" s="46">
        <v>112</v>
      </c>
      <c r="E934" s="46">
        <v>2000</v>
      </c>
      <c r="F934" s="46">
        <v>319688</v>
      </c>
      <c r="G934" s="48" t="s">
        <v>281</v>
      </c>
      <c r="H934" s="47">
        <v>44154</v>
      </c>
      <c r="I934" s="46">
        <v>50558</v>
      </c>
      <c r="J934" s="46">
        <v>2000</v>
      </c>
      <c r="K934" s="47">
        <v>44155</v>
      </c>
      <c r="L934" s="46">
        <v>10435</v>
      </c>
      <c r="M934" s="46">
        <v>2000</v>
      </c>
    </row>
    <row r="935" spans="2:13" ht="14.1" customHeight="1" x14ac:dyDescent="0.25">
      <c r="B935" s="46" t="str">
        <f t="shared" si="14"/>
        <v>2011-113-316955</v>
      </c>
      <c r="C935" s="47">
        <v>44154</v>
      </c>
      <c r="D935" s="46">
        <v>113</v>
      </c>
      <c r="E935" s="46">
        <v>1</v>
      </c>
      <c r="F935" s="46">
        <v>316955</v>
      </c>
      <c r="G935" s="48" t="s">
        <v>904</v>
      </c>
      <c r="H935" s="47">
        <v>44155</v>
      </c>
      <c r="I935" s="46">
        <v>50575</v>
      </c>
      <c r="J935" s="46">
        <v>1</v>
      </c>
      <c r="K935" s="47">
        <v>44159</v>
      </c>
      <c r="L935" s="46">
        <v>10464</v>
      </c>
      <c r="M935" s="46">
        <v>1</v>
      </c>
    </row>
    <row r="936" spans="2:13" ht="14.1" customHeight="1" x14ac:dyDescent="0.25">
      <c r="B936" s="46" t="str">
        <f t="shared" si="14"/>
        <v>2011-113-203295</v>
      </c>
      <c r="C936" s="47">
        <v>44154</v>
      </c>
      <c r="D936" s="46">
        <v>113</v>
      </c>
      <c r="E936" s="46">
        <v>1</v>
      </c>
      <c r="F936" s="46">
        <v>203295</v>
      </c>
      <c r="G936" s="48" t="s">
        <v>513</v>
      </c>
      <c r="H936" s="47">
        <v>44155</v>
      </c>
      <c r="I936" s="46">
        <v>50575</v>
      </c>
      <c r="J936" s="46">
        <v>1</v>
      </c>
      <c r="K936" s="47">
        <v>44159</v>
      </c>
      <c r="L936" s="46">
        <v>10464</v>
      </c>
      <c r="M936" s="46">
        <v>1</v>
      </c>
    </row>
    <row r="937" spans="2:13" ht="14.1" customHeight="1" x14ac:dyDescent="0.25">
      <c r="B937" s="46" t="str">
        <f t="shared" si="14"/>
        <v>2011-113-317554</v>
      </c>
      <c r="C937" s="47">
        <v>44154</v>
      </c>
      <c r="D937" s="46">
        <v>113</v>
      </c>
      <c r="E937" s="46">
        <v>1</v>
      </c>
      <c r="F937" s="46">
        <v>317554</v>
      </c>
      <c r="G937" s="48" t="s">
        <v>910</v>
      </c>
      <c r="H937" s="47">
        <v>44155</v>
      </c>
      <c r="I937" s="46">
        <v>50574</v>
      </c>
      <c r="J937" s="46">
        <v>1</v>
      </c>
      <c r="K937" s="47">
        <v>44159</v>
      </c>
      <c r="L937" s="46">
        <v>10470</v>
      </c>
      <c r="M937" s="46">
        <v>1</v>
      </c>
    </row>
    <row r="938" spans="2:13" ht="14.1" customHeight="1" x14ac:dyDescent="0.25">
      <c r="B938" s="46" t="str">
        <f t="shared" si="14"/>
        <v>2011-113-316983</v>
      </c>
      <c r="C938" s="47">
        <v>44154</v>
      </c>
      <c r="D938" s="46">
        <v>113</v>
      </c>
      <c r="E938" s="46">
        <v>1</v>
      </c>
      <c r="F938" s="46">
        <v>316983</v>
      </c>
      <c r="G938" s="48" t="s">
        <v>905</v>
      </c>
      <c r="H938" s="47">
        <v>44155</v>
      </c>
      <c r="I938" s="46">
        <v>50575</v>
      </c>
      <c r="J938" s="46">
        <v>1</v>
      </c>
      <c r="K938" s="47">
        <v>44159</v>
      </c>
      <c r="L938" s="46">
        <v>10464</v>
      </c>
      <c r="M938" s="46">
        <v>1</v>
      </c>
    </row>
    <row r="939" spans="2:13" ht="14.1" customHeight="1" x14ac:dyDescent="0.25">
      <c r="B939" s="46" t="str">
        <f t="shared" si="14"/>
        <v>2011-113-313473</v>
      </c>
      <c r="C939" s="47">
        <v>44154</v>
      </c>
      <c r="D939" s="46">
        <v>113</v>
      </c>
      <c r="E939" s="46">
        <v>1</v>
      </c>
      <c r="F939" s="46">
        <v>313473</v>
      </c>
      <c r="G939" s="48" t="s">
        <v>832</v>
      </c>
      <c r="H939" s="47">
        <v>44155</v>
      </c>
      <c r="I939" s="46">
        <v>50574</v>
      </c>
      <c r="J939" s="46">
        <v>1</v>
      </c>
      <c r="K939" s="47">
        <v>44159</v>
      </c>
      <c r="L939" s="46">
        <v>10470</v>
      </c>
      <c r="M939" s="46">
        <v>1</v>
      </c>
    </row>
    <row r="940" spans="2:13" ht="14.1" customHeight="1" x14ac:dyDescent="0.25">
      <c r="B940" s="46" t="str">
        <f t="shared" si="14"/>
        <v>2011-114-300038</v>
      </c>
      <c r="C940" s="47">
        <v>44154</v>
      </c>
      <c r="D940" s="46">
        <v>114</v>
      </c>
      <c r="E940" s="46">
        <v>4</v>
      </c>
      <c r="F940" s="46">
        <v>300038</v>
      </c>
      <c r="G940" s="50" t="s">
        <v>316</v>
      </c>
      <c r="H940" s="47">
        <v>44237</v>
      </c>
      <c r="I940" s="46">
        <v>51605</v>
      </c>
      <c r="J940" s="46">
        <v>4</v>
      </c>
      <c r="L940" s="46">
        <v>0</v>
      </c>
      <c r="M940" s="46">
        <v>0</v>
      </c>
    </row>
    <row r="941" spans="2:13" ht="14.1" customHeight="1" x14ac:dyDescent="0.25">
      <c r="B941" s="46" t="str">
        <f t="shared" si="14"/>
        <v>2011-116-302515</v>
      </c>
      <c r="C941" s="47">
        <v>44155</v>
      </c>
      <c r="D941" s="46">
        <v>116</v>
      </c>
      <c r="E941" s="46">
        <v>2</v>
      </c>
      <c r="F941" s="46">
        <v>302515</v>
      </c>
      <c r="G941" s="48" t="s">
        <v>144</v>
      </c>
      <c r="H941" s="47">
        <v>44143</v>
      </c>
      <c r="I941" s="46">
        <v>50598</v>
      </c>
      <c r="J941" s="46">
        <v>2</v>
      </c>
      <c r="K941" s="47">
        <v>44155</v>
      </c>
      <c r="L941" s="46">
        <v>10425</v>
      </c>
      <c r="M941" s="46">
        <v>2</v>
      </c>
    </row>
    <row r="942" spans="2:13" ht="14.1" customHeight="1" x14ac:dyDescent="0.25">
      <c r="B942" s="46" t="str">
        <f t="shared" si="14"/>
        <v>2011-116-204973</v>
      </c>
      <c r="C942" s="47">
        <v>44155</v>
      </c>
      <c r="D942" s="46">
        <v>116</v>
      </c>
      <c r="E942" s="46">
        <v>2</v>
      </c>
      <c r="F942" s="46">
        <v>204973</v>
      </c>
      <c r="G942" s="50" t="s">
        <v>39</v>
      </c>
      <c r="H942" s="47">
        <v>44143</v>
      </c>
      <c r="I942" s="46">
        <v>50598</v>
      </c>
      <c r="J942" s="46">
        <v>2</v>
      </c>
      <c r="K942" s="47">
        <v>44155</v>
      </c>
      <c r="L942" s="46">
        <v>10425</v>
      </c>
      <c r="M942" s="46">
        <v>2</v>
      </c>
    </row>
    <row r="943" spans="2:13" ht="14.1" customHeight="1" x14ac:dyDescent="0.25">
      <c r="B943" s="46" t="str">
        <f t="shared" si="14"/>
        <v>2011-117-312562</v>
      </c>
      <c r="C943" s="47">
        <v>44155</v>
      </c>
      <c r="D943" s="46">
        <v>117</v>
      </c>
      <c r="E943" s="46">
        <v>2</v>
      </c>
      <c r="F943" s="46">
        <v>312562</v>
      </c>
      <c r="G943" s="50" t="s">
        <v>268</v>
      </c>
      <c r="H943" s="47">
        <v>44143</v>
      </c>
      <c r="I943" s="46">
        <v>50599</v>
      </c>
      <c r="J943" s="46">
        <v>2</v>
      </c>
      <c r="K943" s="47">
        <v>44155</v>
      </c>
      <c r="L943" s="46">
        <v>10426</v>
      </c>
      <c r="M943" s="46">
        <v>2</v>
      </c>
    </row>
    <row r="944" spans="2:13" ht="14.1" customHeight="1" x14ac:dyDescent="0.25">
      <c r="B944" s="46" t="str">
        <f t="shared" si="14"/>
        <v>2011-118-318106</v>
      </c>
      <c r="C944" s="47">
        <v>44155</v>
      </c>
      <c r="D944" s="46">
        <v>118</v>
      </c>
      <c r="E944" s="46">
        <v>2</v>
      </c>
      <c r="F944" s="46">
        <v>318106</v>
      </c>
      <c r="G944" s="48" t="s">
        <v>918</v>
      </c>
      <c r="H944" s="47">
        <v>44152</v>
      </c>
      <c r="I944" s="46">
        <v>50595</v>
      </c>
      <c r="J944" s="46">
        <v>2</v>
      </c>
      <c r="K944" s="47">
        <v>44155</v>
      </c>
      <c r="L944" s="46">
        <v>10427</v>
      </c>
      <c r="M944" s="46">
        <v>2</v>
      </c>
    </row>
    <row r="945" spans="2:13" ht="14.1" customHeight="1" x14ac:dyDescent="0.25">
      <c r="B945" s="46" t="str">
        <f t="shared" si="14"/>
        <v>2011-118-205431</v>
      </c>
      <c r="C945" s="47">
        <v>44155</v>
      </c>
      <c r="D945" s="46">
        <v>118</v>
      </c>
      <c r="E945" s="46">
        <v>1</v>
      </c>
      <c r="F945" s="46">
        <v>205431</v>
      </c>
      <c r="G945" s="48" t="s">
        <v>352</v>
      </c>
      <c r="H945" s="47">
        <v>44152</v>
      </c>
      <c r="I945" s="46">
        <v>50595</v>
      </c>
      <c r="J945" s="46">
        <v>1</v>
      </c>
      <c r="K945" s="47">
        <v>44155</v>
      </c>
      <c r="L945" s="46">
        <v>10427</v>
      </c>
      <c r="M945" s="46">
        <v>1</v>
      </c>
    </row>
    <row r="946" spans="2:13" ht="14.1" customHeight="1" x14ac:dyDescent="0.25">
      <c r="B946" s="46" t="str">
        <f t="shared" si="14"/>
        <v>2011-119-301930</v>
      </c>
      <c r="C946" s="47">
        <v>44155</v>
      </c>
      <c r="D946" s="46">
        <v>119</v>
      </c>
      <c r="E946" s="46">
        <v>1</v>
      </c>
      <c r="F946" s="46">
        <v>301930</v>
      </c>
      <c r="G946" s="48" t="s">
        <v>628</v>
      </c>
      <c r="H946" s="47">
        <v>44141</v>
      </c>
      <c r="I946" s="46">
        <v>50600</v>
      </c>
      <c r="J946" s="46">
        <v>1</v>
      </c>
      <c r="K946" s="47">
        <v>44155</v>
      </c>
      <c r="L946" s="46">
        <v>10428</v>
      </c>
      <c r="M946" s="46">
        <v>1</v>
      </c>
    </row>
    <row r="947" spans="2:13" ht="14.1" customHeight="1" x14ac:dyDescent="0.25">
      <c r="B947" s="46" t="str">
        <f t="shared" si="14"/>
        <v>2011-119-301929</v>
      </c>
      <c r="C947" s="47">
        <v>44155</v>
      </c>
      <c r="D947" s="46">
        <v>119</v>
      </c>
      <c r="E947" s="46">
        <v>1</v>
      </c>
      <c r="F947" s="46">
        <v>301929</v>
      </c>
      <c r="G947" s="48" t="s">
        <v>627</v>
      </c>
      <c r="H947" s="47">
        <v>44141</v>
      </c>
      <c r="I947" s="46">
        <v>50600</v>
      </c>
      <c r="J947" s="46">
        <v>1</v>
      </c>
      <c r="K947" s="47">
        <v>44155</v>
      </c>
      <c r="L947" s="46">
        <v>10428</v>
      </c>
      <c r="M947" s="46">
        <v>1</v>
      </c>
    </row>
    <row r="948" spans="2:13" ht="14.1" customHeight="1" x14ac:dyDescent="0.25">
      <c r="B948" s="46" t="str">
        <f t="shared" si="14"/>
        <v>2011-119-300017</v>
      </c>
      <c r="C948" s="47">
        <v>44155</v>
      </c>
      <c r="D948" s="46">
        <v>119</v>
      </c>
      <c r="E948" s="46">
        <v>1</v>
      </c>
      <c r="F948" s="46">
        <v>300017</v>
      </c>
      <c r="G948" s="48" t="s">
        <v>269</v>
      </c>
      <c r="H948" s="47">
        <v>44141</v>
      </c>
      <c r="I948" s="46">
        <v>50600</v>
      </c>
      <c r="J948" s="46">
        <v>1</v>
      </c>
      <c r="K948" s="47">
        <v>44155</v>
      </c>
      <c r="L948" s="46">
        <v>10428</v>
      </c>
      <c r="M948" s="46">
        <v>1</v>
      </c>
    </row>
    <row r="949" spans="2:13" ht="14.1" customHeight="1" x14ac:dyDescent="0.25">
      <c r="B949" s="46" t="str">
        <f t="shared" si="14"/>
        <v>2011-120-205153</v>
      </c>
      <c r="C949" s="47">
        <v>44155</v>
      </c>
      <c r="D949" s="46">
        <v>120</v>
      </c>
      <c r="E949" s="46">
        <v>2</v>
      </c>
      <c r="F949" s="46">
        <v>205153</v>
      </c>
      <c r="G949" s="48" t="s">
        <v>146</v>
      </c>
      <c r="H949" s="47">
        <v>44166</v>
      </c>
      <c r="I949" s="46">
        <v>50703</v>
      </c>
      <c r="J949" s="46">
        <v>2</v>
      </c>
      <c r="K949" s="47">
        <v>44179</v>
      </c>
      <c r="L949" s="46">
        <v>10671</v>
      </c>
      <c r="M949" s="46">
        <v>2</v>
      </c>
    </row>
    <row r="950" spans="2:13" ht="14.1" customHeight="1" x14ac:dyDescent="0.25">
      <c r="B950" s="46" t="str">
        <f t="shared" si="14"/>
        <v>2011-121-320235</v>
      </c>
      <c r="C950" s="47">
        <v>44155</v>
      </c>
      <c r="D950" s="46">
        <v>121</v>
      </c>
      <c r="E950" s="46">
        <v>2</v>
      </c>
      <c r="F950" s="46">
        <v>320235</v>
      </c>
      <c r="G950" s="48" t="s">
        <v>1064</v>
      </c>
      <c r="I950" s="46">
        <v>0</v>
      </c>
      <c r="J950" s="46">
        <v>0</v>
      </c>
      <c r="L950" s="46">
        <v>0</v>
      </c>
      <c r="M950" s="46">
        <v>0</v>
      </c>
    </row>
    <row r="951" spans="2:13" ht="14.1" customHeight="1" x14ac:dyDescent="0.25">
      <c r="B951" s="46" t="str">
        <f t="shared" si="14"/>
        <v>2011-121-100638</v>
      </c>
      <c r="C951" s="47">
        <v>44155</v>
      </c>
      <c r="D951" s="46">
        <v>121</v>
      </c>
      <c r="E951" s="46">
        <v>1</v>
      </c>
      <c r="F951" s="46">
        <v>100638</v>
      </c>
      <c r="G951" s="48" t="s">
        <v>419</v>
      </c>
      <c r="I951" s="46">
        <v>0</v>
      </c>
      <c r="J951" s="46">
        <v>0</v>
      </c>
      <c r="L951" s="46">
        <v>0</v>
      </c>
      <c r="M951" s="46">
        <v>0</v>
      </c>
    </row>
    <row r="952" spans="2:13" ht="14.1" customHeight="1" x14ac:dyDescent="0.25">
      <c r="B952" s="46" t="str">
        <f t="shared" si="14"/>
        <v>2011-121-311835</v>
      </c>
      <c r="C952" s="47">
        <v>44155</v>
      </c>
      <c r="D952" s="46">
        <v>121</v>
      </c>
      <c r="E952" s="46">
        <v>2</v>
      </c>
      <c r="F952" s="46">
        <v>311835</v>
      </c>
      <c r="G952" s="48" t="s">
        <v>793</v>
      </c>
      <c r="I952" s="46">
        <v>0</v>
      </c>
      <c r="J952" s="46">
        <v>0</v>
      </c>
      <c r="L952" s="46">
        <v>0</v>
      </c>
      <c r="M952" s="46">
        <v>0</v>
      </c>
    </row>
    <row r="953" spans="2:13" ht="14.1" customHeight="1" x14ac:dyDescent="0.25">
      <c r="B953" s="46" t="str">
        <f t="shared" si="14"/>
        <v>2011-133-320258</v>
      </c>
      <c r="C953" s="47">
        <v>44158</v>
      </c>
      <c r="D953" s="46">
        <v>133</v>
      </c>
      <c r="E953" s="46">
        <v>12</v>
      </c>
      <c r="F953" s="46">
        <v>320258</v>
      </c>
      <c r="G953" s="48" t="s">
        <v>1032</v>
      </c>
      <c r="H953" s="47">
        <v>44161</v>
      </c>
      <c r="I953" s="46">
        <v>50673</v>
      </c>
      <c r="J953" s="46">
        <v>12</v>
      </c>
      <c r="K953" s="47">
        <v>44291</v>
      </c>
      <c r="L953" s="46">
        <v>11705</v>
      </c>
      <c r="M953" s="46">
        <v>12</v>
      </c>
    </row>
    <row r="954" spans="2:13" ht="14.1" customHeight="1" x14ac:dyDescent="0.25">
      <c r="B954" s="46" t="str">
        <f t="shared" si="14"/>
        <v>2011-133-320274</v>
      </c>
      <c r="C954" s="47">
        <v>44158</v>
      </c>
      <c r="D954" s="46">
        <v>133</v>
      </c>
      <c r="E954" s="46">
        <v>8</v>
      </c>
      <c r="F954" s="46">
        <v>320274</v>
      </c>
      <c r="G954" s="48" t="s">
        <v>1033</v>
      </c>
      <c r="H954" s="47">
        <v>44161</v>
      </c>
      <c r="I954" s="46">
        <v>50673</v>
      </c>
      <c r="J954" s="46">
        <v>8</v>
      </c>
      <c r="K954" s="47">
        <v>44291</v>
      </c>
      <c r="L954" s="46">
        <v>11705</v>
      </c>
      <c r="M954" s="46">
        <v>8</v>
      </c>
    </row>
    <row r="955" spans="2:13" ht="14.1" customHeight="1" x14ac:dyDescent="0.25">
      <c r="B955" s="46" t="str">
        <f t="shared" si="14"/>
        <v>2011-133-320277</v>
      </c>
      <c r="C955" s="47">
        <v>44158</v>
      </c>
      <c r="D955" s="46">
        <v>133</v>
      </c>
      <c r="E955" s="46">
        <v>8</v>
      </c>
      <c r="F955" s="46">
        <v>320277</v>
      </c>
      <c r="G955" s="48" t="s">
        <v>1014</v>
      </c>
      <c r="H955" s="47">
        <v>44161</v>
      </c>
      <c r="I955" s="46">
        <v>50673</v>
      </c>
      <c r="J955" s="46">
        <v>8</v>
      </c>
      <c r="K955" s="47">
        <v>44291</v>
      </c>
      <c r="L955" s="46">
        <v>11705</v>
      </c>
      <c r="M955" s="46">
        <v>8</v>
      </c>
    </row>
    <row r="956" spans="2:13" ht="14.1" customHeight="1" x14ac:dyDescent="0.25">
      <c r="B956" s="46" t="str">
        <f t="shared" si="14"/>
        <v>2011-133-320285</v>
      </c>
      <c r="C956" s="47">
        <v>44158</v>
      </c>
      <c r="D956" s="46">
        <v>133</v>
      </c>
      <c r="E956" s="46">
        <v>36</v>
      </c>
      <c r="F956" s="46">
        <v>320285</v>
      </c>
      <c r="G956" s="48" t="s">
        <v>1015</v>
      </c>
      <c r="H956" s="47">
        <v>44161</v>
      </c>
      <c r="I956" s="46">
        <v>50673</v>
      </c>
      <c r="J956" s="46">
        <v>36</v>
      </c>
      <c r="K956" s="47">
        <v>44291</v>
      </c>
      <c r="L956" s="46">
        <v>11705</v>
      </c>
      <c r="M956" s="46">
        <v>36</v>
      </c>
    </row>
    <row r="957" spans="2:13" ht="14.1" customHeight="1" x14ac:dyDescent="0.25">
      <c r="B957" s="46" t="str">
        <f t="shared" si="14"/>
        <v>2011-133-320288</v>
      </c>
      <c r="C957" s="47">
        <v>44158</v>
      </c>
      <c r="D957" s="46">
        <v>133</v>
      </c>
      <c r="E957" s="46">
        <v>8</v>
      </c>
      <c r="F957" s="46">
        <v>320288</v>
      </c>
      <c r="G957" s="48" t="s">
        <v>1016</v>
      </c>
      <c r="H957" s="47">
        <v>44161</v>
      </c>
      <c r="I957" s="46">
        <v>50673</v>
      </c>
      <c r="J957" s="46">
        <v>8</v>
      </c>
      <c r="K957" s="47">
        <v>44291</v>
      </c>
      <c r="L957" s="46">
        <v>11705</v>
      </c>
      <c r="M957" s="46">
        <v>8</v>
      </c>
    </row>
    <row r="958" spans="2:13" ht="14.1" customHeight="1" x14ac:dyDescent="0.25">
      <c r="B958" s="46" t="str">
        <f t="shared" si="14"/>
        <v>2011-133-320291</v>
      </c>
      <c r="C958" s="47">
        <v>44158</v>
      </c>
      <c r="D958" s="46">
        <v>133</v>
      </c>
      <c r="E958" s="46">
        <v>12</v>
      </c>
      <c r="F958" s="46">
        <v>320291</v>
      </c>
      <c r="G958" s="48" t="s">
        <v>1017</v>
      </c>
      <c r="H958" s="47">
        <v>44161</v>
      </c>
      <c r="I958" s="46">
        <v>50673</v>
      </c>
      <c r="J958" s="46">
        <v>12</v>
      </c>
      <c r="K958" s="47">
        <v>44291</v>
      </c>
      <c r="L958" s="46">
        <v>11705</v>
      </c>
      <c r="M958" s="46">
        <v>12</v>
      </c>
    </row>
    <row r="959" spans="2:13" ht="14.1" customHeight="1" x14ac:dyDescent="0.25">
      <c r="B959" s="46" t="str">
        <f t="shared" si="14"/>
        <v>2011-133-320289</v>
      </c>
      <c r="C959" s="47">
        <v>44158</v>
      </c>
      <c r="D959" s="46">
        <v>133</v>
      </c>
      <c r="E959" s="46">
        <v>8</v>
      </c>
      <c r="F959" s="46">
        <v>320289</v>
      </c>
      <c r="G959" s="48" t="s">
        <v>995</v>
      </c>
      <c r="H959" s="47">
        <v>44161</v>
      </c>
      <c r="I959" s="46">
        <v>50673</v>
      </c>
      <c r="J959" s="46">
        <v>8</v>
      </c>
      <c r="K959" s="47">
        <v>44291</v>
      </c>
      <c r="L959" s="46">
        <v>11705</v>
      </c>
      <c r="M959" s="46">
        <v>8</v>
      </c>
    </row>
    <row r="960" spans="2:13" ht="14.1" customHeight="1" x14ac:dyDescent="0.25">
      <c r="B960" s="46" t="str">
        <f t="shared" si="14"/>
        <v>2011-133-320297</v>
      </c>
      <c r="C960" s="47">
        <v>44158</v>
      </c>
      <c r="D960" s="46">
        <v>133</v>
      </c>
      <c r="E960" s="46">
        <v>1</v>
      </c>
      <c r="F960" s="46">
        <v>320297</v>
      </c>
      <c r="G960" s="48" t="s">
        <v>997</v>
      </c>
      <c r="H960" s="47">
        <v>44161</v>
      </c>
      <c r="I960" s="46">
        <v>50673</v>
      </c>
      <c r="J960" s="46">
        <v>1</v>
      </c>
      <c r="K960" s="47">
        <v>44291</v>
      </c>
      <c r="L960" s="46">
        <v>11705</v>
      </c>
      <c r="M960" s="46">
        <v>1</v>
      </c>
    </row>
    <row r="961" spans="2:13" ht="14.1" customHeight="1" x14ac:dyDescent="0.25">
      <c r="B961" s="46" t="str">
        <f t="shared" si="14"/>
        <v>2011-133-320244</v>
      </c>
      <c r="C961" s="47">
        <v>44158</v>
      </c>
      <c r="D961" s="46">
        <v>133</v>
      </c>
      <c r="E961" s="46">
        <v>12</v>
      </c>
      <c r="F961" s="46">
        <v>320244</v>
      </c>
      <c r="G961" s="48" t="s">
        <v>1006</v>
      </c>
      <c r="H961" s="47">
        <v>44161</v>
      </c>
      <c r="I961" s="46">
        <v>50673</v>
      </c>
      <c r="J961" s="46">
        <v>12</v>
      </c>
      <c r="K961" s="47">
        <v>44291</v>
      </c>
      <c r="L961" s="46">
        <v>11705</v>
      </c>
      <c r="M961" s="46">
        <v>12</v>
      </c>
    </row>
    <row r="962" spans="2:13" ht="14.1" customHeight="1" x14ac:dyDescent="0.25">
      <c r="B962" s="46" t="str">
        <f t="shared" si="14"/>
        <v>2011-133-320262</v>
      </c>
      <c r="C962" s="47">
        <v>44158</v>
      </c>
      <c r="D962" s="46">
        <v>133</v>
      </c>
      <c r="E962" s="46">
        <v>12</v>
      </c>
      <c r="F962" s="46">
        <v>320262</v>
      </c>
      <c r="G962" s="48" t="s">
        <v>998</v>
      </c>
      <c r="H962" s="47">
        <v>44161</v>
      </c>
      <c r="I962" s="46">
        <v>50673</v>
      </c>
      <c r="J962" s="46">
        <v>12</v>
      </c>
      <c r="K962" s="47">
        <v>44291</v>
      </c>
      <c r="L962" s="46">
        <v>11705</v>
      </c>
      <c r="M962" s="46">
        <v>12</v>
      </c>
    </row>
    <row r="963" spans="2:13" ht="14.1" customHeight="1" x14ac:dyDescent="0.25">
      <c r="B963" s="46" t="str">
        <f t="shared" si="14"/>
        <v>2011-133-320276</v>
      </c>
      <c r="C963" s="47">
        <v>44158</v>
      </c>
      <c r="D963" s="46">
        <v>133</v>
      </c>
      <c r="E963" s="46">
        <v>8</v>
      </c>
      <c r="F963" s="46">
        <v>320276</v>
      </c>
      <c r="G963" s="48" t="s">
        <v>1000</v>
      </c>
      <c r="H963" s="47">
        <v>44161</v>
      </c>
      <c r="I963" s="46">
        <v>50673</v>
      </c>
      <c r="J963" s="46">
        <v>8</v>
      </c>
      <c r="K963" s="47">
        <v>44291</v>
      </c>
      <c r="L963" s="46">
        <v>11705</v>
      </c>
      <c r="M963" s="46">
        <v>8</v>
      </c>
    </row>
    <row r="964" spans="2:13" ht="14.1" customHeight="1" x14ac:dyDescent="0.25">
      <c r="B964" s="46" t="str">
        <f t="shared" si="14"/>
        <v>2011-133-320280</v>
      </c>
      <c r="C964" s="47">
        <v>44158</v>
      </c>
      <c r="D964" s="46">
        <v>133</v>
      </c>
      <c r="E964" s="46">
        <v>8</v>
      </c>
      <c r="F964" s="46">
        <v>320280</v>
      </c>
      <c r="G964" s="48" t="s">
        <v>1001</v>
      </c>
      <c r="H964" s="47">
        <v>44161</v>
      </c>
      <c r="I964" s="46">
        <v>50673</v>
      </c>
      <c r="J964" s="46">
        <v>8</v>
      </c>
      <c r="K964" s="47">
        <v>44291</v>
      </c>
      <c r="L964" s="46">
        <v>11705</v>
      </c>
      <c r="M964" s="46">
        <v>8</v>
      </c>
    </row>
    <row r="965" spans="2:13" ht="14.1" customHeight="1" x14ac:dyDescent="0.25">
      <c r="B965" s="46" t="str">
        <f t="shared" si="14"/>
        <v>2011-133-320275</v>
      </c>
      <c r="C965" s="47">
        <v>44158</v>
      </c>
      <c r="D965" s="46">
        <v>133</v>
      </c>
      <c r="E965" s="46">
        <v>8</v>
      </c>
      <c r="F965" s="46">
        <v>320275</v>
      </c>
      <c r="G965" s="48" t="s">
        <v>1036</v>
      </c>
      <c r="H965" s="47">
        <v>44161</v>
      </c>
      <c r="I965" s="46">
        <v>50673</v>
      </c>
      <c r="J965" s="46">
        <v>8</v>
      </c>
      <c r="K965" s="47">
        <v>44291</v>
      </c>
      <c r="L965" s="46">
        <v>11705</v>
      </c>
      <c r="M965" s="46">
        <v>8</v>
      </c>
    </row>
    <row r="966" spans="2:13" ht="14.1" customHeight="1" x14ac:dyDescent="0.25">
      <c r="B966" s="46" t="str">
        <f t="shared" si="14"/>
        <v>2011-133-320278</v>
      </c>
      <c r="C966" s="47">
        <v>44158</v>
      </c>
      <c r="D966" s="46">
        <v>133</v>
      </c>
      <c r="E966" s="46">
        <v>8</v>
      </c>
      <c r="F966" s="46">
        <v>320278</v>
      </c>
      <c r="G966" s="48" t="s">
        <v>1037</v>
      </c>
      <c r="H966" s="47">
        <v>44161</v>
      </c>
      <c r="I966" s="46">
        <v>50673</v>
      </c>
      <c r="J966" s="46">
        <v>8</v>
      </c>
      <c r="K966" s="47">
        <v>44291</v>
      </c>
      <c r="L966" s="46">
        <v>11705</v>
      </c>
      <c r="M966" s="46">
        <v>8</v>
      </c>
    </row>
    <row r="967" spans="2:13" ht="14.1" customHeight="1" x14ac:dyDescent="0.25">
      <c r="B967" s="46" t="str">
        <f t="shared" si="14"/>
        <v>2011-133-320287</v>
      </c>
      <c r="C967" s="47">
        <v>44158</v>
      </c>
      <c r="D967" s="46">
        <v>133</v>
      </c>
      <c r="E967" s="46">
        <v>6</v>
      </c>
      <c r="F967" s="46">
        <v>320287</v>
      </c>
      <c r="G967" s="48" t="s">
        <v>1027</v>
      </c>
      <c r="H967" s="47">
        <v>44161</v>
      </c>
      <c r="I967" s="46">
        <v>50673</v>
      </c>
      <c r="J967" s="46">
        <v>6</v>
      </c>
      <c r="K967" s="47">
        <v>44291</v>
      </c>
      <c r="L967" s="46">
        <v>11705</v>
      </c>
      <c r="M967" s="46">
        <v>6</v>
      </c>
    </row>
    <row r="968" spans="2:13" ht="14.1" customHeight="1" x14ac:dyDescent="0.25">
      <c r="B968" s="46" t="str">
        <f t="shared" si="14"/>
        <v>2011-133-320290</v>
      </c>
      <c r="C968" s="47">
        <v>44158</v>
      </c>
      <c r="D968" s="46">
        <v>133</v>
      </c>
      <c r="E968" s="46">
        <v>8</v>
      </c>
      <c r="F968" s="46">
        <v>320290</v>
      </c>
      <c r="G968" s="48" t="s">
        <v>1028</v>
      </c>
      <c r="H968" s="47">
        <v>44161</v>
      </c>
      <c r="I968" s="46">
        <v>50673</v>
      </c>
      <c r="J968" s="46">
        <v>8</v>
      </c>
      <c r="K968" s="47">
        <v>44291</v>
      </c>
      <c r="L968" s="46">
        <v>11705</v>
      </c>
      <c r="M968" s="46">
        <v>8</v>
      </c>
    </row>
    <row r="969" spans="2:13" ht="14.1" customHeight="1" x14ac:dyDescent="0.25">
      <c r="B969" s="46" t="str">
        <f t="shared" si="14"/>
        <v>2011-133-320263</v>
      </c>
      <c r="C969" s="47">
        <v>44158</v>
      </c>
      <c r="D969" s="46">
        <v>133</v>
      </c>
      <c r="E969" s="46">
        <v>2</v>
      </c>
      <c r="F969" s="46">
        <v>320263</v>
      </c>
      <c r="G969" s="48" t="s">
        <v>993</v>
      </c>
      <c r="H969" s="47">
        <v>44161</v>
      </c>
      <c r="I969" s="46">
        <v>50673</v>
      </c>
      <c r="J969" s="46">
        <v>2</v>
      </c>
      <c r="K969" s="47">
        <v>44291</v>
      </c>
      <c r="L969" s="46">
        <v>11705</v>
      </c>
      <c r="M969" s="46">
        <v>2</v>
      </c>
    </row>
    <row r="970" spans="2:13" ht="14.1" customHeight="1" x14ac:dyDescent="0.25">
      <c r="B970" s="46" t="str">
        <f t="shared" si="14"/>
        <v>2011-133-320282</v>
      </c>
      <c r="C970" s="47">
        <v>44158</v>
      </c>
      <c r="D970" s="46">
        <v>133</v>
      </c>
      <c r="E970" s="46">
        <v>8</v>
      </c>
      <c r="F970" s="46">
        <v>320282</v>
      </c>
      <c r="G970" s="48" t="s">
        <v>994</v>
      </c>
      <c r="H970" s="47">
        <v>44161</v>
      </c>
      <c r="I970" s="46">
        <v>50673</v>
      </c>
      <c r="J970" s="46">
        <v>8</v>
      </c>
      <c r="K970" s="47">
        <v>44291</v>
      </c>
      <c r="L970" s="46">
        <v>11705</v>
      </c>
      <c r="M970" s="46">
        <v>8</v>
      </c>
    </row>
    <row r="971" spans="2:13" ht="14.1" customHeight="1" x14ac:dyDescent="0.25">
      <c r="B971" s="46" t="str">
        <f t="shared" si="14"/>
        <v>2011-133-320270</v>
      </c>
      <c r="C971" s="47">
        <v>44158</v>
      </c>
      <c r="D971" s="46">
        <v>133</v>
      </c>
      <c r="E971" s="46">
        <v>2</v>
      </c>
      <c r="F971" s="46">
        <v>320270</v>
      </c>
      <c r="G971" s="48" t="s">
        <v>1030</v>
      </c>
      <c r="H971" s="47">
        <v>44161</v>
      </c>
      <c r="I971" s="46">
        <v>50673</v>
      </c>
      <c r="J971" s="46">
        <v>2</v>
      </c>
      <c r="K971" s="47">
        <v>44291</v>
      </c>
      <c r="L971" s="46">
        <v>11705</v>
      </c>
      <c r="M971" s="46">
        <v>2</v>
      </c>
    </row>
    <row r="972" spans="2:13" ht="14.1" customHeight="1" x14ac:dyDescent="0.25">
      <c r="B972" s="46" t="str">
        <f t="shared" ref="B972:B1035" si="15">TEXT(C972,"yy") &amp; TEXT(C972,"mm") &amp;"-"&amp;(D972) &amp;"-"&amp;(F972)</f>
        <v>2011-133-320281</v>
      </c>
      <c r="C972" s="47">
        <v>44158</v>
      </c>
      <c r="D972" s="46">
        <v>133</v>
      </c>
      <c r="E972" s="46">
        <v>8</v>
      </c>
      <c r="F972" s="46">
        <v>320281</v>
      </c>
      <c r="G972" s="48" t="s">
        <v>1031</v>
      </c>
      <c r="H972" s="47">
        <v>44161</v>
      </c>
      <c r="I972" s="46">
        <v>50673</v>
      </c>
      <c r="J972" s="46">
        <v>8</v>
      </c>
      <c r="L972" s="46">
        <v>0</v>
      </c>
      <c r="M972" s="46">
        <v>0</v>
      </c>
    </row>
    <row r="973" spans="2:13" ht="14.1" customHeight="1" x14ac:dyDescent="0.25">
      <c r="B973" s="46" t="str">
        <f t="shared" si="15"/>
        <v>2011-133-320286</v>
      </c>
      <c r="C973" s="47">
        <v>44158</v>
      </c>
      <c r="D973" s="46">
        <v>133</v>
      </c>
      <c r="E973" s="46">
        <v>8</v>
      </c>
      <c r="F973" s="46">
        <v>320286</v>
      </c>
      <c r="G973" s="48" t="s">
        <v>1020</v>
      </c>
      <c r="H973" s="47">
        <v>44161</v>
      </c>
      <c r="I973" s="46">
        <v>50673</v>
      </c>
      <c r="J973" s="46">
        <v>8</v>
      </c>
      <c r="K973" s="47">
        <v>44291</v>
      </c>
      <c r="L973" s="46">
        <v>11705</v>
      </c>
      <c r="M973" s="46">
        <v>8</v>
      </c>
    </row>
    <row r="974" spans="2:13" ht="14.1" customHeight="1" x14ac:dyDescent="0.25">
      <c r="B974" s="46" t="str">
        <f t="shared" si="15"/>
        <v>2011-133-320293</v>
      </c>
      <c r="C974" s="47">
        <v>44158</v>
      </c>
      <c r="D974" s="46">
        <v>133</v>
      </c>
      <c r="E974" s="46">
        <v>2</v>
      </c>
      <c r="F974" s="46">
        <v>320293</v>
      </c>
      <c r="G974" s="48" t="s">
        <v>1021</v>
      </c>
      <c r="H974" s="47">
        <v>44161</v>
      </c>
      <c r="I974" s="46">
        <v>50673</v>
      </c>
      <c r="J974" s="46">
        <v>2</v>
      </c>
      <c r="K974" s="47">
        <v>44291</v>
      </c>
      <c r="L974" s="46">
        <v>11705</v>
      </c>
      <c r="M974" s="46">
        <v>2</v>
      </c>
    </row>
    <row r="975" spans="2:13" ht="14.1" customHeight="1" x14ac:dyDescent="0.25">
      <c r="B975" s="46" t="str">
        <f t="shared" si="15"/>
        <v>2011-133-320257</v>
      </c>
      <c r="C975" s="47">
        <v>44158</v>
      </c>
      <c r="D975" s="46">
        <v>133</v>
      </c>
      <c r="E975" s="46">
        <v>2</v>
      </c>
      <c r="F975" s="46">
        <v>320257</v>
      </c>
      <c r="G975" s="48" t="s">
        <v>1034</v>
      </c>
      <c r="H975" s="47">
        <v>44161</v>
      </c>
      <c r="I975" s="46">
        <v>50673</v>
      </c>
      <c r="J975" s="46">
        <v>2</v>
      </c>
      <c r="K975" s="47">
        <v>44291</v>
      </c>
      <c r="L975" s="46">
        <v>11705</v>
      </c>
      <c r="M975" s="46">
        <v>2</v>
      </c>
    </row>
    <row r="976" spans="2:13" ht="14.1" customHeight="1" x14ac:dyDescent="0.25">
      <c r="B976" s="46" t="str">
        <f t="shared" si="15"/>
        <v>2011-133-320269</v>
      </c>
      <c r="C976" s="47">
        <v>44158</v>
      </c>
      <c r="D976" s="46">
        <v>133</v>
      </c>
      <c r="E976" s="46">
        <v>1</v>
      </c>
      <c r="F976" s="46">
        <v>320269</v>
      </c>
      <c r="G976" s="48" t="s">
        <v>1035</v>
      </c>
      <c r="H976" s="47">
        <v>44161</v>
      </c>
      <c r="I976" s="46">
        <v>50673</v>
      </c>
      <c r="J976" s="46">
        <v>1</v>
      </c>
      <c r="K976" s="47">
        <v>44291</v>
      </c>
      <c r="L976" s="46">
        <v>11705</v>
      </c>
      <c r="M976" s="46">
        <v>1</v>
      </c>
    </row>
    <row r="977" spans="2:13" ht="14.1" customHeight="1" x14ac:dyDescent="0.25">
      <c r="B977" s="46" t="str">
        <f t="shared" si="15"/>
        <v>2011-133-320264</v>
      </c>
      <c r="C977" s="47">
        <v>44158</v>
      </c>
      <c r="D977" s="46">
        <v>133</v>
      </c>
      <c r="E977" s="46">
        <v>2</v>
      </c>
      <c r="F977" s="46">
        <v>320264</v>
      </c>
      <c r="G977" s="48" t="s">
        <v>1023</v>
      </c>
      <c r="H977" s="47">
        <v>44161</v>
      </c>
      <c r="I977" s="46">
        <v>50673</v>
      </c>
      <c r="J977" s="46">
        <v>2</v>
      </c>
      <c r="K977" s="47">
        <v>44291</v>
      </c>
      <c r="L977" s="46">
        <v>11705</v>
      </c>
      <c r="M977" s="46">
        <v>2</v>
      </c>
    </row>
    <row r="978" spans="2:13" ht="14.1" customHeight="1" x14ac:dyDescent="0.25">
      <c r="B978" s="46" t="str">
        <f t="shared" si="15"/>
        <v>2011-133-320267</v>
      </c>
      <c r="C978" s="47">
        <v>44158</v>
      </c>
      <c r="D978" s="46">
        <v>133</v>
      </c>
      <c r="E978" s="46">
        <v>2</v>
      </c>
      <c r="F978" s="46">
        <v>320267</v>
      </c>
      <c r="G978" s="48" t="s">
        <v>1024</v>
      </c>
      <c r="H978" s="47">
        <v>44161</v>
      </c>
      <c r="I978" s="46">
        <v>50673</v>
      </c>
      <c r="J978" s="46">
        <v>2</v>
      </c>
      <c r="K978" s="47">
        <v>44291</v>
      </c>
      <c r="L978" s="46">
        <v>11705</v>
      </c>
      <c r="M978" s="46">
        <v>2</v>
      </c>
    </row>
    <row r="979" spans="2:13" ht="14.1" customHeight="1" x14ac:dyDescent="0.25">
      <c r="B979" s="46" t="str">
        <f t="shared" si="15"/>
        <v>2011-133-320273</v>
      </c>
      <c r="C979" s="47">
        <v>44158</v>
      </c>
      <c r="D979" s="46">
        <v>133</v>
      </c>
      <c r="E979" s="46">
        <v>2</v>
      </c>
      <c r="F979" s="46">
        <v>320273</v>
      </c>
      <c r="G979" s="48" t="s">
        <v>1025</v>
      </c>
      <c r="H979" s="47">
        <v>44161</v>
      </c>
      <c r="I979" s="46">
        <v>50673</v>
      </c>
      <c r="J979" s="46">
        <v>2</v>
      </c>
      <c r="K979" s="47">
        <v>44291</v>
      </c>
      <c r="L979" s="46">
        <v>11705</v>
      </c>
      <c r="M979" s="46">
        <v>2</v>
      </c>
    </row>
    <row r="980" spans="2:13" ht="14.1" customHeight="1" x14ac:dyDescent="0.25">
      <c r="B980" s="46" t="str">
        <f t="shared" si="15"/>
        <v>2011-133-320279</v>
      </c>
      <c r="C980" s="47">
        <v>44158</v>
      </c>
      <c r="D980" s="46">
        <v>133</v>
      </c>
      <c r="E980" s="46">
        <v>8</v>
      </c>
      <c r="F980" s="46">
        <v>320279</v>
      </c>
      <c r="G980" s="48" t="s">
        <v>1004</v>
      </c>
      <c r="H980" s="47">
        <v>44161</v>
      </c>
      <c r="I980" s="46">
        <v>50673</v>
      </c>
      <c r="J980" s="46">
        <v>8</v>
      </c>
      <c r="K980" s="47">
        <v>44291</v>
      </c>
      <c r="L980" s="46">
        <v>11705</v>
      </c>
      <c r="M980" s="46">
        <v>8</v>
      </c>
    </row>
    <row r="981" spans="2:13" ht="14.1" customHeight="1" x14ac:dyDescent="0.25">
      <c r="B981" s="46" t="str">
        <f t="shared" si="15"/>
        <v>2011-133-320295</v>
      </c>
      <c r="C981" s="47">
        <v>44158</v>
      </c>
      <c r="D981" s="46">
        <v>133</v>
      </c>
      <c r="E981" s="46">
        <v>24</v>
      </c>
      <c r="F981" s="46">
        <v>320295</v>
      </c>
      <c r="G981" s="48" t="s">
        <v>1005</v>
      </c>
      <c r="H981" s="47">
        <v>44161</v>
      </c>
      <c r="I981" s="46">
        <v>50673</v>
      </c>
      <c r="J981" s="46">
        <v>24</v>
      </c>
      <c r="K981" s="47">
        <v>44291</v>
      </c>
      <c r="L981" s="46">
        <v>11705</v>
      </c>
      <c r="M981" s="46">
        <v>24</v>
      </c>
    </row>
    <row r="982" spans="2:13" ht="14.1" customHeight="1" x14ac:dyDescent="0.25">
      <c r="B982" s="46" t="str">
        <f t="shared" si="15"/>
        <v>2011-133-320245</v>
      </c>
      <c r="C982" s="47">
        <v>44158</v>
      </c>
      <c r="D982" s="46">
        <v>133</v>
      </c>
      <c r="E982" s="46">
        <v>12</v>
      </c>
      <c r="F982" s="46">
        <v>320245</v>
      </c>
      <c r="G982" s="48" t="s">
        <v>1029</v>
      </c>
      <c r="H982" s="47">
        <v>44161</v>
      </c>
      <c r="I982" s="46">
        <v>50673</v>
      </c>
      <c r="J982" s="46">
        <v>12</v>
      </c>
      <c r="K982" s="47">
        <v>44291</v>
      </c>
      <c r="L982" s="46">
        <v>11705</v>
      </c>
      <c r="M982" s="46">
        <v>12</v>
      </c>
    </row>
    <row r="983" spans="2:13" ht="14.1" customHeight="1" x14ac:dyDescent="0.25">
      <c r="B983" s="46" t="str">
        <f t="shared" si="15"/>
        <v>2011-133-320296</v>
      </c>
      <c r="C983" s="47">
        <v>44158</v>
      </c>
      <c r="D983" s="46">
        <v>133</v>
      </c>
      <c r="E983" s="46">
        <v>8</v>
      </c>
      <c r="F983" s="46">
        <v>320296</v>
      </c>
      <c r="G983" s="48" t="s">
        <v>1018</v>
      </c>
      <c r="H983" s="47">
        <v>44161</v>
      </c>
      <c r="I983" s="46">
        <v>50673</v>
      </c>
      <c r="J983" s="46">
        <v>8</v>
      </c>
      <c r="K983" s="47">
        <v>44291</v>
      </c>
      <c r="L983" s="46">
        <v>11705</v>
      </c>
      <c r="M983" s="46">
        <v>8</v>
      </c>
    </row>
    <row r="984" spans="2:13" ht="14.1" customHeight="1" x14ac:dyDescent="0.25">
      <c r="B984" s="46" t="str">
        <f t="shared" si="15"/>
        <v>2011-133-320246</v>
      </c>
      <c r="C984" s="47">
        <v>44158</v>
      </c>
      <c r="D984" s="46">
        <v>133</v>
      </c>
      <c r="E984" s="46">
        <v>24</v>
      </c>
      <c r="F984" s="46">
        <v>320246</v>
      </c>
      <c r="G984" s="48" t="s">
        <v>1008</v>
      </c>
      <c r="H984" s="47">
        <v>44161</v>
      </c>
      <c r="I984" s="46">
        <v>50673</v>
      </c>
      <c r="J984" s="46">
        <v>24</v>
      </c>
      <c r="K984" s="47">
        <v>44291</v>
      </c>
      <c r="L984" s="46">
        <v>11705</v>
      </c>
      <c r="M984" s="46">
        <v>24</v>
      </c>
    </row>
    <row r="985" spans="2:13" ht="14.1" customHeight="1" x14ac:dyDescent="0.25">
      <c r="B985" s="46" t="str">
        <f t="shared" si="15"/>
        <v>2011-133-320261</v>
      </c>
      <c r="C985" s="47">
        <v>44158</v>
      </c>
      <c r="D985" s="46">
        <v>133</v>
      </c>
      <c r="E985" s="46">
        <v>4</v>
      </c>
      <c r="F985" s="46">
        <v>320261</v>
      </c>
      <c r="G985" s="48" t="s">
        <v>1009</v>
      </c>
      <c r="H985" s="47">
        <v>44161</v>
      </c>
      <c r="I985" s="46">
        <v>50673</v>
      </c>
      <c r="J985" s="46">
        <v>4</v>
      </c>
      <c r="K985" s="47">
        <v>44291</v>
      </c>
      <c r="L985" s="46">
        <v>11705</v>
      </c>
      <c r="M985" s="46">
        <v>4</v>
      </c>
    </row>
    <row r="986" spans="2:13" ht="14.1" customHeight="1" x14ac:dyDescent="0.25">
      <c r="B986" s="46" t="str">
        <f t="shared" si="15"/>
        <v>2011-133-320266</v>
      </c>
      <c r="C986" s="47">
        <v>44158</v>
      </c>
      <c r="D986" s="46">
        <v>133</v>
      </c>
      <c r="E986" s="46">
        <v>2</v>
      </c>
      <c r="F986" s="46">
        <v>320266</v>
      </c>
      <c r="G986" s="48" t="s">
        <v>1011</v>
      </c>
      <c r="H986" s="47">
        <v>44161</v>
      </c>
      <c r="I986" s="46">
        <v>50673</v>
      </c>
      <c r="J986" s="46">
        <v>2</v>
      </c>
      <c r="L986" s="46">
        <v>0</v>
      </c>
      <c r="M986" s="46">
        <v>0</v>
      </c>
    </row>
    <row r="987" spans="2:13" ht="14.1" customHeight="1" x14ac:dyDescent="0.25">
      <c r="B987" s="46" t="str">
        <f t="shared" si="15"/>
        <v>2011-133-320268</v>
      </c>
      <c r="C987" s="47">
        <v>44158</v>
      </c>
      <c r="D987" s="46">
        <v>133</v>
      </c>
      <c r="E987" s="46">
        <v>2</v>
      </c>
      <c r="F987" s="46">
        <v>320268</v>
      </c>
      <c r="G987" s="48" t="s">
        <v>1012</v>
      </c>
      <c r="H987" s="47">
        <v>44161</v>
      </c>
      <c r="I987" s="46">
        <v>50673</v>
      </c>
      <c r="J987" s="46">
        <v>2</v>
      </c>
      <c r="K987" s="47">
        <v>44291</v>
      </c>
      <c r="L987" s="46">
        <v>11705</v>
      </c>
      <c r="M987" s="46">
        <v>2</v>
      </c>
    </row>
    <row r="988" spans="2:13" ht="14.1" customHeight="1" x14ac:dyDescent="0.25">
      <c r="B988" s="46" t="str">
        <f t="shared" si="15"/>
        <v>2011-133-320260</v>
      </c>
      <c r="C988" s="47">
        <v>44158</v>
      </c>
      <c r="D988" s="46">
        <v>133</v>
      </c>
      <c r="E988" s="46">
        <v>4</v>
      </c>
      <c r="F988" s="46">
        <v>320260</v>
      </c>
      <c r="G988" s="48" t="s">
        <v>1022</v>
      </c>
      <c r="H988" s="47">
        <v>44161</v>
      </c>
      <c r="I988" s="46">
        <v>50673</v>
      </c>
      <c r="J988" s="46">
        <v>4</v>
      </c>
      <c r="K988" s="47">
        <v>44291</v>
      </c>
      <c r="L988" s="46">
        <v>11705</v>
      </c>
      <c r="M988" s="46">
        <v>4</v>
      </c>
    </row>
    <row r="989" spans="2:13" ht="14.1" customHeight="1" x14ac:dyDescent="0.25">
      <c r="B989" s="46" t="str">
        <f t="shared" si="15"/>
        <v>2011-134-310627</v>
      </c>
      <c r="C989" s="47">
        <v>44158</v>
      </c>
      <c r="D989" s="46">
        <v>134</v>
      </c>
      <c r="E989" s="46">
        <v>1</v>
      </c>
      <c r="F989" s="46">
        <v>310627</v>
      </c>
      <c r="G989" s="48" t="s">
        <v>772</v>
      </c>
      <c r="H989" s="47">
        <v>44159</v>
      </c>
      <c r="I989" s="46">
        <v>50623</v>
      </c>
      <c r="J989" s="46">
        <v>1</v>
      </c>
      <c r="K989" s="47">
        <v>44160</v>
      </c>
      <c r="L989" s="46">
        <v>10478</v>
      </c>
      <c r="M989" s="46">
        <v>1</v>
      </c>
    </row>
    <row r="990" spans="2:13" ht="14.1" customHeight="1" x14ac:dyDescent="0.25">
      <c r="B990" s="46" t="str">
        <f t="shared" si="15"/>
        <v>2011-135-319359</v>
      </c>
      <c r="C990" s="47">
        <v>44158</v>
      </c>
      <c r="D990" s="46">
        <v>135</v>
      </c>
      <c r="E990" s="46">
        <v>6000</v>
      </c>
      <c r="F990" s="46">
        <v>319359</v>
      </c>
      <c r="G990" s="48" t="s">
        <v>210</v>
      </c>
      <c r="H990" s="47">
        <v>44158</v>
      </c>
      <c r="I990" s="46">
        <v>50610</v>
      </c>
      <c r="J990" s="46">
        <v>6000</v>
      </c>
      <c r="K990" s="47">
        <v>44160</v>
      </c>
      <c r="L990" s="46">
        <v>10476</v>
      </c>
      <c r="M990" s="46">
        <v>6000</v>
      </c>
    </row>
    <row r="991" spans="2:13" ht="14.1" customHeight="1" x14ac:dyDescent="0.25">
      <c r="B991" s="46" t="str">
        <f t="shared" si="15"/>
        <v>2011-136-204888</v>
      </c>
      <c r="C991" s="47">
        <v>44159</v>
      </c>
      <c r="D991" s="46">
        <v>136</v>
      </c>
      <c r="E991" s="46">
        <v>200</v>
      </c>
      <c r="F991" s="46">
        <v>204888</v>
      </c>
      <c r="G991" s="48" t="s">
        <v>201</v>
      </c>
      <c r="H991" s="47">
        <v>44159</v>
      </c>
      <c r="I991" s="46">
        <v>50641</v>
      </c>
      <c r="J991" s="46">
        <v>200</v>
      </c>
      <c r="K991" s="47">
        <v>44166</v>
      </c>
      <c r="L991" s="46">
        <v>10555</v>
      </c>
      <c r="M991" s="46">
        <v>200</v>
      </c>
    </row>
    <row r="992" spans="2:13" ht="14.1" customHeight="1" x14ac:dyDescent="0.25">
      <c r="B992" s="46" t="str">
        <f t="shared" si="15"/>
        <v>2011-136-313529</v>
      </c>
      <c r="C992" s="47">
        <v>44159</v>
      </c>
      <c r="D992" s="46">
        <v>136</v>
      </c>
      <c r="E992" s="46">
        <v>4</v>
      </c>
      <c r="F992" s="46">
        <v>313529</v>
      </c>
      <c r="G992" s="48" t="s">
        <v>404</v>
      </c>
      <c r="H992" s="47">
        <v>44161</v>
      </c>
      <c r="I992" s="46">
        <v>50675</v>
      </c>
      <c r="J992" s="46">
        <v>4</v>
      </c>
      <c r="K992" s="47">
        <v>44183</v>
      </c>
      <c r="L992" s="46">
        <v>10716</v>
      </c>
      <c r="M992" s="46">
        <v>4</v>
      </c>
    </row>
    <row r="993" spans="2:13" ht="14.1" customHeight="1" x14ac:dyDescent="0.25">
      <c r="B993" s="46" t="str">
        <f t="shared" si="15"/>
        <v>2011-136-312616</v>
      </c>
      <c r="C993" s="47">
        <v>44159</v>
      </c>
      <c r="D993" s="46">
        <v>136</v>
      </c>
      <c r="E993" s="46">
        <v>4</v>
      </c>
      <c r="F993" s="46">
        <v>312616</v>
      </c>
      <c r="G993" s="48" t="s">
        <v>818</v>
      </c>
      <c r="H993" s="47">
        <v>44161</v>
      </c>
      <c r="I993" s="46">
        <v>50675</v>
      </c>
      <c r="J993" s="46">
        <v>4</v>
      </c>
      <c r="K993" s="47">
        <v>44183</v>
      </c>
      <c r="L993" s="46">
        <v>10715</v>
      </c>
      <c r="M993" s="46">
        <v>4</v>
      </c>
    </row>
    <row r="994" spans="2:13" ht="14.1" customHeight="1" x14ac:dyDescent="0.25">
      <c r="B994" s="46" t="str">
        <f t="shared" si="15"/>
        <v>2011-137-318924</v>
      </c>
      <c r="C994" s="47">
        <v>44159</v>
      </c>
      <c r="D994" s="46">
        <v>137</v>
      </c>
      <c r="E994" s="46">
        <v>4</v>
      </c>
      <c r="F994" s="46">
        <v>318924</v>
      </c>
      <c r="G994" s="48" t="s">
        <v>928</v>
      </c>
      <c r="H994" s="47">
        <v>44159</v>
      </c>
      <c r="I994" s="46">
        <v>50638</v>
      </c>
      <c r="J994" s="46">
        <v>4</v>
      </c>
      <c r="K994" s="47">
        <v>44161</v>
      </c>
      <c r="L994" s="46">
        <v>10493</v>
      </c>
      <c r="M994" s="46">
        <v>4</v>
      </c>
    </row>
    <row r="995" spans="2:13" ht="14.1" customHeight="1" x14ac:dyDescent="0.25">
      <c r="B995" s="46" t="str">
        <f t="shared" si="15"/>
        <v>2011-138-200751</v>
      </c>
      <c r="C995" s="47">
        <v>44159</v>
      </c>
      <c r="D995" s="46">
        <v>138</v>
      </c>
      <c r="E995" s="46">
        <v>20000</v>
      </c>
      <c r="F995" s="46">
        <v>200751</v>
      </c>
      <c r="G995" s="48" t="s">
        <v>151</v>
      </c>
      <c r="H995" s="47">
        <v>44158</v>
      </c>
      <c r="I995" s="46">
        <v>50629</v>
      </c>
      <c r="J995" s="46">
        <v>10000</v>
      </c>
      <c r="K995" s="47">
        <v>44159</v>
      </c>
      <c r="L995" s="46">
        <v>10462</v>
      </c>
      <c r="M995" s="46">
        <v>10000</v>
      </c>
    </row>
    <row r="996" spans="2:13" ht="14.1" customHeight="1" x14ac:dyDescent="0.25">
      <c r="B996" s="46" t="str">
        <f t="shared" si="15"/>
        <v>2011-138-200751</v>
      </c>
      <c r="C996" s="47">
        <v>44159</v>
      </c>
      <c r="D996" s="46">
        <v>138</v>
      </c>
      <c r="E996" s="46">
        <v>20000</v>
      </c>
      <c r="F996" s="46">
        <v>200751</v>
      </c>
      <c r="G996" s="48" t="s">
        <v>151</v>
      </c>
      <c r="H996" s="47">
        <v>44158</v>
      </c>
      <c r="I996" s="46">
        <v>50629</v>
      </c>
      <c r="J996" s="46">
        <v>10000</v>
      </c>
      <c r="K996" s="47">
        <v>44159</v>
      </c>
      <c r="L996" s="46">
        <v>10463</v>
      </c>
      <c r="M996" s="46">
        <v>10000</v>
      </c>
    </row>
    <row r="997" spans="2:13" ht="14.1" customHeight="1" x14ac:dyDescent="0.25">
      <c r="B997" s="46" t="str">
        <f t="shared" si="15"/>
        <v>2011-138-200751</v>
      </c>
      <c r="C997" s="47">
        <v>44159</v>
      </c>
      <c r="D997" s="46">
        <v>138</v>
      </c>
      <c r="E997" s="46">
        <v>20000</v>
      </c>
      <c r="F997" s="46">
        <v>200751</v>
      </c>
      <c r="G997" s="48" t="s">
        <v>151</v>
      </c>
      <c r="H997" s="47">
        <v>44159</v>
      </c>
      <c r="I997" s="46">
        <v>50631</v>
      </c>
      <c r="J997" s="46">
        <v>10000</v>
      </c>
      <c r="K997" s="47">
        <v>44159</v>
      </c>
      <c r="L997" s="46">
        <v>10462</v>
      </c>
      <c r="M997" s="46">
        <v>10000</v>
      </c>
    </row>
    <row r="998" spans="2:13" ht="14.1" customHeight="1" x14ac:dyDescent="0.25">
      <c r="B998" s="46" t="str">
        <f t="shared" si="15"/>
        <v>2011-138-200751</v>
      </c>
      <c r="C998" s="47">
        <v>44159</v>
      </c>
      <c r="D998" s="46">
        <v>138</v>
      </c>
      <c r="E998" s="46">
        <v>20000</v>
      </c>
      <c r="F998" s="46">
        <v>200751</v>
      </c>
      <c r="G998" s="48" t="s">
        <v>151</v>
      </c>
      <c r="H998" s="47">
        <v>44159</v>
      </c>
      <c r="I998" s="46">
        <v>50631</v>
      </c>
      <c r="J998" s="46">
        <v>10000</v>
      </c>
      <c r="K998" s="47">
        <v>44159</v>
      </c>
      <c r="L998" s="46">
        <v>10463</v>
      </c>
      <c r="M998" s="46">
        <v>10000</v>
      </c>
    </row>
    <row r="999" spans="2:13" ht="14.1" customHeight="1" x14ac:dyDescent="0.25">
      <c r="B999" s="46" t="str">
        <f t="shared" si="15"/>
        <v>2011-143-302078</v>
      </c>
      <c r="C999" s="47">
        <v>44159</v>
      </c>
      <c r="D999" s="46">
        <v>143</v>
      </c>
      <c r="E999" s="46">
        <v>8</v>
      </c>
      <c r="F999" s="46">
        <v>302078</v>
      </c>
      <c r="G999" s="48" t="s">
        <v>635</v>
      </c>
      <c r="H999" s="47">
        <v>44160</v>
      </c>
      <c r="I999" s="46">
        <v>50650</v>
      </c>
      <c r="J999" s="46">
        <v>8</v>
      </c>
      <c r="K999" s="47">
        <v>44162</v>
      </c>
      <c r="L999" s="46">
        <v>10501</v>
      </c>
      <c r="M999" s="46">
        <v>7</v>
      </c>
    </row>
    <row r="1000" spans="2:13" ht="14.1" customHeight="1" x14ac:dyDescent="0.25">
      <c r="B1000" s="46" t="str">
        <f t="shared" si="15"/>
        <v>2011-143-302078</v>
      </c>
      <c r="C1000" s="47">
        <v>44159</v>
      </c>
      <c r="D1000" s="46">
        <v>143</v>
      </c>
      <c r="E1000" s="46">
        <v>8</v>
      </c>
      <c r="F1000" s="46">
        <v>302078</v>
      </c>
      <c r="G1000" s="48" t="s">
        <v>635</v>
      </c>
      <c r="H1000" s="47">
        <v>44160</v>
      </c>
      <c r="I1000" s="46">
        <v>50650</v>
      </c>
      <c r="J1000" s="46">
        <v>8</v>
      </c>
      <c r="K1000" s="47">
        <v>44166</v>
      </c>
      <c r="L1000" s="46">
        <v>10551</v>
      </c>
      <c r="M1000" s="46">
        <v>1</v>
      </c>
    </row>
    <row r="1001" spans="2:13" ht="14.1" customHeight="1" x14ac:dyDescent="0.25">
      <c r="B1001" s="46" t="str">
        <f t="shared" si="15"/>
        <v>2011-143-308891</v>
      </c>
      <c r="C1001" s="47">
        <v>44159</v>
      </c>
      <c r="D1001" s="46">
        <v>143</v>
      </c>
      <c r="E1001" s="46">
        <v>1</v>
      </c>
      <c r="F1001" s="46">
        <v>308891</v>
      </c>
      <c r="G1001" s="48" t="s">
        <v>748</v>
      </c>
      <c r="H1001" s="47">
        <v>44160</v>
      </c>
      <c r="I1001" s="46">
        <v>50647</v>
      </c>
      <c r="J1001" s="46">
        <v>1</v>
      </c>
      <c r="K1001" s="47">
        <v>44166</v>
      </c>
      <c r="L1001" s="46">
        <v>10569</v>
      </c>
      <c r="M1001" s="46">
        <v>1</v>
      </c>
    </row>
    <row r="1002" spans="2:13" ht="14.1" customHeight="1" x14ac:dyDescent="0.25">
      <c r="B1002" s="46" t="str">
        <f t="shared" si="15"/>
        <v>2011-143-305239</v>
      </c>
      <c r="C1002" s="47">
        <v>44159</v>
      </c>
      <c r="D1002" s="46">
        <v>143</v>
      </c>
      <c r="E1002" s="46">
        <v>10</v>
      </c>
      <c r="F1002" s="46">
        <v>305239</v>
      </c>
      <c r="G1002" s="48" t="s">
        <v>690</v>
      </c>
      <c r="H1002" s="47">
        <v>44160</v>
      </c>
      <c r="I1002" s="46">
        <v>50648</v>
      </c>
      <c r="J1002" s="46">
        <v>10</v>
      </c>
      <c r="K1002" s="47">
        <v>44161</v>
      </c>
      <c r="L1002" s="46">
        <v>10491</v>
      </c>
      <c r="M1002" s="46">
        <v>2</v>
      </c>
    </row>
    <row r="1003" spans="2:13" ht="14.1" customHeight="1" x14ac:dyDescent="0.25">
      <c r="B1003" s="46" t="str">
        <f t="shared" si="15"/>
        <v>2011-143-300337</v>
      </c>
      <c r="C1003" s="47">
        <v>44159</v>
      </c>
      <c r="D1003" s="46">
        <v>143</v>
      </c>
      <c r="E1003" s="46">
        <v>30</v>
      </c>
      <c r="F1003" s="46">
        <v>300337</v>
      </c>
      <c r="G1003" s="48" t="s">
        <v>117</v>
      </c>
      <c r="H1003" s="47">
        <v>44160</v>
      </c>
      <c r="I1003" s="46">
        <v>50646</v>
      </c>
      <c r="J1003" s="46">
        <v>30</v>
      </c>
      <c r="K1003" s="47">
        <v>44166</v>
      </c>
      <c r="L1003" s="46">
        <v>10556</v>
      </c>
      <c r="M1003" s="46">
        <v>30</v>
      </c>
    </row>
    <row r="1004" spans="2:13" ht="14.1" customHeight="1" x14ac:dyDescent="0.25">
      <c r="B1004" s="46" t="str">
        <f t="shared" si="15"/>
        <v>2011-143-315337</v>
      </c>
      <c r="C1004" s="47">
        <v>44159</v>
      </c>
      <c r="D1004" s="46">
        <v>143</v>
      </c>
      <c r="E1004" s="46">
        <v>5</v>
      </c>
      <c r="F1004" s="46">
        <v>315337</v>
      </c>
      <c r="G1004" s="48" t="s">
        <v>288</v>
      </c>
      <c r="H1004" s="47">
        <v>44160</v>
      </c>
      <c r="I1004" s="46">
        <v>50648</v>
      </c>
      <c r="J1004" s="46">
        <v>5</v>
      </c>
      <c r="K1004" s="47">
        <v>44161</v>
      </c>
      <c r="L1004" s="46">
        <v>10491</v>
      </c>
      <c r="M1004" s="46">
        <v>2</v>
      </c>
    </row>
    <row r="1005" spans="2:13" ht="14.1" customHeight="1" x14ac:dyDescent="0.25">
      <c r="B1005" s="46" t="str">
        <f t="shared" si="15"/>
        <v>2011-143-315337</v>
      </c>
      <c r="C1005" s="47">
        <v>44159</v>
      </c>
      <c r="D1005" s="46">
        <v>143</v>
      </c>
      <c r="E1005" s="46">
        <v>5</v>
      </c>
      <c r="F1005" s="46">
        <v>315337</v>
      </c>
      <c r="G1005" s="50" t="s">
        <v>288</v>
      </c>
      <c r="H1005" s="47">
        <v>44160</v>
      </c>
      <c r="I1005" s="46">
        <v>50648</v>
      </c>
      <c r="J1005" s="46">
        <v>5</v>
      </c>
      <c r="K1005" s="47">
        <v>44165</v>
      </c>
      <c r="L1005" s="46">
        <v>10535</v>
      </c>
      <c r="M1005" s="46">
        <v>3</v>
      </c>
    </row>
    <row r="1006" spans="2:13" ht="14.1" customHeight="1" x14ac:dyDescent="0.25">
      <c r="B1006" s="46" t="str">
        <f t="shared" si="15"/>
        <v>2011-143-304326</v>
      </c>
      <c r="C1006" s="47">
        <v>44159</v>
      </c>
      <c r="D1006" s="46">
        <v>143</v>
      </c>
      <c r="E1006" s="46">
        <v>4</v>
      </c>
      <c r="F1006" s="46">
        <v>304326</v>
      </c>
      <c r="G1006" s="50" t="s">
        <v>286</v>
      </c>
      <c r="H1006" s="47">
        <v>44160</v>
      </c>
      <c r="I1006" s="46">
        <v>50648</v>
      </c>
      <c r="J1006" s="46">
        <v>4</v>
      </c>
      <c r="K1006" s="47">
        <v>44161</v>
      </c>
      <c r="L1006" s="46">
        <v>10491</v>
      </c>
      <c r="M1006" s="46">
        <v>4</v>
      </c>
    </row>
    <row r="1007" spans="2:13" ht="14.1" customHeight="1" x14ac:dyDescent="0.25">
      <c r="B1007" s="46" t="str">
        <f t="shared" si="15"/>
        <v>2011-143-317156</v>
      </c>
      <c r="C1007" s="47">
        <v>44159</v>
      </c>
      <c r="D1007" s="46">
        <v>143</v>
      </c>
      <c r="E1007" s="46">
        <v>1</v>
      </c>
      <c r="F1007" s="46">
        <v>317156</v>
      </c>
      <c r="G1007" s="48" t="s">
        <v>907</v>
      </c>
      <c r="H1007" s="47">
        <v>44160</v>
      </c>
      <c r="I1007" s="46">
        <v>50647</v>
      </c>
      <c r="J1007" s="46">
        <v>1</v>
      </c>
      <c r="K1007" s="47">
        <v>44166</v>
      </c>
      <c r="L1007" s="46">
        <v>10569</v>
      </c>
      <c r="M1007" s="46">
        <v>1</v>
      </c>
    </row>
    <row r="1008" spans="2:13" ht="14.1" customHeight="1" x14ac:dyDescent="0.25">
      <c r="B1008" s="46" t="str">
        <f t="shared" si="15"/>
        <v>2011-145-303954</v>
      </c>
      <c r="C1008" s="47">
        <v>44159</v>
      </c>
      <c r="D1008" s="46">
        <v>145</v>
      </c>
      <c r="E1008" s="46">
        <v>1</v>
      </c>
      <c r="F1008" s="46">
        <v>303954</v>
      </c>
      <c r="G1008" s="50" t="s">
        <v>668</v>
      </c>
      <c r="H1008" s="47">
        <v>44162</v>
      </c>
      <c r="I1008" s="46">
        <v>50680</v>
      </c>
      <c r="J1008" s="46">
        <v>1</v>
      </c>
      <c r="K1008" s="47">
        <v>44165</v>
      </c>
      <c r="L1008" s="46">
        <v>10526</v>
      </c>
      <c r="M1008" s="46">
        <v>1</v>
      </c>
    </row>
    <row r="1009" spans="2:13" ht="14.1" customHeight="1" x14ac:dyDescent="0.25">
      <c r="B1009" s="46" t="str">
        <f t="shared" si="15"/>
        <v>2011-145-311373</v>
      </c>
      <c r="C1009" s="47">
        <v>44159</v>
      </c>
      <c r="D1009" s="46">
        <v>145</v>
      </c>
      <c r="E1009" s="46">
        <v>2</v>
      </c>
      <c r="F1009" s="46">
        <v>311373</v>
      </c>
      <c r="G1009" s="48" t="s">
        <v>252</v>
      </c>
      <c r="H1009" s="47">
        <v>44162</v>
      </c>
      <c r="I1009" s="46">
        <v>50678</v>
      </c>
      <c r="J1009" s="46">
        <v>2</v>
      </c>
      <c r="K1009" s="47">
        <v>44165</v>
      </c>
      <c r="L1009" s="46">
        <v>10532</v>
      </c>
      <c r="M1009" s="46">
        <v>2</v>
      </c>
    </row>
    <row r="1010" spans="2:13" ht="14.1" customHeight="1" x14ac:dyDescent="0.25">
      <c r="B1010" s="46" t="str">
        <f t="shared" si="15"/>
        <v>2011-145-305480</v>
      </c>
      <c r="C1010" s="47">
        <v>44159</v>
      </c>
      <c r="D1010" s="46">
        <v>145</v>
      </c>
      <c r="E1010" s="46">
        <v>10</v>
      </c>
      <c r="F1010" s="46">
        <v>305480</v>
      </c>
      <c r="G1010" s="48" t="s">
        <v>695</v>
      </c>
      <c r="H1010" s="47">
        <v>44162</v>
      </c>
      <c r="I1010" s="46">
        <v>50679</v>
      </c>
      <c r="J1010" s="46">
        <v>10</v>
      </c>
      <c r="K1010" s="47">
        <v>44165</v>
      </c>
      <c r="L1010" s="46">
        <v>10528</v>
      </c>
      <c r="M1010" s="46">
        <v>10</v>
      </c>
    </row>
    <row r="1011" spans="2:13" ht="14.1" customHeight="1" x14ac:dyDescent="0.25">
      <c r="B1011" s="46" t="str">
        <f t="shared" si="15"/>
        <v>2011-145-307031</v>
      </c>
      <c r="C1011" s="47">
        <v>44159</v>
      </c>
      <c r="D1011" s="46">
        <v>145</v>
      </c>
      <c r="E1011" s="46">
        <v>3</v>
      </c>
      <c r="F1011" s="46">
        <v>307031</v>
      </c>
      <c r="G1011" s="48" t="s">
        <v>263</v>
      </c>
      <c r="H1011" s="47">
        <v>44162</v>
      </c>
      <c r="I1011" s="46">
        <v>50679</v>
      </c>
      <c r="J1011" s="46">
        <v>3</v>
      </c>
      <c r="K1011" s="47">
        <v>44165</v>
      </c>
      <c r="L1011" s="46">
        <v>10528</v>
      </c>
      <c r="M1011" s="46">
        <v>3</v>
      </c>
    </row>
    <row r="1012" spans="2:13" ht="14.1" customHeight="1" x14ac:dyDescent="0.25">
      <c r="B1012" s="46" t="str">
        <f t="shared" si="15"/>
        <v>2011-145-304035</v>
      </c>
      <c r="C1012" s="47">
        <v>44159</v>
      </c>
      <c r="D1012" s="46">
        <v>145</v>
      </c>
      <c r="E1012" s="46">
        <v>50</v>
      </c>
      <c r="F1012" s="46">
        <v>304035</v>
      </c>
      <c r="G1012" s="48" t="s">
        <v>280</v>
      </c>
      <c r="H1012" s="47">
        <v>44162</v>
      </c>
      <c r="I1012" s="46">
        <v>50677</v>
      </c>
      <c r="J1012" s="46">
        <v>50</v>
      </c>
      <c r="K1012" s="47">
        <v>44166</v>
      </c>
      <c r="L1012" s="46">
        <v>10557</v>
      </c>
      <c r="M1012" s="46">
        <v>50</v>
      </c>
    </row>
    <row r="1013" spans="2:13" ht="14.1" customHeight="1" x14ac:dyDescent="0.25">
      <c r="B1013" s="46" t="str">
        <f t="shared" si="15"/>
        <v>2011-145-205957</v>
      </c>
      <c r="C1013" s="47">
        <v>44159</v>
      </c>
      <c r="D1013" s="46">
        <v>145</v>
      </c>
      <c r="E1013" s="46">
        <v>6</v>
      </c>
      <c r="F1013" s="46">
        <v>205957</v>
      </c>
      <c r="G1013" s="48" t="s">
        <v>43</v>
      </c>
      <c r="H1013" s="47">
        <v>44162</v>
      </c>
      <c r="I1013" s="46">
        <v>50678</v>
      </c>
      <c r="J1013" s="46">
        <v>6</v>
      </c>
      <c r="K1013" s="47">
        <v>44165</v>
      </c>
      <c r="L1013" s="46">
        <v>10532</v>
      </c>
      <c r="M1013" s="46">
        <v>6</v>
      </c>
    </row>
    <row r="1014" spans="2:13" ht="14.1" customHeight="1" x14ac:dyDescent="0.25">
      <c r="B1014" s="46" t="str">
        <f t="shared" si="15"/>
        <v>2011-145-320445</v>
      </c>
      <c r="C1014" s="47">
        <v>44159</v>
      </c>
      <c r="D1014" s="46">
        <v>145</v>
      </c>
      <c r="E1014" s="46">
        <v>1</v>
      </c>
      <c r="F1014" s="46">
        <v>320445</v>
      </c>
      <c r="G1014" s="48" t="s">
        <v>1069</v>
      </c>
      <c r="H1014" s="47">
        <v>44162</v>
      </c>
      <c r="I1014" s="46">
        <v>50680</v>
      </c>
      <c r="J1014" s="46">
        <v>1</v>
      </c>
      <c r="K1014" s="47">
        <v>44165</v>
      </c>
      <c r="L1014" s="46">
        <v>10526</v>
      </c>
      <c r="M1014" s="46">
        <v>1</v>
      </c>
    </row>
    <row r="1015" spans="2:13" ht="14.1" customHeight="1" x14ac:dyDescent="0.25">
      <c r="B1015" s="46" t="str">
        <f t="shared" si="15"/>
        <v>2011-146-309558</v>
      </c>
      <c r="C1015" s="47">
        <v>44159</v>
      </c>
      <c r="D1015" s="46">
        <v>146</v>
      </c>
      <c r="E1015" s="46">
        <v>14</v>
      </c>
      <c r="F1015" s="46">
        <v>309558</v>
      </c>
      <c r="G1015" s="48" t="s">
        <v>366</v>
      </c>
      <c r="H1015" s="47">
        <v>44168</v>
      </c>
      <c r="I1015" s="46">
        <v>50718</v>
      </c>
      <c r="J1015" s="46">
        <v>14</v>
      </c>
      <c r="K1015" s="47">
        <v>44172</v>
      </c>
      <c r="L1015" s="46">
        <v>10609</v>
      </c>
      <c r="M1015" s="46">
        <v>14</v>
      </c>
    </row>
    <row r="1016" spans="2:13" ht="14.1" customHeight="1" x14ac:dyDescent="0.25">
      <c r="B1016" s="46" t="str">
        <f t="shared" si="15"/>
        <v>2011-147-318356</v>
      </c>
      <c r="C1016" s="47">
        <v>44159</v>
      </c>
      <c r="D1016" s="46">
        <v>147</v>
      </c>
      <c r="E1016" s="46">
        <v>8</v>
      </c>
      <c r="F1016" s="46">
        <v>318356</v>
      </c>
      <c r="G1016" s="48" t="s">
        <v>369</v>
      </c>
      <c r="I1016" s="46">
        <v>0</v>
      </c>
      <c r="J1016" s="46">
        <v>0</v>
      </c>
      <c r="L1016" s="46">
        <v>0</v>
      </c>
      <c r="M1016" s="46">
        <v>0</v>
      </c>
    </row>
    <row r="1017" spans="2:13" ht="14.1" customHeight="1" x14ac:dyDescent="0.25">
      <c r="B1017" s="46" t="str">
        <f t="shared" si="15"/>
        <v>2011-148-309144</v>
      </c>
      <c r="C1017" s="47">
        <v>44159</v>
      </c>
      <c r="D1017" s="46">
        <v>148</v>
      </c>
      <c r="E1017" s="46">
        <v>6</v>
      </c>
      <c r="F1017" s="46">
        <v>309144</v>
      </c>
      <c r="G1017" s="48" t="s">
        <v>190</v>
      </c>
      <c r="H1017" s="47">
        <v>44161</v>
      </c>
      <c r="I1017" s="46">
        <v>50669</v>
      </c>
      <c r="J1017" s="46">
        <v>6</v>
      </c>
      <c r="K1017" s="47">
        <v>44180</v>
      </c>
      <c r="L1017" s="46">
        <v>10692</v>
      </c>
      <c r="M1017" s="46">
        <v>6</v>
      </c>
    </row>
    <row r="1018" spans="2:13" ht="14.1" customHeight="1" x14ac:dyDescent="0.25">
      <c r="B1018" s="46" t="str">
        <f t="shared" si="15"/>
        <v>2011-148-300716</v>
      </c>
      <c r="C1018" s="47">
        <v>44159</v>
      </c>
      <c r="D1018" s="46">
        <v>148</v>
      </c>
      <c r="E1018" s="46">
        <v>1</v>
      </c>
      <c r="F1018" s="46">
        <v>300716</v>
      </c>
      <c r="G1018" s="48" t="s">
        <v>607</v>
      </c>
      <c r="H1018" s="47">
        <v>44161</v>
      </c>
      <c r="I1018" s="46">
        <v>50669</v>
      </c>
      <c r="J1018" s="46">
        <v>1</v>
      </c>
      <c r="L1018" s="46">
        <v>0</v>
      </c>
      <c r="M1018" s="46">
        <v>0</v>
      </c>
    </row>
    <row r="1019" spans="2:13" ht="14.1" customHeight="1" x14ac:dyDescent="0.25">
      <c r="B1019" s="46" t="str">
        <f t="shared" si="15"/>
        <v>2011-148-309145</v>
      </c>
      <c r="C1019" s="47">
        <v>44159</v>
      </c>
      <c r="D1019" s="46">
        <v>148</v>
      </c>
      <c r="E1019" s="46">
        <v>6</v>
      </c>
      <c r="F1019" s="46">
        <v>309145</v>
      </c>
      <c r="G1019" s="48" t="s">
        <v>189</v>
      </c>
      <c r="H1019" s="47">
        <v>44161</v>
      </c>
      <c r="I1019" s="46">
        <v>50670</v>
      </c>
      <c r="J1019" s="46">
        <v>6</v>
      </c>
      <c r="K1019" s="47">
        <v>44166</v>
      </c>
      <c r="L1019" s="46">
        <v>10543</v>
      </c>
      <c r="M1019" s="46">
        <v>6</v>
      </c>
    </row>
    <row r="1020" spans="2:13" ht="14.1" customHeight="1" x14ac:dyDescent="0.25">
      <c r="B1020" s="46" t="str">
        <f t="shared" si="15"/>
        <v>2011-148-305358</v>
      </c>
      <c r="C1020" s="47">
        <v>44159</v>
      </c>
      <c r="D1020" s="46">
        <v>148</v>
      </c>
      <c r="E1020" s="46">
        <v>1</v>
      </c>
      <c r="F1020" s="46">
        <v>305358</v>
      </c>
      <c r="G1020" s="48" t="s">
        <v>691</v>
      </c>
      <c r="H1020" s="47">
        <v>44161</v>
      </c>
      <c r="I1020" s="46">
        <v>50669</v>
      </c>
      <c r="J1020" s="46">
        <v>1</v>
      </c>
      <c r="K1020" s="47">
        <v>44180</v>
      </c>
      <c r="L1020" s="46">
        <v>10692</v>
      </c>
      <c r="M1020" s="46">
        <v>1</v>
      </c>
    </row>
    <row r="1021" spans="2:13" ht="14.1" customHeight="1" x14ac:dyDescent="0.25">
      <c r="B1021" s="46" t="str">
        <f t="shared" si="15"/>
        <v>2011-148-206626</v>
      </c>
      <c r="C1021" s="47">
        <v>44159</v>
      </c>
      <c r="D1021" s="46">
        <v>148</v>
      </c>
      <c r="E1021" s="46">
        <v>1</v>
      </c>
      <c r="F1021" s="46">
        <v>206626</v>
      </c>
      <c r="G1021" s="48" t="s">
        <v>82</v>
      </c>
      <c r="H1021" s="47">
        <v>44161</v>
      </c>
      <c r="I1021" s="46">
        <v>50669</v>
      </c>
      <c r="J1021" s="46">
        <v>1</v>
      </c>
      <c r="K1021" s="47">
        <v>44180</v>
      </c>
      <c r="L1021" s="46">
        <v>10692</v>
      </c>
      <c r="M1021" s="46">
        <v>1</v>
      </c>
    </row>
    <row r="1022" spans="2:13" ht="14.1" customHeight="1" x14ac:dyDescent="0.25">
      <c r="B1022" s="46" t="str">
        <f t="shared" si="15"/>
        <v>2011-148-309147</v>
      </c>
      <c r="C1022" s="47">
        <v>44159</v>
      </c>
      <c r="D1022" s="46">
        <v>148</v>
      </c>
      <c r="E1022" s="46">
        <v>6</v>
      </c>
      <c r="F1022" s="46">
        <v>309147</v>
      </c>
      <c r="G1022" s="48" t="s">
        <v>187</v>
      </c>
      <c r="H1022" s="47">
        <v>44161</v>
      </c>
      <c r="I1022" s="46">
        <v>50670</v>
      </c>
      <c r="J1022" s="46">
        <v>6</v>
      </c>
      <c r="K1022" s="47">
        <v>44166</v>
      </c>
      <c r="L1022" s="46">
        <v>10543</v>
      </c>
      <c r="M1022" s="46">
        <v>6</v>
      </c>
    </row>
    <row r="1023" spans="2:13" ht="14.1" customHeight="1" x14ac:dyDescent="0.25">
      <c r="B1023" s="46" t="str">
        <f t="shared" si="15"/>
        <v>2011-148-107718</v>
      </c>
      <c r="C1023" s="47">
        <v>44159</v>
      </c>
      <c r="D1023" s="46">
        <v>148</v>
      </c>
      <c r="E1023" s="46">
        <v>1</v>
      </c>
      <c r="F1023" s="46">
        <v>107718</v>
      </c>
      <c r="G1023" s="48" t="s">
        <v>486</v>
      </c>
      <c r="H1023" s="47">
        <v>44161</v>
      </c>
      <c r="I1023" s="46">
        <v>50669</v>
      </c>
      <c r="J1023" s="46">
        <v>1</v>
      </c>
      <c r="K1023" s="47">
        <v>44180</v>
      </c>
      <c r="L1023" s="46">
        <v>10692</v>
      </c>
      <c r="M1023" s="46">
        <v>1</v>
      </c>
    </row>
    <row r="1024" spans="2:13" ht="14.1" customHeight="1" x14ac:dyDescent="0.25">
      <c r="B1024" s="46" t="str">
        <f t="shared" si="15"/>
        <v>2011-149-310185</v>
      </c>
      <c r="C1024" s="47">
        <v>44159</v>
      </c>
      <c r="D1024" s="46">
        <v>149</v>
      </c>
      <c r="E1024" s="46">
        <v>250</v>
      </c>
      <c r="F1024" s="46">
        <v>310185</v>
      </c>
      <c r="G1024" s="48" t="s">
        <v>301</v>
      </c>
      <c r="H1024" s="47">
        <v>44172</v>
      </c>
      <c r="I1024" s="46">
        <v>50777</v>
      </c>
      <c r="J1024" s="46">
        <v>250</v>
      </c>
      <c r="K1024" s="47">
        <v>44175</v>
      </c>
      <c r="L1024" s="46">
        <v>10653</v>
      </c>
      <c r="M1024" s="46">
        <v>250</v>
      </c>
    </row>
    <row r="1025" spans="2:13" ht="14.1" customHeight="1" x14ac:dyDescent="0.25">
      <c r="B1025" s="46" t="str">
        <f t="shared" si="15"/>
        <v>2011-150-300685</v>
      </c>
      <c r="C1025" s="47">
        <v>44159</v>
      </c>
      <c r="D1025" s="46">
        <v>150</v>
      </c>
      <c r="E1025" s="46">
        <v>1500</v>
      </c>
      <c r="F1025" s="46">
        <v>300685</v>
      </c>
      <c r="G1025" s="48" t="s">
        <v>108</v>
      </c>
      <c r="H1025" s="47">
        <v>44179</v>
      </c>
      <c r="I1025" s="46">
        <v>50889</v>
      </c>
      <c r="J1025" s="46">
        <v>1500</v>
      </c>
      <c r="K1025" s="47">
        <v>44193</v>
      </c>
      <c r="L1025" s="46">
        <v>10764</v>
      </c>
      <c r="M1025" s="46">
        <v>1500</v>
      </c>
    </row>
    <row r="1026" spans="2:13" ht="14.1" customHeight="1" x14ac:dyDescent="0.25">
      <c r="B1026" s="46" t="str">
        <f t="shared" si="15"/>
        <v>2011-150-311533</v>
      </c>
      <c r="C1026" s="47">
        <v>44159</v>
      </c>
      <c r="D1026" s="46">
        <v>150</v>
      </c>
      <c r="E1026" s="46">
        <v>1500</v>
      </c>
      <c r="F1026" s="46">
        <v>311533</v>
      </c>
      <c r="G1026" s="48" t="s">
        <v>106</v>
      </c>
      <c r="H1026" s="47">
        <v>44179</v>
      </c>
      <c r="I1026" s="46">
        <v>50889</v>
      </c>
      <c r="J1026" s="46">
        <v>1500</v>
      </c>
      <c r="K1026" s="47">
        <v>44193</v>
      </c>
      <c r="L1026" s="46">
        <v>10764</v>
      </c>
      <c r="M1026" s="46">
        <v>1500</v>
      </c>
    </row>
    <row r="1027" spans="2:13" ht="14.1" customHeight="1" x14ac:dyDescent="0.25">
      <c r="B1027" s="46" t="str">
        <f t="shared" si="15"/>
        <v>2011-151-204410</v>
      </c>
      <c r="C1027" s="47">
        <v>44160</v>
      </c>
      <c r="D1027" s="46">
        <v>151</v>
      </c>
      <c r="E1027" s="46">
        <v>4</v>
      </c>
      <c r="F1027" s="46">
        <v>204410</v>
      </c>
      <c r="G1027" s="48" t="s">
        <v>537</v>
      </c>
      <c r="I1027" s="46">
        <v>0</v>
      </c>
      <c r="J1027" s="46">
        <v>0</v>
      </c>
      <c r="L1027" s="46">
        <v>0</v>
      </c>
      <c r="M1027" s="46">
        <v>0</v>
      </c>
    </row>
    <row r="1028" spans="2:13" ht="14.1" customHeight="1" x14ac:dyDescent="0.25">
      <c r="B1028" s="46" t="str">
        <f t="shared" si="15"/>
        <v>2011-151-204417</v>
      </c>
      <c r="C1028" s="47">
        <v>44160</v>
      </c>
      <c r="D1028" s="46">
        <v>151</v>
      </c>
      <c r="E1028" s="46">
        <v>12</v>
      </c>
      <c r="F1028" s="46">
        <v>204417</v>
      </c>
      <c r="G1028" s="48" t="s">
        <v>538</v>
      </c>
      <c r="I1028" s="46">
        <v>0</v>
      </c>
      <c r="J1028" s="46">
        <v>0</v>
      </c>
      <c r="L1028" s="46">
        <v>0</v>
      </c>
      <c r="M1028" s="46">
        <v>0</v>
      </c>
    </row>
    <row r="1029" spans="2:13" ht="14.1" customHeight="1" x14ac:dyDescent="0.25">
      <c r="B1029" s="46" t="str">
        <f t="shared" si="15"/>
        <v>2011-151-316879</v>
      </c>
      <c r="C1029" s="47">
        <v>44160</v>
      </c>
      <c r="D1029" s="46">
        <v>151</v>
      </c>
      <c r="E1029" s="46">
        <v>2</v>
      </c>
      <c r="F1029" s="46">
        <v>316879</v>
      </c>
      <c r="G1029" s="48" t="s">
        <v>902</v>
      </c>
      <c r="I1029" s="46">
        <v>0</v>
      </c>
      <c r="J1029" s="46">
        <v>0</v>
      </c>
      <c r="L1029" s="46">
        <v>0</v>
      </c>
      <c r="M1029" s="46">
        <v>0</v>
      </c>
    </row>
    <row r="1030" spans="2:13" ht="14.1" customHeight="1" x14ac:dyDescent="0.25">
      <c r="B1030" s="46" t="str">
        <f t="shared" si="15"/>
        <v>2011-151-203222</v>
      </c>
      <c r="C1030" s="47">
        <v>44160</v>
      </c>
      <c r="D1030" s="46">
        <v>151</v>
      </c>
      <c r="E1030" s="46">
        <v>3</v>
      </c>
      <c r="F1030" s="46">
        <v>203222</v>
      </c>
      <c r="G1030" s="48" t="s">
        <v>276</v>
      </c>
      <c r="I1030" s="46">
        <v>0</v>
      </c>
      <c r="J1030" s="46">
        <v>0</v>
      </c>
      <c r="L1030" s="46">
        <v>0</v>
      </c>
      <c r="M1030" s="46">
        <v>0</v>
      </c>
    </row>
    <row r="1031" spans="2:13" ht="14.1" customHeight="1" x14ac:dyDescent="0.25">
      <c r="B1031" s="46" t="str">
        <f t="shared" si="15"/>
        <v>2011-151-200265</v>
      </c>
      <c r="C1031" s="47">
        <v>44160</v>
      </c>
      <c r="D1031" s="46">
        <v>151</v>
      </c>
      <c r="E1031" s="46">
        <v>12</v>
      </c>
      <c r="F1031" s="46">
        <v>200265</v>
      </c>
      <c r="G1031" s="48" t="s">
        <v>489</v>
      </c>
      <c r="I1031" s="46">
        <v>0</v>
      </c>
      <c r="J1031" s="46">
        <v>0</v>
      </c>
      <c r="L1031" s="46">
        <v>0</v>
      </c>
      <c r="M1031" s="46">
        <v>0</v>
      </c>
    </row>
    <row r="1032" spans="2:13" ht="14.1" customHeight="1" x14ac:dyDescent="0.25">
      <c r="B1032" s="46" t="str">
        <f t="shared" si="15"/>
        <v>2011-151-313520</v>
      </c>
      <c r="C1032" s="47">
        <v>44160</v>
      </c>
      <c r="D1032" s="46">
        <v>151</v>
      </c>
      <c r="E1032" s="46">
        <v>1</v>
      </c>
      <c r="F1032" s="46">
        <v>313520</v>
      </c>
      <c r="G1032" s="48" t="s">
        <v>275</v>
      </c>
      <c r="I1032" s="46">
        <v>0</v>
      </c>
      <c r="J1032" s="46">
        <v>0</v>
      </c>
      <c r="L1032" s="46">
        <v>0</v>
      </c>
      <c r="M1032" s="46">
        <v>0</v>
      </c>
    </row>
    <row r="1033" spans="2:13" ht="14.1" customHeight="1" x14ac:dyDescent="0.25">
      <c r="B1033" s="46" t="str">
        <f t="shared" si="15"/>
        <v>2011-151-301985</v>
      </c>
      <c r="C1033" s="47">
        <v>44160</v>
      </c>
      <c r="D1033" s="46">
        <v>151</v>
      </c>
      <c r="E1033" s="46">
        <v>1</v>
      </c>
      <c r="F1033" s="46">
        <v>301985</v>
      </c>
      <c r="G1033" s="48" t="s">
        <v>629</v>
      </c>
      <c r="I1033" s="46">
        <v>0</v>
      </c>
      <c r="J1033" s="46">
        <v>0</v>
      </c>
      <c r="L1033" s="46">
        <v>0</v>
      </c>
      <c r="M1033" s="46">
        <v>0</v>
      </c>
    </row>
    <row r="1034" spans="2:13" ht="14.1" customHeight="1" x14ac:dyDescent="0.25">
      <c r="B1034" s="46" t="str">
        <f t="shared" si="15"/>
        <v>2011-151-312328</v>
      </c>
      <c r="C1034" s="47">
        <v>44160</v>
      </c>
      <c r="D1034" s="46">
        <v>151</v>
      </c>
      <c r="E1034" s="46">
        <v>2</v>
      </c>
      <c r="F1034" s="46">
        <v>312328</v>
      </c>
      <c r="G1034" s="48" t="s">
        <v>1096</v>
      </c>
      <c r="I1034" s="46">
        <v>0</v>
      </c>
      <c r="J1034" s="46">
        <v>0</v>
      </c>
      <c r="L1034" s="46">
        <v>0</v>
      </c>
      <c r="M1034" s="46">
        <v>0</v>
      </c>
    </row>
    <row r="1035" spans="2:13" ht="14.1" customHeight="1" x14ac:dyDescent="0.25">
      <c r="B1035" s="46" t="str">
        <f t="shared" si="15"/>
        <v>2011-151-316805</v>
      </c>
      <c r="C1035" s="47">
        <v>44160</v>
      </c>
      <c r="D1035" s="46">
        <v>151</v>
      </c>
      <c r="E1035" s="46">
        <v>20</v>
      </c>
      <c r="F1035" s="46">
        <v>316805</v>
      </c>
      <c r="G1035" s="48" t="s">
        <v>900</v>
      </c>
      <c r="I1035" s="46">
        <v>0</v>
      </c>
      <c r="J1035" s="46">
        <v>0</v>
      </c>
      <c r="L1035" s="46">
        <v>0</v>
      </c>
      <c r="M1035" s="46">
        <v>0</v>
      </c>
    </row>
    <row r="1036" spans="2:13" ht="14.1" customHeight="1" x14ac:dyDescent="0.25">
      <c r="B1036" s="46" t="str">
        <f t="shared" ref="B1036:B1099" si="16">TEXT(C1036,"yy") &amp; TEXT(C1036,"mm") &amp;"-"&amp;(D1036) &amp;"-"&amp;(F1036)</f>
        <v>2011-151-203229</v>
      </c>
      <c r="C1036" s="47">
        <v>44160</v>
      </c>
      <c r="D1036" s="46">
        <v>151</v>
      </c>
      <c r="E1036" s="46">
        <v>10</v>
      </c>
      <c r="F1036" s="46">
        <v>203229</v>
      </c>
      <c r="G1036" s="48" t="s">
        <v>505</v>
      </c>
      <c r="I1036" s="46">
        <v>0</v>
      </c>
      <c r="J1036" s="46">
        <v>0</v>
      </c>
      <c r="L1036" s="46">
        <v>0</v>
      </c>
      <c r="M1036" s="46">
        <v>0</v>
      </c>
    </row>
    <row r="1037" spans="2:13" ht="14.1" customHeight="1" x14ac:dyDescent="0.25">
      <c r="B1037" s="46" t="str">
        <f t="shared" si="16"/>
        <v>2011-151-200683</v>
      </c>
      <c r="C1037" s="47">
        <v>44160</v>
      </c>
      <c r="D1037" s="46">
        <v>151</v>
      </c>
      <c r="E1037" s="46">
        <v>25</v>
      </c>
      <c r="F1037" s="46">
        <v>200683</v>
      </c>
      <c r="G1037" s="48" t="s">
        <v>493</v>
      </c>
      <c r="I1037" s="46">
        <v>0</v>
      </c>
      <c r="J1037" s="46">
        <v>0</v>
      </c>
      <c r="L1037" s="46">
        <v>0</v>
      </c>
      <c r="M1037" s="46">
        <v>0</v>
      </c>
    </row>
    <row r="1038" spans="2:13" ht="14.1" customHeight="1" x14ac:dyDescent="0.25">
      <c r="B1038" s="46" t="str">
        <f t="shared" si="16"/>
        <v>2011-151-203371</v>
      </c>
      <c r="C1038" s="47">
        <v>44160</v>
      </c>
      <c r="D1038" s="46">
        <v>151</v>
      </c>
      <c r="E1038" s="46">
        <v>60</v>
      </c>
      <c r="F1038" s="46">
        <v>203371</v>
      </c>
      <c r="G1038" s="48" t="s">
        <v>327</v>
      </c>
      <c r="I1038" s="46">
        <v>0</v>
      </c>
      <c r="J1038" s="46">
        <v>0</v>
      </c>
      <c r="L1038" s="46">
        <v>0</v>
      </c>
      <c r="M1038" s="46">
        <v>0</v>
      </c>
    </row>
    <row r="1039" spans="2:13" ht="14.1" customHeight="1" x14ac:dyDescent="0.25">
      <c r="B1039" s="46" t="str">
        <f t="shared" si="16"/>
        <v>2011-151-306637</v>
      </c>
      <c r="C1039" s="47">
        <v>44160</v>
      </c>
      <c r="D1039" s="46">
        <v>151</v>
      </c>
      <c r="E1039" s="46">
        <v>2</v>
      </c>
      <c r="F1039" s="46">
        <v>306637</v>
      </c>
      <c r="G1039" s="48" t="s">
        <v>713</v>
      </c>
      <c r="I1039" s="46">
        <v>0</v>
      </c>
      <c r="J1039" s="46">
        <v>0</v>
      </c>
      <c r="L1039" s="46">
        <v>0</v>
      </c>
      <c r="M1039" s="46">
        <v>0</v>
      </c>
    </row>
    <row r="1040" spans="2:13" ht="14.1" customHeight="1" x14ac:dyDescent="0.25">
      <c r="B1040" s="46" t="str">
        <f t="shared" si="16"/>
        <v>2011-151-301851</v>
      </c>
      <c r="C1040" s="47">
        <v>44160</v>
      </c>
      <c r="D1040" s="46">
        <v>151</v>
      </c>
      <c r="E1040" s="46">
        <v>2</v>
      </c>
      <c r="F1040" s="46">
        <v>301851</v>
      </c>
      <c r="G1040" s="48" t="s">
        <v>133</v>
      </c>
      <c r="I1040" s="46">
        <v>0</v>
      </c>
      <c r="J1040" s="46">
        <v>0</v>
      </c>
      <c r="L1040" s="46">
        <v>0</v>
      </c>
      <c r="M1040" s="46">
        <v>0</v>
      </c>
    </row>
    <row r="1041" spans="2:13" ht="14.1" customHeight="1" x14ac:dyDescent="0.25">
      <c r="B1041" s="46" t="str">
        <f t="shared" si="16"/>
        <v>2011-151-205083</v>
      </c>
      <c r="C1041" s="47">
        <v>44160</v>
      </c>
      <c r="D1041" s="46">
        <v>151</v>
      </c>
      <c r="E1041" s="46">
        <v>1</v>
      </c>
      <c r="F1041" s="46">
        <v>205083</v>
      </c>
      <c r="G1041" s="48" t="s">
        <v>274</v>
      </c>
      <c r="I1041" s="46">
        <v>0</v>
      </c>
      <c r="J1041" s="46">
        <v>0</v>
      </c>
      <c r="L1041" s="46">
        <v>0</v>
      </c>
      <c r="M1041" s="46">
        <v>0</v>
      </c>
    </row>
    <row r="1042" spans="2:13" ht="14.1" customHeight="1" x14ac:dyDescent="0.25">
      <c r="B1042" s="46" t="str">
        <f t="shared" si="16"/>
        <v>2011-151-301266</v>
      </c>
      <c r="C1042" s="47">
        <v>44160</v>
      </c>
      <c r="D1042" s="46">
        <v>151</v>
      </c>
      <c r="E1042" s="46">
        <v>2</v>
      </c>
      <c r="F1042" s="46">
        <v>301266</v>
      </c>
      <c r="G1042" s="48" t="s">
        <v>617</v>
      </c>
      <c r="I1042" s="46">
        <v>0</v>
      </c>
      <c r="J1042" s="46">
        <v>0</v>
      </c>
      <c r="L1042" s="46">
        <v>0</v>
      </c>
      <c r="M1042" s="46">
        <v>0</v>
      </c>
    </row>
    <row r="1043" spans="2:13" ht="14.1" customHeight="1" x14ac:dyDescent="0.25">
      <c r="B1043" s="46" t="str">
        <f t="shared" si="16"/>
        <v>2011-152-308888</v>
      </c>
      <c r="C1043" s="47">
        <v>44160</v>
      </c>
      <c r="D1043" s="46">
        <v>152</v>
      </c>
      <c r="E1043" s="46">
        <v>8</v>
      </c>
      <c r="F1043" s="46">
        <v>308888</v>
      </c>
      <c r="G1043" s="48" t="s">
        <v>318</v>
      </c>
      <c r="H1043" s="47">
        <v>44160</v>
      </c>
      <c r="I1043" s="46">
        <v>50651</v>
      </c>
      <c r="J1043" s="46">
        <v>8</v>
      </c>
      <c r="K1043" s="47">
        <v>44165</v>
      </c>
      <c r="L1043" s="46">
        <v>10535</v>
      </c>
      <c r="M1043" s="46">
        <v>8</v>
      </c>
    </row>
    <row r="1044" spans="2:13" ht="14.1" customHeight="1" x14ac:dyDescent="0.25">
      <c r="B1044" s="46" t="str">
        <f t="shared" si="16"/>
        <v>2011-156-320448</v>
      </c>
      <c r="C1044" s="47">
        <v>44160</v>
      </c>
      <c r="D1044" s="46">
        <v>156</v>
      </c>
      <c r="E1044" s="46">
        <v>2</v>
      </c>
      <c r="F1044" s="46">
        <v>320448</v>
      </c>
      <c r="G1044" s="48" t="s">
        <v>1070</v>
      </c>
      <c r="H1044" s="47">
        <v>44161</v>
      </c>
      <c r="I1044" s="46">
        <v>50668</v>
      </c>
      <c r="J1044" s="46">
        <v>2</v>
      </c>
      <c r="K1044" s="47">
        <v>44162</v>
      </c>
      <c r="L1044" s="46">
        <v>10497</v>
      </c>
      <c r="M1044" s="46">
        <v>2</v>
      </c>
    </row>
    <row r="1045" spans="2:13" ht="14.1" customHeight="1" x14ac:dyDescent="0.25">
      <c r="B1045" s="46" t="str">
        <f t="shared" si="16"/>
        <v>2011-157-302741</v>
      </c>
      <c r="C1045" s="47">
        <v>44160</v>
      </c>
      <c r="D1045" s="46">
        <v>157</v>
      </c>
      <c r="E1045" s="46">
        <v>1</v>
      </c>
      <c r="F1045" s="46">
        <v>302741</v>
      </c>
      <c r="G1045" s="48" t="s">
        <v>645</v>
      </c>
      <c r="H1045" s="47">
        <v>44161</v>
      </c>
      <c r="I1045" s="46">
        <v>50671</v>
      </c>
      <c r="J1045" s="46">
        <v>1</v>
      </c>
      <c r="K1045" s="47">
        <v>44168</v>
      </c>
      <c r="L1045" s="46">
        <v>10590</v>
      </c>
      <c r="M1045" s="46">
        <v>1</v>
      </c>
    </row>
    <row r="1046" spans="2:13" ht="14.1" customHeight="1" x14ac:dyDescent="0.25">
      <c r="B1046" s="46" t="str">
        <f t="shared" si="16"/>
        <v>2011-158-203593</v>
      </c>
      <c r="C1046" s="47">
        <v>44160</v>
      </c>
      <c r="D1046" s="46">
        <v>158</v>
      </c>
      <c r="E1046" s="46">
        <v>10172</v>
      </c>
      <c r="F1046" s="46">
        <v>203593</v>
      </c>
      <c r="G1046" s="48" t="s">
        <v>211</v>
      </c>
      <c r="H1046" s="47">
        <v>44166</v>
      </c>
      <c r="I1046" s="46">
        <v>50762</v>
      </c>
      <c r="J1046" s="46">
        <v>10172</v>
      </c>
      <c r="K1046" s="47">
        <v>44160</v>
      </c>
      <c r="L1046" s="46">
        <v>10484</v>
      </c>
      <c r="M1046" s="46">
        <v>10172</v>
      </c>
    </row>
    <row r="1047" spans="2:13" ht="14.1" customHeight="1" x14ac:dyDescent="0.25">
      <c r="B1047" s="46" t="str">
        <f t="shared" si="16"/>
        <v>2011-159-303954</v>
      </c>
      <c r="C1047" s="47">
        <v>44161</v>
      </c>
      <c r="D1047" s="46">
        <v>159</v>
      </c>
      <c r="E1047" s="46">
        <v>2</v>
      </c>
      <c r="F1047" s="46">
        <v>303954</v>
      </c>
      <c r="G1047" s="50" t="s">
        <v>668</v>
      </c>
      <c r="H1047" s="47">
        <v>44162</v>
      </c>
      <c r="I1047" s="46">
        <v>50676</v>
      </c>
      <c r="J1047" s="46">
        <v>2</v>
      </c>
      <c r="K1047" s="47">
        <v>44165</v>
      </c>
      <c r="L1047" s="46">
        <v>10534</v>
      </c>
      <c r="M1047" s="46">
        <v>2</v>
      </c>
    </row>
    <row r="1048" spans="2:13" ht="14.1" customHeight="1" x14ac:dyDescent="0.25">
      <c r="B1048" s="46" t="str">
        <f t="shared" si="16"/>
        <v>2011-159-310884</v>
      </c>
      <c r="C1048" s="47">
        <v>44161</v>
      </c>
      <c r="D1048" s="46">
        <v>159</v>
      </c>
      <c r="E1048" s="46">
        <v>4</v>
      </c>
      <c r="F1048" s="46">
        <v>310884</v>
      </c>
      <c r="G1048" s="48" t="s">
        <v>781</v>
      </c>
      <c r="H1048" s="47">
        <v>44162</v>
      </c>
      <c r="I1048" s="46">
        <v>50676</v>
      </c>
      <c r="J1048" s="46">
        <v>4</v>
      </c>
      <c r="K1048" s="47">
        <v>44165</v>
      </c>
      <c r="L1048" s="46">
        <v>10534</v>
      </c>
      <c r="M1048" s="46">
        <v>4</v>
      </c>
    </row>
    <row r="1049" spans="2:13" ht="14.1" customHeight="1" x14ac:dyDescent="0.25">
      <c r="B1049" s="46" t="str">
        <f t="shared" si="16"/>
        <v>2011-159-307327</v>
      </c>
      <c r="C1049" s="47">
        <v>44161</v>
      </c>
      <c r="D1049" s="46">
        <v>159</v>
      </c>
      <c r="E1049" s="46">
        <v>4</v>
      </c>
      <c r="F1049" s="46">
        <v>307327</v>
      </c>
      <c r="G1049" s="48" t="s">
        <v>727</v>
      </c>
      <c r="H1049" s="47">
        <v>44162</v>
      </c>
      <c r="I1049" s="46">
        <v>50676</v>
      </c>
      <c r="J1049" s="46">
        <v>4</v>
      </c>
      <c r="K1049" s="47">
        <v>44165</v>
      </c>
      <c r="L1049" s="46">
        <v>10534</v>
      </c>
      <c r="M1049" s="46">
        <v>4</v>
      </c>
    </row>
    <row r="1050" spans="2:13" ht="14.1" customHeight="1" x14ac:dyDescent="0.25">
      <c r="B1050" s="46" t="str">
        <f t="shared" si="16"/>
        <v>2011-159-303560</v>
      </c>
      <c r="C1050" s="47">
        <v>44161</v>
      </c>
      <c r="D1050" s="46">
        <v>159</v>
      </c>
      <c r="E1050" s="46">
        <v>3</v>
      </c>
      <c r="F1050" s="46">
        <v>303560</v>
      </c>
      <c r="G1050" s="48" t="s">
        <v>657</v>
      </c>
      <c r="H1050" s="47">
        <v>44162</v>
      </c>
      <c r="I1050" s="46">
        <v>50676</v>
      </c>
      <c r="J1050" s="46">
        <v>3</v>
      </c>
      <c r="K1050" s="47">
        <v>44165</v>
      </c>
      <c r="L1050" s="46">
        <v>10534</v>
      </c>
      <c r="M1050" s="46">
        <v>3</v>
      </c>
    </row>
    <row r="1051" spans="2:13" ht="14.1" customHeight="1" x14ac:dyDescent="0.25">
      <c r="B1051" s="46" t="str">
        <f t="shared" si="16"/>
        <v>2011-159-319998</v>
      </c>
      <c r="C1051" s="47">
        <v>44161</v>
      </c>
      <c r="D1051" s="46">
        <v>159</v>
      </c>
      <c r="E1051" s="46">
        <v>4</v>
      </c>
      <c r="F1051" s="46">
        <v>319998</v>
      </c>
      <c r="G1051" s="48" t="s">
        <v>942</v>
      </c>
      <c r="H1051" s="47">
        <v>44162</v>
      </c>
      <c r="I1051" s="46">
        <v>50676</v>
      </c>
      <c r="J1051" s="46">
        <v>4</v>
      </c>
      <c r="K1051" s="47">
        <v>44165</v>
      </c>
      <c r="L1051" s="46">
        <v>10534</v>
      </c>
      <c r="M1051" s="46">
        <v>4</v>
      </c>
    </row>
    <row r="1052" spans="2:13" ht="14.1" customHeight="1" x14ac:dyDescent="0.25">
      <c r="B1052" s="46" t="str">
        <f t="shared" si="16"/>
        <v>2011-160-303810</v>
      </c>
      <c r="C1052" s="47">
        <v>44161</v>
      </c>
      <c r="D1052" s="46">
        <v>160</v>
      </c>
      <c r="E1052" s="46">
        <v>5</v>
      </c>
      <c r="F1052" s="46">
        <v>303810</v>
      </c>
      <c r="G1052" s="48" t="s">
        <v>254</v>
      </c>
      <c r="H1052" s="47">
        <v>44162</v>
      </c>
      <c r="I1052" s="46">
        <v>50684</v>
      </c>
      <c r="J1052" s="46">
        <v>5</v>
      </c>
      <c r="K1052" s="47">
        <v>44165</v>
      </c>
      <c r="L1052" s="46">
        <v>10533</v>
      </c>
      <c r="M1052" s="46">
        <v>5</v>
      </c>
    </row>
    <row r="1053" spans="2:13" ht="14.1" customHeight="1" x14ac:dyDescent="0.25">
      <c r="B1053" s="46" t="str">
        <f t="shared" si="16"/>
        <v>2011-160-303924</v>
      </c>
      <c r="C1053" s="47">
        <v>44161</v>
      </c>
      <c r="D1053" s="46">
        <v>160</v>
      </c>
      <c r="E1053" s="46">
        <v>16</v>
      </c>
      <c r="F1053" s="46">
        <v>303924</v>
      </c>
      <c r="G1053" s="48" t="s">
        <v>295</v>
      </c>
      <c r="H1053" s="47">
        <v>44162</v>
      </c>
      <c r="I1053" s="46">
        <v>50684</v>
      </c>
      <c r="J1053" s="46">
        <v>16</v>
      </c>
      <c r="K1053" s="47">
        <v>44165</v>
      </c>
      <c r="L1053" s="46">
        <v>10533</v>
      </c>
      <c r="M1053" s="46">
        <v>16</v>
      </c>
    </row>
    <row r="1054" spans="2:13" ht="14.1" customHeight="1" x14ac:dyDescent="0.25">
      <c r="B1054" s="46" t="str">
        <f t="shared" si="16"/>
        <v>2011-160-304035</v>
      </c>
      <c r="C1054" s="47">
        <v>44161</v>
      </c>
      <c r="D1054" s="46">
        <v>160</v>
      </c>
      <c r="E1054" s="46">
        <v>50</v>
      </c>
      <c r="F1054" s="46">
        <v>304035</v>
      </c>
      <c r="G1054" s="48" t="s">
        <v>280</v>
      </c>
      <c r="H1054" s="47">
        <v>44162</v>
      </c>
      <c r="I1054" s="46">
        <v>50682</v>
      </c>
      <c r="J1054" s="46">
        <v>50</v>
      </c>
      <c r="K1054" s="47">
        <v>44166</v>
      </c>
      <c r="L1054" s="46">
        <v>10558</v>
      </c>
      <c r="M1054" s="46">
        <v>50</v>
      </c>
    </row>
    <row r="1055" spans="2:13" ht="14.1" customHeight="1" x14ac:dyDescent="0.25">
      <c r="B1055" s="46" t="str">
        <f t="shared" si="16"/>
        <v>2011-160-307323</v>
      </c>
      <c r="C1055" s="47">
        <v>44161</v>
      </c>
      <c r="D1055" s="46">
        <v>160</v>
      </c>
      <c r="E1055" s="46">
        <v>4</v>
      </c>
      <c r="F1055" s="46">
        <v>307323</v>
      </c>
      <c r="G1055" s="48" t="s">
        <v>726</v>
      </c>
      <c r="H1055" s="47">
        <v>44162</v>
      </c>
      <c r="I1055" s="46">
        <v>50685</v>
      </c>
      <c r="J1055" s="46">
        <v>4</v>
      </c>
      <c r="K1055" s="47">
        <v>44165</v>
      </c>
      <c r="L1055" s="46">
        <v>10529</v>
      </c>
      <c r="M1055" s="46">
        <v>4</v>
      </c>
    </row>
    <row r="1056" spans="2:13" ht="14.1" customHeight="1" x14ac:dyDescent="0.25">
      <c r="B1056" s="46" t="str">
        <f t="shared" si="16"/>
        <v>2011-160-307323</v>
      </c>
      <c r="C1056" s="47">
        <v>44161</v>
      </c>
      <c r="D1056" s="46">
        <v>160</v>
      </c>
      <c r="E1056" s="46">
        <v>4</v>
      </c>
      <c r="F1056" s="46">
        <v>307323</v>
      </c>
      <c r="G1056" s="48" t="s">
        <v>726</v>
      </c>
      <c r="H1056" s="47">
        <v>44162</v>
      </c>
      <c r="I1056" s="46">
        <v>50685</v>
      </c>
      <c r="J1056" s="46">
        <v>4</v>
      </c>
      <c r="K1056" s="47">
        <v>44165</v>
      </c>
      <c r="L1056" s="46">
        <v>10530</v>
      </c>
      <c r="M1056" s="46">
        <v>4</v>
      </c>
    </row>
    <row r="1057" spans="2:13" ht="14.1" customHeight="1" x14ac:dyDescent="0.25">
      <c r="B1057" s="46" t="str">
        <f t="shared" si="16"/>
        <v>2011-160-106005</v>
      </c>
      <c r="C1057" s="47">
        <v>44161</v>
      </c>
      <c r="D1057" s="46">
        <v>160</v>
      </c>
      <c r="E1057" s="46">
        <v>4</v>
      </c>
      <c r="F1057" s="46">
        <v>106005</v>
      </c>
      <c r="G1057" s="48" t="s">
        <v>449</v>
      </c>
      <c r="H1057" s="47">
        <v>44162</v>
      </c>
      <c r="I1057" s="46">
        <v>50683</v>
      </c>
      <c r="J1057" s="46">
        <v>4</v>
      </c>
      <c r="K1057" s="47">
        <v>44166</v>
      </c>
      <c r="L1057" s="46">
        <v>10550</v>
      </c>
      <c r="M1057" s="46">
        <v>4</v>
      </c>
    </row>
    <row r="1058" spans="2:13" ht="14.1" customHeight="1" x14ac:dyDescent="0.25">
      <c r="B1058" s="46" t="str">
        <f t="shared" si="16"/>
        <v>2011-160-105259</v>
      </c>
      <c r="C1058" s="47">
        <v>44161</v>
      </c>
      <c r="D1058" s="46">
        <v>160</v>
      </c>
      <c r="E1058" s="46">
        <v>2</v>
      </c>
      <c r="F1058" s="46">
        <v>105259</v>
      </c>
      <c r="G1058" s="48" t="s">
        <v>34</v>
      </c>
      <c r="H1058" s="47">
        <v>44162</v>
      </c>
      <c r="I1058" s="46">
        <v>50681</v>
      </c>
      <c r="J1058" s="46">
        <v>2</v>
      </c>
      <c r="K1058" s="47">
        <v>44166</v>
      </c>
      <c r="L1058" s="46">
        <v>10561</v>
      </c>
      <c r="M1058" s="46">
        <v>2</v>
      </c>
    </row>
    <row r="1059" spans="2:13" ht="14.1" customHeight="1" x14ac:dyDescent="0.25">
      <c r="B1059" s="46" t="str">
        <f t="shared" si="16"/>
        <v>2011-160-300474</v>
      </c>
      <c r="C1059" s="47">
        <v>44161</v>
      </c>
      <c r="D1059" s="46">
        <v>160</v>
      </c>
      <c r="E1059" s="46">
        <v>5</v>
      </c>
      <c r="F1059" s="46">
        <v>300474</v>
      </c>
      <c r="G1059" s="48" t="s">
        <v>234</v>
      </c>
      <c r="H1059" s="47">
        <v>44162</v>
      </c>
      <c r="I1059" s="46">
        <v>50684</v>
      </c>
      <c r="J1059" s="46">
        <v>5</v>
      </c>
      <c r="K1059" s="47">
        <v>44165</v>
      </c>
      <c r="L1059" s="46">
        <v>10533</v>
      </c>
      <c r="M1059" s="46">
        <v>1</v>
      </c>
    </row>
    <row r="1060" spans="2:13" ht="14.1" customHeight="1" x14ac:dyDescent="0.25">
      <c r="B1060" s="46" t="str">
        <f t="shared" si="16"/>
        <v>2011-160-300474</v>
      </c>
      <c r="C1060" s="47">
        <v>44161</v>
      </c>
      <c r="D1060" s="46">
        <v>160</v>
      </c>
      <c r="E1060" s="46">
        <v>5</v>
      </c>
      <c r="F1060" s="46">
        <v>300474</v>
      </c>
      <c r="G1060" s="48" t="s">
        <v>234</v>
      </c>
      <c r="H1060" s="47">
        <v>44162</v>
      </c>
      <c r="I1060" s="46">
        <v>50684</v>
      </c>
      <c r="J1060" s="46">
        <v>5</v>
      </c>
      <c r="K1060" s="47">
        <v>44172</v>
      </c>
      <c r="L1060" s="46">
        <v>10597</v>
      </c>
      <c r="M1060" s="46">
        <v>2</v>
      </c>
    </row>
    <row r="1061" spans="2:13" ht="14.1" customHeight="1" x14ac:dyDescent="0.25">
      <c r="B1061" s="46" t="str">
        <f t="shared" si="16"/>
        <v>2011-160-300474</v>
      </c>
      <c r="C1061" s="47">
        <v>44161</v>
      </c>
      <c r="D1061" s="46">
        <v>160</v>
      </c>
      <c r="E1061" s="46">
        <v>5</v>
      </c>
      <c r="F1061" s="46">
        <v>300474</v>
      </c>
      <c r="G1061" s="48" t="s">
        <v>234</v>
      </c>
      <c r="H1061" s="47">
        <v>44162</v>
      </c>
      <c r="I1061" s="46">
        <v>50684</v>
      </c>
      <c r="J1061" s="46">
        <v>5</v>
      </c>
      <c r="K1061" s="47">
        <v>44218</v>
      </c>
      <c r="L1061" s="46">
        <v>10984</v>
      </c>
      <c r="M1061" s="46">
        <v>2</v>
      </c>
    </row>
    <row r="1062" spans="2:13" ht="14.1" customHeight="1" x14ac:dyDescent="0.25">
      <c r="B1062" s="46" t="str">
        <f t="shared" si="16"/>
        <v>2011-160-303811</v>
      </c>
      <c r="C1062" s="47">
        <v>44161</v>
      </c>
      <c r="D1062" s="46">
        <v>160</v>
      </c>
      <c r="E1062" s="46">
        <v>5</v>
      </c>
      <c r="F1062" s="46">
        <v>303811</v>
      </c>
      <c r="G1062" s="50" t="s">
        <v>1644</v>
      </c>
      <c r="H1062" s="47">
        <v>44162</v>
      </c>
      <c r="I1062" s="46">
        <v>50684</v>
      </c>
      <c r="J1062" s="46">
        <v>5</v>
      </c>
      <c r="K1062" s="47">
        <v>44165</v>
      </c>
      <c r="L1062" s="46">
        <v>10533</v>
      </c>
      <c r="M1062" s="46">
        <v>5</v>
      </c>
    </row>
    <row r="1063" spans="2:13" ht="14.1" customHeight="1" x14ac:dyDescent="0.25">
      <c r="B1063" s="46" t="str">
        <f t="shared" si="16"/>
        <v>2011-161-104328</v>
      </c>
      <c r="C1063" s="47">
        <v>44161</v>
      </c>
      <c r="D1063" s="46">
        <v>161</v>
      </c>
      <c r="E1063" s="46">
        <v>8</v>
      </c>
      <c r="F1063" s="46">
        <v>104328</v>
      </c>
      <c r="G1063" s="48" t="s">
        <v>426</v>
      </c>
      <c r="H1063" s="47">
        <v>44162</v>
      </c>
      <c r="I1063" s="46">
        <v>50689</v>
      </c>
      <c r="J1063" s="46">
        <v>8</v>
      </c>
      <c r="K1063" s="47">
        <v>44166</v>
      </c>
      <c r="L1063" s="46">
        <v>10549</v>
      </c>
      <c r="M1063" s="46">
        <v>8</v>
      </c>
    </row>
    <row r="1064" spans="2:13" ht="14.1" customHeight="1" x14ac:dyDescent="0.25">
      <c r="B1064" s="46" t="str">
        <f t="shared" si="16"/>
        <v>2011-162-203593</v>
      </c>
      <c r="C1064" s="47">
        <v>44161</v>
      </c>
      <c r="D1064" s="46">
        <v>162</v>
      </c>
      <c r="E1064" s="46">
        <v>9000</v>
      </c>
      <c r="F1064" s="46">
        <v>203593</v>
      </c>
      <c r="G1064" s="48" t="s">
        <v>211</v>
      </c>
      <c r="H1064" s="47">
        <v>44166</v>
      </c>
      <c r="I1064" s="46">
        <v>50763</v>
      </c>
      <c r="J1064" s="46">
        <v>9000</v>
      </c>
      <c r="K1064" s="47">
        <v>44161</v>
      </c>
      <c r="L1064" s="46">
        <v>10494</v>
      </c>
      <c r="M1064" s="46">
        <v>9000</v>
      </c>
    </row>
    <row r="1065" spans="2:13" ht="14.1" customHeight="1" x14ac:dyDescent="0.25">
      <c r="B1065" s="46" t="str">
        <f t="shared" si="16"/>
        <v>2011-163-203593</v>
      </c>
      <c r="C1065" s="47">
        <v>44161</v>
      </c>
      <c r="D1065" s="46">
        <v>163</v>
      </c>
      <c r="E1065" s="46">
        <v>500</v>
      </c>
      <c r="F1065" s="46">
        <v>203593</v>
      </c>
      <c r="G1065" s="48" t="s">
        <v>211</v>
      </c>
      <c r="H1065" s="47">
        <v>44166</v>
      </c>
      <c r="I1065" s="46">
        <v>50764</v>
      </c>
      <c r="J1065" s="46">
        <v>500</v>
      </c>
      <c r="K1065" s="47">
        <v>44161</v>
      </c>
      <c r="L1065" s="46">
        <v>10495</v>
      </c>
      <c r="M1065" s="46">
        <v>500</v>
      </c>
    </row>
    <row r="1066" spans="2:13" ht="14.1" customHeight="1" x14ac:dyDescent="0.25">
      <c r="B1066" s="46" t="str">
        <f t="shared" si="16"/>
        <v>2011-164-316983</v>
      </c>
      <c r="C1066" s="47">
        <v>44162</v>
      </c>
      <c r="D1066" s="46">
        <v>164</v>
      </c>
      <c r="E1066" s="46">
        <v>1</v>
      </c>
      <c r="F1066" s="46">
        <v>316983</v>
      </c>
      <c r="G1066" s="48" t="s">
        <v>905</v>
      </c>
      <c r="H1066" s="47">
        <v>44169</v>
      </c>
      <c r="I1066" s="46">
        <v>50732</v>
      </c>
      <c r="J1066" s="46">
        <v>1</v>
      </c>
      <c r="K1066" s="47">
        <v>44172</v>
      </c>
      <c r="L1066" s="46">
        <v>10608</v>
      </c>
      <c r="M1066" s="46">
        <v>1</v>
      </c>
    </row>
    <row r="1067" spans="2:13" ht="14.1" customHeight="1" x14ac:dyDescent="0.25">
      <c r="B1067" s="46" t="str">
        <f t="shared" si="16"/>
        <v>2011-165-202013</v>
      </c>
      <c r="C1067" s="47">
        <v>44162</v>
      </c>
      <c r="D1067" s="46">
        <v>165</v>
      </c>
      <c r="E1067" s="46">
        <v>60000</v>
      </c>
      <c r="F1067" s="46">
        <v>202013</v>
      </c>
      <c r="G1067" s="48" t="s">
        <v>149</v>
      </c>
      <c r="H1067" s="47">
        <v>44165</v>
      </c>
      <c r="I1067" s="46">
        <v>50691</v>
      </c>
      <c r="J1067" s="46">
        <v>60000</v>
      </c>
      <c r="K1067" s="47">
        <v>44172</v>
      </c>
      <c r="L1067" s="46">
        <v>10606</v>
      </c>
      <c r="M1067" s="46">
        <v>40000</v>
      </c>
    </row>
    <row r="1068" spans="2:13" ht="14.1" customHeight="1" x14ac:dyDescent="0.25">
      <c r="B1068" s="46" t="str">
        <f t="shared" si="16"/>
        <v>2011-165-202013</v>
      </c>
      <c r="C1068" s="47">
        <v>44162</v>
      </c>
      <c r="D1068" s="46">
        <v>165</v>
      </c>
      <c r="E1068" s="46">
        <v>60000</v>
      </c>
      <c r="F1068" s="46">
        <v>202013</v>
      </c>
      <c r="G1068" s="48" t="s">
        <v>149</v>
      </c>
      <c r="H1068" s="47">
        <v>44165</v>
      </c>
      <c r="I1068" s="46">
        <v>50691</v>
      </c>
      <c r="J1068" s="46">
        <v>60000</v>
      </c>
      <c r="K1068" s="47">
        <v>44182</v>
      </c>
      <c r="L1068" s="46">
        <v>10707</v>
      </c>
      <c r="M1068" s="46">
        <v>20000</v>
      </c>
    </row>
    <row r="1069" spans="2:13" ht="14.1" customHeight="1" x14ac:dyDescent="0.25">
      <c r="B1069" s="46" t="str">
        <f t="shared" si="16"/>
        <v>2011-165-312865</v>
      </c>
      <c r="C1069" s="47">
        <v>44162</v>
      </c>
      <c r="D1069" s="46">
        <v>165</v>
      </c>
      <c r="E1069" s="46">
        <v>20000</v>
      </c>
      <c r="F1069" s="46">
        <v>312865</v>
      </c>
      <c r="G1069" s="48" t="s">
        <v>150</v>
      </c>
      <c r="H1069" s="47">
        <v>44165</v>
      </c>
      <c r="I1069" s="46">
        <v>50691</v>
      </c>
      <c r="J1069" s="46">
        <v>20000</v>
      </c>
      <c r="K1069" s="47">
        <v>44172</v>
      </c>
      <c r="L1069" s="46">
        <v>10606</v>
      </c>
      <c r="M1069" s="46">
        <v>2000</v>
      </c>
    </row>
    <row r="1070" spans="2:13" ht="14.1" customHeight="1" x14ac:dyDescent="0.25">
      <c r="B1070" s="46" t="str">
        <f t="shared" si="16"/>
        <v>2011-165-312865</v>
      </c>
      <c r="C1070" s="47">
        <v>44162</v>
      </c>
      <c r="D1070" s="46">
        <v>165</v>
      </c>
      <c r="E1070" s="46">
        <v>20000</v>
      </c>
      <c r="F1070" s="46">
        <v>312865</v>
      </c>
      <c r="G1070" s="48" t="s">
        <v>150</v>
      </c>
      <c r="H1070" s="47">
        <v>44165</v>
      </c>
      <c r="I1070" s="46">
        <v>50691</v>
      </c>
      <c r="J1070" s="46">
        <v>20000</v>
      </c>
      <c r="K1070" s="47">
        <v>44176</v>
      </c>
      <c r="L1070" s="46">
        <v>10666</v>
      </c>
      <c r="M1070" s="46">
        <v>18000</v>
      </c>
    </row>
    <row r="1071" spans="2:13" ht="14.1" customHeight="1" x14ac:dyDescent="0.25">
      <c r="B1071" s="46" t="str">
        <f t="shared" si="16"/>
        <v>2011-165-200275</v>
      </c>
      <c r="C1071" s="47">
        <v>44162</v>
      </c>
      <c r="D1071" s="46">
        <v>165</v>
      </c>
      <c r="E1071" s="46">
        <v>48</v>
      </c>
      <c r="F1071" s="46">
        <v>200275</v>
      </c>
      <c r="G1071" s="48" t="s">
        <v>193</v>
      </c>
      <c r="H1071" s="47">
        <v>44165</v>
      </c>
      <c r="I1071" s="46">
        <v>50690</v>
      </c>
      <c r="J1071" s="46">
        <v>48</v>
      </c>
      <c r="K1071" s="47">
        <v>44166</v>
      </c>
      <c r="L1071" s="46">
        <v>10560</v>
      </c>
      <c r="M1071" s="46">
        <v>48</v>
      </c>
    </row>
    <row r="1072" spans="2:13" ht="14.1" customHeight="1" x14ac:dyDescent="0.25">
      <c r="B1072" s="46" t="str">
        <f t="shared" si="16"/>
        <v>2011-166-100277</v>
      </c>
      <c r="C1072" s="47">
        <v>44162</v>
      </c>
      <c r="D1072" s="46">
        <v>166</v>
      </c>
      <c r="E1072" s="46">
        <v>150</v>
      </c>
      <c r="F1072" s="46">
        <v>100277</v>
      </c>
      <c r="G1072" s="48" t="s">
        <v>212</v>
      </c>
      <c r="H1072" s="47">
        <v>44169</v>
      </c>
      <c r="I1072" s="46">
        <v>50730</v>
      </c>
      <c r="J1072" s="46">
        <v>150</v>
      </c>
      <c r="K1072" s="47">
        <v>44172</v>
      </c>
      <c r="L1072" s="46">
        <v>10607</v>
      </c>
      <c r="M1072" s="46">
        <v>150</v>
      </c>
    </row>
    <row r="1073" spans="2:13" ht="14.1" customHeight="1" x14ac:dyDescent="0.25">
      <c r="B1073" s="46" t="str">
        <f t="shared" si="16"/>
        <v>2011-167-300216</v>
      </c>
      <c r="C1073" s="47">
        <v>44162</v>
      </c>
      <c r="D1073" s="46">
        <v>167</v>
      </c>
      <c r="E1073" s="46">
        <v>1</v>
      </c>
      <c r="F1073" s="46">
        <v>300216</v>
      </c>
      <c r="G1073" s="48" t="s">
        <v>338</v>
      </c>
      <c r="I1073" s="46">
        <v>0</v>
      </c>
      <c r="J1073" s="46">
        <v>0</v>
      </c>
      <c r="L1073" s="46">
        <v>0</v>
      </c>
      <c r="M1073" s="46">
        <v>0</v>
      </c>
    </row>
    <row r="1074" spans="2:13" ht="14.1" customHeight="1" x14ac:dyDescent="0.25">
      <c r="B1074" s="46" t="str">
        <f t="shared" si="16"/>
        <v>2011-168-317448</v>
      </c>
      <c r="C1074" s="47">
        <v>44162</v>
      </c>
      <c r="D1074" s="46">
        <v>168</v>
      </c>
      <c r="E1074" s="46">
        <v>6</v>
      </c>
      <c r="F1074" s="46">
        <v>317448</v>
      </c>
      <c r="G1074" s="50" t="s">
        <v>397</v>
      </c>
      <c r="H1074" s="47">
        <v>44223</v>
      </c>
      <c r="I1074" s="46">
        <v>51390</v>
      </c>
      <c r="J1074" s="46">
        <v>6</v>
      </c>
      <c r="K1074" s="47">
        <v>44229</v>
      </c>
      <c r="L1074" s="46">
        <v>11059</v>
      </c>
      <c r="M1074" s="46">
        <v>6</v>
      </c>
    </row>
    <row r="1075" spans="2:13" ht="14.1" customHeight="1" x14ac:dyDescent="0.25">
      <c r="B1075" s="46" t="str">
        <f t="shared" si="16"/>
        <v>2011-169-205276</v>
      </c>
      <c r="C1075" s="47">
        <v>44162</v>
      </c>
      <c r="D1075" s="46">
        <v>169</v>
      </c>
      <c r="E1075" s="46">
        <v>2</v>
      </c>
      <c r="F1075" s="46">
        <v>205276</v>
      </c>
      <c r="G1075" s="50" t="s">
        <v>221</v>
      </c>
      <c r="H1075" s="47">
        <v>44176</v>
      </c>
      <c r="I1075" s="46">
        <v>50850</v>
      </c>
      <c r="J1075" s="46">
        <v>2</v>
      </c>
      <c r="K1075" s="47">
        <v>44200</v>
      </c>
      <c r="L1075" s="46">
        <v>10796</v>
      </c>
      <c r="M1075" s="46">
        <v>2</v>
      </c>
    </row>
    <row r="1076" spans="2:13" ht="14.1" customHeight="1" x14ac:dyDescent="0.25">
      <c r="B1076" s="46" t="str">
        <f t="shared" si="16"/>
        <v>2011-170-106576</v>
      </c>
      <c r="C1076" s="47">
        <v>44162</v>
      </c>
      <c r="D1076" s="46">
        <v>170</v>
      </c>
      <c r="E1076" s="46">
        <v>2</v>
      </c>
      <c r="F1076" s="46">
        <v>106576</v>
      </c>
      <c r="G1076" s="48" t="s">
        <v>145</v>
      </c>
      <c r="I1076" s="46">
        <v>0</v>
      </c>
      <c r="J1076" s="46">
        <v>0</v>
      </c>
      <c r="L1076" s="46">
        <v>0</v>
      </c>
      <c r="M1076" s="46">
        <v>0</v>
      </c>
    </row>
    <row r="1077" spans="2:13" ht="14.1" customHeight="1" x14ac:dyDescent="0.25">
      <c r="B1077" s="46" t="str">
        <f t="shared" si="16"/>
        <v>2011-171-305820</v>
      </c>
      <c r="C1077" s="47">
        <v>44162</v>
      </c>
      <c r="D1077" s="46">
        <v>171</v>
      </c>
      <c r="E1077" s="46">
        <v>4</v>
      </c>
      <c r="F1077" s="46">
        <v>305820</v>
      </c>
      <c r="G1077" s="48" t="s">
        <v>701</v>
      </c>
      <c r="H1077" s="47">
        <v>44166</v>
      </c>
      <c r="I1077" s="46">
        <v>50698</v>
      </c>
      <c r="J1077" s="46">
        <v>4</v>
      </c>
      <c r="K1077" s="47">
        <v>44167</v>
      </c>
      <c r="L1077" s="46">
        <v>10571</v>
      </c>
      <c r="M1077" s="46">
        <v>4</v>
      </c>
    </row>
    <row r="1078" spans="2:13" ht="14.1" customHeight="1" x14ac:dyDescent="0.25">
      <c r="B1078" s="46" t="str">
        <f t="shared" si="16"/>
        <v>2011-171-308887</v>
      </c>
      <c r="C1078" s="47">
        <v>44162</v>
      </c>
      <c r="D1078" s="46">
        <v>171</v>
      </c>
      <c r="E1078" s="46">
        <v>4</v>
      </c>
      <c r="F1078" s="46">
        <v>308887</v>
      </c>
      <c r="G1078" s="48" t="s">
        <v>360</v>
      </c>
      <c r="H1078" s="47">
        <v>44166</v>
      </c>
      <c r="I1078" s="46">
        <v>50698</v>
      </c>
      <c r="J1078" s="46">
        <v>4</v>
      </c>
      <c r="K1078" s="47">
        <v>44167</v>
      </c>
      <c r="L1078" s="46">
        <v>10571</v>
      </c>
      <c r="M1078" s="46">
        <v>4</v>
      </c>
    </row>
    <row r="1079" spans="2:13" ht="14.1" customHeight="1" x14ac:dyDescent="0.25">
      <c r="B1079" s="46" t="str">
        <f t="shared" si="16"/>
        <v>2011-171-315842</v>
      </c>
      <c r="C1079" s="47">
        <v>44162</v>
      </c>
      <c r="D1079" s="46">
        <v>171</v>
      </c>
      <c r="E1079" s="46">
        <v>4</v>
      </c>
      <c r="F1079" s="46">
        <v>315842</v>
      </c>
      <c r="G1079" s="48" t="s">
        <v>991</v>
      </c>
      <c r="H1079" s="47">
        <v>44166</v>
      </c>
      <c r="I1079" s="46">
        <v>50698</v>
      </c>
      <c r="J1079" s="46">
        <v>4</v>
      </c>
      <c r="K1079" s="47">
        <v>44167</v>
      </c>
      <c r="L1079" s="46">
        <v>10571</v>
      </c>
      <c r="M1079" s="46">
        <v>4</v>
      </c>
    </row>
    <row r="1080" spans="2:13" ht="14.1" customHeight="1" x14ac:dyDescent="0.25">
      <c r="B1080" s="46" t="str">
        <f t="shared" si="16"/>
        <v>2011-172-203593</v>
      </c>
      <c r="C1080" s="47">
        <v>44162</v>
      </c>
      <c r="D1080" s="46">
        <v>172</v>
      </c>
      <c r="E1080" s="46">
        <v>8000</v>
      </c>
      <c r="F1080" s="46">
        <v>203593</v>
      </c>
      <c r="G1080" s="48" t="s">
        <v>211</v>
      </c>
      <c r="H1080" s="47">
        <v>44166</v>
      </c>
      <c r="I1080" s="46">
        <v>50765</v>
      </c>
      <c r="J1080" s="46">
        <v>8000</v>
      </c>
      <c r="K1080" s="47">
        <v>44162</v>
      </c>
      <c r="L1080" s="46">
        <v>10504</v>
      </c>
      <c r="M1080" s="46">
        <v>8000</v>
      </c>
    </row>
    <row r="1081" spans="2:13" ht="14.1" customHeight="1" x14ac:dyDescent="0.25">
      <c r="B1081" s="46" t="str">
        <f t="shared" si="16"/>
        <v>2011-173-304892</v>
      </c>
      <c r="C1081" s="47">
        <v>44162</v>
      </c>
      <c r="D1081" s="46">
        <v>173</v>
      </c>
      <c r="E1081" s="46">
        <v>2000</v>
      </c>
      <c r="F1081" s="46">
        <v>304892</v>
      </c>
      <c r="G1081" s="48" t="s">
        <v>198</v>
      </c>
      <c r="H1081" s="47">
        <v>44172</v>
      </c>
      <c r="I1081" s="46">
        <v>50772</v>
      </c>
      <c r="J1081" s="46">
        <v>2000</v>
      </c>
      <c r="K1081" s="47">
        <v>44162</v>
      </c>
      <c r="L1081" s="46">
        <v>10507</v>
      </c>
      <c r="M1081" s="46">
        <v>2000</v>
      </c>
    </row>
    <row r="1082" spans="2:13" ht="14.1" customHeight="1" x14ac:dyDescent="0.25">
      <c r="B1082" s="46" t="str">
        <f t="shared" si="16"/>
        <v>2011-174-300312</v>
      </c>
      <c r="C1082" s="47">
        <v>44162</v>
      </c>
      <c r="D1082" s="46">
        <v>174</v>
      </c>
      <c r="E1082" s="46">
        <v>1250</v>
      </c>
      <c r="F1082" s="46">
        <v>300312</v>
      </c>
      <c r="G1082" s="48" t="s">
        <v>186</v>
      </c>
      <c r="H1082" s="47">
        <v>44172</v>
      </c>
      <c r="I1082" s="46">
        <v>50771</v>
      </c>
      <c r="J1082" s="46">
        <v>1250</v>
      </c>
      <c r="K1082" s="47">
        <v>44162</v>
      </c>
      <c r="L1082" s="46">
        <v>10508</v>
      </c>
      <c r="M1082" s="46">
        <v>1250</v>
      </c>
    </row>
    <row r="1083" spans="2:13" ht="14.1" customHeight="1" x14ac:dyDescent="0.25">
      <c r="B1083" s="46" t="str">
        <f t="shared" si="16"/>
        <v>2011-176-200751</v>
      </c>
      <c r="C1083" s="47">
        <v>44162</v>
      </c>
      <c r="D1083" s="46">
        <v>176</v>
      </c>
      <c r="E1083" s="46">
        <v>30000</v>
      </c>
      <c r="F1083" s="46">
        <v>200751</v>
      </c>
      <c r="G1083" s="48" t="s">
        <v>151</v>
      </c>
      <c r="H1083" s="47">
        <v>44161</v>
      </c>
      <c r="I1083" s="46">
        <v>50695</v>
      </c>
      <c r="J1083" s="46">
        <v>10000</v>
      </c>
      <c r="K1083" s="47">
        <v>44162</v>
      </c>
      <c r="L1083" s="46">
        <v>10510</v>
      </c>
      <c r="M1083" s="46">
        <v>10000</v>
      </c>
    </row>
    <row r="1084" spans="2:13" ht="14.1" customHeight="1" x14ac:dyDescent="0.25">
      <c r="B1084" s="46" t="str">
        <f t="shared" si="16"/>
        <v>2011-176-200751</v>
      </c>
      <c r="C1084" s="47">
        <v>44162</v>
      </c>
      <c r="D1084" s="46">
        <v>176</v>
      </c>
      <c r="E1084" s="46">
        <v>30000</v>
      </c>
      <c r="F1084" s="46">
        <v>200751</v>
      </c>
      <c r="G1084" s="48" t="s">
        <v>151</v>
      </c>
      <c r="H1084" s="47">
        <v>44161</v>
      </c>
      <c r="I1084" s="46">
        <v>50695</v>
      </c>
      <c r="J1084" s="46">
        <v>10000</v>
      </c>
      <c r="K1084" s="47">
        <v>44165</v>
      </c>
      <c r="L1084" s="46">
        <v>10538</v>
      </c>
      <c r="M1084" s="46">
        <v>10000</v>
      </c>
    </row>
    <row r="1085" spans="2:13" ht="14.1" customHeight="1" x14ac:dyDescent="0.25">
      <c r="B1085" s="46" t="str">
        <f t="shared" si="16"/>
        <v>2011-176-200751</v>
      </c>
      <c r="C1085" s="47">
        <v>44162</v>
      </c>
      <c r="D1085" s="46">
        <v>176</v>
      </c>
      <c r="E1085" s="46">
        <v>30000</v>
      </c>
      <c r="F1085" s="46">
        <v>200751</v>
      </c>
      <c r="G1085" s="48" t="s">
        <v>151</v>
      </c>
      <c r="H1085" s="47">
        <v>44161</v>
      </c>
      <c r="I1085" s="46">
        <v>50695</v>
      </c>
      <c r="J1085" s="46">
        <v>10000</v>
      </c>
      <c r="K1085" s="47">
        <v>44165</v>
      </c>
      <c r="L1085" s="46">
        <v>10539</v>
      </c>
      <c r="M1085" s="46">
        <v>10000</v>
      </c>
    </row>
    <row r="1086" spans="2:13" ht="14.1" customHeight="1" x14ac:dyDescent="0.25">
      <c r="B1086" s="46" t="str">
        <f t="shared" si="16"/>
        <v>2011-176-200751</v>
      </c>
      <c r="C1086" s="47">
        <v>44162</v>
      </c>
      <c r="D1086" s="46">
        <v>176</v>
      </c>
      <c r="E1086" s="46">
        <v>30000</v>
      </c>
      <c r="F1086" s="46">
        <v>200751</v>
      </c>
      <c r="G1086" s="48" t="s">
        <v>151</v>
      </c>
      <c r="H1086" s="47">
        <v>44166</v>
      </c>
      <c r="I1086" s="46">
        <v>50758</v>
      </c>
      <c r="J1086" s="46">
        <v>10000</v>
      </c>
      <c r="K1086" s="47">
        <v>44162</v>
      </c>
      <c r="L1086" s="46">
        <v>10510</v>
      </c>
      <c r="M1086" s="46">
        <v>10000</v>
      </c>
    </row>
    <row r="1087" spans="2:13" ht="14.1" customHeight="1" x14ac:dyDescent="0.25">
      <c r="B1087" s="46" t="str">
        <f t="shared" si="16"/>
        <v>2011-176-200751</v>
      </c>
      <c r="C1087" s="47">
        <v>44162</v>
      </c>
      <c r="D1087" s="46">
        <v>176</v>
      </c>
      <c r="E1087" s="46">
        <v>30000</v>
      </c>
      <c r="F1087" s="46">
        <v>200751</v>
      </c>
      <c r="G1087" s="48" t="s">
        <v>151</v>
      </c>
      <c r="H1087" s="47">
        <v>44166</v>
      </c>
      <c r="I1087" s="46">
        <v>50758</v>
      </c>
      <c r="J1087" s="46">
        <v>10000</v>
      </c>
      <c r="K1087" s="47">
        <v>44165</v>
      </c>
      <c r="L1087" s="46">
        <v>10538</v>
      </c>
      <c r="M1087" s="46">
        <v>10000</v>
      </c>
    </row>
    <row r="1088" spans="2:13" ht="14.1" customHeight="1" x14ac:dyDescent="0.25">
      <c r="B1088" s="46" t="str">
        <f t="shared" si="16"/>
        <v>2011-176-200751</v>
      </c>
      <c r="C1088" s="47">
        <v>44162</v>
      </c>
      <c r="D1088" s="46">
        <v>176</v>
      </c>
      <c r="E1088" s="46">
        <v>30000</v>
      </c>
      <c r="F1088" s="46">
        <v>200751</v>
      </c>
      <c r="G1088" s="48" t="s">
        <v>151</v>
      </c>
      <c r="H1088" s="47">
        <v>44166</v>
      </c>
      <c r="I1088" s="46">
        <v>50758</v>
      </c>
      <c r="J1088" s="46">
        <v>10000</v>
      </c>
      <c r="K1088" s="47">
        <v>44165</v>
      </c>
      <c r="L1088" s="46">
        <v>10539</v>
      </c>
      <c r="M1088" s="46">
        <v>10000</v>
      </c>
    </row>
    <row r="1089" spans="2:13" ht="14.1" customHeight="1" x14ac:dyDescent="0.25">
      <c r="B1089" s="46" t="str">
        <f t="shared" si="16"/>
        <v>2011-176-200751</v>
      </c>
      <c r="C1089" s="47">
        <v>44162</v>
      </c>
      <c r="D1089" s="46">
        <v>176</v>
      </c>
      <c r="E1089" s="46">
        <v>30000</v>
      </c>
      <c r="F1089" s="46">
        <v>200751</v>
      </c>
      <c r="G1089" s="48" t="s">
        <v>151</v>
      </c>
      <c r="H1089" s="47">
        <v>44166</v>
      </c>
      <c r="I1089" s="46">
        <v>50760</v>
      </c>
      <c r="J1089" s="46">
        <v>10000</v>
      </c>
      <c r="K1089" s="47">
        <v>44162</v>
      </c>
      <c r="L1089" s="46">
        <v>10510</v>
      </c>
      <c r="M1089" s="46">
        <v>10000</v>
      </c>
    </row>
    <row r="1090" spans="2:13" ht="14.1" customHeight="1" x14ac:dyDescent="0.25">
      <c r="B1090" s="46" t="str">
        <f t="shared" si="16"/>
        <v>2011-176-200751</v>
      </c>
      <c r="C1090" s="47">
        <v>44162</v>
      </c>
      <c r="D1090" s="46">
        <v>176</v>
      </c>
      <c r="E1090" s="46">
        <v>30000</v>
      </c>
      <c r="F1090" s="46">
        <v>200751</v>
      </c>
      <c r="G1090" s="48" t="s">
        <v>151</v>
      </c>
      <c r="H1090" s="47">
        <v>44166</v>
      </c>
      <c r="I1090" s="46">
        <v>50760</v>
      </c>
      <c r="J1090" s="46">
        <v>10000</v>
      </c>
      <c r="K1090" s="47">
        <v>44165</v>
      </c>
      <c r="L1090" s="46">
        <v>10538</v>
      </c>
      <c r="M1090" s="46">
        <v>10000</v>
      </c>
    </row>
    <row r="1091" spans="2:13" ht="14.1" customHeight="1" x14ac:dyDescent="0.25">
      <c r="B1091" s="46" t="str">
        <f t="shared" si="16"/>
        <v>2011-176-200751</v>
      </c>
      <c r="C1091" s="47">
        <v>44162</v>
      </c>
      <c r="D1091" s="46">
        <v>176</v>
      </c>
      <c r="E1091" s="46">
        <v>30000</v>
      </c>
      <c r="F1091" s="46">
        <v>200751</v>
      </c>
      <c r="G1091" s="48" t="s">
        <v>151</v>
      </c>
      <c r="H1091" s="47">
        <v>44166</v>
      </c>
      <c r="I1091" s="46">
        <v>50760</v>
      </c>
      <c r="J1091" s="46">
        <v>10000</v>
      </c>
      <c r="K1091" s="47">
        <v>44165</v>
      </c>
      <c r="L1091" s="46">
        <v>10539</v>
      </c>
      <c r="M1091" s="46">
        <v>10000</v>
      </c>
    </row>
    <row r="1092" spans="2:13" ht="14.1" customHeight="1" x14ac:dyDescent="0.25">
      <c r="B1092" s="46" t="str">
        <f t="shared" si="16"/>
        <v>2011-185-320448</v>
      </c>
      <c r="C1092" s="47">
        <v>44165</v>
      </c>
      <c r="D1092" s="46">
        <v>185</v>
      </c>
      <c r="E1092" s="46">
        <v>8</v>
      </c>
      <c r="F1092" s="46">
        <v>320448</v>
      </c>
      <c r="G1092" s="48" t="s">
        <v>1070</v>
      </c>
      <c r="H1092" s="47">
        <v>44167</v>
      </c>
      <c r="I1092" s="46">
        <v>50712</v>
      </c>
      <c r="J1092" s="46">
        <v>8</v>
      </c>
      <c r="K1092" s="47">
        <v>44172</v>
      </c>
      <c r="L1092" s="46">
        <v>10610</v>
      </c>
      <c r="M1092" s="46">
        <v>8</v>
      </c>
    </row>
    <row r="1093" spans="2:13" ht="14.1" customHeight="1" x14ac:dyDescent="0.25">
      <c r="B1093" s="46" t="str">
        <f t="shared" si="16"/>
        <v>2011-186-319359</v>
      </c>
      <c r="C1093" s="47">
        <v>44165</v>
      </c>
      <c r="D1093" s="46">
        <v>186</v>
      </c>
      <c r="E1093" s="46">
        <v>6000</v>
      </c>
      <c r="F1093" s="46">
        <v>319359</v>
      </c>
      <c r="G1093" s="48" t="s">
        <v>210</v>
      </c>
      <c r="H1093" s="47">
        <v>44171</v>
      </c>
      <c r="I1093" s="46">
        <v>50816</v>
      </c>
      <c r="J1093" s="46">
        <v>6000</v>
      </c>
      <c r="K1093" s="47">
        <v>44172</v>
      </c>
      <c r="L1093" s="46">
        <v>10601</v>
      </c>
      <c r="M1093" s="46">
        <v>6000</v>
      </c>
    </row>
    <row r="1094" spans="2:13" ht="14.1" customHeight="1" x14ac:dyDescent="0.25">
      <c r="B1094" s="46" t="str">
        <f t="shared" si="16"/>
        <v>2011-187-307031</v>
      </c>
      <c r="C1094" s="47">
        <v>44165</v>
      </c>
      <c r="D1094" s="46">
        <v>187</v>
      </c>
      <c r="E1094" s="46">
        <v>2</v>
      </c>
      <c r="F1094" s="46">
        <v>307031</v>
      </c>
      <c r="G1094" s="48" t="s">
        <v>263</v>
      </c>
      <c r="I1094" s="46">
        <v>0</v>
      </c>
      <c r="J1094" s="46">
        <v>0</v>
      </c>
      <c r="L1094" s="46">
        <v>0</v>
      </c>
      <c r="M1094" s="46">
        <v>0</v>
      </c>
    </row>
    <row r="1095" spans="2:13" ht="14.1" customHeight="1" x14ac:dyDescent="0.25">
      <c r="B1095" s="46" t="str">
        <f t="shared" si="16"/>
        <v>2011-188-318026</v>
      </c>
      <c r="C1095" s="47">
        <v>44165</v>
      </c>
      <c r="D1095" s="46">
        <v>188</v>
      </c>
      <c r="E1095" s="46">
        <v>5</v>
      </c>
      <c r="F1095" s="46">
        <v>318026</v>
      </c>
      <c r="G1095" s="48" t="s">
        <v>320</v>
      </c>
      <c r="H1095" s="47">
        <v>44167</v>
      </c>
      <c r="I1095" s="46">
        <v>50713</v>
      </c>
      <c r="J1095" s="46">
        <v>5</v>
      </c>
      <c r="K1095" s="47">
        <v>44168</v>
      </c>
      <c r="L1095" s="46">
        <v>10580</v>
      </c>
      <c r="M1095" s="46">
        <v>5</v>
      </c>
    </row>
    <row r="1096" spans="2:13" ht="14.1" customHeight="1" x14ac:dyDescent="0.25">
      <c r="B1096" s="46" t="str">
        <f t="shared" si="16"/>
        <v>2011-189-104092</v>
      </c>
      <c r="C1096" s="47">
        <v>44165</v>
      </c>
      <c r="D1096" s="46">
        <v>189</v>
      </c>
      <c r="E1096" s="46">
        <v>1</v>
      </c>
      <c r="F1096" s="46">
        <v>104092</v>
      </c>
      <c r="G1096" s="48" t="s">
        <v>336</v>
      </c>
      <c r="I1096" s="46">
        <v>0</v>
      </c>
      <c r="J1096" s="46">
        <v>0</v>
      </c>
      <c r="L1096" s="46">
        <v>0</v>
      </c>
      <c r="M1096" s="46">
        <v>0</v>
      </c>
    </row>
    <row r="1097" spans="2:13" ht="14.1" customHeight="1" x14ac:dyDescent="0.25">
      <c r="B1097" s="46" t="str">
        <f t="shared" si="16"/>
        <v>2011-189-320452</v>
      </c>
      <c r="C1097" s="47">
        <v>44165</v>
      </c>
      <c r="D1097" s="46">
        <v>189</v>
      </c>
      <c r="E1097" s="46">
        <v>1</v>
      </c>
      <c r="F1097" s="46">
        <v>320452</v>
      </c>
      <c r="G1097" s="48" t="s">
        <v>1071</v>
      </c>
      <c r="H1097" s="47">
        <v>44186</v>
      </c>
      <c r="I1097" s="46">
        <v>51003</v>
      </c>
      <c r="J1097" s="46">
        <v>1</v>
      </c>
      <c r="K1097" s="47">
        <v>44207</v>
      </c>
      <c r="L1097" s="46">
        <v>10848</v>
      </c>
      <c r="M1097" s="46">
        <v>1</v>
      </c>
    </row>
    <row r="1098" spans="2:13" ht="14.1" customHeight="1" x14ac:dyDescent="0.25">
      <c r="B1098" s="46" t="str">
        <f t="shared" si="16"/>
        <v>2011-192-320453</v>
      </c>
      <c r="C1098" s="47">
        <v>44165</v>
      </c>
      <c r="D1098" s="46">
        <v>192</v>
      </c>
      <c r="E1098" s="46">
        <v>1</v>
      </c>
      <c r="F1098" s="46">
        <v>320453</v>
      </c>
      <c r="G1098" s="48" t="s">
        <v>1325</v>
      </c>
      <c r="H1098" s="47">
        <v>44207</v>
      </c>
      <c r="I1098" s="46">
        <v>51177</v>
      </c>
      <c r="J1098" s="46">
        <v>1</v>
      </c>
      <c r="K1098" s="47">
        <v>44165</v>
      </c>
      <c r="L1098" s="46">
        <v>10530</v>
      </c>
      <c r="M1098" s="46">
        <v>1</v>
      </c>
    </row>
    <row r="1099" spans="2:13" ht="14.1" customHeight="1" x14ac:dyDescent="0.25">
      <c r="B1099" s="46" t="str">
        <f t="shared" si="16"/>
        <v>2011-192-320454</v>
      </c>
      <c r="C1099" s="47">
        <v>44165</v>
      </c>
      <c r="D1099" s="46">
        <v>192</v>
      </c>
      <c r="E1099" s="46">
        <v>1</v>
      </c>
      <c r="F1099" s="46">
        <v>320454</v>
      </c>
      <c r="G1099" s="48" t="s">
        <v>1326</v>
      </c>
      <c r="H1099" s="47">
        <v>44207</v>
      </c>
      <c r="I1099" s="46">
        <v>51177</v>
      </c>
      <c r="J1099" s="46">
        <v>1</v>
      </c>
      <c r="K1099" s="47">
        <v>44165</v>
      </c>
      <c r="L1099" s="46">
        <v>10530</v>
      </c>
      <c r="M1099" s="46">
        <v>1</v>
      </c>
    </row>
    <row r="1100" spans="2:13" ht="14.1" customHeight="1" x14ac:dyDescent="0.25">
      <c r="B1100" s="46" t="str">
        <f t="shared" ref="B1100:B1163" si="17">TEXT(C1100,"yy") &amp; TEXT(C1100,"mm") &amp;"-"&amp;(D1100) &amp;"-"&amp;(F1100)</f>
        <v>2011-192-320455</v>
      </c>
      <c r="C1100" s="47">
        <v>44165</v>
      </c>
      <c r="D1100" s="46">
        <v>192</v>
      </c>
      <c r="E1100" s="46">
        <v>1</v>
      </c>
      <c r="F1100" s="46">
        <v>320455</v>
      </c>
      <c r="G1100" s="48" t="s">
        <v>1103</v>
      </c>
      <c r="H1100" s="47">
        <v>44186</v>
      </c>
      <c r="I1100" s="46">
        <v>50985</v>
      </c>
      <c r="J1100" s="46">
        <v>1</v>
      </c>
      <c r="K1100" s="47">
        <v>44165</v>
      </c>
      <c r="L1100" s="46">
        <v>10530</v>
      </c>
      <c r="M1100" s="46">
        <v>1</v>
      </c>
    </row>
    <row r="1101" spans="2:13" ht="14.1" customHeight="1" x14ac:dyDescent="0.25">
      <c r="B1101" s="46" t="str">
        <f t="shared" si="17"/>
        <v>2011-192-320456</v>
      </c>
      <c r="C1101" s="47">
        <v>44165</v>
      </c>
      <c r="D1101" s="46">
        <v>192</v>
      </c>
      <c r="E1101" s="46">
        <v>1</v>
      </c>
      <c r="F1101" s="46">
        <v>320456</v>
      </c>
      <c r="G1101" s="48" t="s">
        <v>1327</v>
      </c>
      <c r="H1101" s="47">
        <v>44207</v>
      </c>
      <c r="I1101" s="46">
        <v>51177</v>
      </c>
      <c r="J1101" s="46">
        <v>1</v>
      </c>
      <c r="K1101" s="47">
        <v>44165</v>
      </c>
      <c r="L1101" s="46">
        <v>10530</v>
      </c>
      <c r="M1101" s="46">
        <v>1</v>
      </c>
    </row>
    <row r="1102" spans="2:13" ht="14.1" customHeight="1" x14ac:dyDescent="0.25">
      <c r="B1102" s="46" t="str">
        <f t="shared" si="17"/>
        <v>2011-192-320458</v>
      </c>
      <c r="C1102" s="47">
        <v>44165</v>
      </c>
      <c r="D1102" s="46">
        <v>192</v>
      </c>
      <c r="E1102" s="46">
        <v>1</v>
      </c>
      <c r="F1102" s="46">
        <v>320458</v>
      </c>
      <c r="G1102" s="48" t="s">
        <v>1329</v>
      </c>
      <c r="H1102" s="47">
        <v>44207</v>
      </c>
      <c r="I1102" s="46">
        <v>51177</v>
      </c>
      <c r="J1102" s="46">
        <v>1</v>
      </c>
      <c r="K1102" s="47">
        <v>44165</v>
      </c>
      <c r="L1102" s="46">
        <v>10530</v>
      </c>
      <c r="M1102" s="46">
        <v>1</v>
      </c>
    </row>
    <row r="1103" spans="2:13" ht="14.1" customHeight="1" x14ac:dyDescent="0.25">
      <c r="B1103" s="46" t="str">
        <f t="shared" si="17"/>
        <v>2011-192-205277</v>
      </c>
      <c r="C1103" s="47">
        <v>44165</v>
      </c>
      <c r="D1103" s="46">
        <v>192</v>
      </c>
      <c r="E1103" s="46">
        <v>2</v>
      </c>
      <c r="F1103" s="46">
        <v>205277</v>
      </c>
      <c r="G1103" s="48" t="s">
        <v>556</v>
      </c>
      <c r="H1103" s="47">
        <v>44186</v>
      </c>
      <c r="I1103" s="46">
        <v>50985</v>
      </c>
      <c r="J1103" s="46">
        <v>1</v>
      </c>
      <c r="K1103" s="47">
        <v>44165</v>
      </c>
      <c r="L1103" s="46">
        <v>10530</v>
      </c>
      <c r="M1103" s="46">
        <v>2</v>
      </c>
    </row>
    <row r="1104" spans="2:13" ht="14.1" customHeight="1" x14ac:dyDescent="0.25">
      <c r="B1104" s="46" t="str">
        <f t="shared" si="17"/>
        <v>2011-192-205277</v>
      </c>
      <c r="C1104" s="47">
        <v>44165</v>
      </c>
      <c r="D1104" s="46">
        <v>192</v>
      </c>
      <c r="E1104" s="46">
        <v>2</v>
      </c>
      <c r="F1104" s="46">
        <v>205277</v>
      </c>
      <c r="G1104" s="48" t="s">
        <v>556</v>
      </c>
      <c r="H1104" s="47">
        <v>44207</v>
      </c>
      <c r="I1104" s="46">
        <v>51177</v>
      </c>
      <c r="J1104" s="46">
        <v>1</v>
      </c>
      <c r="K1104" s="47">
        <v>44165</v>
      </c>
      <c r="L1104" s="46">
        <v>10530</v>
      </c>
      <c r="M1104" s="46">
        <v>2</v>
      </c>
    </row>
    <row r="1105" spans="2:13" ht="14.1" customHeight="1" x14ac:dyDescent="0.25">
      <c r="B1105" s="46" t="str">
        <f t="shared" si="17"/>
        <v>2011-192-320457</v>
      </c>
      <c r="C1105" s="47">
        <v>44165</v>
      </c>
      <c r="D1105" s="46">
        <v>192</v>
      </c>
      <c r="E1105" s="46">
        <v>1</v>
      </c>
      <c r="F1105" s="46">
        <v>320457</v>
      </c>
      <c r="G1105" s="48" t="s">
        <v>1328</v>
      </c>
      <c r="H1105" s="47">
        <v>44207</v>
      </c>
      <c r="I1105" s="46">
        <v>51177</v>
      </c>
      <c r="J1105" s="46">
        <v>1</v>
      </c>
      <c r="K1105" s="47">
        <v>44165</v>
      </c>
      <c r="L1105" s="46">
        <v>10530</v>
      </c>
      <c r="M1105" s="46">
        <v>1</v>
      </c>
    </row>
    <row r="1106" spans="2:13" ht="14.1" customHeight="1" x14ac:dyDescent="0.25">
      <c r="B1106" s="46" t="str">
        <f t="shared" si="17"/>
        <v>2011-193-317172</v>
      </c>
      <c r="C1106" s="47">
        <v>44165</v>
      </c>
      <c r="D1106" s="46">
        <v>193</v>
      </c>
      <c r="E1106" s="46">
        <v>1</v>
      </c>
      <c r="F1106" s="46">
        <v>317172</v>
      </c>
      <c r="G1106" s="48" t="s">
        <v>1535</v>
      </c>
      <c r="H1106" s="47">
        <v>44226</v>
      </c>
      <c r="I1106" s="46">
        <v>51438</v>
      </c>
      <c r="J1106" s="46">
        <v>1</v>
      </c>
      <c r="K1106" s="47">
        <v>44165</v>
      </c>
      <c r="L1106" s="46">
        <v>10523</v>
      </c>
      <c r="M1106" s="46">
        <v>1</v>
      </c>
    </row>
    <row r="1107" spans="2:13" ht="14.1" customHeight="1" x14ac:dyDescent="0.25">
      <c r="B1107" s="46" t="str">
        <f t="shared" si="17"/>
        <v>2011-195-320460</v>
      </c>
      <c r="C1107" s="47">
        <v>44165</v>
      </c>
      <c r="D1107" s="46">
        <v>195</v>
      </c>
      <c r="E1107" s="46">
        <v>1</v>
      </c>
      <c r="F1107" s="46">
        <v>320460</v>
      </c>
      <c r="G1107" s="48" t="s">
        <v>1104</v>
      </c>
      <c r="H1107" s="47">
        <v>44186</v>
      </c>
      <c r="I1107" s="46">
        <v>50982</v>
      </c>
      <c r="J1107" s="46">
        <v>1</v>
      </c>
      <c r="K1107" s="47">
        <v>44165</v>
      </c>
      <c r="L1107" s="46">
        <v>10531</v>
      </c>
      <c r="M1107" s="46">
        <v>1</v>
      </c>
    </row>
    <row r="1108" spans="2:13" ht="14.1" customHeight="1" x14ac:dyDescent="0.25">
      <c r="B1108" s="46" t="str">
        <f t="shared" si="17"/>
        <v>2011-195-320461</v>
      </c>
      <c r="C1108" s="47">
        <v>44165</v>
      </c>
      <c r="D1108" s="46">
        <v>195</v>
      </c>
      <c r="E1108" s="46">
        <v>1</v>
      </c>
      <c r="F1108" s="46">
        <v>320461</v>
      </c>
      <c r="G1108" s="48" t="s">
        <v>1105</v>
      </c>
      <c r="H1108" s="47">
        <v>44186</v>
      </c>
      <c r="I1108" s="46">
        <v>50982</v>
      </c>
      <c r="J1108" s="46">
        <v>1</v>
      </c>
      <c r="K1108" s="47">
        <v>44165</v>
      </c>
      <c r="L1108" s="46">
        <v>10531</v>
      </c>
      <c r="M1108" s="46">
        <v>1</v>
      </c>
    </row>
    <row r="1109" spans="2:13" ht="14.1" customHeight="1" x14ac:dyDescent="0.25">
      <c r="B1109" s="46" t="str">
        <f t="shared" si="17"/>
        <v>2011-195-313478</v>
      </c>
      <c r="C1109" s="47">
        <v>44165</v>
      </c>
      <c r="D1109" s="46">
        <v>195</v>
      </c>
      <c r="E1109" s="46">
        <v>1</v>
      </c>
      <c r="F1109" s="46">
        <v>313478</v>
      </c>
      <c r="G1109" s="48" t="s">
        <v>833</v>
      </c>
      <c r="H1109" s="47">
        <v>44186</v>
      </c>
      <c r="I1109" s="46">
        <v>50982</v>
      </c>
      <c r="J1109" s="46">
        <v>1</v>
      </c>
      <c r="K1109" s="47">
        <v>44165</v>
      </c>
      <c r="L1109" s="46">
        <v>10531</v>
      </c>
      <c r="M1109" s="46">
        <v>1</v>
      </c>
    </row>
    <row r="1110" spans="2:13" ht="14.1" customHeight="1" x14ac:dyDescent="0.25">
      <c r="B1110" s="46" t="str">
        <f t="shared" si="17"/>
        <v>2011-198-206155</v>
      </c>
      <c r="C1110" s="47">
        <v>44165</v>
      </c>
      <c r="D1110" s="46">
        <v>198</v>
      </c>
      <c r="E1110" s="46">
        <v>4</v>
      </c>
      <c r="F1110" s="46">
        <v>206155</v>
      </c>
      <c r="G1110" s="48" t="s">
        <v>581</v>
      </c>
      <c r="H1110" s="47">
        <v>44168</v>
      </c>
      <c r="I1110" s="46">
        <v>50719</v>
      </c>
      <c r="J1110" s="46">
        <v>4</v>
      </c>
      <c r="K1110" s="47">
        <v>44174</v>
      </c>
      <c r="L1110" s="46">
        <v>10641</v>
      </c>
      <c r="M1110" s="46">
        <v>4</v>
      </c>
    </row>
    <row r="1111" spans="2:13" ht="14.1" customHeight="1" x14ac:dyDescent="0.25">
      <c r="B1111" s="46" t="str">
        <f t="shared" si="17"/>
        <v>2011-198-308301</v>
      </c>
      <c r="C1111" s="47">
        <v>44165</v>
      </c>
      <c r="D1111" s="46">
        <v>198</v>
      </c>
      <c r="E1111" s="46">
        <v>3</v>
      </c>
      <c r="F1111" s="46">
        <v>308301</v>
      </c>
      <c r="G1111" s="48" t="s">
        <v>742</v>
      </c>
      <c r="H1111" s="47">
        <v>44168</v>
      </c>
      <c r="I1111" s="46">
        <v>50719</v>
      </c>
      <c r="J1111" s="46">
        <v>3</v>
      </c>
      <c r="K1111" s="47">
        <v>44174</v>
      </c>
      <c r="L1111" s="46">
        <v>10641</v>
      </c>
      <c r="M1111" s="46">
        <v>3</v>
      </c>
    </row>
    <row r="1112" spans="2:13" ht="14.1" customHeight="1" x14ac:dyDescent="0.25">
      <c r="B1112" s="46" t="str">
        <f t="shared" si="17"/>
        <v>2011-198-204416</v>
      </c>
      <c r="C1112" s="47">
        <v>44165</v>
      </c>
      <c r="D1112" s="46">
        <v>198</v>
      </c>
      <c r="E1112" s="46">
        <v>24</v>
      </c>
      <c r="F1112" s="46">
        <v>204416</v>
      </c>
      <c r="G1112" s="48" t="s">
        <v>322</v>
      </c>
      <c r="H1112" s="47">
        <v>44168</v>
      </c>
      <c r="I1112" s="46">
        <v>50719</v>
      </c>
      <c r="J1112" s="46">
        <v>24</v>
      </c>
      <c r="K1112" s="47">
        <v>44174</v>
      </c>
      <c r="L1112" s="46">
        <v>10641</v>
      </c>
      <c r="M1112" s="46">
        <v>24</v>
      </c>
    </row>
    <row r="1113" spans="2:13" ht="14.1" customHeight="1" x14ac:dyDescent="0.25">
      <c r="B1113" s="46" t="str">
        <f t="shared" si="17"/>
        <v>2011-198-307717</v>
      </c>
      <c r="C1113" s="47">
        <v>44165</v>
      </c>
      <c r="D1113" s="46">
        <v>198</v>
      </c>
      <c r="E1113" s="46">
        <v>12</v>
      </c>
      <c r="F1113" s="46">
        <v>307717</v>
      </c>
      <c r="G1113" s="48" t="s">
        <v>731</v>
      </c>
      <c r="H1113" s="47">
        <v>44168</v>
      </c>
      <c r="I1113" s="46">
        <v>50719</v>
      </c>
      <c r="J1113" s="46">
        <v>12</v>
      </c>
      <c r="K1113" s="47">
        <v>44181</v>
      </c>
      <c r="L1113" s="46">
        <v>10697</v>
      </c>
      <c r="M1113" s="46">
        <v>12</v>
      </c>
    </row>
    <row r="1114" spans="2:13" ht="14.1" customHeight="1" x14ac:dyDescent="0.25">
      <c r="B1114" s="46" t="str">
        <f t="shared" si="17"/>
        <v>2011-198-202694</v>
      </c>
      <c r="C1114" s="47">
        <v>44165</v>
      </c>
      <c r="D1114" s="46">
        <v>198</v>
      </c>
      <c r="E1114" s="46">
        <v>6</v>
      </c>
      <c r="F1114" s="46">
        <v>202694</v>
      </c>
      <c r="G1114" s="48" t="s">
        <v>407</v>
      </c>
      <c r="H1114" s="47">
        <v>44168</v>
      </c>
      <c r="I1114" s="46">
        <v>50719</v>
      </c>
      <c r="J1114" s="46">
        <v>6</v>
      </c>
      <c r="K1114" s="47">
        <v>44174</v>
      </c>
      <c r="L1114" s="46">
        <v>10641</v>
      </c>
      <c r="M1114" s="46">
        <v>6</v>
      </c>
    </row>
    <row r="1115" spans="2:13" ht="14.1" customHeight="1" x14ac:dyDescent="0.25">
      <c r="B1115" s="46" t="str">
        <f t="shared" si="17"/>
        <v>2011-198-203226</v>
      </c>
      <c r="C1115" s="47">
        <v>44165</v>
      </c>
      <c r="D1115" s="46">
        <v>198</v>
      </c>
      <c r="E1115" s="46">
        <v>12</v>
      </c>
      <c r="F1115" s="46">
        <v>203226</v>
      </c>
      <c r="G1115" s="48" t="s">
        <v>504</v>
      </c>
      <c r="H1115" s="47">
        <v>44168</v>
      </c>
      <c r="I1115" s="46">
        <v>50719</v>
      </c>
      <c r="J1115" s="46">
        <v>12</v>
      </c>
      <c r="K1115" s="47">
        <v>44174</v>
      </c>
      <c r="L1115" s="46">
        <v>10641</v>
      </c>
      <c r="M1115" s="46">
        <v>12</v>
      </c>
    </row>
    <row r="1116" spans="2:13" ht="14.1" customHeight="1" x14ac:dyDescent="0.25">
      <c r="B1116" s="46" t="str">
        <f t="shared" si="17"/>
        <v>2011-198-203232</v>
      </c>
      <c r="C1116" s="47">
        <v>44165</v>
      </c>
      <c r="D1116" s="46">
        <v>198</v>
      </c>
      <c r="E1116" s="46">
        <v>10</v>
      </c>
      <c r="F1116" s="46">
        <v>203232</v>
      </c>
      <c r="G1116" s="48" t="s">
        <v>508</v>
      </c>
      <c r="H1116" s="47">
        <v>44168</v>
      </c>
      <c r="I1116" s="46">
        <v>50719</v>
      </c>
      <c r="J1116" s="46">
        <v>10</v>
      </c>
      <c r="K1116" s="47">
        <v>44174</v>
      </c>
      <c r="L1116" s="46">
        <v>10641</v>
      </c>
      <c r="M1116" s="46">
        <v>10</v>
      </c>
    </row>
    <row r="1117" spans="2:13" ht="14.1" customHeight="1" x14ac:dyDescent="0.25">
      <c r="B1117" s="46" t="str">
        <f t="shared" si="17"/>
        <v>2011-198-306105</v>
      </c>
      <c r="C1117" s="47">
        <v>44165</v>
      </c>
      <c r="D1117" s="46">
        <v>198</v>
      </c>
      <c r="E1117" s="46">
        <v>150</v>
      </c>
      <c r="F1117" s="46">
        <v>306105</v>
      </c>
      <c r="G1117" s="48" t="s">
        <v>706</v>
      </c>
      <c r="H1117" s="47">
        <v>44168</v>
      </c>
      <c r="I1117" s="46">
        <v>50719</v>
      </c>
      <c r="J1117" s="46">
        <v>150</v>
      </c>
      <c r="K1117" s="47">
        <v>44174</v>
      </c>
      <c r="L1117" s="46">
        <v>10628</v>
      </c>
      <c r="M1117" s="46">
        <v>150</v>
      </c>
    </row>
    <row r="1118" spans="2:13" ht="14.1" customHeight="1" x14ac:dyDescent="0.25">
      <c r="B1118" s="46" t="str">
        <f t="shared" si="17"/>
        <v>2011-198-203230</v>
      </c>
      <c r="C1118" s="47">
        <v>44165</v>
      </c>
      <c r="D1118" s="46">
        <v>198</v>
      </c>
      <c r="E1118" s="46">
        <v>20</v>
      </c>
      <c r="F1118" s="46">
        <v>203230</v>
      </c>
      <c r="G1118" s="48" t="s">
        <v>506</v>
      </c>
      <c r="H1118" s="47">
        <v>44168</v>
      </c>
      <c r="I1118" s="46">
        <v>50719</v>
      </c>
      <c r="J1118" s="46">
        <v>20</v>
      </c>
      <c r="K1118" s="47">
        <v>44174</v>
      </c>
      <c r="L1118" s="46">
        <v>10641</v>
      </c>
      <c r="M1118" s="46">
        <v>20</v>
      </c>
    </row>
    <row r="1119" spans="2:13" ht="14.1" customHeight="1" x14ac:dyDescent="0.25">
      <c r="B1119" s="46" t="str">
        <f t="shared" si="17"/>
        <v>2011-198-203372</v>
      </c>
      <c r="C1119" s="47">
        <v>44165</v>
      </c>
      <c r="D1119" s="46">
        <v>198</v>
      </c>
      <c r="E1119" s="46">
        <v>300</v>
      </c>
      <c r="F1119" s="46">
        <v>203372</v>
      </c>
      <c r="G1119" s="48" t="s">
        <v>101</v>
      </c>
      <c r="H1119" s="47">
        <v>44168</v>
      </c>
      <c r="I1119" s="46">
        <v>50719</v>
      </c>
      <c r="J1119" s="46">
        <v>300</v>
      </c>
      <c r="K1119" s="47">
        <v>44174</v>
      </c>
      <c r="L1119" s="46">
        <v>10628</v>
      </c>
      <c r="M1119" s="46">
        <v>300</v>
      </c>
    </row>
    <row r="1120" spans="2:13" ht="14.1" customHeight="1" x14ac:dyDescent="0.25">
      <c r="B1120" s="46" t="str">
        <f t="shared" si="17"/>
        <v>2011-198-203982</v>
      </c>
      <c r="C1120" s="47">
        <v>44165</v>
      </c>
      <c r="D1120" s="46">
        <v>198</v>
      </c>
      <c r="E1120" s="46">
        <v>4</v>
      </c>
      <c r="F1120" s="46">
        <v>203982</v>
      </c>
      <c r="G1120" s="50" t="s">
        <v>522</v>
      </c>
      <c r="H1120" s="47">
        <v>44168</v>
      </c>
      <c r="I1120" s="46">
        <v>50719</v>
      </c>
      <c r="J1120" s="46">
        <v>4</v>
      </c>
      <c r="K1120" s="47">
        <v>44187</v>
      </c>
      <c r="L1120" s="46">
        <v>10743</v>
      </c>
      <c r="M1120" s="46">
        <v>4</v>
      </c>
    </row>
    <row r="1121" spans="2:13" ht="14.1" customHeight="1" x14ac:dyDescent="0.25">
      <c r="B1121" s="46" t="str">
        <f t="shared" si="17"/>
        <v>2011-198-204423</v>
      </c>
      <c r="C1121" s="47">
        <v>44165</v>
      </c>
      <c r="D1121" s="46">
        <v>198</v>
      </c>
      <c r="E1121" s="46">
        <v>4</v>
      </c>
      <c r="F1121" s="46">
        <v>204423</v>
      </c>
      <c r="G1121" s="48" t="s">
        <v>540</v>
      </c>
      <c r="H1121" s="47">
        <v>44168</v>
      </c>
      <c r="I1121" s="46">
        <v>50719</v>
      </c>
      <c r="J1121" s="46">
        <v>4</v>
      </c>
      <c r="K1121" s="47">
        <v>44174</v>
      </c>
      <c r="L1121" s="46">
        <v>10641</v>
      </c>
      <c r="M1121" s="46">
        <v>4</v>
      </c>
    </row>
    <row r="1122" spans="2:13" ht="14.1" customHeight="1" x14ac:dyDescent="0.25">
      <c r="B1122" s="46" t="str">
        <f t="shared" si="17"/>
        <v>2011-198-309725</v>
      </c>
      <c r="C1122" s="47">
        <v>44165</v>
      </c>
      <c r="D1122" s="46">
        <v>198</v>
      </c>
      <c r="E1122" s="46">
        <v>1</v>
      </c>
      <c r="F1122" s="46">
        <v>309725</v>
      </c>
      <c r="G1122" s="48" t="s">
        <v>761</v>
      </c>
      <c r="H1122" s="47">
        <v>44168</v>
      </c>
      <c r="I1122" s="46">
        <v>50721</v>
      </c>
      <c r="J1122" s="46">
        <v>1</v>
      </c>
      <c r="K1122" s="47">
        <v>44194</v>
      </c>
      <c r="L1122" s="46">
        <v>10773</v>
      </c>
      <c r="M1122" s="46">
        <v>1</v>
      </c>
    </row>
    <row r="1123" spans="2:13" ht="14.1" customHeight="1" x14ac:dyDescent="0.25">
      <c r="B1123" s="46" t="str">
        <f t="shared" si="17"/>
        <v>2011-198-300933</v>
      </c>
      <c r="C1123" s="47">
        <v>44165</v>
      </c>
      <c r="D1123" s="46">
        <v>198</v>
      </c>
      <c r="E1123" s="46">
        <v>24</v>
      </c>
      <c r="F1123" s="46">
        <v>300933</v>
      </c>
      <c r="G1123" s="48" t="s">
        <v>60</v>
      </c>
      <c r="H1123" s="47">
        <v>44168</v>
      </c>
      <c r="I1123" s="46">
        <v>50719</v>
      </c>
      <c r="J1123" s="46">
        <v>24</v>
      </c>
      <c r="K1123" s="47">
        <v>44174</v>
      </c>
      <c r="L1123" s="46">
        <v>10641</v>
      </c>
      <c r="M1123" s="46">
        <v>24</v>
      </c>
    </row>
    <row r="1124" spans="2:13" ht="14.1" customHeight="1" x14ac:dyDescent="0.25">
      <c r="B1124" s="46" t="str">
        <f t="shared" si="17"/>
        <v>2011-198-301143</v>
      </c>
      <c r="C1124" s="47">
        <v>44165</v>
      </c>
      <c r="D1124" s="46">
        <v>198</v>
      </c>
      <c r="E1124" s="46">
        <v>2</v>
      </c>
      <c r="F1124" s="46">
        <v>301143</v>
      </c>
      <c r="G1124" s="48" t="s">
        <v>278</v>
      </c>
      <c r="H1124" s="47">
        <v>44168</v>
      </c>
      <c r="I1124" s="46">
        <v>50719</v>
      </c>
      <c r="J1124" s="46">
        <v>2</v>
      </c>
      <c r="K1124" s="47">
        <v>44174</v>
      </c>
      <c r="L1124" s="46">
        <v>10641</v>
      </c>
      <c r="M1124" s="46">
        <v>2</v>
      </c>
    </row>
    <row r="1125" spans="2:13" ht="14.1" customHeight="1" x14ac:dyDescent="0.25">
      <c r="B1125" s="46" t="str">
        <f t="shared" si="17"/>
        <v>2011-198-205182</v>
      </c>
      <c r="C1125" s="47">
        <v>44165</v>
      </c>
      <c r="D1125" s="46">
        <v>198</v>
      </c>
      <c r="E1125" s="46">
        <v>4</v>
      </c>
      <c r="F1125" s="46">
        <v>205182</v>
      </c>
      <c r="G1125" s="48" t="s">
        <v>553</v>
      </c>
      <c r="H1125" s="47">
        <v>44168</v>
      </c>
      <c r="I1125" s="46">
        <v>50719</v>
      </c>
      <c r="J1125" s="46">
        <v>4</v>
      </c>
      <c r="K1125" s="47">
        <v>44187</v>
      </c>
      <c r="L1125" s="46">
        <v>10743</v>
      </c>
      <c r="M1125" s="46">
        <v>4</v>
      </c>
    </row>
    <row r="1126" spans="2:13" ht="14.1" customHeight="1" x14ac:dyDescent="0.25">
      <c r="B1126" s="46" t="str">
        <f t="shared" si="17"/>
        <v>2011-198-201030</v>
      </c>
      <c r="C1126" s="47">
        <v>44165</v>
      </c>
      <c r="D1126" s="46">
        <v>198</v>
      </c>
      <c r="E1126" s="46">
        <v>6</v>
      </c>
      <c r="F1126" s="46">
        <v>201030</v>
      </c>
      <c r="G1126" s="48" t="s">
        <v>273</v>
      </c>
      <c r="H1126" s="47">
        <v>44168</v>
      </c>
      <c r="I1126" s="46">
        <v>50719</v>
      </c>
      <c r="J1126" s="46">
        <v>6</v>
      </c>
      <c r="K1126" s="47">
        <v>44174</v>
      </c>
      <c r="L1126" s="46">
        <v>10641</v>
      </c>
      <c r="M1126" s="46">
        <v>6</v>
      </c>
    </row>
    <row r="1127" spans="2:13" ht="14.1" customHeight="1" x14ac:dyDescent="0.25">
      <c r="B1127" s="46" t="str">
        <f t="shared" si="17"/>
        <v>2011-198-203224</v>
      </c>
      <c r="C1127" s="47">
        <v>44165</v>
      </c>
      <c r="D1127" s="46">
        <v>198</v>
      </c>
      <c r="E1127" s="46">
        <v>6</v>
      </c>
      <c r="F1127" s="46">
        <v>203224</v>
      </c>
      <c r="G1127" s="48" t="s">
        <v>503</v>
      </c>
      <c r="H1127" s="47">
        <v>44168</v>
      </c>
      <c r="I1127" s="46">
        <v>50719</v>
      </c>
      <c r="J1127" s="46">
        <v>6</v>
      </c>
      <c r="K1127" s="47">
        <v>44174</v>
      </c>
      <c r="L1127" s="46">
        <v>10641</v>
      </c>
      <c r="M1127" s="46">
        <v>6</v>
      </c>
    </row>
    <row r="1128" spans="2:13" ht="14.1" customHeight="1" x14ac:dyDescent="0.25">
      <c r="B1128" s="46" t="str">
        <f t="shared" si="17"/>
        <v>2011-198-302829</v>
      </c>
      <c r="C1128" s="47">
        <v>44165</v>
      </c>
      <c r="D1128" s="46">
        <v>198</v>
      </c>
      <c r="E1128" s="46">
        <v>6</v>
      </c>
      <c r="F1128" s="46">
        <v>302829</v>
      </c>
      <c r="G1128" s="48" t="s">
        <v>647</v>
      </c>
      <c r="H1128" s="47">
        <v>44168</v>
      </c>
      <c r="I1128" s="46">
        <v>50719</v>
      </c>
      <c r="J1128" s="46">
        <v>6</v>
      </c>
      <c r="K1128" s="47">
        <v>44174</v>
      </c>
      <c r="L1128" s="46">
        <v>10641</v>
      </c>
      <c r="M1128" s="46">
        <v>6</v>
      </c>
    </row>
    <row r="1129" spans="2:13" ht="14.1" customHeight="1" x14ac:dyDescent="0.25">
      <c r="B1129" s="46" t="str">
        <f t="shared" si="17"/>
        <v>2011-198-302830</v>
      </c>
      <c r="C1129" s="47">
        <v>44165</v>
      </c>
      <c r="D1129" s="46">
        <v>198</v>
      </c>
      <c r="E1129" s="46">
        <v>3</v>
      </c>
      <c r="F1129" s="46">
        <v>302830</v>
      </c>
      <c r="G1129" s="50" t="s">
        <v>648</v>
      </c>
      <c r="H1129" s="47">
        <v>44168</v>
      </c>
      <c r="I1129" s="46">
        <v>50719</v>
      </c>
      <c r="J1129" s="46">
        <v>3</v>
      </c>
      <c r="L1129" s="46">
        <v>0</v>
      </c>
      <c r="M1129" s="46">
        <v>0</v>
      </c>
    </row>
    <row r="1130" spans="2:13" ht="14.1" customHeight="1" x14ac:dyDescent="0.25">
      <c r="B1130" s="46" t="str">
        <f t="shared" si="17"/>
        <v>2011-198-203233</v>
      </c>
      <c r="C1130" s="47">
        <v>44165</v>
      </c>
      <c r="D1130" s="46">
        <v>198</v>
      </c>
      <c r="E1130" s="46">
        <v>12</v>
      </c>
      <c r="F1130" s="46">
        <v>203233</v>
      </c>
      <c r="G1130" s="50" t="s">
        <v>405</v>
      </c>
      <c r="H1130" s="47">
        <v>44168</v>
      </c>
      <c r="I1130" s="46">
        <v>50719</v>
      </c>
      <c r="J1130" s="46">
        <v>12</v>
      </c>
      <c r="K1130" s="47">
        <v>44174</v>
      </c>
      <c r="L1130" s="46">
        <v>10641</v>
      </c>
      <c r="M1130" s="46">
        <v>12</v>
      </c>
    </row>
    <row r="1131" spans="2:13" ht="14.1" customHeight="1" x14ac:dyDescent="0.25">
      <c r="B1131" s="46" t="str">
        <f t="shared" si="17"/>
        <v>2011-198-317582</v>
      </c>
      <c r="C1131" s="47">
        <v>44165</v>
      </c>
      <c r="D1131" s="46">
        <v>198</v>
      </c>
      <c r="E1131" s="46">
        <v>2</v>
      </c>
      <c r="F1131" s="46">
        <v>317582</v>
      </c>
      <c r="G1131" s="48" t="s">
        <v>912</v>
      </c>
      <c r="H1131" s="47">
        <v>44168</v>
      </c>
      <c r="I1131" s="46">
        <v>50719</v>
      </c>
      <c r="J1131" s="46">
        <v>2</v>
      </c>
      <c r="K1131" s="47">
        <v>44181</v>
      </c>
      <c r="L1131" s="46">
        <v>10697</v>
      </c>
      <c r="M1131" s="46">
        <v>1</v>
      </c>
    </row>
    <row r="1132" spans="2:13" ht="14.1" customHeight="1" x14ac:dyDescent="0.25">
      <c r="B1132" s="46" t="str">
        <f t="shared" si="17"/>
        <v>2011-198-300492</v>
      </c>
      <c r="C1132" s="47">
        <v>44165</v>
      </c>
      <c r="D1132" s="46">
        <v>198</v>
      </c>
      <c r="E1132" s="46">
        <v>6</v>
      </c>
      <c r="F1132" s="46">
        <v>300492</v>
      </c>
      <c r="G1132" s="48" t="s">
        <v>601</v>
      </c>
      <c r="H1132" s="47">
        <v>44168</v>
      </c>
      <c r="I1132" s="46">
        <v>50719</v>
      </c>
      <c r="J1132" s="46">
        <v>6</v>
      </c>
      <c r="K1132" s="47">
        <v>44174</v>
      </c>
      <c r="L1132" s="46">
        <v>10641</v>
      </c>
      <c r="M1132" s="46">
        <v>6</v>
      </c>
    </row>
    <row r="1133" spans="2:13" ht="14.1" customHeight="1" x14ac:dyDescent="0.25">
      <c r="B1133" s="46" t="str">
        <f t="shared" si="17"/>
        <v>2011-198-204189</v>
      </c>
      <c r="C1133" s="47">
        <v>44165</v>
      </c>
      <c r="D1133" s="46">
        <v>198</v>
      </c>
      <c r="E1133" s="46">
        <v>450</v>
      </c>
      <c r="F1133" s="46">
        <v>204189</v>
      </c>
      <c r="G1133" s="48" t="s">
        <v>399</v>
      </c>
      <c r="H1133" s="47">
        <v>44168</v>
      </c>
      <c r="I1133" s="46">
        <v>50719</v>
      </c>
      <c r="J1133" s="46">
        <v>450</v>
      </c>
      <c r="K1133" s="47">
        <v>44174</v>
      </c>
      <c r="L1133" s="46">
        <v>10628</v>
      </c>
      <c r="M1133" s="46">
        <v>450</v>
      </c>
    </row>
    <row r="1134" spans="2:13" ht="14.1" customHeight="1" x14ac:dyDescent="0.25">
      <c r="B1134" s="46" t="str">
        <f t="shared" si="17"/>
        <v>2011-198-204418</v>
      </c>
      <c r="C1134" s="47">
        <v>44165</v>
      </c>
      <c r="D1134" s="46">
        <v>198</v>
      </c>
      <c r="E1134" s="46">
        <v>12</v>
      </c>
      <c r="F1134" s="46">
        <v>204418</v>
      </c>
      <c r="G1134" s="48" t="s">
        <v>539</v>
      </c>
      <c r="H1134" s="47">
        <v>44168</v>
      </c>
      <c r="I1134" s="46">
        <v>50719</v>
      </c>
      <c r="J1134" s="46">
        <v>12</v>
      </c>
      <c r="K1134" s="47">
        <v>44174</v>
      </c>
      <c r="L1134" s="46">
        <v>10641</v>
      </c>
      <c r="M1134" s="46">
        <v>12</v>
      </c>
    </row>
    <row r="1135" spans="2:13" ht="14.1" customHeight="1" x14ac:dyDescent="0.25">
      <c r="B1135" s="46" t="str">
        <f t="shared" si="17"/>
        <v>2011-198-302240</v>
      </c>
      <c r="C1135" s="47">
        <v>44165</v>
      </c>
      <c r="D1135" s="46">
        <v>198</v>
      </c>
      <c r="E1135" s="46">
        <v>8</v>
      </c>
      <c r="F1135" s="46">
        <v>302240</v>
      </c>
      <c r="G1135" s="48" t="s">
        <v>271</v>
      </c>
      <c r="H1135" s="47">
        <v>44168</v>
      </c>
      <c r="I1135" s="46">
        <v>50719</v>
      </c>
      <c r="J1135" s="46">
        <v>8</v>
      </c>
      <c r="K1135" s="47">
        <v>44174</v>
      </c>
      <c r="L1135" s="46">
        <v>10641</v>
      </c>
      <c r="M1135" s="46">
        <v>8</v>
      </c>
    </row>
    <row r="1136" spans="2:13" ht="14.1" customHeight="1" x14ac:dyDescent="0.25">
      <c r="B1136" s="46" t="str">
        <f t="shared" si="17"/>
        <v>2011-198-203236</v>
      </c>
      <c r="C1136" s="47">
        <v>44165</v>
      </c>
      <c r="D1136" s="46">
        <v>198</v>
      </c>
      <c r="E1136" s="46">
        <v>4</v>
      </c>
      <c r="F1136" s="46">
        <v>203236</v>
      </c>
      <c r="G1136" s="48" t="s">
        <v>511</v>
      </c>
      <c r="H1136" s="47">
        <v>44168</v>
      </c>
      <c r="I1136" s="46">
        <v>50719</v>
      </c>
      <c r="J1136" s="46">
        <v>4</v>
      </c>
      <c r="K1136" s="47">
        <v>44174</v>
      </c>
      <c r="L1136" s="46">
        <v>10641</v>
      </c>
      <c r="M1136" s="46">
        <v>4</v>
      </c>
    </row>
    <row r="1137" spans="2:13" ht="14.1" customHeight="1" x14ac:dyDescent="0.25">
      <c r="B1137" s="46" t="str">
        <f t="shared" si="17"/>
        <v>2011-198-203261</v>
      </c>
      <c r="C1137" s="47">
        <v>44165</v>
      </c>
      <c r="D1137" s="46">
        <v>198</v>
      </c>
      <c r="E1137" s="46">
        <v>10</v>
      </c>
      <c r="F1137" s="46">
        <v>203261</v>
      </c>
      <c r="G1137" s="48" t="s">
        <v>512</v>
      </c>
      <c r="H1137" s="47">
        <v>44168</v>
      </c>
      <c r="I1137" s="46">
        <v>50719</v>
      </c>
      <c r="J1137" s="46">
        <v>10</v>
      </c>
      <c r="K1137" s="47">
        <v>44174</v>
      </c>
      <c r="L1137" s="46">
        <v>10641</v>
      </c>
      <c r="M1137" s="46">
        <v>10</v>
      </c>
    </row>
    <row r="1138" spans="2:13" ht="14.1" customHeight="1" x14ac:dyDescent="0.25">
      <c r="B1138" s="46" t="str">
        <f t="shared" si="17"/>
        <v>2011-198-203263</v>
      </c>
      <c r="C1138" s="47">
        <v>44165</v>
      </c>
      <c r="D1138" s="46">
        <v>198</v>
      </c>
      <c r="E1138" s="46">
        <v>8</v>
      </c>
      <c r="F1138" s="46">
        <v>203263</v>
      </c>
      <c r="G1138" s="48" t="s">
        <v>467</v>
      </c>
      <c r="H1138" s="47">
        <v>44168</v>
      </c>
      <c r="I1138" s="46">
        <v>50719</v>
      </c>
      <c r="J1138" s="46">
        <v>8</v>
      </c>
      <c r="K1138" s="47">
        <v>44187</v>
      </c>
      <c r="L1138" s="46">
        <v>10743</v>
      </c>
      <c r="M1138" s="46">
        <v>8</v>
      </c>
    </row>
    <row r="1139" spans="2:13" ht="14.1" customHeight="1" x14ac:dyDescent="0.25">
      <c r="B1139" s="46" t="str">
        <f t="shared" si="17"/>
        <v>2011-198-206640</v>
      </c>
      <c r="C1139" s="47">
        <v>44165</v>
      </c>
      <c r="D1139" s="46">
        <v>198</v>
      </c>
      <c r="E1139" s="46">
        <v>4</v>
      </c>
      <c r="F1139" s="46">
        <v>206640</v>
      </c>
      <c r="G1139" s="48" t="s">
        <v>590</v>
      </c>
      <c r="H1139" s="47">
        <v>44168</v>
      </c>
      <c r="I1139" s="46">
        <v>50719</v>
      </c>
      <c r="J1139" s="46">
        <v>4</v>
      </c>
      <c r="K1139" s="47">
        <v>44174</v>
      </c>
      <c r="L1139" s="46">
        <v>10641</v>
      </c>
      <c r="M1139" s="46">
        <v>4</v>
      </c>
    </row>
    <row r="1140" spans="2:13" ht="14.1" customHeight="1" x14ac:dyDescent="0.25">
      <c r="B1140" s="46" t="str">
        <f t="shared" si="17"/>
        <v>2011-198-203972</v>
      </c>
      <c r="C1140" s="47">
        <v>44165</v>
      </c>
      <c r="D1140" s="46">
        <v>198</v>
      </c>
      <c r="E1140" s="46">
        <v>12</v>
      </c>
      <c r="F1140" s="46">
        <v>203972</v>
      </c>
      <c r="G1140" s="48" t="s">
        <v>325</v>
      </c>
      <c r="H1140" s="47">
        <v>44168</v>
      </c>
      <c r="I1140" s="46">
        <v>50719</v>
      </c>
      <c r="J1140" s="46">
        <v>12</v>
      </c>
      <c r="L1140" s="46">
        <v>0</v>
      </c>
      <c r="M1140" s="46">
        <v>0</v>
      </c>
    </row>
    <row r="1141" spans="2:13" ht="14.1" customHeight="1" x14ac:dyDescent="0.25">
      <c r="B1141" s="46" t="str">
        <f t="shared" si="17"/>
        <v>2011-198-203231</v>
      </c>
      <c r="C1141" s="47">
        <v>44165</v>
      </c>
      <c r="D1141" s="46">
        <v>198</v>
      </c>
      <c r="E1141" s="46">
        <v>16</v>
      </c>
      <c r="F1141" s="46">
        <v>203231</v>
      </c>
      <c r="G1141" s="48" t="s">
        <v>507</v>
      </c>
      <c r="H1141" s="47">
        <v>44168</v>
      </c>
      <c r="I1141" s="46">
        <v>50719</v>
      </c>
      <c r="J1141" s="46">
        <v>16</v>
      </c>
      <c r="K1141" s="47">
        <v>44174</v>
      </c>
      <c r="L1141" s="46">
        <v>10641</v>
      </c>
      <c r="M1141" s="46">
        <v>8</v>
      </c>
    </row>
    <row r="1142" spans="2:13" ht="14.1" customHeight="1" x14ac:dyDescent="0.25">
      <c r="B1142" s="46" t="str">
        <f t="shared" si="17"/>
        <v>2011-198-203231</v>
      </c>
      <c r="C1142" s="47">
        <v>44165</v>
      </c>
      <c r="D1142" s="46">
        <v>198</v>
      </c>
      <c r="E1142" s="46">
        <v>16</v>
      </c>
      <c r="F1142" s="46">
        <v>203231</v>
      </c>
      <c r="G1142" s="48" t="s">
        <v>507</v>
      </c>
      <c r="H1142" s="47">
        <v>44168</v>
      </c>
      <c r="I1142" s="46">
        <v>50719</v>
      </c>
      <c r="J1142" s="46">
        <v>16</v>
      </c>
      <c r="K1142" s="47">
        <v>44187</v>
      </c>
      <c r="L1142" s="46">
        <v>10743</v>
      </c>
      <c r="M1142" s="46">
        <v>8</v>
      </c>
    </row>
    <row r="1143" spans="2:13" ht="14.1" customHeight="1" x14ac:dyDescent="0.25">
      <c r="B1143" s="46" t="str">
        <f t="shared" si="17"/>
        <v>2011-198-206637</v>
      </c>
      <c r="C1143" s="47">
        <v>44165</v>
      </c>
      <c r="D1143" s="46">
        <v>198</v>
      </c>
      <c r="E1143" s="46">
        <v>280</v>
      </c>
      <c r="F1143" s="46">
        <v>206637</v>
      </c>
      <c r="G1143" s="48" t="s">
        <v>589</v>
      </c>
      <c r="H1143" s="47">
        <v>44168</v>
      </c>
      <c r="I1143" s="46">
        <v>50719</v>
      </c>
      <c r="J1143" s="46">
        <v>280</v>
      </c>
      <c r="K1143" s="47">
        <v>44174</v>
      </c>
      <c r="L1143" s="46">
        <v>10628</v>
      </c>
      <c r="M1143" s="46">
        <v>280</v>
      </c>
    </row>
    <row r="1144" spans="2:13" ht="14.1" customHeight="1" x14ac:dyDescent="0.25">
      <c r="B1144" s="46" t="str">
        <f t="shared" si="17"/>
        <v>2011-198-300406</v>
      </c>
      <c r="C1144" s="47">
        <v>44165</v>
      </c>
      <c r="D1144" s="46">
        <v>198</v>
      </c>
      <c r="E1144" s="46">
        <v>10</v>
      </c>
      <c r="F1144" s="46">
        <v>300406</v>
      </c>
      <c r="G1144" s="48" t="s">
        <v>597</v>
      </c>
      <c r="H1144" s="47">
        <v>44168</v>
      </c>
      <c r="I1144" s="46">
        <v>50719</v>
      </c>
      <c r="J1144" s="46">
        <v>10</v>
      </c>
      <c r="K1144" s="47">
        <v>44174</v>
      </c>
      <c r="L1144" s="46">
        <v>10641</v>
      </c>
      <c r="M1144" s="46">
        <v>10</v>
      </c>
    </row>
    <row r="1145" spans="2:13" ht="14.1" customHeight="1" x14ac:dyDescent="0.25">
      <c r="B1145" s="46" t="str">
        <f t="shared" si="17"/>
        <v>2011-198-204414</v>
      </c>
      <c r="C1145" s="47">
        <v>44165</v>
      </c>
      <c r="D1145" s="46">
        <v>198</v>
      </c>
      <c r="E1145" s="46">
        <v>12</v>
      </c>
      <c r="F1145" s="46">
        <v>204414</v>
      </c>
      <c r="G1145" s="48" t="s">
        <v>61</v>
      </c>
      <c r="H1145" s="47">
        <v>44168</v>
      </c>
      <c r="I1145" s="46">
        <v>50719</v>
      </c>
      <c r="J1145" s="46">
        <v>12</v>
      </c>
      <c r="K1145" s="47">
        <v>44174</v>
      </c>
      <c r="L1145" s="46">
        <v>10641</v>
      </c>
      <c r="M1145" s="46">
        <v>12</v>
      </c>
    </row>
    <row r="1146" spans="2:13" ht="14.1" customHeight="1" x14ac:dyDescent="0.25">
      <c r="B1146" s="46" t="str">
        <f t="shared" si="17"/>
        <v>2011-198-302338</v>
      </c>
      <c r="C1146" s="47">
        <v>44165</v>
      </c>
      <c r="D1146" s="46">
        <v>198</v>
      </c>
      <c r="E1146" s="46">
        <v>8</v>
      </c>
      <c r="F1146" s="46">
        <v>302338</v>
      </c>
      <c r="G1146" s="48" t="s">
        <v>639</v>
      </c>
      <c r="H1146" s="47">
        <v>44168</v>
      </c>
      <c r="I1146" s="46">
        <v>50719</v>
      </c>
      <c r="J1146" s="46">
        <v>8</v>
      </c>
      <c r="K1146" s="47">
        <v>44187</v>
      </c>
      <c r="L1146" s="46">
        <v>10743</v>
      </c>
      <c r="M1146" s="46">
        <v>8</v>
      </c>
    </row>
    <row r="1147" spans="2:13" ht="14.1" customHeight="1" x14ac:dyDescent="0.25">
      <c r="B1147" s="46" t="str">
        <f t="shared" si="17"/>
        <v>2011-198-203223</v>
      </c>
      <c r="C1147" s="47">
        <v>44165</v>
      </c>
      <c r="D1147" s="46">
        <v>198</v>
      </c>
      <c r="E1147" s="46">
        <v>12</v>
      </c>
      <c r="F1147" s="46">
        <v>203223</v>
      </c>
      <c r="G1147" s="48" t="s">
        <v>321</v>
      </c>
      <c r="H1147" s="47">
        <v>44168</v>
      </c>
      <c r="I1147" s="46">
        <v>50719</v>
      </c>
      <c r="J1147" s="46">
        <v>12</v>
      </c>
      <c r="K1147" s="47">
        <v>44174</v>
      </c>
      <c r="L1147" s="46">
        <v>10641</v>
      </c>
      <c r="M1147" s="46">
        <v>12</v>
      </c>
    </row>
    <row r="1148" spans="2:13" ht="14.1" customHeight="1" x14ac:dyDescent="0.25">
      <c r="B1148" s="46" t="str">
        <f t="shared" si="17"/>
        <v>2011-198-203234</v>
      </c>
      <c r="C1148" s="47">
        <v>44165</v>
      </c>
      <c r="D1148" s="46">
        <v>198</v>
      </c>
      <c r="E1148" s="46">
        <v>7</v>
      </c>
      <c r="F1148" s="46">
        <v>203234</v>
      </c>
      <c r="G1148" s="48" t="s">
        <v>509</v>
      </c>
      <c r="H1148" s="47">
        <v>44168</v>
      </c>
      <c r="I1148" s="46">
        <v>50719</v>
      </c>
      <c r="J1148" s="46">
        <v>7</v>
      </c>
      <c r="K1148" s="47">
        <v>44174</v>
      </c>
      <c r="L1148" s="46">
        <v>10641</v>
      </c>
      <c r="M1148" s="46">
        <v>7</v>
      </c>
    </row>
    <row r="1149" spans="2:13" ht="14.1" customHeight="1" x14ac:dyDescent="0.25">
      <c r="B1149" s="46" t="str">
        <f t="shared" si="17"/>
        <v>2011-198-203371</v>
      </c>
      <c r="C1149" s="47">
        <v>44165</v>
      </c>
      <c r="D1149" s="46">
        <v>198</v>
      </c>
      <c r="E1149" s="46">
        <v>600</v>
      </c>
      <c r="F1149" s="46">
        <v>203371</v>
      </c>
      <c r="G1149" s="48" t="s">
        <v>327</v>
      </c>
      <c r="H1149" s="47">
        <v>44168</v>
      </c>
      <c r="I1149" s="46">
        <v>50719</v>
      </c>
      <c r="J1149" s="46">
        <v>600</v>
      </c>
      <c r="K1149" s="47">
        <v>44174</v>
      </c>
      <c r="L1149" s="46">
        <v>10628</v>
      </c>
      <c r="M1149" s="46">
        <v>600</v>
      </c>
    </row>
    <row r="1150" spans="2:13" ht="14.1" customHeight="1" x14ac:dyDescent="0.25">
      <c r="B1150" s="46" t="str">
        <f t="shared" si="17"/>
        <v>2011-198-203971</v>
      </c>
      <c r="C1150" s="47">
        <v>44165</v>
      </c>
      <c r="D1150" s="46">
        <v>198</v>
      </c>
      <c r="E1150" s="46">
        <v>150</v>
      </c>
      <c r="F1150" s="46">
        <v>203971</v>
      </c>
      <c r="G1150" s="48" t="s">
        <v>520</v>
      </c>
      <c r="H1150" s="47">
        <v>44168</v>
      </c>
      <c r="I1150" s="46">
        <v>50719</v>
      </c>
      <c r="J1150" s="46">
        <v>150</v>
      </c>
      <c r="K1150" s="47">
        <v>44174</v>
      </c>
      <c r="L1150" s="46">
        <v>10628</v>
      </c>
      <c r="M1150" s="46">
        <v>150</v>
      </c>
    </row>
    <row r="1151" spans="2:13" ht="14.1" customHeight="1" x14ac:dyDescent="0.25">
      <c r="B1151" s="46" t="str">
        <f t="shared" si="17"/>
        <v>2011-198-203973</v>
      </c>
      <c r="C1151" s="47">
        <v>44165</v>
      </c>
      <c r="D1151" s="46">
        <v>198</v>
      </c>
      <c r="E1151" s="46">
        <v>6</v>
      </c>
      <c r="F1151" s="46">
        <v>203973</v>
      </c>
      <c r="G1151" s="48" t="s">
        <v>521</v>
      </c>
      <c r="H1151" s="47">
        <v>44168</v>
      </c>
      <c r="I1151" s="46">
        <v>50719</v>
      </c>
      <c r="J1151" s="46">
        <v>6</v>
      </c>
      <c r="K1151" s="47">
        <v>44174</v>
      </c>
      <c r="L1151" s="46">
        <v>10641</v>
      </c>
      <c r="M1151" s="46">
        <v>6</v>
      </c>
    </row>
    <row r="1152" spans="2:13" ht="14.1" customHeight="1" x14ac:dyDescent="0.25">
      <c r="B1152" s="46" t="str">
        <f t="shared" si="17"/>
        <v>2011-198-202690</v>
      </c>
      <c r="C1152" s="47">
        <v>44165</v>
      </c>
      <c r="D1152" s="46">
        <v>198</v>
      </c>
      <c r="E1152" s="46">
        <v>24</v>
      </c>
      <c r="F1152" s="46">
        <v>202690</v>
      </c>
      <c r="G1152" s="48" t="s">
        <v>323</v>
      </c>
      <c r="H1152" s="47">
        <v>44168</v>
      </c>
      <c r="I1152" s="46">
        <v>50719</v>
      </c>
      <c r="J1152" s="46">
        <v>24</v>
      </c>
      <c r="K1152" s="47">
        <v>44174</v>
      </c>
      <c r="L1152" s="46">
        <v>10641</v>
      </c>
      <c r="M1152" s="46">
        <v>24</v>
      </c>
    </row>
    <row r="1153" spans="2:13" ht="14.1" customHeight="1" x14ac:dyDescent="0.25">
      <c r="B1153" s="46" t="str">
        <f t="shared" si="17"/>
        <v>2011-198-308304</v>
      </c>
      <c r="C1153" s="47">
        <v>44165</v>
      </c>
      <c r="D1153" s="46">
        <v>198</v>
      </c>
      <c r="E1153" s="46">
        <v>2</v>
      </c>
      <c r="F1153" s="46">
        <v>308304</v>
      </c>
      <c r="G1153" s="48" t="s">
        <v>743</v>
      </c>
      <c r="H1153" s="47">
        <v>44168</v>
      </c>
      <c r="I1153" s="46">
        <v>50719</v>
      </c>
      <c r="J1153" s="46">
        <v>2</v>
      </c>
      <c r="K1153" s="47">
        <v>44174</v>
      </c>
      <c r="L1153" s="46">
        <v>10641</v>
      </c>
      <c r="M1153" s="46">
        <v>2</v>
      </c>
    </row>
    <row r="1154" spans="2:13" ht="14.1" customHeight="1" x14ac:dyDescent="0.25">
      <c r="B1154" s="46" t="str">
        <f t="shared" si="17"/>
        <v>2011-198-105712</v>
      </c>
      <c r="C1154" s="47">
        <v>44165</v>
      </c>
      <c r="D1154" s="46">
        <v>198</v>
      </c>
      <c r="E1154" s="46">
        <v>4</v>
      </c>
      <c r="F1154" s="46">
        <v>105712</v>
      </c>
      <c r="G1154" s="48" t="s">
        <v>437</v>
      </c>
      <c r="H1154" s="47">
        <v>44168</v>
      </c>
      <c r="I1154" s="46">
        <v>50720</v>
      </c>
      <c r="J1154" s="46">
        <v>4</v>
      </c>
      <c r="L1154" s="46">
        <v>0</v>
      </c>
      <c r="M1154" s="46">
        <v>0</v>
      </c>
    </row>
    <row r="1155" spans="2:13" ht="14.1" customHeight="1" x14ac:dyDescent="0.25">
      <c r="B1155" s="46" t="str">
        <f t="shared" si="17"/>
        <v>2011-198-206154</v>
      </c>
      <c r="C1155" s="47">
        <v>44165</v>
      </c>
      <c r="D1155" s="46">
        <v>198</v>
      </c>
      <c r="E1155" s="46">
        <v>4</v>
      </c>
      <c r="F1155" s="46">
        <v>206154</v>
      </c>
      <c r="G1155" s="48" t="s">
        <v>580</v>
      </c>
      <c r="H1155" s="47">
        <v>44168</v>
      </c>
      <c r="I1155" s="46">
        <v>50719</v>
      </c>
      <c r="J1155" s="46">
        <v>4</v>
      </c>
      <c r="K1155" s="47">
        <v>44174</v>
      </c>
      <c r="L1155" s="46">
        <v>10641</v>
      </c>
      <c r="M1155" s="46">
        <v>4</v>
      </c>
    </row>
    <row r="1156" spans="2:13" ht="14.1" customHeight="1" x14ac:dyDescent="0.25">
      <c r="B1156" s="46" t="str">
        <f t="shared" si="17"/>
        <v>2011-198-204091</v>
      </c>
      <c r="C1156" s="47">
        <v>44165</v>
      </c>
      <c r="D1156" s="46">
        <v>198</v>
      </c>
      <c r="E1156" s="46">
        <v>12</v>
      </c>
      <c r="F1156" s="46">
        <v>204091</v>
      </c>
      <c r="G1156" s="48" t="s">
        <v>272</v>
      </c>
      <c r="H1156" s="47">
        <v>44168</v>
      </c>
      <c r="I1156" s="46">
        <v>50719</v>
      </c>
      <c r="J1156" s="46">
        <v>12</v>
      </c>
      <c r="K1156" s="47">
        <v>44174</v>
      </c>
      <c r="L1156" s="46">
        <v>10641</v>
      </c>
      <c r="M1156" s="46">
        <v>12</v>
      </c>
    </row>
    <row r="1157" spans="2:13" ht="14.1" customHeight="1" x14ac:dyDescent="0.25">
      <c r="B1157" s="46" t="str">
        <f t="shared" si="17"/>
        <v>2011-198-204415</v>
      </c>
      <c r="C1157" s="47">
        <v>44165</v>
      </c>
      <c r="D1157" s="46">
        <v>198</v>
      </c>
      <c r="E1157" s="46">
        <v>12</v>
      </c>
      <c r="F1157" s="46">
        <v>204415</v>
      </c>
      <c r="G1157" s="48" t="s">
        <v>279</v>
      </c>
      <c r="H1157" s="47">
        <v>44168</v>
      </c>
      <c r="I1157" s="46">
        <v>50719</v>
      </c>
      <c r="J1157" s="46">
        <v>12</v>
      </c>
      <c r="K1157" s="47">
        <v>44174</v>
      </c>
      <c r="L1157" s="46">
        <v>10641</v>
      </c>
      <c r="M1157" s="46">
        <v>12</v>
      </c>
    </row>
    <row r="1158" spans="2:13" ht="14.1" customHeight="1" x14ac:dyDescent="0.25">
      <c r="B1158" s="46" t="str">
        <f t="shared" si="17"/>
        <v>2011-198-202693</v>
      </c>
      <c r="C1158" s="47">
        <v>44165</v>
      </c>
      <c r="D1158" s="46">
        <v>198</v>
      </c>
      <c r="E1158" s="46">
        <v>2</v>
      </c>
      <c r="F1158" s="46">
        <v>202693</v>
      </c>
      <c r="G1158" s="48" t="s">
        <v>499</v>
      </c>
      <c r="H1158" s="47">
        <v>44168</v>
      </c>
      <c r="I1158" s="46">
        <v>50719</v>
      </c>
      <c r="J1158" s="46">
        <v>2</v>
      </c>
      <c r="K1158" s="47">
        <v>44174</v>
      </c>
      <c r="L1158" s="46">
        <v>10641</v>
      </c>
      <c r="M1158" s="46">
        <v>2</v>
      </c>
    </row>
    <row r="1159" spans="2:13" ht="14.1" customHeight="1" x14ac:dyDescent="0.25">
      <c r="B1159" s="46" t="str">
        <f t="shared" si="17"/>
        <v>2011-198-203235</v>
      </c>
      <c r="C1159" s="47">
        <v>44165</v>
      </c>
      <c r="D1159" s="46">
        <v>198</v>
      </c>
      <c r="E1159" s="46">
        <v>6</v>
      </c>
      <c r="F1159" s="46">
        <v>203235</v>
      </c>
      <c r="G1159" s="48" t="s">
        <v>510</v>
      </c>
      <c r="H1159" s="47">
        <v>44168</v>
      </c>
      <c r="I1159" s="46">
        <v>50719</v>
      </c>
      <c r="J1159" s="46">
        <v>6</v>
      </c>
      <c r="K1159" s="47">
        <v>44174</v>
      </c>
      <c r="L1159" s="46">
        <v>10641</v>
      </c>
      <c r="M1159" s="46">
        <v>6</v>
      </c>
    </row>
    <row r="1160" spans="2:13" ht="14.1" customHeight="1" x14ac:dyDescent="0.25">
      <c r="B1160" s="46" t="str">
        <f t="shared" si="17"/>
        <v>2011-198-203260</v>
      </c>
      <c r="C1160" s="47">
        <v>44165</v>
      </c>
      <c r="D1160" s="46">
        <v>198</v>
      </c>
      <c r="E1160" s="46">
        <v>24</v>
      </c>
      <c r="F1160" s="46">
        <v>203260</v>
      </c>
      <c r="G1160" s="48" t="s">
        <v>326</v>
      </c>
      <c r="H1160" s="47">
        <v>44168</v>
      </c>
      <c r="I1160" s="46">
        <v>50719</v>
      </c>
      <c r="J1160" s="46">
        <v>24</v>
      </c>
      <c r="K1160" s="47">
        <v>44174</v>
      </c>
      <c r="L1160" s="46">
        <v>10641</v>
      </c>
      <c r="M1160" s="46">
        <v>24</v>
      </c>
    </row>
    <row r="1161" spans="2:13" ht="14.1" customHeight="1" x14ac:dyDescent="0.25">
      <c r="B1161" s="46" t="str">
        <f t="shared" si="17"/>
        <v>2012-1-100005</v>
      </c>
      <c r="C1161" s="47">
        <v>44166</v>
      </c>
      <c r="D1161" s="46">
        <v>1</v>
      </c>
      <c r="E1161" s="46">
        <v>5</v>
      </c>
      <c r="F1161" s="46">
        <v>100005</v>
      </c>
      <c r="G1161" s="48" t="s">
        <v>416</v>
      </c>
      <c r="H1161" s="47">
        <v>44167</v>
      </c>
      <c r="I1161" s="46">
        <v>50714</v>
      </c>
      <c r="J1161" s="46">
        <v>5</v>
      </c>
      <c r="K1161" s="47">
        <v>44169</v>
      </c>
      <c r="L1161" s="46">
        <v>10596</v>
      </c>
      <c r="M1161" s="46">
        <v>5</v>
      </c>
    </row>
    <row r="1162" spans="2:13" ht="14.1" customHeight="1" x14ac:dyDescent="0.25">
      <c r="B1162" s="46" t="str">
        <f t="shared" si="17"/>
        <v>2012-1-320472</v>
      </c>
      <c r="C1162" s="47">
        <v>44166</v>
      </c>
      <c r="D1162" s="46">
        <v>1</v>
      </c>
      <c r="E1162" s="46">
        <v>3</v>
      </c>
      <c r="F1162" s="46">
        <v>320472</v>
      </c>
      <c r="G1162" s="48" t="s">
        <v>1072</v>
      </c>
      <c r="H1162" s="47">
        <v>44167</v>
      </c>
      <c r="I1162" s="46">
        <v>50716</v>
      </c>
      <c r="J1162" s="46">
        <v>3</v>
      </c>
      <c r="K1162" s="47">
        <v>44168</v>
      </c>
      <c r="L1162" s="46">
        <v>10589</v>
      </c>
      <c r="M1162" s="46">
        <v>3</v>
      </c>
    </row>
    <row r="1163" spans="2:13" ht="14.1" customHeight="1" x14ac:dyDescent="0.25">
      <c r="B1163" s="46" t="str">
        <f t="shared" si="17"/>
        <v>2012-1-204337</v>
      </c>
      <c r="C1163" s="47">
        <v>44166</v>
      </c>
      <c r="D1163" s="46">
        <v>1</v>
      </c>
      <c r="E1163" s="46">
        <v>20</v>
      </c>
      <c r="F1163" s="46">
        <v>204337</v>
      </c>
      <c r="G1163" s="48" t="s">
        <v>535</v>
      </c>
      <c r="H1163" s="47">
        <v>44167</v>
      </c>
      <c r="I1163" s="46">
        <v>50715</v>
      </c>
      <c r="J1163" s="46">
        <v>20</v>
      </c>
      <c r="K1163" s="47">
        <v>44173</v>
      </c>
      <c r="L1163" s="46">
        <v>10619</v>
      </c>
      <c r="M1163" s="46">
        <v>20</v>
      </c>
    </row>
    <row r="1164" spans="2:13" ht="14.1" customHeight="1" x14ac:dyDescent="0.25">
      <c r="B1164" s="46" t="str">
        <f t="shared" ref="B1164:B1227" si="18">TEXT(C1164,"yy") &amp; TEXT(C1164,"mm") &amp;"-"&amp;(D1164) &amp;"-"&amp;(F1164)</f>
        <v>2012-1-205653</v>
      </c>
      <c r="C1164" s="47">
        <v>44166</v>
      </c>
      <c r="D1164" s="46">
        <v>1</v>
      </c>
      <c r="E1164" s="46">
        <v>4</v>
      </c>
      <c r="F1164" s="46">
        <v>205653</v>
      </c>
      <c r="G1164" s="50" t="s">
        <v>569</v>
      </c>
      <c r="H1164" s="47">
        <v>44167</v>
      </c>
      <c r="I1164" s="46">
        <v>50714</v>
      </c>
      <c r="J1164" s="46">
        <v>4</v>
      </c>
      <c r="K1164" s="47">
        <v>44169</v>
      </c>
      <c r="L1164" s="46">
        <v>10596</v>
      </c>
      <c r="M1164" s="46">
        <v>4</v>
      </c>
    </row>
    <row r="1165" spans="2:13" ht="14.1" customHeight="1" x14ac:dyDescent="0.25">
      <c r="B1165" s="46" t="str">
        <f t="shared" si="18"/>
        <v>2012-1-320473</v>
      </c>
      <c r="C1165" s="47">
        <v>44166</v>
      </c>
      <c r="D1165" s="46">
        <v>1</v>
      </c>
      <c r="E1165" s="46">
        <v>3</v>
      </c>
      <c r="F1165" s="46">
        <v>320473</v>
      </c>
      <c r="G1165" s="50" t="s">
        <v>1073</v>
      </c>
      <c r="H1165" s="47">
        <v>44167</v>
      </c>
      <c r="I1165" s="46">
        <v>50716</v>
      </c>
      <c r="J1165" s="46">
        <v>3</v>
      </c>
      <c r="K1165" s="47">
        <v>44168</v>
      </c>
      <c r="L1165" s="46">
        <v>10589</v>
      </c>
      <c r="M1165" s="46">
        <v>3</v>
      </c>
    </row>
    <row r="1166" spans="2:13" ht="14.1" customHeight="1" x14ac:dyDescent="0.25">
      <c r="B1166" s="46" t="str">
        <f t="shared" si="18"/>
        <v>2012-1-100004</v>
      </c>
      <c r="C1166" s="47">
        <v>44166</v>
      </c>
      <c r="D1166" s="46">
        <v>1</v>
      </c>
      <c r="E1166" s="46">
        <v>6</v>
      </c>
      <c r="F1166" s="46">
        <v>100004</v>
      </c>
      <c r="G1166" s="48" t="s">
        <v>415</v>
      </c>
      <c r="H1166" s="47">
        <v>44167</v>
      </c>
      <c r="I1166" s="46">
        <v>50714</v>
      </c>
      <c r="J1166" s="46">
        <v>6</v>
      </c>
      <c r="K1166" s="47">
        <v>44169</v>
      </c>
      <c r="L1166" s="46">
        <v>10596</v>
      </c>
      <c r="M1166" s="46">
        <v>6</v>
      </c>
    </row>
    <row r="1167" spans="2:13" ht="14.1" customHeight="1" x14ac:dyDescent="0.25">
      <c r="B1167" s="46" t="str">
        <f t="shared" si="18"/>
        <v>2012-1-302073</v>
      </c>
      <c r="C1167" s="47">
        <v>44166</v>
      </c>
      <c r="D1167" s="46">
        <v>1</v>
      </c>
      <c r="E1167" s="46">
        <v>6</v>
      </c>
      <c r="F1167" s="46">
        <v>302073</v>
      </c>
      <c r="G1167" s="50" t="s">
        <v>634</v>
      </c>
      <c r="H1167" s="47">
        <v>44167</v>
      </c>
      <c r="I1167" s="46">
        <v>50714</v>
      </c>
      <c r="J1167" s="46">
        <v>6</v>
      </c>
      <c r="K1167" s="47">
        <v>44169</v>
      </c>
      <c r="L1167" s="46">
        <v>10596</v>
      </c>
      <c r="M1167" s="46">
        <v>6</v>
      </c>
    </row>
    <row r="1168" spans="2:13" ht="14.1" customHeight="1" x14ac:dyDescent="0.25">
      <c r="B1168" s="46" t="str">
        <f t="shared" si="18"/>
        <v>2012-1-316500</v>
      </c>
      <c r="C1168" s="47">
        <v>44166</v>
      </c>
      <c r="D1168" s="46">
        <v>1</v>
      </c>
      <c r="E1168" s="46">
        <v>4</v>
      </c>
      <c r="F1168" s="46">
        <v>316500</v>
      </c>
      <c r="G1168" s="50" t="s">
        <v>894</v>
      </c>
      <c r="H1168" s="47">
        <v>44167</v>
      </c>
      <c r="I1168" s="46">
        <v>50714</v>
      </c>
      <c r="J1168" s="46">
        <v>4</v>
      </c>
      <c r="K1168" s="47">
        <v>44169</v>
      </c>
      <c r="L1168" s="46">
        <v>10596</v>
      </c>
      <c r="M1168" s="46">
        <v>4</v>
      </c>
    </row>
    <row r="1169" spans="2:13" ht="14.1" customHeight="1" x14ac:dyDescent="0.25">
      <c r="B1169" s="46" t="str">
        <f t="shared" si="18"/>
        <v>2012-1-205645</v>
      </c>
      <c r="C1169" s="47">
        <v>44166</v>
      </c>
      <c r="D1169" s="46">
        <v>1</v>
      </c>
      <c r="E1169" s="46">
        <v>3</v>
      </c>
      <c r="F1169" s="46">
        <v>205645</v>
      </c>
      <c r="G1169" s="50" t="s">
        <v>85</v>
      </c>
      <c r="H1169" s="47">
        <v>44167</v>
      </c>
      <c r="I1169" s="46">
        <v>50714</v>
      </c>
      <c r="J1169" s="46">
        <v>3</v>
      </c>
      <c r="K1169" s="47">
        <v>44169</v>
      </c>
      <c r="L1169" s="46">
        <v>10596</v>
      </c>
      <c r="M1169" s="46">
        <v>3</v>
      </c>
    </row>
    <row r="1170" spans="2:13" ht="14.1" customHeight="1" x14ac:dyDescent="0.25">
      <c r="B1170" s="46" t="str">
        <f t="shared" si="18"/>
        <v>2012-1-301331</v>
      </c>
      <c r="C1170" s="47">
        <v>44166</v>
      </c>
      <c r="D1170" s="46">
        <v>1</v>
      </c>
      <c r="E1170" s="46">
        <v>50</v>
      </c>
      <c r="F1170" s="46">
        <v>301331</v>
      </c>
      <c r="G1170" s="50" t="s">
        <v>618</v>
      </c>
      <c r="H1170" s="47">
        <v>44167</v>
      </c>
      <c r="I1170" s="46">
        <v>50715</v>
      </c>
      <c r="J1170" s="46">
        <v>50</v>
      </c>
      <c r="K1170" s="47">
        <v>44173</v>
      </c>
      <c r="L1170" s="46">
        <v>10619</v>
      </c>
      <c r="M1170" s="46">
        <v>50</v>
      </c>
    </row>
    <row r="1171" spans="2:13" ht="14.1" customHeight="1" x14ac:dyDescent="0.25">
      <c r="B1171" s="46" t="str">
        <f t="shared" si="18"/>
        <v>2012-1-100109</v>
      </c>
      <c r="C1171" s="47">
        <v>44166</v>
      </c>
      <c r="D1171" s="46">
        <v>1</v>
      </c>
      <c r="E1171" s="46">
        <v>8</v>
      </c>
      <c r="F1171" s="46">
        <v>100109</v>
      </c>
      <c r="G1171" s="48" t="s">
        <v>417</v>
      </c>
      <c r="H1171" s="47">
        <v>44167</v>
      </c>
      <c r="I1171" s="46">
        <v>50714</v>
      </c>
      <c r="J1171" s="46">
        <v>8</v>
      </c>
      <c r="K1171" s="47">
        <v>44169</v>
      </c>
      <c r="L1171" s="46">
        <v>10596</v>
      </c>
      <c r="M1171" s="46">
        <v>8</v>
      </c>
    </row>
    <row r="1172" spans="2:13" ht="14.1" customHeight="1" x14ac:dyDescent="0.25">
      <c r="B1172" s="46" t="str">
        <f t="shared" si="18"/>
        <v>2012-1-317937</v>
      </c>
      <c r="C1172" s="47">
        <v>44166</v>
      </c>
      <c r="D1172" s="46">
        <v>1</v>
      </c>
      <c r="E1172" s="46">
        <v>4</v>
      </c>
      <c r="F1172" s="46">
        <v>317937</v>
      </c>
      <c r="G1172" s="48" t="s">
        <v>915</v>
      </c>
      <c r="H1172" s="47">
        <v>44167</v>
      </c>
      <c r="I1172" s="46">
        <v>50714</v>
      </c>
      <c r="J1172" s="46">
        <v>4</v>
      </c>
      <c r="K1172" s="47">
        <v>44169</v>
      </c>
      <c r="L1172" s="46">
        <v>10596</v>
      </c>
      <c r="M1172" s="46">
        <v>4</v>
      </c>
    </row>
    <row r="1173" spans="2:13" ht="14.1" customHeight="1" x14ac:dyDescent="0.25">
      <c r="B1173" s="46" t="str">
        <f t="shared" si="18"/>
        <v>2012-1-206700</v>
      </c>
      <c r="C1173" s="47">
        <v>44166</v>
      </c>
      <c r="D1173" s="46">
        <v>1</v>
      </c>
      <c r="E1173" s="46">
        <v>12</v>
      </c>
      <c r="F1173" s="46">
        <v>206700</v>
      </c>
      <c r="G1173" s="48" t="s">
        <v>591</v>
      </c>
      <c r="H1173" s="47">
        <v>44167</v>
      </c>
      <c r="I1173" s="46">
        <v>50714</v>
      </c>
      <c r="J1173" s="46">
        <v>12</v>
      </c>
      <c r="K1173" s="47">
        <v>44169</v>
      </c>
      <c r="L1173" s="46">
        <v>10596</v>
      </c>
      <c r="M1173" s="46">
        <v>12</v>
      </c>
    </row>
    <row r="1174" spans="2:13" ht="14.1" customHeight="1" x14ac:dyDescent="0.25">
      <c r="B1174" s="46" t="str">
        <f t="shared" si="18"/>
        <v>2012-1-203841</v>
      </c>
      <c r="C1174" s="47">
        <v>44166</v>
      </c>
      <c r="D1174" s="46">
        <v>1</v>
      </c>
      <c r="E1174" s="46">
        <v>6</v>
      </c>
      <c r="F1174" s="46">
        <v>203841</v>
      </c>
      <c r="G1174" s="48" t="s">
        <v>135</v>
      </c>
      <c r="H1174" s="47">
        <v>44167</v>
      </c>
      <c r="I1174" s="46">
        <v>50716</v>
      </c>
      <c r="J1174" s="46">
        <v>6</v>
      </c>
      <c r="K1174" s="47">
        <v>44168</v>
      </c>
      <c r="L1174" s="46">
        <v>10589</v>
      </c>
      <c r="M1174" s="46">
        <v>6</v>
      </c>
    </row>
    <row r="1175" spans="2:13" ht="14.1" customHeight="1" x14ac:dyDescent="0.25">
      <c r="B1175" s="46" t="str">
        <f t="shared" si="18"/>
        <v>2012-1-314207</v>
      </c>
      <c r="C1175" s="47">
        <v>44166</v>
      </c>
      <c r="D1175" s="46">
        <v>1</v>
      </c>
      <c r="E1175" s="46">
        <v>4</v>
      </c>
      <c r="F1175" s="46">
        <v>314207</v>
      </c>
      <c r="G1175" s="48" t="s">
        <v>850</v>
      </c>
      <c r="H1175" s="47">
        <v>44167</v>
      </c>
      <c r="I1175" s="46">
        <v>50715</v>
      </c>
      <c r="J1175" s="46">
        <v>4</v>
      </c>
      <c r="K1175" s="47">
        <v>44173</v>
      </c>
      <c r="L1175" s="46">
        <v>10619</v>
      </c>
      <c r="M1175" s="46">
        <v>4</v>
      </c>
    </row>
    <row r="1176" spans="2:13" ht="14.1" customHeight="1" x14ac:dyDescent="0.25">
      <c r="B1176" s="46" t="str">
        <f t="shared" si="18"/>
        <v>2012-1-308967</v>
      </c>
      <c r="C1176" s="47">
        <v>44166</v>
      </c>
      <c r="D1176" s="46">
        <v>1</v>
      </c>
      <c r="E1176" s="46">
        <v>4</v>
      </c>
      <c r="F1176" s="46">
        <v>308967</v>
      </c>
      <c r="G1176" s="48" t="s">
        <v>749</v>
      </c>
      <c r="H1176" s="47">
        <v>44167</v>
      </c>
      <c r="I1176" s="46">
        <v>50714</v>
      </c>
      <c r="J1176" s="46">
        <v>4</v>
      </c>
      <c r="K1176" s="47">
        <v>44169</v>
      </c>
      <c r="L1176" s="46">
        <v>10596</v>
      </c>
      <c r="M1176" s="46">
        <v>4</v>
      </c>
    </row>
    <row r="1177" spans="2:13" ht="14.1" customHeight="1" x14ac:dyDescent="0.25">
      <c r="B1177" s="46" t="str">
        <f t="shared" si="18"/>
        <v>2012-1-300627</v>
      </c>
      <c r="C1177" s="47">
        <v>44166</v>
      </c>
      <c r="D1177" s="46">
        <v>1</v>
      </c>
      <c r="E1177" s="46">
        <v>80</v>
      </c>
      <c r="F1177" s="46">
        <v>300627</v>
      </c>
      <c r="G1177" s="48" t="s">
        <v>185</v>
      </c>
      <c r="H1177" s="47">
        <v>44167</v>
      </c>
      <c r="I1177" s="46">
        <v>50715</v>
      </c>
      <c r="J1177" s="46">
        <v>80</v>
      </c>
      <c r="K1177" s="47">
        <v>44173</v>
      </c>
      <c r="L1177" s="46">
        <v>10619</v>
      </c>
      <c r="M1177" s="46">
        <v>80</v>
      </c>
    </row>
    <row r="1178" spans="2:13" ht="14.1" customHeight="1" x14ac:dyDescent="0.25">
      <c r="B1178" s="46" t="str">
        <f t="shared" si="18"/>
        <v>2012-1-301404</v>
      </c>
      <c r="C1178" s="47">
        <v>44166</v>
      </c>
      <c r="D1178" s="46">
        <v>1</v>
      </c>
      <c r="E1178" s="46">
        <v>2</v>
      </c>
      <c r="F1178" s="46">
        <v>301404</v>
      </c>
      <c r="G1178" s="48" t="s">
        <v>623</v>
      </c>
      <c r="H1178" s="47">
        <v>44167</v>
      </c>
      <c r="I1178" s="46">
        <v>50714</v>
      </c>
      <c r="J1178" s="46">
        <v>2</v>
      </c>
      <c r="K1178" s="47">
        <v>44169</v>
      </c>
      <c r="L1178" s="46">
        <v>10596</v>
      </c>
      <c r="M1178" s="46">
        <v>2</v>
      </c>
    </row>
    <row r="1179" spans="2:13" ht="14.1" customHeight="1" x14ac:dyDescent="0.25">
      <c r="B1179" s="46" t="str">
        <f t="shared" si="18"/>
        <v>2012-1-304320</v>
      </c>
      <c r="C1179" s="47">
        <v>44166</v>
      </c>
      <c r="D1179" s="46">
        <v>1</v>
      </c>
      <c r="E1179" s="46">
        <v>6</v>
      </c>
      <c r="F1179" s="46">
        <v>304320</v>
      </c>
      <c r="G1179" s="48" t="s">
        <v>670</v>
      </c>
      <c r="H1179" s="47">
        <v>44167</v>
      </c>
      <c r="I1179" s="46">
        <v>50714</v>
      </c>
      <c r="J1179" s="46">
        <v>6</v>
      </c>
      <c r="K1179" s="47">
        <v>44169</v>
      </c>
      <c r="L1179" s="46">
        <v>10596</v>
      </c>
      <c r="M1179" s="46">
        <v>6</v>
      </c>
    </row>
    <row r="1180" spans="2:13" ht="14.1" customHeight="1" x14ac:dyDescent="0.25">
      <c r="B1180" s="46" t="str">
        <f t="shared" si="18"/>
        <v>2012-1-302050</v>
      </c>
      <c r="C1180" s="47">
        <v>44166</v>
      </c>
      <c r="D1180" s="46">
        <v>1</v>
      </c>
      <c r="E1180" s="46">
        <v>3</v>
      </c>
      <c r="F1180" s="46">
        <v>302050</v>
      </c>
      <c r="G1180" s="48" t="s">
        <v>633</v>
      </c>
      <c r="H1180" s="47">
        <v>44167</v>
      </c>
      <c r="I1180" s="46">
        <v>50714</v>
      </c>
      <c r="J1180" s="46">
        <v>3</v>
      </c>
      <c r="K1180" s="47">
        <v>44169</v>
      </c>
      <c r="L1180" s="46">
        <v>10596</v>
      </c>
      <c r="M1180" s="46">
        <v>3</v>
      </c>
    </row>
    <row r="1181" spans="2:13" ht="14.1" customHeight="1" x14ac:dyDescent="0.25">
      <c r="B1181" s="46" t="str">
        <f t="shared" si="18"/>
        <v>2012-2-306112</v>
      </c>
      <c r="C1181" s="47">
        <v>44166</v>
      </c>
      <c r="D1181" s="46">
        <v>2</v>
      </c>
      <c r="E1181" s="46">
        <v>2</v>
      </c>
      <c r="F1181" s="46">
        <v>306112</v>
      </c>
      <c r="G1181" s="48" t="s">
        <v>91</v>
      </c>
      <c r="H1181" s="47">
        <v>44204</v>
      </c>
      <c r="I1181" s="46">
        <v>51115</v>
      </c>
      <c r="J1181" s="46">
        <v>2</v>
      </c>
      <c r="K1181" s="47">
        <v>44207</v>
      </c>
      <c r="L1181" s="46">
        <v>10846</v>
      </c>
      <c r="M1181" s="46">
        <v>2</v>
      </c>
    </row>
    <row r="1182" spans="2:13" ht="14.1" customHeight="1" x14ac:dyDescent="0.25">
      <c r="B1182" s="46" t="str">
        <f t="shared" si="18"/>
        <v>2012-2-312007</v>
      </c>
      <c r="C1182" s="47">
        <v>44166</v>
      </c>
      <c r="D1182" s="46">
        <v>2</v>
      </c>
      <c r="E1182" s="46">
        <v>2</v>
      </c>
      <c r="F1182" s="46">
        <v>312007</v>
      </c>
      <c r="G1182" s="48" t="s">
        <v>795</v>
      </c>
      <c r="H1182" s="47">
        <v>44204</v>
      </c>
      <c r="I1182" s="46">
        <v>51115</v>
      </c>
      <c r="J1182" s="46">
        <v>2</v>
      </c>
      <c r="K1182" s="47">
        <v>44207</v>
      </c>
      <c r="L1182" s="46">
        <v>10846</v>
      </c>
      <c r="M1182" s="46">
        <v>2</v>
      </c>
    </row>
    <row r="1183" spans="2:13" ht="14.1" customHeight="1" x14ac:dyDescent="0.25">
      <c r="B1183" s="46" t="str">
        <f t="shared" si="18"/>
        <v>2012-2-306113</v>
      </c>
      <c r="C1183" s="47">
        <v>44166</v>
      </c>
      <c r="D1183" s="46">
        <v>2</v>
      </c>
      <c r="E1183" s="46">
        <v>3</v>
      </c>
      <c r="F1183" s="46">
        <v>306113</v>
      </c>
      <c r="G1183" s="48" t="s">
        <v>707</v>
      </c>
      <c r="H1183" s="47">
        <v>44204</v>
      </c>
      <c r="I1183" s="46">
        <v>51115</v>
      </c>
      <c r="J1183" s="46">
        <v>3</v>
      </c>
      <c r="K1183" s="47">
        <v>44207</v>
      </c>
      <c r="L1183" s="46">
        <v>10846</v>
      </c>
      <c r="M1183" s="46">
        <v>3</v>
      </c>
    </row>
    <row r="1184" spans="2:13" ht="14.1" customHeight="1" x14ac:dyDescent="0.25">
      <c r="B1184" s="46" t="str">
        <f t="shared" si="18"/>
        <v>2012-7-301951</v>
      </c>
      <c r="C1184" s="47">
        <v>44167</v>
      </c>
      <c r="D1184" s="46">
        <v>7</v>
      </c>
      <c r="E1184" s="46">
        <v>2</v>
      </c>
      <c r="F1184" s="46">
        <v>301951</v>
      </c>
      <c r="G1184" s="48" t="s">
        <v>315</v>
      </c>
      <c r="H1184" s="47">
        <v>44169</v>
      </c>
      <c r="I1184" s="46">
        <v>50734</v>
      </c>
      <c r="J1184" s="46">
        <v>2</v>
      </c>
      <c r="K1184" s="47">
        <v>44179</v>
      </c>
      <c r="L1184" s="46">
        <v>10673</v>
      </c>
      <c r="M1184" s="46">
        <v>2</v>
      </c>
    </row>
    <row r="1185" spans="2:13" ht="14.1" customHeight="1" x14ac:dyDescent="0.25">
      <c r="B1185" s="46" t="str">
        <f t="shared" si="18"/>
        <v>2012-7-317792</v>
      </c>
      <c r="C1185" s="47">
        <v>44167</v>
      </c>
      <c r="D1185" s="46">
        <v>7</v>
      </c>
      <c r="E1185" s="46">
        <v>1</v>
      </c>
      <c r="F1185" s="46">
        <v>317792</v>
      </c>
      <c r="G1185" s="48" t="s">
        <v>913</v>
      </c>
      <c r="H1185" s="47">
        <v>44169</v>
      </c>
      <c r="I1185" s="46">
        <v>50734</v>
      </c>
      <c r="J1185" s="46">
        <v>1</v>
      </c>
      <c r="K1185" s="47">
        <v>44179</v>
      </c>
      <c r="L1185" s="46">
        <v>10673</v>
      </c>
      <c r="M1185" s="46">
        <v>1</v>
      </c>
    </row>
    <row r="1186" spans="2:13" ht="14.1" customHeight="1" x14ac:dyDescent="0.25">
      <c r="B1186" s="46" t="str">
        <f t="shared" si="18"/>
        <v>2012-8-301987</v>
      </c>
      <c r="C1186" s="47">
        <v>44168</v>
      </c>
      <c r="D1186" s="46">
        <v>8</v>
      </c>
      <c r="E1186" s="46">
        <v>60</v>
      </c>
      <c r="F1186" s="46">
        <v>301987</v>
      </c>
      <c r="G1186" s="48" t="s">
        <v>357</v>
      </c>
      <c r="H1186" s="47">
        <v>44169</v>
      </c>
      <c r="I1186" s="46">
        <v>50753</v>
      </c>
      <c r="J1186" s="46">
        <v>60</v>
      </c>
      <c r="K1186" s="47">
        <v>44168</v>
      </c>
      <c r="L1186" s="46">
        <v>10582</v>
      </c>
      <c r="M1186" s="46">
        <v>60</v>
      </c>
    </row>
    <row r="1187" spans="2:13" ht="14.1" customHeight="1" x14ac:dyDescent="0.25">
      <c r="B1187" s="46" t="str">
        <f t="shared" si="18"/>
        <v>2012-8-200155</v>
      </c>
      <c r="C1187" s="47">
        <v>44168</v>
      </c>
      <c r="D1187" s="46">
        <v>8</v>
      </c>
      <c r="E1187" s="46">
        <v>60</v>
      </c>
      <c r="F1187" s="46">
        <v>200155</v>
      </c>
      <c r="G1187" s="48" t="s">
        <v>356</v>
      </c>
      <c r="H1187" s="47">
        <v>44169</v>
      </c>
      <c r="I1187" s="46">
        <v>50753</v>
      </c>
      <c r="J1187" s="46">
        <v>60</v>
      </c>
      <c r="K1187" s="47">
        <v>44168</v>
      </c>
      <c r="L1187" s="46">
        <v>10582</v>
      </c>
      <c r="M1187" s="46">
        <v>60</v>
      </c>
    </row>
    <row r="1188" spans="2:13" ht="14.1" customHeight="1" x14ac:dyDescent="0.25">
      <c r="B1188" s="46" t="str">
        <f t="shared" si="18"/>
        <v>2012-9-203871</v>
      </c>
      <c r="C1188" s="47">
        <v>44168</v>
      </c>
      <c r="D1188" s="46">
        <v>9</v>
      </c>
      <c r="E1188" s="46">
        <v>6</v>
      </c>
      <c r="F1188" s="46">
        <v>203871</v>
      </c>
      <c r="G1188" s="48" t="s">
        <v>182</v>
      </c>
      <c r="H1188" s="47">
        <v>44167</v>
      </c>
      <c r="I1188" s="46">
        <v>50754</v>
      </c>
      <c r="J1188" s="46">
        <v>6</v>
      </c>
      <c r="K1188" s="47">
        <v>44168</v>
      </c>
      <c r="L1188" s="46">
        <v>10583</v>
      </c>
      <c r="M1188" s="46">
        <v>6</v>
      </c>
    </row>
    <row r="1189" spans="2:13" ht="14.1" customHeight="1" x14ac:dyDescent="0.25">
      <c r="B1189" s="46" t="str">
        <f t="shared" si="18"/>
        <v>2012-10-315379</v>
      </c>
      <c r="C1189" s="47">
        <v>44168</v>
      </c>
      <c r="D1189" s="46">
        <v>10</v>
      </c>
      <c r="E1189" s="46">
        <v>1</v>
      </c>
      <c r="F1189" s="46">
        <v>315379</v>
      </c>
      <c r="G1189" s="48" t="s">
        <v>289</v>
      </c>
      <c r="H1189" s="47">
        <v>44169</v>
      </c>
      <c r="I1189" s="46">
        <v>50755</v>
      </c>
      <c r="J1189" s="46">
        <v>1</v>
      </c>
      <c r="K1189" s="47">
        <v>44168</v>
      </c>
      <c r="L1189" s="46">
        <v>10584</v>
      </c>
      <c r="M1189" s="46">
        <v>1</v>
      </c>
    </row>
    <row r="1190" spans="2:13" ht="14.1" customHeight="1" x14ac:dyDescent="0.25">
      <c r="B1190" s="46" t="str">
        <f t="shared" si="18"/>
        <v>2012-11-303716</v>
      </c>
      <c r="C1190" s="47">
        <v>44168</v>
      </c>
      <c r="D1190" s="46">
        <v>11</v>
      </c>
      <c r="E1190" s="46">
        <v>1</v>
      </c>
      <c r="F1190" s="46">
        <v>303716</v>
      </c>
      <c r="G1190" s="48" t="s">
        <v>35</v>
      </c>
      <c r="H1190" s="47">
        <v>44168</v>
      </c>
      <c r="I1190" s="46">
        <v>50752</v>
      </c>
      <c r="J1190" s="46">
        <v>1</v>
      </c>
      <c r="K1190" s="47">
        <v>44168</v>
      </c>
      <c r="L1190" s="46">
        <v>10585</v>
      </c>
      <c r="M1190" s="46">
        <v>1</v>
      </c>
    </row>
    <row r="1191" spans="2:13" ht="14.1" customHeight="1" x14ac:dyDescent="0.25">
      <c r="B1191" s="46" t="str">
        <f t="shared" si="18"/>
        <v>2012-11-200667</v>
      </c>
      <c r="C1191" s="47">
        <v>44168</v>
      </c>
      <c r="D1191" s="46">
        <v>11</v>
      </c>
      <c r="E1191" s="46">
        <v>10</v>
      </c>
      <c r="F1191" s="46">
        <v>200667</v>
      </c>
      <c r="G1191" s="48" t="s">
        <v>492</v>
      </c>
      <c r="H1191" s="47">
        <v>44168</v>
      </c>
      <c r="I1191" s="46">
        <v>50752</v>
      </c>
      <c r="J1191" s="46">
        <v>10</v>
      </c>
      <c r="K1191" s="47">
        <v>44168</v>
      </c>
      <c r="L1191" s="46">
        <v>10585</v>
      </c>
      <c r="M1191" s="46">
        <v>10</v>
      </c>
    </row>
    <row r="1192" spans="2:13" ht="14.1" customHeight="1" x14ac:dyDescent="0.25">
      <c r="B1192" s="46" t="str">
        <f t="shared" si="18"/>
        <v>2012-11-313814</v>
      </c>
      <c r="C1192" s="47">
        <v>44168</v>
      </c>
      <c r="D1192" s="46">
        <v>11</v>
      </c>
      <c r="E1192" s="46">
        <v>1</v>
      </c>
      <c r="F1192" s="46">
        <v>313814</v>
      </c>
      <c r="G1192" s="48" t="s">
        <v>224</v>
      </c>
      <c r="H1192" s="47">
        <v>44168</v>
      </c>
      <c r="I1192" s="46">
        <v>50752</v>
      </c>
      <c r="J1192" s="46">
        <v>1</v>
      </c>
      <c r="K1192" s="47">
        <v>44168</v>
      </c>
      <c r="L1192" s="46">
        <v>10585</v>
      </c>
      <c r="M1192" s="46">
        <v>1</v>
      </c>
    </row>
    <row r="1193" spans="2:13" ht="14.1" customHeight="1" x14ac:dyDescent="0.25">
      <c r="B1193" s="46" t="str">
        <f t="shared" si="18"/>
        <v>2012-12-300311</v>
      </c>
      <c r="C1193" s="47">
        <v>44168</v>
      </c>
      <c r="D1193" s="46">
        <v>12</v>
      </c>
      <c r="E1193" s="46">
        <v>2000</v>
      </c>
      <c r="F1193" s="46">
        <v>300311</v>
      </c>
      <c r="G1193" s="48" t="s">
        <v>128</v>
      </c>
      <c r="H1193" s="47">
        <v>44186</v>
      </c>
      <c r="I1193" s="46">
        <v>51002</v>
      </c>
      <c r="J1193" s="46">
        <v>2000</v>
      </c>
      <c r="K1193" s="47">
        <v>44168</v>
      </c>
      <c r="L1193" s="46">
        <v>10586</v>
      </c>
      <c r="M1193" s="46">
        <v>2000</v>
      </c>
    </row>
    <row r="1194" spans="2:13" ht="14.1" customHeight="1" x14ac:dyDescent="0.25">
      <c r="B1194" s="46" t="str">
        <f t="shared" si="18"/>
        <v>2012-13-314736</v>
      </c>
      <c r="C1194" s="47">
        <v>44168</v>
      </c>
      <c r="D1194" s="46">
        <v>13</v>
      </c>
      <c r="E1194" s="46">
        <v>3</v>
      </c>
      <c r="F1194" s="46">
        <v>314736</v>
      </c>
      <c r="G1194" s="48" t="s">
        <v>860</v>
      </c>
      <c r="H1194" s="47">
        <v>44173</v>
      </c>
      <c r="I1194" s="46">
        <v>50790</v>
      </c>
      <c r="J1194" s="46">
        <v>3</v>
      </c>
      <c r="K1194" s="47">
        <v>44174</v>
      </c>
      <c r="L1194" s="46">
        <v>10627</v>
      </c>
      <c r="M1194" s="46">
        <v>2</v>
      </c>
    </row>
    <row r="1195" spans="2:13" ht="14.1" customHeight="1" x14ac:dyDescent="0.25">
      <c r="B1195" s="46" t="str">
        <f t="shared" si="18"/>
        <v>2012-13-314736</v>
      </c>
      <c r="C1195" s="47">
        <v>44168</v>
      </c>
      <c r="D1195" s="46">
        <v>13</v>
      </c>
      <c r="E1195" s="46">
        <v>3</v>
      </c>
      <c r="F1195" s="46">
        <v>314736</v>
      </c>
      <c r="G1195" s="48" t="s">
        <v>860</v>
      </c>
      <c r="H1195" s="47">
        <v>44173</v>
      </c>
      <c r="I1195" s="46">
        <v>50790</v>
      </c>
      <c r="J1195" s="46">
        <v>3</v>
      </c>
      <c r="K1195" s="47">
        <v>44187</v>
      </c>
      <c r="L1195" s="46">
        <v>10746</v>
      </c>
      <c r="M1195" s="46">
        <v>1</v>
      </c>
    </row>
    <row r="1196" spans="2:13" ht="14.1" customHeight="1" x14ac:dyDescent="0.25">
      <c r="B1196" s="46" t="str">
        <f t="shared" si="18"/>
        <v>2012-13-314510</v>
      </c>
      <c r="C1196" s="47">
        <v>44168</v>
      </c>
      <c r="D1196" s="46">
        <v>13</v>
      </c>
      <c r="E1196" s="46">
        <v>3</v>
      </c>
      <c r="F1196" s="46">
        <v>314510</v>
      </c>
      <c r="G1196" s="48" t="s">
        <v>854</v>
      </c>
      <c r="H1196" s="47">
        <v>44173</v>
      </c>
      <c r="I1196" s="46">
        <v>50797</v>
      </c>
      <c r="J1196" s="46">
        <v>3</v>
      </c>
      <c r="K1196" s="47">
        <v>44179</v>
      </c>
      <c r="L1196" s="46">
        <v>10674</v>
      </c>
      <c r="M1196" s="46">
        <v>3</v>
      </c>
    </row>
    <row r="1197" spans="2:13" ht="14.1" customHeight="1" x14ac:dyDescent="0.25">
      <c r="B1197" s="46" t="str">
        <f t="shared" si="18"/>
        <v>2012-16-308258</v>
      </c>
      <c r="C1197" s="47">
        <v>44169</v>
      </c>
      <c r="D1197" s="46">
        <v>16</v>
      </c>
      <c r="E1197" s="46">
        <v>1</v>
      </c>
      <c r="F1197" s="46">
        <v>308258</v>
      </c>
      <c r="G1197" s="50" t="s">
        <v>740</v>
      </c>
      <c r="H1197" s="47">
        <v>44172</v>
      </c>
      <c r="I1197" s="46">
        <v>50774</v>
      </c>
      <c r="J1197" s="46">
        <v>1</v>
      </c>
      <c r="K1197" s="47">
        <v>44174</v>
      </c>
      <c r="L1197" s="46">
        <v>10631</v>
      </c>
      <c r="M1197" s="46">
        <v>1</v>
      </c>
    </row>
    <row r="1198" spans="2:13" ht="14.1" customHeight="1" x14ac:dyDescent="0.25">
      <c r="B1198" s="46" t="str">
        <f t="shared" si="18"/>
        <v>2012-16-305512</v>
      </c>
      <c r="C1198" s="47">
        <v>44169</v>
      </c>
      <c r="D1198" s="46">
        <v>16</v>
      </c>
      <c r="E1198" s="46">
        <v>5</v>
      </c>
      <c r="F1198" s="46">
        <v>305512</v>
      </c>
      <c r="G1198" s="50" t="s">
        <v>697</v>
      </c>
      <c r="H1198" s="47">
        <v>44172</v>
      </c>
      <c r="I1198" s="46">
        <v>50775</v>
      </c>
      <c r="J1198" s="46">
        <v>5</v>
      </c>
      <c r="K1198" s="47">
        <v>44176</v>
      </c>
      <c r="L1198" s="46">
        <v>10661</v>
      </c>
      <c r="M1198" s="46">
        <v>5</v>
      </c>
    </row>
    <row r="1199" spans="2:13" ht="14.1" customHeight="1" x14ac:dyDescent="0.25">
      <c r="B1199" s="46" t="str">
        <f t="shared" si="18"/>
        <v>2012-16-314666</v>
      </c>
      <c r="C1199" s="47">
        <v>44169</v>
      </c>
      <c r="D1199" s="46">
        <v>16</v>
      </c>
      <c r="E1199" s="46">
        <v>1</v>
      </c>
      <c r="F1199" s="46">
        <v>314666</v>
      </c>
      <c r="G1199" s="48" t="s">
        <v>859</v>
      </c>
      <c r="H1199" s="47">
        <v>44172</v>
      </c>
      <c r="I1199" s="46">
        <v>50774</v>
      </c>
      <c r="J1199" s="46">
        <v>1</v>
      </c>
      <c r="K1199" s="47">
        <v>44174</v>
      </c>
      <c r="L1199" s="46">
        <v>10631</v>
      </c>
      <c r="M1199" s="46">
        <v>1</v>
      </c>
    </row>
    <row r="1200" spans="2:13" ht="14.1" customHeight="1" x14ac:dyDescent="0.25">
      <c r="B1200" s="46" t="str">
        <f t="shared" si="18"/>
        <v>2012-16-205379</v>
      </c>
      <c r="C1200" s="47">
        <v>44169</v>
      </c>
      <c r="D1200" s="46">
        <v>16</v>
      </c>
      <c r="E1200" s="46">
        <v>4</v>
      </c>
      <c r="F1200" s="46">
        <v>205379</v>
      </c>
      <c r="G1200" s="48" t="s">
        <v>1077</v>
      </c>
      <c r="H1200" s="47">
        <v>44172</v>
      </c>
      <c r="I1200" s="46">
        <v>50774</v>
      </c>
      <c r="J1200" s="46">
        <v>4</v>
      </c>
      <c r="K1200" s="47">
        <v>44174</v>
      </c>
      <c r="L1200" s="46">
        <v>10631</v>
      </c>
      <c r="M1200" s="46">
        <v>4</v>
      </c>
    </row>
    <row r="1201" spans="2:13" ht="14.1" customHeight="1" x14ac:dyDescent="0.25">
      <c r="B1201" s="46" t="str">
        <f t="shared" si="18"/>
        <v>2012-16-200267</v>
      </c>
      <c r="C1201" s="47">
        <v>44169</v>
      </c>
      <c r="D1201" s="46">
        <v>16</v>
      </c>
      <c r="E1201" s="46">
        <v>6</v>
      </c>
      <c r="F1201" s="46">
        <v>200267</v>
      </c>
      <c r="G1201" s="48" t="s">
        <v>1053</v>
      </c>
      <c r="H1201" s="47">
        <v>44172</v>
      </c>
      <c r="I1201" s="46">
        <v>50774</v>
      </c>
      <c r="J1201" s="46">
        <v>6</v>
      </c>
      <c r="K1201" s="47">
        <v>44174</v>
      </c>
      <c r="L1201" s="46">
        <v>10631</v>
      </c>
      <c r="M1201" s="46">
        <v>6</v>
      </c>
    </row>
    <row r="1202" spans="2:13" ht="14.1" customHeight="1" x14ac:dyDescent="0.25">
      <c r="B1202" s="46" t="str">
        <f t="shared" si="18"/>
        <v>2012-16-312720</v>
      </c>
      <c r="C1202" s="47">
        <v>44169</v>
      </c>
      <c r="D1202" s="46">
        <v>16</v>
      </c>
      <c r="E1202" s="46">
        <v>4</v>
      </c>
      <c r="F1202" s="46">
        <v>312720</v>
      </c>
      <c r="G1202" s="48" t="s">
        <v>296</v>
      </c>
      <c r="H1202" s="47">
        <v>44172</v>
      </c>
      <c r="I1202" s="46">
        <v>50774</v>
      </c>
      <c r="J1202" s="46">
        <v>4</v>
      </c>
      <c r="K1202" s="47">
        <v>44174</v>
      </c>
      <c r="L1202" s="46">
        <v>10631</v>
      </c>
      <c r="M1202" s="46">
        <v>4</v>
      </c>
    </row>
    <row r="1203" spans="2:13" ht="14.1" customHeight="1" x14ac:dyDescent="0.25">
      <c r="B1203" s="46" t="str">
        <f t="shared" si="18"/>
        <v>2012-16-320149</v>
      </c>
      <c r="C1203" s="47">
        <v>44169</v>
      </c>
      <c r="D1203" s="46">
        <v>16</v>
      </c>
      <c r="E1203" s="46">
        <v>6</v>
      </c>
      <c r="F1203" s="46">
        <v>320149</v>
      </c>
      <c r="G1203" s="50" t="s">
        <v>950</v>
      </c>
      <c r="H1203" s="47">
        <v>44172</v>
      </c>
      <c r="I1203" s="46">
        <v>50774</v>
      </c>
      <c r="J1203" s="46">
        <v>6</v>
      </c>
      <c r="K1203" s="47">
        <v>44174</v>
      </c>
      <c r="L1203" s="46">
        <v>10631</v>
      </c>
      <c r="M1203" s="46">
        <v>6</v>
      </c>
    </row>
    <row r="1204" spans="2:13" ht="14.1" customHeight="1" x14ac:dyDescent="0.25">
      <c r="B1204" s="46" t="str">
        <f t="shared" si="18"/>
        <v>2012-16-319131</v>
      </c>
      <c r="C1204" s="47">
        <v>44169</v>
      </c>
      <c r="D1204" s="46">
        <v>16</v>
      </c>
      <c r="E1204" s="46">
        <v>1</v>
      </c>
      <c r="F1204" s="46">
        <v>319131</v>
      </c>
      <c r="G1204" s="48" t="s">
        <v>933</v>
      </c>
      <c r="H1204" s="47">
        <v>44172</v>
      </c>
      <c r="I1204" s="46">
        <v>50774</v>
      </c>
      <c r="J1204" s="46">
        <v>1</v>
      </c>
      <c r="K1204" s="47">
        <v>44174</v>
      </c>
      <c r="L1204" s="46">
        <v>10631</v>
      </c>
      <c r="M1204" s="46">
        <v>1</v>
      </c>
    </row>
    <row r="1205" spans="2:13" ht="14.1" customHeight="1" x14ac:dyDescent="0.25">
      <c r="B1205" s="46" t="str">
        <f t="shared" si="18"/>
        <v>2012-16-105872</v>
      </c>
      <c r="C1205" s="47">
        <v>44169</v>
      </c>
      <c r="D1205" s="46">
        <v>16</v>
      </c>
      <c r="E1205" s="46">
        <v>4</v>
      </c>
      <c r="F1205" s="46">
        <v>105872</v>
      </c>
      <c r="G1205" s="48" t="s">
        <v>257</v>
      </c>
      <c r="H1205" s="47">
        <v>44172</v>
      </c>
      <c r="I1205" s="46">
        <v>50774</v>
      </c>
      <c r="J1205" s="46">
        <v>4</v>
      </c>
      <c r="K1205" s="47">
        <v>44174</v>
      </c>
      <c r="L1205" s="46">
        <v>10631</v>
      </c>
      <c r="M1205" s="46">
        <v>4</v>
      </c>
    </row>
    <row r="1206" spans="2:13" ht="14.1" customHeight="1" x14ac:dyDescent="0.25">
      <c r="B1206" s="46" t="str">
        <f t="shared" si="18"/>
        <v>2012-16-316167</v>
      </c>
      <c r="C1206" s="47">
        <v>44169</v>
      </c>
      <c r="D1206" s="46">
        <v>16</v>
      </c>
      <c r="E1206" s="46">
        <v>3</v>
      </c>
      <c r="F1206" s="46">
        <v>316167</v>
      </c>
      <c r="G1206" s="50" t="s">
        <v>200</v>
      </c>
      <c r="H1206" s="47">
        <v>44172</v>
      </c>
      <c r="I1206" s="46">
        <v>50776</v>
      </c>
      <c r="J1206" s="46">
        <v>3</v>
      </c>
      <c r="K1206" s="47">
        <v>44180</v>
      </c>
      <c r="L1206" s="46">
        <v>10691</v>
      </c>
      <c r="M1206" s="46">
        <v>3</v>
      </c>
    </row>
    <row r="1207" spans="2:13" ht="14.1" customHeight="1" x14ac:dyDescent="0.25">
      <c r="B1207" s="46" t="str">
        <f t="shared" si="18"/>
        <v>2012-18-304676</v>
      </c>
      <c r="C1207" s="47">
        <v>44169</v>
      </c>
      <c r="D1207" s="46">
        <v>18</v>
      </c>
      <c r="E1207" s="46">
        <v>1</v>
      </c>
      <c r="F1207" s="46">
        <v>304676</v>
      </c>
      <c r="G1207" s="48" t="s">
        <v>678</v>
      </c>
      <c r="H1207" s="47">
        <v>44167</v>
      </c>
      <c r="I1207" s="46">
        <v>50800</v>
      </c>
      <c r="J1207" s="46">
        <v>1</v>
      </c>
      <c r="K1207" s="47">
        <v>44169</v>
      </c>
      <c r="L1207" s="46">
        <v>10594</v>
      </c>
      <c r="M1207" s="46">
        <v>1</v>
      </c>
    </row>
    <row r="1208" spans="2:13" ht="14.1" customHeight="1" x14ac:dyDescent="0.25">
      <c r="B1208" s="46" t="str">
        <f t="shared" si="18"/>
        <v>2012-18-105686</v>
      </c>
      <c r="C1208" s="47">
        <v>44169</v>
      </c>
      <c r="D1208" s="46">
        <v>18</v>
      </c>
      <c r="E1208" s="46">
        <v>16</v>
      </c>
      <c r="F1208" s="46">
        <v>105686</v>
      </c>
      <c r="G1208" s="48" t="s">
        <v>436</v>
      </c>
      <c r="H1208" s="47">
        <v>44167</v>
      </c>
      <c r="I1208" s="46">
        <v>50800</v>
      </c>
      <c r="J1208" s="46">
        <v>16</v>
      </c>
      <c r="K1208" s="47">
        <v>44169</v>
      </c>
      <c r="L1208" s="46">
        <v>10594</v>
      </c>
      <c r="M1208" s="46">
        <v>16</v>
      </c>
    </row>
    <row r="1209" spans="2:13" ht="14.1" customHeight="1" x14ac:dyDescent="0.25">
      <c r="B1209" s="46" t="str">
        <f t="shared" si="18"/>
        <v>2012-18-302257</v>
      </c>
      <c r="C1209" s="47">
        <v>44169</v>
      </c>
      <c r="D1209" s="46">
        <v>18</v>
      </c>
      <c r="E1209" s="46">
        <v>8</v>
      </c>
      <c r="F1209" s="46">
        <v>302257</v>
      </c>
      <c r="G1209" s="48" t="s">
        <v>638</v>
      </c>
      <c r="H1209" s="47">
        <v>44167</v>
      </c>
      <c r="I1209" s="46">
        <v>50800</v>
      </c>
      <c r="J1209" s="46">
        <v>8</v>
      </c>
      <c r="K1209" s="47">
        <v>44169</v>
      </c>
      <c r="L1209" s="46">
        <v>10594</v>
      </c>
      <c r="M1209" s="46">
        <v>8</v>
      </c>
    </row>
    <row r="1210" spans="2:13" ht="14.1" customHeight="1" x14ac:dyDescent="0.25">
      <c r="B1210" s="46" t="str">
        <f t="shared" si="18"/>
        <v>2012-18-305951</v>
      </c>
      <c r="C1210" s="47">
        <v>44169</v>
      </c>
      <c r="D1210" s="46">
        <v>18</v>
      </c>
      <c r="E1210" s="46">
        <v>1</v>
      </c>
      <c r="F1210" s="46">
        <v>305951</v>
      </c>
      <c r="G1210" s="50" t="s">
        <v>345</v>
      </c>
      <c r="H1210" s="47">
        <v>44167</v>
      </c>
      <c r="I1210" s="46">
        <v>50800</v>
      </c>
      <c r="J1210" s="46">
        <v>1</v>
      </c>
      <c r="K1210" s="47">
        <v>44169</v>
      </c>
      <c r="L1210" s="46">
        <v>10594</v>
      </c>
      <c r="M1210" s="46">
        <v>1</v>
      </c>
    </row>
    <row r="1211" spans="2:13" ht="14.1" customHeight="1" x14ac:dyDescent="0.25">
      <c r="B1211" s="46" t="str">
        <f t="shared" si="18"/>
        <v>2012-19-306776</v>
      </c>
      <c r="C1211" s="47">
        <v>44172</v>
      </c>
      <c r="D1211" s="46">
        <v>19</v>
      </c>
      <c r="E1211" s="46">
        <v>100</v>
      </c>
      <c r="F1211" s="46">
        <v>306776</v>
      </c>
      <c r="G1211" s="48" t="s">
        <v>156</v>
      </c>
      <c r="H1211" s="47">
        <v>44207</v>
      </c>
      <c r="I1211" s="46">
        <v>51172</v>
      </c>
      <c r="J1211" s="46">
        <v>100</v>
      </c>
      <c r="K1211" s="47">
        <v>44221</v>
      </c>
      <c r="L1211" s="46">
        <v>10990</v>
      </c>
      <c r="M1211" s="46">
        <v>100</v>
      </c>
    </row>
    <row r="1212" spans="2:13" ht="14.1" customHeight="1" x14ac:dyDescent="0.25">
      <c r="B1212" s="46" t="str">
        <f t="shared" si="18"/>
        <v>2012-19-315316</v>
      </c>
      <c r="C1212" s="47">
        <v>44172</v>
      </c>
      <c r="D1212" s="46">
        <v>19</v>
      </c>
      <c r="E1212" s="46">
        <v>10</v>
      </c>
      <c r="F1212" s="46">
        <v>315316</v>
      </c>
      <c r="G1212" s="48" t="s">
        <v>165</v>
      </c>
      <c r="H1212" s="47">
        <v>44207</v>
      </c>
      <c r="I1212" s="46">
        <v>51172</v>
      </c>
      <c r="J1212" s="46">
        <v>10</v>
      </c>
      <c r="K1212" s="47">
        <v>44221</v>
      </c>
      <c r="L1212" s="46">
        <v>10990</v>
      </c>
      <c r="M1212" s="46">
        <v>10</v>
      </c>
    </row>
    <row r="1213" spans="2:13" ht="14.1" customHeight="1" x14ac:dyDescent="0.25">
      <c r="B1213" s="46" t="str">
        <f t="shared" si="18"/>
        <v>2012-19-315400</v>
      </c>
      <c r="C1213" s="47">
        <v>44172</v>
      </c>
      <c r="D1213" s="46">
        <v>19</v>
      </c>
      <c r="E1213" s="46">
        <v>100</v>
      </c>
      <c r="F1213" s="46">
        <v>315400</v>
      </c>
      <c r="G1213" s="48" t="s">
        <v>166</v>
      </c>
      <c r="H1213" s="47">
        <v>44207</v>
      </c>
      <c r="I1213" s="46">
        <v>51172</v>
      </c>
      <c r="J1213" s="46">
        <v>100</v>
      </c>
      <c r="K1213" s="47">
        <v>44221</v>
      </c>
      <c r="L1213" s="46">
        <v>10990</v>
      </c>
      <c r="M1213" s="46">
        <v>100</v>
      </c>
    </row>
    <row r="1214" spans="2:13" ht="14.1" customHeight="1" x14ac:dyDescent="0.25">
      <c r="B1214" s="46" t="str">
        <f t="shared" si="18"/>
        <v>2012-19-315409</v>
      </c>
      <c r="C1214" s="47">
        <v>44172</v>
      </c>
      <c r="D1214" s="46">
        <v>19</v>
      </c>
      <c r="E1214" s="46">
        <v>3</v>
      </c>
      <c r="F1214" s="46">
        <v>315409</v>
      </c>
      <c r="G1214" s="48" t="s">
        <v>873</v>
      </c>
      <c r="H1214" s="47">
        <v>44207</v>
      </c>
      <c r="I1214" s="46">
        <v>51172</v>
      </c>
      <c r="J1214" s="46">
        <v>3</v>
      </c>
      <c r="K1214" s="47">
        <v>44221</v>
      </c>
      <c r="L1214" s="46">
        <v>10990</v>
      </c>
      <c r="M1214" s="46">
        <v>3</v>
      </c>
    </row>
    <row r="1215" spans="2:13" ht="14.1" customHeight="1" x14ac:dyDescent="0.25">
      <c r="B1215" s="46" t="str">
        <f t="shared" si="18"/>
        <v>2012-19-315475</v>
      </c>
      <c r="C1215" s="47">
        <v>44172</v>
      </c>
      <c r="D1215" s="46">
        <v>19</v>
      </c>
      <c r="E1215" s="46">
        <v>50</v>
      </c>
      <c r="F1215" s="46">
        <v>315475</v>
      </c>
      <c r="G1215" s="48" t="s">
        <v>877</v>
      </c>
      <c r="H1215" s="47">
        <v>44207</v>
      </c>
      <c r="I1215" s="46">
        <v>51172</v>
      </c>
      <c r="J1215" s="46">
        <v>50</v>
      </c>
      <c r="K1215" s="47">
        <v>44221</v>
      </c>
      <c r="L1215" s="46">
        <v>10990</v>
      </c>
      <c r="M1215" s="46">
        <v>50</v>
      </c>
    </row>
    <row r="1216" spans="2:13" ht="14.1" customHeight="1" x14ac:dyDescent="0.25">
      <c r="B1216" s="46" t="str">
        <f t="shared" si="18"/>
        <v>2012-19-317008</v>
      </c>
      <c r="C1216" s="47">
        <v>44172</v>
      </c>
      <c r="D1216" s="46">
        <v>19</v>
      </c>
      <c r="E1216" s="46">
        <v>10</v>
      </c>
      <c r="F1216" s="46">
        <v>317008</v>
      </c>
      <c r="G1216" s="48" t="s">
        <v>167</v>
      </c>
      <c r="H1216" s="47">
        <v>44207</v>
      </c>
      <c r="I1216" s="46">
        <v>51172</v>
      </c>
      <c r="J1216" s="46">
        <v>10</v>
      </c>
      <c r="K1216" s="47">
        <v>44221</v>
      </c>
      <c r="L1216" s="46">
        <v>10990</v>
      </c>
      <c r="M1216" s="46">
        <v>10</v>
      </c>
    </row>
    <row r="1217" spans="2:13" ht="14.1" customHeight="1" x14ac:dyDescent="0.25">
      <c r="B1217" s="46" t="str">
        <f t="shared" si="18"/>
        <v>2012-19-305382</v>
      </c>
      <c r="C1217" s="47">
        <v>44172</v>
      </c>
      <c r="D1217" s="46">
        <v>19</v>
      </c>
      <c r="E1217" s="46">
        <v>50</v>
      </c>
      <c r="F1217" s="46">
        <v>305382</v>
      </c>
      <c r="G1217" s="48" t="s">
        <v>692</v>
      </c>
      <c r="I1217" s="46">
        <v>0</v>
      </c>
      <c r="J1217" s="46">
        <v>0</v>
      </c>
      <c r="L1217" s="46">
        <v>0</v>
      </c>
      <c r="M1217" s="46">
        <v>0</v>
      </c>
    </row>
    <row r="1218" spans="2:13" ht="14.1" customHeight="1" x14ac:dyDescent="0.25">
      <c r="B1218" s="46" t="str">
        <f t="shared" si="18"/>
        <v>2012-19-315825</v>
      </c>
      <c r="C1218" s="47">
        <v>44172</v>
      </c>
      <c r="D1218" s="46">
        <v>19</v>
      </c>
      <c r="E1218" s="46">
        <v>25</v>
      </c>
      <c r="F1218" s="46">
        <v>315825</v>
      </c>
      <c r="G1218" s="48" t="s">
        <v>885</v>
      </c>
      <c r="H1218" s="47">
        <v>44207</v>
      </c>
      <c r="I1218" s="46">
        <v>51172</v>
      </c>
      <c r="J1218" s="46">
        <v>25</v>
      </c>
      <c r="K1218" s="47">
        <v>44221</v>
      </c>
      <c r="L1218" s="46">
        <v>10990</v>
      </c>
      <c r="M1218" s="46">
        <v>25</v>
      </c>
    </row>
    <row r="1219" spans="2:13" ht="14.1" customHeight="1" x14ac:dyDescent="0.25">
      <c r="B1219" s="46" t="str">
        <f t="shared" si="18"/>
        <v>2012-19-316251</v>
      </c>
      <c r="C1219" s="47">
        <v>44172</v>
      </c>
      <c r="D1219" s="46">
        <v>19</v>
      </c>
      <c r="E1219" s="46">
        <v>10</v>
      </c>
      <c r="F1219" s="46">
        <v>316251</v>
      </c>
      <c r="G1219" s="48" t="s">
        <v>169</v>
      </c>
      <c r="H1219" s="47">
        <v>44207</v>
      </c>
      <c r="I1219" s="46">
        <v>51172</v>
      </c>
      <c r="J1219" s="46">
        <v>10</v>
      </c>
      <c r="K1219" s="47">
        <v>44221</v>
      </c>
      <c r="L1219" s="46">
        <v>10990</v>
      </c>
      <c r="M1219" s="46">
        <v>10</v>
      </c>
    </row>
    <row r="1220" spans="2:13" ht="14.1" customHeight="1" x14ac:dyDescent="0.25">
      <c r="B1220" s="46" t="str">
        <f t="shared" si="18"/>
        <v>2012-19-316228</v>
      </c>
      <c r="C1220" s="47">
        <v>44172</v>
      </c>
      <c r="D1220" s="46">
        <v>19</v>
      </c>
      <c r="E1220" s="46">
        <v>2</v>
      </c>
      <c r="F1220" s="46">
        <v>316228</v>
      </c>
      <c r="G1220" s="48" t="s">
        <v>890</v>
      </c>
      <c r="H1220" s="47">
        <v>44207</v>
      </c>
      <c r="I1220" s="46">
        <v>51172</v>
      </c>
      <c r="J1220" s="46">
        <v>2</v>
      </c>
      <c r="K1220" s="47">
        <v>44221</v>
      </c>
      <c r="L1220" s="46">
        <v>10990</v>
      </c>
      <c r="M1220" s="46">
        <v>2</v>
      </c>
    </row>
    <row r="1221" spans="2:13" ht="14.1" customHeight="1" x14ac:dyDescent="0.25">
      <c r="B1221" s="46" t="str">
        <f t="shared" si="18"/>
        <v>2012-19-312610</v>
      </c>
      <c r="C1221" s="47">
        <v>44172</v>
      </c>
      <c r="D1221" s="46">
        <v>19</v>
      </c>
      <c r="E1221" s="46">
        <v>30</v>
      </c>
      <c r="F1221" s="46">
        <v>312610</v>
      </c>
      <c r="G1221" s="48" t="s">
        <v>817</v>
      </c>
      <c r="H1221" s="47">
        <v>44207</v>
      </c>
      <c r="I1221" s="46">
        <v>51172</v>
      </c>
      <c r="J1221" s="46">
        <v>30</v>
      </c>
      <c r="K1221" s="47">
        <v>44221</v>
      </c>
      <c r="L1221" s="46">
        <v>10990</v>
      </c>
      <c r="M1221" s="46">
        <v>30</v>
      </c>
    </row>
    <row r="1222" spans="2:13" ht="14.1" customHeight="1" x14ac:dyDescent="0.25">
      <c r="B1222" s="46" t="str">
        <f t="shared" si="18"/>
        <v>2012-19-204909</v>
      </c>
      <c r="C1222" s="47">
        <v>44172</v>
      </c>
      <c r="D1222" s="46">
        <v>19</v>
      </c>
      <c r="E1222" s="46">
        <v>3</v>
      </c>
      <c r="F1222" s="46">
        <v>204909</v>
      </c>
      <c r="G1222" s="48" t="s">
        <v>547</v>
      </c>
      <c r="H1222" s="47">
        <v>44207</v>
      </c>
      <c r="I1222" s="46">
        <v>51172</v>
      </c>
      <c r="J1222" s="46">
        <v>3</v>
      </c>
      <c r="K1222" s="47">
        <v>44221</v>
      </c>
      <c r="L1222" s="46">
        <v>10990</v>
      </c>
      <c r="M1222" s="46">
        <v>3</v>
      </c>
    </row>
    <row r="1223" spans="2:13" ht="14.1" customHeight="1" x14ac:dyDescent="0.25">
      <c r="B1223" s="46" t="str">
        <f t="shared" si="18"/>
        <v>2012-19-313343</v>
      </c>
      <c r="C1223" s="47">
        <v>44172</v>
      </c>
      <c r="D1223" s="46">
        <v>19</v>
      </c>
      <c r="E1223" s="46">
        <v>2</v>
      </c>
      <c r="F1223" s="46">
        <v>313343</v>
      </c>
      <c r="G1223" s="48" t="s">
        <v>829</v>
      </c>
      <c r="H1223" s="47">
        <v>44207</v>
      </c>
      <c r="I1223" s="46">
        <v>51172</v>
      </c>
      <c r="J1223" s="46">
        <v>2</v>
      </c>
      <c r="K1223" s="47">
        <v>44221</v>
      </c>
      <c r="L1223" s="46">
        <v>10990</v>
      </c>
      <c r="M1223" s="46">
        <v>2</v>
      </c>
    </row>
    <row r="1224" spans="2:13" ht="14.1" customHeight="1" x14ac:dyDescent="0.25">
      <c r="B1224" s="46" t="str">
        <f t="shared" si="18"/>
        <v>2012-19-320478</v>
      </c>
      <c r="C1224" s="47">
        <v>44172</v>
      </c>
      <c r="D1224" s="46">
        <v>19</v>
      </c>
      <c r="E1224" s="46">
        <v>12</v>
      </c>
      <c r="F1224" s="46">
        <v>320478</v>
      </c>
      <c r="G1224" s="48" t="s">
        <v>1079</v>
      </c>
      <c r="H1224" s="47">
        <v>44207</v>
      </c>
      <c r="I1224" s="46">
        <v>51172</v>
      </c>
      <c r="J1224" s="46">
        <v>12</v>
      </c>
      <c r="K1224" s="47">
        <v>44221</v>
      </c>
      <c r="L1224" s="46">
        <v>10990</v>
      </c>
      <c r="M1224" s="46">
        <v>12</v>
      </c>
    </row>
    <row r="1225" spans="2:13" ht="14.1" customHeight="1" x14ac:dyDescent="0.25">
      <c r="B1225" s="46" t="str">
        <f t="shared" si="18"/>
        <v>2012-19-320479</v>
      </c>
      <c r="C1225" s="47">
        <v>44172</v>
      </c>
      <c r="D1225" s="46">
        <v>19</v>
      </c>
      <c r="E1225" s="46">
        <v>5</v>
      </c>
      <c r="F1225" s="46">
        <v>320479</v>
      </c>
      <c r="G1225" s="50" t="s">
        <v>1080</v>
      </c>
      <c r="H1225" s="47">
        <v>44207</v>
      </c>
      <c r="I1225" s="46">
        <v>51172</v>
      </c>
      <c r="J1225" s="46">
        <v>5</v>
      </c>
      <c r="K1225" s="47">
        <v>44221</v>
      </c>
      <c r="L1225" s="46">
        <v>10990</v>
      </c>
      <c r="M1225" s="46">
        <v>5</v>
      </c>
    </row>
    <row r="1226" spans="2:13" ht="14.1" customHeight="1" x14ac:dyDescent="0.25">
      <c r="B1226" s="46" t="str">
        <f t="shared" si="18"/>
        <v>2012-19-308164</v>
      </c>
      <c r="C1226" s="47">
        <v>44172</v>
      </c>
      <c r="D1226" s="46">
        <v>19</v>
      </c>
      <c r="E1226" s="46">
        <v>100</v>
      </c>
      <c r="F1226" s="46">
        <v>308164</v>
      </c>
      <c r="G1226" s="48" t="s">
        <v>409</v>
      </c>
      <c r="H1226" s="47">
        <v>44207</v>
      </c>
      <c r="I1226" s="46">
        <v>51172</v>
      </c>
      <c r="J1226" s="46">
        <v>100</v>
      </c>
      <c r="K1226" s="47">
        <v>44221</v>
      </c>
      <c r="L1226" s="46">
        <v>10990</v>
      </c>
      <c r="M1226" s="46">
        <v>100</v>
      </c>
    </row>
    <row r="1227" spans="2:13" ht="14.1" customHeight="1" x14ac:dyDescent="0.25">
      <c r="B1227" s="46" t="str">
        <f t="shared" si="18"/>
        <v>2012-19-302033</v>
      </c>
      <c r="C1227" s="47">
        <v>44172</v>
      </c>
      <c r="D1227" s="46">
        <v>19</v>
      </c>
      <c r="E1227" s="46">
        <v>30</v>
      </c>
      <c r="F1227" s="46">
        <v>302033</v>
      </c>
      <c r="G1227" s="48" t="s">
        <v>631</v>
      </c>
      <c r="H1227" s="47">
        <v>44207</v>
      </c>
      <c r="I1227" s="46">
        <v>51172</v>
      </c>
      <c r="J1227" s="46">
        <v>30</v>
      </c>
      <c r="K1227" s="47">
        <v>44232</v>
      </c>
      <c r="L1227" s="46">
        <v>11129</v>
      </c>
      <c r="M1227" s="46">
        <v>30</v>
      </c>
    </row>
    <row r="1228" spans="2:13" ht="14.1" customHeight="1" x14ac:dyDescent="0.25">
      <c r="B1228" s="46" t="str">
        <f t="shared" ref="B1228:B1291" si="19">TEXT(C1228,"yy") &amp; TEXT(C1228,"mm") &amp;"-"&amp;(D1228) &amp;"-"&amp;(F1228)</f>
        <v>2012-19-315391</v>
      </c>
      <c r="C1228" s="47">
        <v>44172</v>
      </c>
      <c r="D1228" s="46">
        <v>19</v>
      </c>
      <c r="E1228" s="46">
        <v>3</v>
      </c>
      <c r="F1228" s="46">
        <v>315391</v>
      </c>
      <c r="G1228" s="50" t="s">
        <v>154</v>
      </c>
      <c r="H1228" s="47">
        <v>44207</v>
      </c>
      <c r="I1228" s="46">
        <v>51172</v>
      </c>
      <c r="J1228" s="46">
        <v>3</v>
      </c>
      <c r="K1228" s="47">
        <v>44221</v>
      </c>
      <c r="L1228" s="46">
        <v>10990</v>
      </c>
      <c r="M1228" s="46">
        <v>3</v>
      </c>
    </row>
    <row r="1229" spans="2:13" ht="14.1" customHeight="1" x14ac:dyDescent="0.25">
      <c r="B1229" s="46" t="str">
        <f t="shared" si="19"/>
        <v>2012-19-315420</v>
      </c>
      <c r="C1229" s="47">
        <v>44172</v>
      </c>
      <c r="D1229" s="46">
        <v>19</v>
      </c>
      <c r="E1229" s="46">
        <v>2</v>
      </c>
      <c r="F1229" s="46">
        <v>315420</v>
      </c>
      <c r="G1229" s="48" t="s">
        <v>875</v>
      </c>
      <c r="H1229" s="47">
        <v>44207</v>
      </c>
      <c r="I1229" s="46">
        <v>51172</v>
      </c>
      <c r="J1229" s="46">
        <v>2</v>
      </c>
      <c r="K1229" s="47">
        <v>44221</v>
      </c>
      <c r="L1229" s="46">
        <v>10990</v>
      </c>
      <c r="M1229" s="46">
        <v>2</v>
      </c>
    </row>
    <row r="1230" spans="2:13" ht="14.1" customHeight="1" x14ac:dyDescent="0.25">
      <c r="B1230" s="46" t="str">
        <f t="shared" si="19"/>
        <v>2012-19-319594</v>
      </c>
      <c r="C1230" s="47">
        <v>44172</v>
      </c>
      <c r="D1230" s="46">
        <v>19</v>
      </c>
      <c r="E1230" s="46">
        <v>100</v>
      </c>
      <c r="F1230" s="46">
        <v>319594</v>
      </c>
      <c r="G1230" s="48" t="s">
        <v>936</v>
      </c>
      <c r="H1230" s="47">
        <v>44207</v>
      </c>
      <c r="I1230" s="46">
        <v>51172</v>
      </c>
      <c r="J1230" s="46">
        <v>100</v>
      </c>
      <c r="K1230" s="47">
        <v>44221</v>
      </c>
      <c r="L1230" s="46">
        <v>10990</v>
      </c>
      <c r="M1230" s="46">
        <v>100</v>
      </c>
    </row>
    <row r="1231" spans="2:13" ht="14.1" customHeight="1" x14ac:dyDescent="0.25">
      <c r="B1231" s="46" t="str">
        <f t="shared" si="19"/>
        <v>2012-19-320482</v>
      </c>
      <c r="C1231" s="47">
        <v>44172</v>
      </c>
      <c r="D1231" s="46">
        <v>19</v>
      </c>
      <c r="E1231" s="46">
        <v>2</v>
      </c>
      <c r="F1231" s="46">
        <v>320482</v>
      </c>
      <c r="G1231" s="48" t="s">
        <v>1083</v>
      </c>
      <c r="H1231" s="47">
        <v>44207</v>
      </c>
      <c r="I1231" s="46">
        <v>51172</v>
      </c>
      <c r="J1231" s="46">
        <v>2</v>
      </c>
      <c r="K1231" s="47">
        <v>44221</v>
      </c>
      <c r="L1231" s="46">
        <v>10991</v>
      </c>
      <c r="M1231" s="46">
        <v>2</v>
      </c>
    </row>
    <row r="1232" spans="2:13" ht="14.1" customHeight="1" x14ac:dyDescent="0.25">
      <c r="B1232" s="46" t="str">
        <f t="shared" si="19"/>
        <v>2012-19-319490</v>
      </c>
      <c r="C1232" s="47">
        <v>44172</v>
      </c>
      <c r="D1232" s="46">
        <v>19</v>
      </c>
      <c r="E1232" s="46">
        <v>50</v>
      </c>
      <c r="F1232" s="46">
        <v>319490</v>
      </c>
      <c r="G1232" s="48" t="s">
        <v>158</v>
      </c>
      <c r="H1232" s="47">
        <v>44207</v>
      </c>
      <c r="I1232" s="46">
        <v>51172</v>
      </c>
      <c r="J1232" s="46">
        <v>50</v>
      </c>
      <c r="K1232" s="47">
        <v>44221</v>
      </c>
      <c r="L1232" s="46">
        <v>10990</v>
      </c>
      <c r="M1232" s="46">
        <v>50</v>
      </c>
    </row>
    <row r="1233" spans="2:13" ht="14.1" customHeight="1" x14ac:dyDescent="0.25">
      <c r="B1233" s="46" t="str">
        <f t="shared" si="19"/>
        <v>2012-19-320481</v>
      </c>
      <c r="C1233" s="47">
        <v>44172</v>
      </c>
      <c r="D1233" s="46">
        <v>19</v>
      </c>
      <c r="E1233" s="46">
        <v>1</v>
      </c>
      <c r="F1233" s="46">
        <v>320481</v>
      </c>
      <c r="G1233" s="48" t="s">
        <v>1082</v>
      </c>
      <c r="H1233" s="47">
        <v>44207</v>
      </c>
      <c r="I1233" s="46">
        <v>51172</v>
      </c>
      <c r="J1233" s="46">
        <v>1</v>
      </c>
      <c r="K1233" s="47">
        <v>44221</v>
      </c>
      <c r="L1233" s="46">
        <v>10990</v>
      </c>
      <c r="M1233" s="46">
        <v>1</v>
      </c>
    </row>
    <row r="1234" spans="2:13" ht="14.1" customHeight="1" x14ac:dyDescent="0.25">
      <c r="B1234" s="46" t="str">
        <f t="shared" si="19"/>
        <v>2012-19-305499</v>
      </c>
      <c r="C1234" s="47">
        <v>44172</v>
      </c>
      <c r="D1234" s="46">
        <v>19</v>
      </c>
      <c r="E1234" s="46">
        <v>100</v>
      </c>
      <c r="F1234" s="46">
        <v>305499</v>
      </c>
      <c r="G1234" s="48" t="s">
        <v>665</v>
      </c>
      <c r="H1234" s="47">
        <v>44207</v>
      </c>
      <c r="I1234" s="46">
        <v>51172</v>
      </c>
      <c r="J1234" s="46">
        <v>100</v>
      </c>
      <c r="K1234" s="47">
        <v>44221</v>
      </c>
      <c r="L1234" s="46">
        <v>10990</v>
      </c>
      <c r="M1234" s="46">
        <v>100</v>
      </c>
    </row>
    <row r="1235" spans="2:13" ht="14.1" customHeight="1" x14ac:dyDescent="0.25">
      <c r="B1235" s="46" t="str">
        <f t="shared" si="19"/>
        <v>2012-19-315824</v>
      </c>
      <c r="C1235" s="47">
        <v>44172</v>
      </c>
      <c r="D1235" s="46">
        <v>19</v>
      </c>
      <c r="E1235" s="46">
        <v>5</v>
      </c>
      <c r="F1235" s="46">
        <v>315824</v>
      </c>
      <c r="G1235" s="48" t="s">
        <v>175</v>
      </c>
      <c r="H1235" s="47">
        <v>44207</v>
      </c>
      <c r="I1235" s="46">
        <v>51172</v>
      </c>
      <c r="J1235" s="46">
        <v>5</v>
      </c>
      <c r="K1235" s="47">
        <v>44221</v>
      </c>
      <c r="L1235" s="46">
        <v>10990</v>
      </c>
      <c r="M1235" s="46">
        <v>5</v>
      </c>
    </row>
    <row r="1236" spans="2:13" ht="14.1" customHeight="1" x14ac:dyDescent="0.25">
      <c r="B1236" s="46" t="str">
        <f t="shared" si="19"/>
        <v>2012-19-316229</v>
      </c>
      <c r="C1236" s="47">
        <v>44172</v>
      </c>
      <c r="D1236" s="46">
        <v>19</v>
      </c>
      <c r="E1236" s="46">
        <v>3</v>
      </c>
      <c r="F1236" s="46">
        <v>316229</v>
      </c>
      <c r="G1236" s="48" t="s">
        <v>172</v>
      </c>
      <c r="H1236" s="47">
        <v>44207</v>
      </c>
      <c r="I1236" s="46">
        <v>51172</v>
      </c>
      <c r="J1236" s="46">
        <v>3</v>
      </c>
      <c r="K1236" s="47">
        <v>44221</v>
      </c>
      <c r="L1236" s="46">
        <v>10990</v>
      </c>
      <c r="M1236" s="46">
        <v>3</v>
      </c>
    </row>
    <row r="1237" spans="2:13" ht="14.1" customHeight="1" x14ac:dyDescent="0.25">
      <c r="B1237" s="46" t="str">
        <f t="shared" si="19"/>
        <v>2012-19-204772</v>
      </c>
      <c r="C1237" s="47">
        <v>44172</v>
      </c>
      <c r="D1237" s="46">
        <v>19</v>
      </c>
      <c r="E1237" s="46">
        <v>2</v>
      </c>
      <c r="F1237" s="46">
        <v>204772</v>
      </c>
      <c r="G1237" s="48" t="s">
        <v>544</v>
      </c>
      <c r="H1237" s="47">
        <v>44207</v>
      </c>
      <c r="I1237" s="46">
        <v>51172</v>
      </c>
      <c r="J1237" s="46">
        <v>2</v>
      </c>
      <c r="K1237" s="47">
        <v>44221</v>
      </c>
      <c r="L1237" s="46">
        <v>10990</v>
      </c>
      <c r="M1237" s="46">
        <v>2</v>
      </c>
    </row>
    <row r="1238" spans="2:13" ht="14.1" customHeight="1" x14ac:dyDescent="0.25">
      <c r="B1238" s="46" t="str">
        <f t="shared" si="19"/>
        <v>2012-19-315926</v>
      </c>
      <c r="C1238" s="47">
        <v>44172</v>
      </c>
      <c r="D1238" s="46">
        <v>19</v>
      </c>
      <c r="E1238" s="46">
        <v>50</v>
      </c>
      <c r="F1238" s="46">
        <v>315926</v>
      </c>
      <c r="G1238" s="48" t="s">
        <v>155</v>
      </c>
      <c r="H1238" s="47">
        <v>44207</v>
      </c>
      <c r="I1238" s="46">
        <v>51172</v>
      </c>
      <c r="J1238" s="46">
        <v>50</v>
      </c>
      <c r="K1238" s="47">
        <v>44221</v>
      </c>
      <c r="L1238" s="46">
        <v>10990</v>
      </c>
      <c r="M1238" s="46">
        <v>50</v>
      </c>
    </row>
    <row r="1239" spans="2:13" ht="14.1" customHeight="1" x14ac:dyDescent="0.25">
      <c r="B1239" s="46" t="str">
        <f t="shared" si="19"/>
        <v>2012-19-316542</v>
      </c>
      <c r="C1239" s="47">
        <v>44172</v>
      </c>
      <c r="D1239" s="46">
        <v>19</v>
      </c>
      <c r="E1239" s="46">
        <v>100</v>
      </c>
      <c r="F1239" s="46">
        <v>316542</v>
      </c>
      <c r="G1239" s="48" t="s">
        <v>173</v>
      </c>
      <c r="H1239" s="47">
        <v>44207</v>
      </c>
      <c r="I1239" s="46">
        <v>51172</v>
      </c>
      <c r="J1239" s="46">
        <v>100</v>
      </c>
      <c r="K1239" s="47">
        <v>44221</v>
      </c>
      <c r="L1239" s="46">
        <v>10990</v>
      </c>
      <c r="M1239" s="46">
        <v>100</v>
      </c>
    </row>
    <row r="1240" spans="2:13" ht="14.1" customHeight="1" x14ac:dyDescent="0.25">
      <c r="B1240" s="46" t="str">
        <f t="shared" si="19"/>
        <v>2012-19-315320</v>
      </c>
      <c r="C1240" s="47">
        <v>44172</v>
      </c>
      <c r="D1240" s="46">
        <v>19</v>
      </c>
      <c r="E1240" s="46">
        <v>50</v>
      </c>
      <c r="F1240" s="46">
        <v>315320</v>
      </c>
      <c r="G1240" s="48" t="s">
        <v>869</v>
      </c>
      <c r="H1240" s="47">
        <v>44207</v>
      </c>
      <c r="I1240" s="46">
        <v>51172</v>
      </c>
      <c r="J1240" s="46">
        <v>50</v>
      </c>
      <c r="K1240" s="47">
        <v>44221</v>
      </c>
      <c r="L1240" s="46">
        <v>10990</v>
      </c>
      <c r="M1240" s="46">
        <v>50</v>
      </c>
    </row>
    <row r="1241" spans="2:13" ht="14.1" customHeight="1" x14ac:dyDescent="0.25">
      <c r="B1241" s="46" t="str">
        <f t="shared" si="19"/>
        <v>2012-19-315387</v>
      </c>
      <c r="C1241" s="47">
        <v>44172</v>
      </c>
      <c r="D1241" s="46">
        <v>19</v>
      </c>
      <c r="E1241" s="46">
        <v>3</v>
      </c>
      <c r="F1241" s="46">
        <v>315387</v>
      </c>
      <c r="G1241" s="50" t="s">
        <v>174</v>
      </c>
      <c r="H1241" s="47">
        <v>44207</v>
      </c>
      <c r="I1241" s="46">
        <v>51172</v>
      </c>
      <c r="J1241" s="46">
        <v>3</v>
      </c>
      <c r="K1241" s="47">
        <v>44221</v>
      </c>
      <c r="L1241" s="46">
        <v>10990</v>
      </c>
      <c r="M1241" s="46">
        <v>3</v>
      </c>
    </row>
    <row r="1242" spans="2:13" ht="14.1" customHeight="1" x14ac:dyDescent="0.25">
      <c r="B1242" s="46" t="str">
        <f t="shared" si="19"/>
        <v>2012-19-315413</v>
      </c>
      <c r="C1242" s="47">
        <v>44172</v>
      </c>
      <c r="D1242" s="46">
        <v>19</v>
      </c>
      <c r="E1242" s="46">
        <v>20</v>
      </c>
      <c r="F1242" s="46">
        <v>315413</v>
      </c>
      <c r="G1242" s="50" t="s">
        <v>874</v>
      </c>
      <c r="H1242" s="47">
        <v>44207</v>
      </c>
      <c r="I1242" s="46">
        <v>51172</v>
      </c>
      <c r="J1242" s="46">
        <v>20</v>
      </c>
      <c r="K1242" s="47">
        <v>44221</v>
      </c>
      <c r="L1242" s="46">
        <v>10990</v>
      </c>
      <c r="M1242" s="46">
        <v>20</v>
      </c>
    </row>
    <row r="1243" spans="2:13" ht="14.1" customHeight="1" x14ac:dyDescent="0.25">
      <c r="B1243" s="46" t="str">
        <f t="shared" si="19"/>
        <v>2012-19-315474</v>
      </c>
      <c r="C1243" s="47">
        <v>44172</v>
      </c>
      <c r="D1243" s="46">
        <v>19</v>
      </c>
      <c r="E1243" s="46">
        <v>25</v>
      </c>
      <c r="F1243" s="46">
        <v>315474</v>
      </c>
      <c r="G1243" s="50" t="s">
        <v>876</v>
      </c>
      <c r="H1243" s="47">
        <v>44207</v>
      </c>
      <c r="I1243" s="46">
        <v>51172</v>
      </c>
      <c r="J1243" s="46">
        <v>25</v>
      </c>
      <c r="K1243" s="47">
        <v>44221</v>
      </c>
      <c r="L1243" s="46">
        <v>10990</v>
      </c>
      <c r="M1243" s="46">
        <v>25</v>
      </c>
    </row>
    <row r="1244" spans="2:13" ht="14.1" customHeight="1" x14ac:dyDescent="0.25">
      <c r="B1244" s="46" t="str">
        <f t="shared" si="19"/>
        <v>2012-19-305497</v>
      </c>
      <c r="C1244" s="47">
        <v>44172</v>
      </c>
      <c r="D1244" s="46">
        <v>19</v>
      </c>
      <c r="E1244" s="46">
        <v>1</v>
      </c>
      <c r="F1244" s="46">
        <v>305497</v>
      </c>
      <c r="G1244" s="50" t="s">
        <v>163</v>
      </c>
      <c r="H1244" s="47">
        <v>44207</v>
      </c>
      <c r="I1244" s="46">
        <v>51172</v>
      </c>
      <c r="J1244" s="46">
        <v>1</v>
      </c>
      <c r="K1244" s="47">
        <v>44221</v>
      </c>
      <c r="L1244" s="46">
        <v>10990</v>
      </c>
      <c r="M1244" s="46">
        <v>1</v>
      </c>
    </row>
    <row r="1245" spans="2:13" ht="14.1" customHeight="1" x14ac:dyDescent="0.25">
      <c r="B1245" s="46" t="str">
        <f t="shared" si="19"/>
        <v>2012-19-305508</v>
      </c>
      <c r="C1245" s="47">
        <v>44172</v>
      </c>
      <c r="D1245" s="46">
        <v>19</v>
      </c>
      <c r="E1245" s="46">
        <v>10</v>
      </c>
      <c r="F1245" s="46">
        <v>305508</v>
      </c>
      <c r="G1245" s="48" t="s">
        <v>164</v>
      </c>
      <c r="H1245" s="47">
        <v>44207</v>
      </c>
      <c r="I1245" s="46">
        <v>51172</v>
      </c>
      <c r="J1245" s="46">
        <v>10</v>
      </c>
      <c r="K1245" s="47">
        <v>44221</v>
      </c>
      <c r="L1245" s="46">
        <v>10990</v>
      </c>
      <c r="M1245" s="46">
        <v>10</v>
      </c>
    </row>
    <row r="1246" spans="2:13" ht="14.1" customHeight="1" x14ac:dyDescent="0.25">
      <c r="B1246" s="46" t="str">
        <f t="shared" si="19"/>
        <v>2012-19-204773</v>
      </c>
      <c r="C1246" s="47">
        <v>44172</v>
      </c>
      <c r="D1246" s="46">
        <v>19</v>
      </c>
      <c r="E1246" s="46">
        <v>200</v>
      </c>
      <c r="F1246" s="46">
        <v>204773</v>
      </c>
      <c r="G1246" s="48" t="s">
        <v>160</v>
      </c>
      <c r="H1246" s="47">
        <v>44207</v>
      </c>
      <c r="I1246" s="46">
        <v>51172</v>
      </c>
      <c r="J1246" s="46">
        <v>200</v>
      </c>
      <c r="K1246" s="47">
        <v>44221</v>
      </c>
      <c r="L1246" s="46">
        <v>10990</v>
      </c>
      <c r="M1246" s="46">
        <v>200</v>
      </c>
    </row>
    <row r="1247" spans="2:13" ht="14.1" customHeight="1" x14ac:dyDescent="0.25">
      <c r="B1247" s="46" t="str">
        <f t="shared" si="19"/>
        <v>2012-19-315389</v>
      </c>
      <c r="C1247" s="47">
        <v>44172</v>
      </c>
      <c r="D1247" s="46">
        <v>19</v>
      </c>
      <c r="E1247" s="46">
        <v>10</v>
      </c>
      <c r="F1247" s="46">
        <v>315389</v>
      </c>
      <c r="G1247" s="50" t="s">
        <v>870</v>
      </c>
      <c r="H1247" s="47">
        <v>44207</v>
      </c>
      <c r="I1247" s="46">
        <v>51172</v>
      </c>
      <c r="J1247" s="46">
        <v>10</v>
      </c>
      <c r="K1247" s="47">
        <v>44221</v>
      </c>
      <c r="L1247" s="46">
        <v>10990</v>
      </c>
      <c r="M1247" s="46">
        <v>10</v>
      </c>
    </row>
    <row r="1248" spans="2:13" ht="14.1" customHeight="1" x14ac:dyDescent="0.25">
      <c r="B1248" s="46" t="str">
        <f t="shared" si="19"/>
        <v>2012-19-319491</v>
      </c>
      <c r="C1248" s="47">
        <v>44172</v>
      </c>
      <c r="D1248" s="46">
        <v>19</v>
      </c>
      <c r="E1248" s="46">
        <v>10</v>
      </c>
      <c r="F1248" s="46">
        <v>319491</v>
      </c>
      <c r="G1248" s="50" t="s">
        <v>159</v>
      </c>
      <c r="H1248" s="47">
        <v>44207</v>
      </c>
      <c r="I1248" s="46">
        <v>51172</v>
      </c>
      <c r="J1248" s="46">
        <v>10</v>
      </c>
      <c r="K1248" s="47">
        <v>44221</v>
      </c>
      <c r="L1248" s="46">
        <v>10990</v>
      </c>
      <c r="M1248" s="46">
        <v>10</v>
      </c>
    </row>
    <row r="1249" spans="2:13" ht="14.1" customHeight="1" x14ac:dyDescent="0.25">
      <c r="B1249" s="46" t="str">
        <f t="shared" si="19"/>
        <v>2012-19-320477</v>
      </c>
      <c r="C1249" s="47">
        <v>44172</v>
      </c>
      <c r="D1249" s="46">
        <v>19</v>
      </c>
      <c r="E1249" s="46">
        <v>50</v>
      </c>
      <c r="F1249" s="46">
        <v>320477</v>
      </c>
      <c r="G1249" s="48" t="s">
        <v>1078</v>
      </c>
      <c r="H1249" s="47">
        <v>44207</v>
      </c>
      <c r="I1249" s="46">
        <v>51172</v>
      </c>
      <c r="J1249" s="46">
        <v>50</v>
      </c>
      <c r="K1249" s="47">
        <v>44221</v>
      </c>
      <c r="L1249" s="46">
        <v>10990</v>
      </c>
      <c r="M1249" s="46">
        <v>50</v>
      </c>
    </row>
    <row r="1250" spans="2:13" ht="14.1" customHeight="1" x14ac:dyDescent="0.25">
      <c r="B1250" s="46" t="str">
        <f t="shared" si="19"/>
        <v>2012-19-320483</v>
      </c>
      <c r="C1250" s="47">
        <v>44172</v>
      </c>
      <c r="D1250" s="46">
        <v>19</v>
      </c>
      <c r="E1250" s="46">
        <v>2</v>
      </c>
      <c r="F1250" s="46">
        <v>320483</v>
      </c>
      <c r="G1250" s="48" t="s">
        <v>1084</v>
      </c>
      <c r="H1250" s="47">
        <v>44207</v>
      </c>
      <c r="I1250" s="46">
        <v>51172</v>
      </c>
      <c r="J1250" s="46">
        <v>2</v>
      </c>
      <c r="K1250" s="47">
        <v>44221</v>
      </c>
      <c r="L1250" s="46">
        <v>10990</v>
      </c>
      <c r="M1250" s="46">
        <v>2</v>
      </c>
    </row>
    <row r="1251" spans="2:13" ht="14.1" customHeight="1" x14ac:dyDescent="0.25">
      <c r="B1251" s="46" t="str">
        <f t="shared" si="19"/>
        <v>2012-19-106634</v>
      </c>
      <c r="C1251" s="47">
        <v>44172</v>
      </c>
      <c r="D1251" s="46">
        <v>19</v>
      </c>
      <c r="E1251" s="46">
        <v>1</v>
      </c>
      <c r="F1251" s="46">
        <v>106634</v>
      </c>
      <c r="G1251" s="50" t="s">
        <v>468</v>
      </c>
      <c r="H1251" s="47">
        <v>44207</v>
      </c>
      <c r="I1251" s="46">
        <v>51172</v>
      </c>
      <c r="J1251" s="46">
        <v>1</v>
      </c>
      <c r="K1251" s="47">
        <v>44221</v>
      </c>
      <c r="L1251" s="46">
        <v>10990</v>
      </c>
      <c r="M1251" s="46">
        <v>1</v>
      </c>
    </row>
    <row r="1252" spans="2:13" ht="14.1" customHeight="1" x14ac:dyDescent="0.25">
      <c r="B1252" s="46" t="str">
        <f t="shared" si="19"/>
        <v>2012-19-311224</v>
      </c>
      <c r="C1252" s="47">
        <v>44172</v>
      </c>
      <c r="D1252" s="46">
        <v>19</v>
      </c>
      <c r="E1252" s="46">
        <v>10</v>
      </c>
      <c r="F1252" s="46">
        <v>311224</v>
      </c>
      <c r="G1252" s="50" t="s">
        <v>171</v>
      </c>
      <c r="H1252" s="47">
        <v>44207</v>
      </c>
      <c r="I1252" s="46">
        <v>51172</v>
      </c>
      <c r="J1252" s="46">
        <v>10</v>
      </c>
      <c r="K1252" s="47">
        <v>44221</v>
      </c>
      <c r="L1252" s="46">
        <v>10990</v>
      </c>
      <c r="M1252" s="46">
        <v>10</v>
      </c>
    </row>
    <row r="1253" spans="2:13" ht="14.1" customHeight="1" x14ac:dyDescent="0.25">
      <c r="B1253" s="46" t="str">
        <f t="shared" si="19"/>
        <v>2012-19-315315</v>
      </c>
      <c r="C1253" s="47">
        <v>44172</v>
      </c>
      <c r="D1253" s="46">
        <v>19</v>
      </c>
      <c r="E1253" s="46">
        <v>4</v>
      </c>
      <c r="F1253" s="46">
        <v>315315</v>
      </c>
      <c r="G1253" s="50" t="s">
        <v>170</v>
      </c>
      <c r="H1253" s="47">
        <v>44207</v>
      </c>
      <c r="I1253" s="46">
        <v>51172</v>
      </c>
      <c r="J1253" s="46">
        <v>4</v>
      </c>
      <c r="K1253" s="47">
        <v>44221</v>
      </c>
      <c r="L1253" s="46">
        <v>10990</v>
      </c>
      <c r="M1253" s="46">
        <v>4</v>
      </c>
    </row>
    <row r="1254" spans="2:13" ht="14.1" customHeight="1" x14ac:dyDescent="0.25">
      <c r="B1254" s="46" t="str">
        <f t="shared" si="19"/>
        <v>2012-19-319697</v>
      </c>
      <c r="C1254" s="47">
        <v>44172</v>
      </c>
      <c r="D1254" s="46">
        <v>19</v>
      </c>
      <c r="E1254" s="46">
        <v>10</v>
      </c>
      <c r="F1254" s="46">
        <v>319697</v>
      </c>
      <c r="G1254" s="50" t="s">
        <v>938</v>
      </c>
      <c r="H1254" s="47">
        <v>44207</v>
      </c>
      <c r="I1254" s="46">
        <v>51172</v>
      </c>
      <c r="J1254" s="46">
        <v>10</v>
      </c>
      <c r="K1254" s="47">
        <v>44221</v>
      </c>
      <c r="L1254" s="46">
        <v>10990</v>
      </c>
      <c r="M1254" s="46">
        <v>10</v>
      </c>
    </row>
    <row r="1255" spans="2:13" ht="14.1" customHeight="1" x14ac:dyDescent="0.25">
      <c r="B1255" s="46" t="str">
        <f t="shared" si="19"/>
        <v>2012-19-106330</v>
      </c>
      <c r="C1255" s="47">
        <v>44172</v>
      </c>
      <c r="D1255" s="46">
        <v>19</v>
      </c>
      <c r="E1255" s="46">
        <v>4</v>
      </c>
      <c r="F1255" s="46">
        <v>106330</v>
      </c>
      <c r="G1255" s="50" t="s">
        <v>456</v>
      </c>
      <c r="H1255" s="47">
        <v>44207</v>
      </c>
      <c r="I1255" s="46">
        <v>51172</v>
      </c>
      <c r="J1255" s="46">
        <v>4</v>
      </c>
      <c r="K1255" s="47">
        <v>44221</v>
      </c>
      <c r="L1255" s="46">
        <v>10990</v>
      </c>
      <c r="M1255" s="46">
        <v>4</v>
      </c>
    </row>
    <row r="1256" spans="2:13" ht="14.1" customHeight="1" x14ac:dyDescent="0.25">
      <c r="B1256" s="46" t="str">
        <f t="shared" si="19"/>
        <v>2012-19-315820</v>
      </c>
      <c r="C1256" s="47">
        <v>44172</v>
      </c>
      <c r="D1256" s="46">
        <v>19</v>
      </c>
      <c r="E1256" s="46">
        <v>1</v>
      </c>
      <c r="F1256" s="46">
        <v>315820</v>
      </c>
      <c r="G1256" s="50" t="s">
        <v>884</v>
      </c>
      <c r="H1256" s="47">
        <v>44207</v>
      </c>
      <c r="I1256" s="46">
        <v>51172</v>
      </c>
      <c r="J1256" s="46">
        <v>1</v>
      </c>
      <c r="K1256" s="47">
        <v>44221</v>
      </c>
      <c r="L1256" s="46">
        <v>10990</v>
      </c>
      <c r="M1256" s="46">
        <v>1</v>
      </c>
    </row>
    <row r="1257" spans="2:13" ht="14.1" customHeight="1" x14ac:dyDescent="0.25">
      <c r="B1257" s="46" t="str">
        <f t="shared" si="19"/>
        <v>2012-19-315927</v>
      </c>
      <c r="C1257" s="47">
        <v>44172</v>
      </c>
      <c r="D1257" s="46">
        <v>19</v>
      </c>
      <c r="E1257" s="46">
        <v>50</v>
      </c>
      <c r="F1257" s="46">
        <v>315927</v>
      </c>
      <c r="G1257" s="50" t="s">
        <v>157</v>
      </c>
      <c r="H1257" s="47">
        <v>44207</v>
      </c>
      <c r="I1257" s="46">
        <v>51172</v>
      </c>
      <c r="J1257" s="46">
        <v>50</v>
      </c>
      <c r="K1257" s="47">
        <v>44221</v>
      </c>
      <c r="L1257" s="46">
        <v>10990</v>
      </c>
      <c r="M1257" s="46">
        <v>50</v>
      </c>
    </row>
    <row r="1258" spans="2:13" ht="14.1" customHeight="1" x14ac:dyDescent="0.25">
      <c r="B1258" s="46" t="str">
        <f t="shared" si="19"/>
        <v>2012-19-300220</v>
      </c>
      <c r="C1258" s="47">
        <v>44172</v>
      </c>
      <c r="D1258" s="46">
        <v>19</v>
      </c>
      <c r="E1258" s="46">
        <v>2</v>
      </c>
      <c r="F1258" s="46">
        <v>300220</v>
      </c>
      <c r="G1258" s="48" t="s">
        <v>168</v>
      </c>
      <c r="H1258" s="47">
        <v>44207</v>
      </c>
      <c r="I1258" s="46">
        <v>51172</v>
      </c>
      <c r="J1258" s="46">
        <v>2</v>
      </c>
      <c r="K1258" s="47">
        <v>44221</v>
      </c>
      <c r="L1258" s="46">
        <v>10990</v>
      </c>
      <c r="M1258" s="46">
        <v>2</v>
      </c>
    </row>
    <row r="1259" spans="2:13" ht="14.1" customHeight="1" x14ac:dyDescent="0.25">
      <c r="B1259" s="46" t="str">
        <f t="shared" si="19"/>
        <v>2012-19-315311</v>
      </c>
      <c r="C1259" s="47">
        <v>44172</v>
      </c>
      <c r="D1259" s="46">
        <v>19</v>
      </c>
      <c r="E1259" s="46">
        <v>100</v>
      </c>
      <c r="F1259" s="46">
        <v>315311</v>
      </c>
      <c r="G1259" s="48" t="s">
        <v>868</v>
      </c>
      <c r="H1259" s="47">
        <v>44207</v>
      </c>
      <c r="I1259" s="46">
        <v>51172</v>
      </c>
      <c r="J1259" s="46">
        <v>100</v>
      </c>
      <c r="K1259" s="47">
        <v>44221</v>
      </c>
      <c r="L1259" s="46">
        <v>10990</v>
      </c>
      <c r="M1259" s="46">
        <v>100</v>
      </c>
    </row>
    <row r="1260" spans="2:13" ht="14.1" customHeight="1" x14ac:dyDescent="0.25">
      <c r="B1260" s="46" t="str">
        <f t="shared" si="19"/>
        <v>2012-19-315473</v>
      </c>
      <c r="C1260" s="47">
        <v>44172</v>
      </c>
      <c r="D1260" s="46">
        <v>19</v>
      </c>
      <c r="E1260" s="46">
        <v>30</v>
      </c>
      <c r="F1260" s="46">
        <v>315473</v>
      </c>
      <c r="G1260" s="50" t="s">
        <v>1241</v>
      </c>
      <c r="H1260" s="47">
        <v>44207</v>
      </c>
      <c r="I1260" s="46">
        <v>51172</v>
      </c>
      <c r="J1260" s="46">
        <v>30</v>
      </c>
      <c r="K1260" s="47">
        <v>44221</v>
      </c>
      <c r="L1260" s="46">
        <v>10990</v>
      </c>
      <c r="M1260" s="46">
        <v>30</v>
      </c>
    </row>
    <row r="1261" spans="2:13" ht="14.1" customHeight="1" x14ac:dyDescent="0.25">
      <c r="B1261" s="46" t="str">
        <f t="shared" si="19"/>
        <v>2012-19-316769</v>
      </c>
      <c r="C1261" s="47">
        <v>44172</v>
      </c>
      <c r="D1261" s="46">
        <v>19</v>
      </c>
      <c r="E1261" s="46">
        <v>10</v>
      </c>
      <c r="F1261" s="46">
        <v>316769</v>
      </c>
      <c r="G1261" s="50" t="s">
        <v>898</v>
      </c>
      <c r="H1261" s="47">
        <v>44207</v>
      </c>
      <c r="I1261" s="46">
        <v>51172</v>
      </c>
      <c r="J1261" s="46">
        <v>10</v>
      </c>
      <c r="K1261" s="47">
        <v>44221</v>
      </c>
      <c r="L1261" s="46">
        <v>10990</v>
      </c>
      <c r="M1261" s="46">
        <v>10</v>
      </c>
    </row>
    <row r="1262" spans="2:13" ht="14.1" customHeight="1" x14ac:dyDescent="0.25">
      <c r="B1262" s="46" t="str">
        <f t="shared" si="19"/>
        <v>2012-19-320480</v>
      </c>
      <c r="C1262" s="47">
        <v>44172</v>
      </c>
      <c r="D1262" s="46">
        <v>19</v>
      </c>
      <c r="E1262" s="46">
        <v>1</v>
      </c>
      <c r="F1262" s="46">
        <v>320480</v>
      </c>
      <c r="G1262" s="50" t="s">
        <v>1081</v>
      </c>
      <c r="H1262" s="47">
        <v>44207</v>
      </c>
      <c r="I1262" s="46">
        <v>51172</v>
      </c>
      <c r="J1262" s="46">
        <v>1</v>
      </c>
      <c r="K1262" s="47">
        <v>44221</v>
      </c>
      <c r="L1262" s="46">
        <v>10990</v>
      </c>
      <c r="M1262" s="46">
        <v>1</v>
      </c>
    </row>
    <row r="1263" spans="2:13" ht="14.1" customHeight="1" x14ac:dyDescent="0.25">
      <c r="B1263" s="46" t="str">
        <f t="shared" si="19"/>
        <v>2012-19-315310</v>
      </c>
      <c r="C1263" s="47">
        <v>44172</v>
      </c>
      <c r="D1263" s="46">
        <v>19</v>
      </c>
      <c r="E1263" s="46">
        <v>20</v>
      </c>
      <c r="F1263" s="46">
        <v>315310</v>
      </c>
      <c r="G1263" s="48" t="s">
        <v>161</v>
      </c>
      <c r="H1263" s="47">
        <v>44207</v>
      </c>
      <c r="I1263" s="46">
        <v>51172</v>
      </c>
      <c r="J1263" s="46">
        <v>20</v>
      </c>
      <c r="K1263" s="47">
        <v>44221</v>
      </c>
      <c r="L1263" s="46">
        <v>10990</v>
      </c>
      <c r="M1263" s="46">
        <v>20</v>
      </c>
    </row>
    <row r="1264" spans="2:13" ht="14.1" customHeight="1" x14ac:dyDescent="0.25">
      <c r="B1264" s="46" t="str">
        <f t="shared" si="19"/>
        <v>2012-19-315407</v>
      </c>
      <c r="C1264" s="47">
        <v>44172</v>
      </c>
      <c r="D1264" s="46">
        <v>19</v>
      </c>
      <c r="E1264" s="46">
        <v>25</v>
      </c>
      <c r="F1264" s="46">
        <v>315407</v>
      </c>
      <c r="G1264" s="48" t="s">
        <v>872</v>
      </c>
      <c r="H1264" s="47">
        <v>44207</v>
      </c>
      <c r="I1264" s="46">
        <v>51172</v>
      </c>
      <c r="J1264" s="46">
        <v>25</v>
      </c>
      <c r="K1264" s="47">
        <v>44221</v>
      </c>
      <c r="L1264" s="46">
        <v>10990</v>
      </c>
      <c r="M1264" s="46">
        <v>25</v>
      </c>
    </row>
    <row r="1265" spans="2:13" ht="14.1" customHeight="1" x14ac:dyDescent="0.25">
      <c r="B1265" s="46" t="str">
        <f t="shared" si="19"/>
        <v>2012-19-315412</v>
      </c>
      <c r="C1265" s="47">
        <v>44172</v>
      </c>
      <c r="D1265" s="46">
        <v>19</v>
      </c>
      <c r="E1265" s="46">
        <v>5</v>
      </c>
      <c r="F1265" s="46">
        <v>315412</v>
      </c>
      <c r="G1265" s="50" t="s">
        <v>162</v>
      </c>
      <c r="H1265" s="47">
        <v>44207</v>
      </c>
      <c r="I1265" s="46">
        <v>51172</v>
      </c>
      <c r="J1265" s="46">
        <v>5</v>
      </c>
      <c r="K1265" s="47">
        <v>44221</v>
      </c>
      <c r="L1265" s="46">
        <v>10990</v>
      </c>
      <c r="M1265" s="46">
        <v>5</v>
      </c>
    </row>
    <row r="1266" spans="2:13" ht="14.1" customHeight="1" x14ac:dyDescent="0.25">
      <c r="B1266" s="46" t="str">
        <f t="shared" si="19"/>
        <v>2012-19-106200</v>
      </c>
      <c r="C1266" s="47">
        <v>44172</v>
      </c>
      <c r="D1266" s="46">
        <v>19</v>
      </c>
      <c r="E1266" s="46">
        <v>1</v>
      </c>
      <c r="F1266" s="46">
        <v>106200</v>
      </c>
      <c r="G1266" s="48" t="s">
        <v>453</v>
      </c>
      <c r="H1266" s="47">
        <v>44207</v>
      </c>
      <c r="I1266" s="46">
        <v>51172</v>
      </c>
      <c r="J1266" s="46">
        <v>1</v>
      </c>
      <c r="K1266" s="47">
        <v>44221</v>
      </c>
      <c r="L1266" s="46">
        <v>10990</v>
      </c>
      <c r="M1266" s="46">
        <v>1</v>
      </c>
    </row>
    <row r="1267" spans="2:13" ht="14.1" customHeight="1" x14ac:dyDescent="0.25">
      <c r="B1267" s="46" t="str">
        <f t="shared" si="19"/>
        <v>2012-19-305501</v>
      </c>
      <c r="C1267" s="47">
        <v>44172</v>
      </c>
      <c r="D1267" s="46">
        <v>19</v>
      </c>
      <c r="E1267" s="46">
        <v>10</v>
      </c>
      <c r="F1267" s="46">
        <v>305501</v>
      </c>
      <c r="G1267" s="48" t="s">
        <v>696</v>
      </c>
      <c r="H1267" s="47">
        <v>44207</v>
      </c>
      <c r="I1267" s="46">
        <v>51172</v>
      </c>
      <c r="J1267" s="46">
        <v>10</v>
      </c>
      <c r="K1267" s="47">
        <v>44221</v>
      </c>
      <c r="L1267" s="46">
        <v>10990</v>
      </c>
      <c r="M1267" s="46">
        <v>10</v>
      </c>
    </row>
    <row r="1268" spans="2:13" ht="14.1" customHeight="1" x14ac:dyDescent="0.25">
      <c r="B1268" s="46" t="str">
        <f t="shared" si="19"/>
        <v>2012-20-307746</v>
      </c>
      <c r="C1268" s="47">
        <v>44172</v>
      </c>
      <c r="D1268" s="46">
        <v>20</v>
      </c>
      <c r="E1268" s="46">
        <v>70</v>
      </c>
      <c r="F1268" s="46">
        <v>307746</v>
      </c>
      <c r="G1268" s="48" t="s">
        <v>732</v>
      </c>
      <c r="I1268" s="46">
        <v>0</v>
      </c>
      <c r="J1268" s="46">
        <v>0</v>
      </c>
      <c r="L1268" s="46">
        <v>0</v>
      </c>
      <c r="M1268" s="46">
        <v>0</v>
      </c>
    </row>
    <row r="1269" spans="2:13" ht="14.1" customHeight="1" x14ac:dyDescent="0.25">
      <c r="B1269" s="46" t="str">
        <f t="shared" si="19"/>
        <v>2012-20-304492</v>
      </c>
      <c r="C1269" s="47">
        <v>44172</v>
      </c>
      <c r="D1269" s="46">
        <v>20</v>
      </c>
      <c r="E1269" s="46">
        <v>10</v>
      </c>
      <c r="F1269" s="46">
        <v>304492</v>
      </c>
      <c r="G1269" s="48" t="s">
        <v>674</v>
      </c>
      <c r="I1269" s="46">
        <v>0</v>
      </c>
      <c r="J1269" s="46">
        <v>0</v>
      </c>
      <c r="L1269" s="46">
        <v>0</v>
      </c>
      <c r="M1269" s="46">
        <v>0</v>
      </c>
    </row>
    <row r="1270" spans="2:13" ht="14.1" customHeight="1" x14ac:dyDescent="0.25">
      <c r="B1270" s="46" t="str">
        <f t="shared" si="19"/>
        <v>2012-21-313326</v>
      </c>
      <c r="C1270" s="47">
        <v>44172</v>
      </c>
      <c r="D1270" s="46">
        <v>21</v>
      </c>
      <c r="E1270" s="46">
        <v>200</v>
      </c>
      <c r="F1270" s="46">
        <v>313326</v>
      </c>
      <c r="G1270" s="48" t="s">
        <v>828</v>
      </c>
      <c r="H1270" s="47">
        <v>44188</v>
      </c>
      <c r="I1270" s="46">
        <v>51047</v>
      </c>
      <c r="J1270" s="46">
        <v>200</v>
      </c>
      <c r="K1270" s="47">
        <v>44195</v>
      </c>
      <c r="L1270" s="46">
        <v>10776</v>
      </c>
      <c r="M1270" s="46">
        <v>200</v>
      </c>
    </row>
    <row r="1271" spans="2:13" ht="14.1" customHeight="1" x14ac:dyDescent="0.25">
      <c r="B1271" s="46" t="str">
        <f t="shared" si="19"/>
        <v>2012-21-203947</v>
      </c>
      <c r="C1271" s="47">
        <v>44172</v>
      </c>
      <c r="D1271" s="46">
        <v>21</v>
      </c>
      <c r="E1271" s="46">
        <v>6</v>
      </c>
      <c r="F1271" s="46">
        <v>203947</v>
      </c>
      <c r="G1271" s="48" t="s">
        <v>418</v>
      </c>
      <c r="H1271" s="47">
        <v>44188</v>
      </c>
      <c r="I1271" s="46">
        <v>51047</v>
      </c>
      <c r="J1271" s="46">
        <v>6</v>
      </c>
      <c r="K1271" s="47">
        <v>44195</v>
      </c>
      <c r="L1271" s="46">
        <v>10776</v>
      </c>
      <c r="M1271" s="46">
        <v>6</v>
      </c>
    </row>
    <row r="1272" spans="2:13" ht="14.1" customHeight="1" x14ac:dyDescent="0.25">
      <c r="B1272" s="46" t="str">
        <f t="shared" si="19"/>
        <v>2012-21-202805</v>
      </c>
      <c r="C1272" s="47">
        <v>44172</v>
      </c>
      <c r="D1272" s="46">
        <v>21</v>
      </c>
      <c r="E1272" s="46">
        <v>4</v>
      </c>
      <c r="F1272" s="46">
        <v>202805</v>
      </c>
      <c r="G1272" s="48" t="s">
        <v>500</v>
      </c>
      <c r="H1272" s="47">
        <v>44188</v>
      </c>
      <c r="I1272" s="46">
        <v>51047</v>
      </c>
      <c r="J1272" s="46">
        <v>4</v>
      </c>
      <c r="K1272" s="47">
        <v>44195</v>
      </c>
      <c r="L1272" s="46">
        <v>10776</v>
      </c>
      <c r="M1272" s="46">
        <v>4</v>
      </c>
    </row>
    <row r="1273" spans="2:13" ht="14.1" customHeight="1" x14ac:dyDescent="0.25">
      <c r="B1273" s="46" t="str">
        <f t="shared" si="19"/>
        <v>2012-21-304184</v>
      </c>
      <c r="C1273" s="47">
        <v>44172</v>
      </c>
      <c r="D1273" s="46">
        <v>21</v>
      </c>
      <c r="E1273" s="46">
        <v>3</v>
      </c>
      <c r="F1273" s="46">
        <v>304184</v>
      </c>
      <c r="G1273" s="48" t="s">
        <v>247</v>
      </c>
      <c r="H1273" s="47">
        <v>44188</v>
      </c>
      <c r="I1273" s="46">
        <v>51047</v>
      </c>
      <c r="J1273" s="46">
        <v>3</v>
      </c>
      <c r="K1273" s="47">
        <v>44195</v>
      </c>
      <c r="L1273" s="46">
        <v>10776</v>
      </c>
      <c r="M1273" s="46">
        <v>3</v>
      </c>
    </row>
    <row r="1274" spans="2:13" ht="14.1" customHeight="1" x14ac:dyDescent="0.25">
      <c r="B1274" s="46" t="str">
        <f t="shared" si="19"/>
        <v>2012-21-304395</v>
      </c>
      <c r="C1274" s="47">
        <v>44172</v>
      </c>
      <c r="D1274" s="46">
        <v>21</v>
      </c>
      <c r="E1274" s="46">
        <v>15</v>
      </c>
      <c r="F1274" s="46">
        <v>304395</v>
      </c>
      <c r="G1274" s="48" t="s">
        <v>237</v>
      </c>
      <c r="H1274" s="47">
        <v>44186</v>
      </c>
      <c r="I1274" s="46">
        <v>51001</v>
      </c>
      <c r="J1274" s="46">
        <v>15</v>
      </c>
      <c r="K1274" s="47">
        <v>44202</v>
      </c>
      <c r="L1274" s="46">
        <v>10806</v>
      </c>
      <c r="M1274" s="46">
        <v>15</v>
      </c>
    </row>
    <row r="1275" spans="2:13" ht="14.1" customHeight="1" x14ac:dyDescent="0.25">
      <c r="B1275" s="46" t="str">
        <f t="shared" si="19"/>
        <v>2012-21-204044</v>
      </c>
      <c r="C1275" s="47">
        <v>44172</v>
      </c>
      <c r="D1275" s="46">
        <v>21</v>
      </c>
      <c r="E1275" s="46">
        <v>3</v>
      </c>
      <c r="F1275" s="46">
        <v>204044</v>
      </c>
      <c r="G1275" s="48" t="s">
        <v>424</v>
      </c>
      <c r="H1275" s="47">
        <v>44188</v>
      </c>
      <c r="I1275" s="46">
        <v>51047</v>
      </c>
      <c r="J1275" s="46">
        <v>3</v>
      </c>
      <c r="K1275" s="47">
        <v>44195</v>
      </c>
      <c r="L1275" s="46">
        <v>10776</v>
      </c>
      <c r="M1275" s="46">
        <v>3</v>
      </c>
    </row>
    <row r="1276" spans="2:13" ht="14.1" customHeight="1" x14ac:dyDescent="0.25">
      <c r="B1276" s="46" t="str">
        <f t="shared" si="19"/>
        <v>2012-22-305492</v>
      </c>
      <c r="C1276" s="47">
        <v>44172</v>
      </c>
      <c r="D1276" s="46">
        <v>22</v>
      </c>
      <c r="E1276" s="46">
        <v>60</v>
      </c>
      <c r="F1276" s="46">
        <v>305492</v>
      </c>
      <c r="G1276" s="48" t="s">
        <v>214</v>
      </c>
      <c r="H1276" s="47">
        <v>44173</v>
      </c>
      <c r="I1276" s="46">
        <v>50789</v>
      </c>
      <c r="J1276" s="46">
        <v>60</v>
      </c>
      <c r="K1276" s="47">
        <v>44182</v>
      </c>
      <c r="L1276" s="46">
        <v>10705</v>
      </c>
      <c r="M1276" s="46">
        <v>60</v>
      </c>
    </row>
    <row r="1277" spans="2:13" ht="14.1" customHeight="1" x14ac:dyDescent="0.25">
      <c r="B1277" s="46" t="str">
        <f t="shared" si="19"/>
        <v>2012-22-107105</v>
      </c>
      <c r="C1277" s="47">
        <v>44172</v>
      </c>
      <c r="D1277" s="46">
        <v>22</v>
      </c>
      <c r="E1277" s="46">
        <v>200</v>
      </c>
      <c r="F1277" s="46">
        <v>107105</v>
      </c>
      <c r="G1277" s="48" t="s">
        <v>215</v>
      </c>
      <c r="H1277" s="47">
        <v>44173</v>
      </c>
      <c r="I1277" s="46">
        <v>50789</v>
      </c>
      <c r="J1277" s="46">
        <v>200</v>
      </c>
      <c r="K1277" s="47">
        <v>44182</v>
      </c>
      <c r="L1277" s="46">
        <v>10705</v>
      </c>
      <c r="M1277" s="46">
        <v>200</v>
      </c>
    </row>
    <row r="1278" spans="2:13" ht="14.1" customHeight="1" x14ac:dyDescent="0.25">
      <c r="B1278" s="46" t="str">
        <f t="shared" si="19"/>
        <v>2012-22-204518</v>
      </c>
      <c r="C1278" s="47">
        <v>44172</v>
      </c>
      <c r="D1278" s="46">
        <v>22</v>
      </c>
      <c r="E1278" s="46">
        <v>60</v>
      </c>
      <c r="F1278" s="46">
        <v>204518</v>
      </c>
      <c r="G1278" s="48" t="s">
        <v>216</v>
      </c>
      <c r="H1278" s="47">
        <v>44173</v>
      </c>
      <c r="I1278" s="46">
        <v>50789</v>
      </c>
      <c r="J1278" s="46">
        <v>60</v>
      </c>
      <c r="K1278" s="47">
        <v>44182</v>
      </c>
      <c r="L1278" s="46">
        <v>10705</v>
      </c>
      <c r="M1278" s="46">
        <v>60</v>
      </c>
    </row>
    <row r="1279" spans="2:13" ht="14.1" customHeight="1" x14ac:dyDescent="0.25">
      <c r="B1279" s="46" t="str">
        <f t="shared" si="19"/>
        <v>2012-23-201231</v>
      </c>
      <c r="C1279" s="47">
        <v>44172</v>
      </c>
      <c r="D1279" s="46">
        <v>23</v>
      </c>
      <c r="E1279" s="46">
        <v>50</v>
      </c>
      <c r="F1279" s="46">
        <v>201231</v>
      </c>
      <c r="G1279" s="48" t="s">
        <v>244</v>
      </c>
      <c r="H1279" s="47">
        <v>44186</v>
      </c>
      <c r="I1279" s="46">
        <v>51000</v>
      </c>
      <c r="J1279" s="46">
        <v>50</v>
      </c>
      <c r="K1279" s="47">
        <v>44202</v>
      </c>
      <c r="L1279" s="46">
        <v>10808</v>
      </c>
      <c r="M1279" s="46">
        <v>50</v>
      </c>
    </row>
    <row r="1280" spans="2:13" ht="14.1" customHeight="1" x14ac:dyDescent="0.25">
      <c r="B1280" s="46" t="str">
        <f t="shared" si="19"/>
        <v>2012-24-300500</v>
      </c>
      <c r="C1280" s="47">
        <v>44172</v>
      </c>
      <c r="D1280" s="46">
        <v>24</v>
      </c>
      <c r="E1280" s="46">
        <v>16</v>
      </c>
      <c r="F1280" s="46">
        <v>300500</v>
      </c>
      <c r="G1280" s="48" t="s">
        <v>346</v>
      </c>
      <c r="H1280" s="47">
        <v>44172</v>
      </c>
      <c r="I1280" s="46">
        <v>50782</v>
      </c>
      <c r="J1280" s="46">
        <v>16</v>
      </c>
      <c r="K1280" s="47">
        <v>44175</v>
      </c>
      <c r="L1280" s="46">
        <v>10644</v>
      </c>
      <c r="M1280" s="46">
        <v>16</v>
      </c>
    </row>
    <row r="1281" spans="2:13" ht="14.1" customHeight="1" x14ac:dyDescent="0.25">
      <c r="B1281" s="46" t="str">
        <f t="shared" si="19"/>
        <v>2012-24-202093</v>
      </c>
      <c r="C1281" s="47">
        <v>44172</v>
      </c>
      <c r="D1281" s="46">
        <v>24</v>
      </c>
      <c r="E1281" s="46">
        <v>100</v>
      </c>
      <c r="F1281" s="46">
        <v>202093</v>
      </c>
      <c r="G1281" s="48" t="s">
        <v>497</v>
      </c>
      <c r="H1281" s="47">
        <v>44172</v>
      </c>
      <c r="I1281" s="46">
        <v>50783</v>
      </c>
      <c r="J1281" s="46">
        <v>100</v>
      </c>
      <c r="K1281" s="47">
        <v>44175</v>
      </c>
      <c r="L1281" s="46">
        <v>10646</v>
      </c>
      <c r="M1281" s="46">
        <v>100</v>
      </c>
    </row>
    <row r="1282" spans="2:13" ht="14.1" customHeight="1" x14ac:dyDescent="0.25">
      <c r="B1282" s="46" t="str">
        <f t="shared" si="19"/>
        <v>2012-24-310693</v>
      </c>
      <c r="C1282" s="47">
        <v>44172</v>
      </c>
      <c r="D1282" s="46">
        <v>24</v>
      </c>
      <c r="E1282" s="46">
        <v>1</v>
      </c>
      <c r="F1282" s="46">
        <v>310693</v>
      </c>
      <c r="G1282" s="48" t="s">
        <v>775</v>
      </c>
      <c r="H1282" s="47">
        <v>44172</v>
      </c>
      <c r="I1282" s="46">
        <v>50784</v>
      </c>
      <c r="J1282" s="46">
        <v>1</v>
      </c>
      <c r="K1282" s="47">
        <v>44175</v>
      </c>
      <c r="L1282" s="46">
        <v>10643</v>
      </c>
      <c r="M1282" s="46">
        <v>1</v>
      </c>
    </row>
    <row r="1283" spans="2:13" ht="14.1" customHeight="1" x14ac:dyDescent="0.25">
      <c r="B1283" s="46" t="str">
        <f t="shared" si="19"/>
        <v>2012-25-106069</v>
      </c>
      <c r="C1283" s="47">
        <v>44172</v>
      </c>
      <c r="D1283" s="46">
        <v>25</v>
      </c>
      <c r="E1283" s="46">
        <v>2</v>
      </c>
      <c r="F1283" s="46">
        <v>106069</v>
      </c>
      <c r="G1283" s="48" t="s">
        <v>451</v>
      </c>
      <c r="H1283" s="47">
        <v>44170</v>
      </c>
      <c r="I1283" s="46">
        <v>50801</v>
      </c>
      <c r="J1283" s="46">
        <v>2</v>
      </c>
      <c r="K1283" s="47">
        <v>44172</v>
      </c>
      <c r="L1283" s="46">
        <v>10598</v>
      </c>
      <c r="M1283" s="46">
        <v>2</v>
      </c>
    </row>
    <row r="1284" spans="2:13" ht="14.1" customHeight="1" x14ac:dyDescent="0.25">
      <c r="B1284" s="46" t="str">
        <f t="shared" si="19"/>
        <v>2012-25-204722</v>
      </c>
      <c r="C1284" s="47">
        <v>44172</v>
      </c>
      <c r="D1284" s="46">
        <v>25</v>
      </c>
      <c r="E1284" s="46">
        <v>4</v>
      </c>
      <c r="F1284" s="46">
        <v>204722</v>
      </c>
      <c r="G1284" s="48" t="s">
        <v>543</v>
      </c>
      <c r="H1284" s="47">
        <v>44170</v>
      </c>
      <c r="I1284" s="46">
        <v>50801</v>
      </c>
      <c r="J1284" s="46">
        <v>4</v>
      </c>
      <c r="K1284" s="47">
        <v>44172</v>
      </c>
      <c r="L1284" s="46">
        <v>10598</v>
      </c>
      <c r="M1284" s="46">
        <v>4</v>
      </c>
    </row>
    <row r="1285" spans="2:13" ht="14.1" customHeight="1" x14ac:dyDescent="0.25">
      <c r="B1285" s="46" t="str">
        <f t="shared" si="19"/>
        <v>2012-27-312156</v>
      </c>
      <c r="C1285" s="47">
        <v>44172</v>
      </c>
      <c r="D1285" s="46">
        <v>27</v>
      </c>
      <c r="E1285" s="46">
        <v>1</v>
      </c>
      <c r="F1285" s="46">
        <v>312156</v>
      </c>
      <c r="G1285" s="48" t="s">
        <v>799</v>
      </c>
      <c r="H1285" s="47">
        <v>44170</v>
      </c>
      <c r="I1285" s="46">
        <v>50802</v>
      </c>
      <c r="J1285" s="46">
        <v>1</v>
      </c>
      <c r="K1285" s="47">
        <v>44172</v>
      </c>
      <c r="L1285" s="46">
        <v>10600</v>
      </c>
      <c r="M1285" s="46">
        <v>1</v>
      </c>
    </row>
    <row r="1286" spans="2:13" ht="14.1" customHeight="1" x14ac:dyDescent="0.25">
      <c r="B1286" s="46" t="str">
        <f t="shared" si="19"/>
        <v>2012-28-301212</v>
      </c>
      <c r="C1286" s="47">
        <v>44172</v>
      </c>
      <c r="D1286" s="46">
        <v>28</v>
      </c>
      <c r="E1286" s="46">
        <v>4</v>
      </c>
      <c r="F1286" s="46">
        <v>301212</v>
      </c>
      <c r="G1286" s="48" t="s">
        <v>615</v>
      </c>
      <c r="H1286" s="47">
        <v>44172</v>
      </c>
      <c r="I1286" s="46">
        <v>50786</v>
      </c>
      <c r="J1286" s="46">
        <v>4</v>
      </c>
      <c r="K1286" s="47">
        <v>44176</v>
      </c>
      <c r="L1286" s="46">
        <v>10664</v>
      </c>
      <c r="M1286" s="46">
        <v>4</v>
      </c>
    </row>
    <row r="1287" spans="2:13" ht="14.1" customHeight="1" x14ac:dyDescent="0.25">
      <c r="B1287" s="46" t="str">
        <f t="shared" si="19"/>
        <v>2012-29-301404</v>
      </c>
      <c r="C1287" s="47">
        <v>44172</v>
      </c>
      <c r="D1287" s="46">
        <v>29</v>
      </c>
      <c r="E1287" s="46">
        <v>2</v>
      </c>
      <c r="F1287" s="46">
        <v>301404</v>
      </c>
      <c r="G1287" s="48" t="s">
        <v>623</v>
      </c>
      <c r="H1287" s="47">
        <v>44180</v>
      </c>
      <c r="I1287" s="46">
        <v>50904</v>
      </c>
      <c r="J1287" s="46">
        <v>2</v>
      </c>
      <c r="K1287" s="47">
        <v>44172</v>
      </c>
      <c r="L1287" s="46">
        <v>10602</v>
      </c>
      <c r="M1287" s="46">
        <v>2</v>
      </c>
    </row>
    <row r="1288" spans="2:13" ht="14.1" customHeight="1" x14ac:dyDescent="0.25">
      <c r="B1288" s="46" t="str">
        <f t="shared" si="19"/>
        <v>2012-30-304159</v>
      </c>
      <c r="C1288" s="47">
        <v>44172</v>
      </c>
      <c r="D1288" s="46">
        <v>30</v>
      </c>
      <c r="E1288" s="46">
        <v>1800</v>
      </c>
      <c r="F1288" s="46">
        <v>304159</v>
      </c>
      <c r="G1288" s="48" t="s">
        <v>152</v>
      </c>
      <c r="H1288" s="47">
        <v>44186</v>
      </c>
      <c r="I1288" s="46">
        <v>50999</v>
      </c>
      <c r="J1288" s="46">
        <v>1800</v>
      </c>
      <c r="K1288" s="47">
        <v>44172</v>
      </c>
      <c r="L1288" s="46">
        <v>10603</v>
      </c>
      <c r="M1288" s="46">
        <v>1800</v>
      </c>
    </row>
    <row r="1289" spans="2:13" ht="14.1" customHeight="1" x14ac:dyDescent="0.25">
      <c r="B1289" s="46" t="str">
        <f t="shared" si="19"/>
        <v>2012-31-318623</v>
      </c>
      <c r="C1289" s="47">
        <v>44172</v>
      </c>
      <c r="D1289" s="46">
        <v>31</v>
      </c>
      <c r="E1289" s="46">
        <v>1</v>
      </c>
      <c r="F1289" s="46">
        <v>318623</v>
      </c>
      <c r="G1289" s="48" t="s">
        <v>926</v>
      </c>
      <c r="H1289" s="47">
        <v>44168</v>
      </c>
      <c r="I1289" s="46">
        <v>50803</v>
      </c>
      <c r="J1289" s="46">
        <v>1</v>
      </c>
      <c r="K1289" s="47">
        <v>44172</v>
      </c>
      <c r="L1289" s="46">
        <v>10604</v>
      </c>
      <c r="M1289" s="46">
        <v>1</v>
      </c>
    </row>
    <row r="1290" spans="2:13" ht="14.1" customHeight="1" x14ac:dyDescent="0.25">
      <c r="B1290" s="46" t="str">
        <f t="shared" si="19"/>
        <v>2012-31-205470</v>
      </c>
      <c r="C1290" s="47">
        <v>44172</v>
      </c>
      <c r="D1290" s="46">
        <v>31</v>
      </c>
      <c r="E1290" s="46">
        <v>1</v>
      </c>
      <c r="F1290" s="46">
        <v>205470</v>
      </c>
      <c r="G1290" s="48" t="s">
        <v>564</v>
      </c>
      <c r="H1290" s="47">
        <v>44168</v>
      </c>
      <c r="I1290" s="46">
        <v>50803</v>
      </c>
      <c r="J1290" s="46">
        <v>1</v>
      </c>
      <c r="K1290" s="47">
        <v>44172</v>
      </c>
      <c r="L1290" s="46">
        <v>10604</v>
      </c>
      <c r="M1290" s="46">
        <v>1</v>
      </c>
    </row>
    <row r="1291" spans="2:13" ht="14.1" customHeight="1" x14ac:dyDescent="0.25">
      <c r="B1291" s="46" t="str">
        <f t="shared" si="19"/>
        <v>2012-31-316054</v>
      </c>
      <c r="C1291" s="47">
        <v>44172</v>
      </c>
      <c r="D1291" s="46">
        <v>31</v>
      </c>
      <c r="E1291" s="46">
        <v>1</v>
      </c>
      <c r="F1291" s="46">
        <v>316054</v>
      </c>
      <c r="G1291" s="48" t="s">
        <v>887</v>
      </c>
      <c r="H1291" s="47">
        <v>44168</v>
      </c>
      <c r="I1291" s="46">
        <v>50803</v>
      </c>
      <c r="J1291" s="46">
        <v>1</v>
      </c>
      <c r="K1291" s="47">
        <v>44172</v>
      </c>
      <c r="L1291" s="46">
        <v>10604</v>
      </c>
      <c r="M1291" s="46">
        <v>1</v>
      </c>
    </row>
    <row r="1292" spans="2:13" ht="14.1" customHeight="1" x14ac:dyDescent="0.25">
      <c r="B1292" s="46" t="str">
        <f t="shared" ref="B1292:B1355" si="20">TEXT(C1292,"yy") &amp; TEXT(C1292,"mm") &amp;"-"&amp;(D1292) &amp;"-"&amp;(F1292)</f>
        <v>2012-31-205204</v>
      </c>
      <c r="C1292" s="47">
        <v>44172</v>
      </c>
      <c r="D1292" s="46">
        <v>31</v>
      </c>
      <c r="E1292" s="46">
        <v>1</v>
      </c>
      <c r="F1292" s="46">
        <v>205204</v>
      </c>
      <c r="G1292" s="48" t="s">
        <v>554</v>
      </c>
      <c r="H1292" s="47">
        <v>44168</v>
      </c>
      <c r="I1292" s="46">
        <v>50803</v>
      </c>
      <c r="J1292" s="46">
        <v>1</v>
      </c>
      <c r="K1292" s="47">
        <v>44172</v>
      </c>
      <c r="L1292" s="46">
        <v>10604</v>
      </c>
      <c r="M1292" s="46">
        <v>1</v>
      </c>
    </row>
    <row r="1293" spans="2:13" ht="14.1" customHeight="1" x14ac:dyDescent="0.25">
      <c r="B1293" s="46" t="str">
        <f t="shared" si="20"/>
        <v>2012-31-204954</v>
      </c>
      <c r="C1293" s="47">
        <v>44172</v>
      </c>
      <c r="D1293" s="46">
        <v>31</v>
      </c>
      <c r="E1293" s="46">
        <v>2</v>
      </c>
      <c r="F1293" s="46">
        <v>204954</v>
      </c>
      <c r="G1293" s="48" t="s">
        <v>548</v>
      </c>
      <c r="H1293" s="47">
        <v>44168</v>
      </c>
      <c r="I1293" s="46">
        <v>50803</v>
      </c>
      <c r="J1293" s="46">
        <v>2</v>
      </c>
      <c r="K1293" s="47">
        <v>44172</v>
      </c>
      <c r="L1293" s="46">
        <v>10604</v>
      </c>
      <c r="M1293" s="46">
        <v>2</v>
      </c>
    </row>
    <row r="1294" spans="2:13" ht="14.1" customHeight="1" x14ac:dyDescent="0.25">
      <c r="B1294" s="46" t="str">
        <f t="shared" si="20"/>
        <v>2012-31-306919</v>
      </c>
      <c r="C1294" s="47">
        <v>44172</v>
      </c>
      <c r="D1294" s="46">
        <v>31</v>
      </c>
      <c r="E1294" s="46">
        <v>2</v>
      </c>
      <c r="F1294" s="46">
        <v>306919</v>
      </c>
      <c r="G1294" s="48" t="s">
        <v>717</v>
      </c>
      <c r="H1294" s="47">
        <v>44168</v>
      </c>
      <c r="I1294" s="46">
        <v>50803</v>
      </c>
      <c r="J1294" s="46">
        <v>2</v>
      </c>
      <c r="K1294" s="47">
        <v>44172</v>
      </c>
      <c r="L1294" s="46">
        <v>10604</v>
      </c>
      <c r="M1294" s="46">
        <v>2</v>
      </c>
    </row>
    <row r="1295" spans="2:13" ht="14.1" customHeight="1" x14ac:dyDescent="0.25">
      <c r="B1295" s="46" t="str">
        <f t="shared" si="20"/>
        <v>2012-31-300211</v>
      </c>
      <c r="C1295" s="47">
        <v>44172</v>
      </c>
      <c r="D1295" s="46">
        <v>31</v>
      </c>
      <c r="E1295" s="46">
        <v>1</v>
      </c>
      <c r="F1295" s="46">
        <v>300211</v>
      </c>
      <c r="G1295" s="48" t="s">
        <v>93</v>
      </c>
      <c r="H1295" s="47">
        <v>44168</v>
      </c>
      <c r="I1295" s="46">
        <v>50803</v>
      </c>
      <c r="J1295" s="46">
        <v>1</v>
      </c>
      <c r="K1295" s="47">
        <v>44172</v>
      </c>
      <c r="L1295" s="46">
        <v>10604</v>
      </c>
      <c r="M1295" s="46">
        <v>1</v>
      </c>
    </row>
    <row r="1296" spans="2:13" ht="14.1" customHeight="1" x14ac:dyDescent="0.25">
      <c r="B1296" s="46" t="str">
        <f t="shared" si="20"/>
        <v>2012-31-300211</v>
      </c>
      <c r="C1296" s="47">
        <v>44172</v>
      </c>
      <c r="D1296" s="46">
        <v>31</v>
      </c>
      <c r="E1296" s="46">
        <v>1</v>
      </c>
      <c r="F1296" s="46">
        <v>300211</v>
      </c>
      <c r="G1296" s="48" t="s">
        <v>93</v>
      </c>
      <c r="H1296" s="47">
        <v>44168</v>
      </c>
      <c r="I1296" s="46">
        <v>50803</v>
      </c>
      <c r="J1296" s="46">
        <v>1</v>
      </c>
      <c r="K1296" s="47">
        <v>44172</v>
      </c>
      <c r="L1296" s="46">
        <v>10604</v>
      </c>
      <c r="M1296" s="46">
        <v>1</v>
      </c>
    </row>
    <row r="1297" spans="2:13" ht="14.1" customHeight="1" x14ac:dyDescent="0.25">
      <c r="B1297" s="46" t="str">
        <f t="shared" si="20"/>
        <v>2012-31-312701</v>
      </c>
      <c r="C1297" s="47">
        <v>44172</v>
      </c>
      <c r="D1297" s="46">
        <v>31</v>
      </c>
      <c r="E1297" s="46">
        <v>1</v>
      </c>
      <c r="F1297" s="46">
        <v>312701</v>
      </c>
      <c r="G1297" s="48" t="s">
        <v>820</v>
      </c>
      <c r="H1297" s="47">
        <v>44168</v>
      </c>
      <c r="I1297" s="46">
        <v>50803</v>
      </c>
      <c r="J1297" s="46">
        <v>1</v>
      </c>
      <c r="K1297" s="47">
        <v>44172</v>
      </c>
      <c r="L1297" s="46">
        <v>10604</v>
      </c>
      <c r="M1297" s="46">
        <v>1</v>
      </c>
    </row>
    <row r="1298" spans="2:13" ht="14.1" customHeight="1" x14ac:dyDescent="0.25">
      <c r="B1298" s="46" t="str">
        <f t="shared" si="20"/>
        <v>2012-32-200864</v>
      </c>
      <c r="C1298" s="47">
        <v>44172</v>
      </c>
      <c r="D1298" s="46">
        <v>32</v>
      </c>
      <c r="E1298" s="46">
        <v>20</v>
      </c>
      <c r="F1298" s="46">
        <v>200864</v>
      </c>
      <c r="G1298" s="50" t="s">
        <v>299</v>
      </c>
      <c r="H1298" s="47">
        <v>44193</v>
      </c>
      <c r="I1298" s="46">
        <v>51062</v>
      </c>
      <c r="J1298" s="46">
        <v>20</v>
      </c>
      <c r="K1298" s="47">
        <v>44204</v>
      </c>
      <c r="L1298" s="46">
        <v>10830</v>
      </c>
      <c r="M1298" s="46">
        <v>20</v>
      </c>
    </row>
    <row r="1299" spans="2:13" ht="14.1" customHeight="1" x14ac:dyDescent="0.25">
      <c r="B1299" s="46" t="str">
        <f t="shared" si="20"/>
        <v>2012-32-105208</v>
      </c>
      <c r="C1299" s="47">
        <v>44172</v>
      </c>
      <c r="D1299" s="46">
        <v>32</v>
      </c>
      <c r="E1299" s="46">
        <v>15</v>
      </c>
      <c r="F1299" s="46">
        <v>105208</v>
      </c>
      <c r="G1299" s="48" t="s">
        <v>245</v>
      </c>
      <c r="H1299" s="47">
        <v>44193</v>
      </c>
      <c r="I1299" s="46">
        <v>51062</v>
      </c>
      <c r="J1299" s="46">
        <v>15</v>
      </c>
      <c r="K1299" s="47">
        <v>44204</v>
      </c>
      <c r="L1299" s="46">
        <v>10830</v>
      </c>
      <c r="M1299" s="46">
        <v>15</v>
      </c>
    </row>
    <row r="1300" spans="2:13" ht="14.1" customHeight="1" x14ac:dyDescent="0.25">
      <c r="B1300" s="46" t="str">
        <f t="shared" si="20"/>
        <v>2012-32-204542</v>
      </c>
      <c r="C1300" s="47">
        <v>44172</v>
      </c>
      <c r="D1300" s="46">
        <v>32</v>
      </c>
      <c r="E1300" s="46">
        <v>30</v>
      </c>
      <c r="F1300" s="46">
        <v>204542</v>
      </c>
      <c r="G1300" s="48" t="s">
        <v>148</v>
      </c>
      <c r="H1300" s="47">
        <v>44193</v>
      </c>
      <c r="I1300" s="46">
        <v>51062</v>
      </c>
      <c r="J1300" s="46">
        <v>30</v>
      </c>
      <c r="K1300" s="47">
        <v>44204</v>
      </c>
      <c r="L1300" s="46">
        <v>10830</v>
      </c>
      <c r="M1300" s="46">
        <v>30</v>
      </c>
    </row>
    <row r="1301" spans="2:13" ht="14.1" customHeight="1" x14ac:dyDescent="0.25">
      <c r="B1301" s="46" t="str">
        <f t="shared" si="20"/>
        <v>2012-32-206316</v>
      </c>
      <c r="C1301" s="47">
        <v>44172</v>
      </c>
      <c r="D1301" s="46">
        <v>32</v>
      </c>
      <c r="E1301" s="46">
        <v>10</v>
      </c>
      <c r="F1301" s="46">
        <v>206316</v>
      </c>
      <c r="G1301" s="48" t="s">
        <v>300</v>
      </c>
      <c r="H1301" s="47">
        <v>44193</v>
      </c>
      <c r="I1301" s="46">
        <v>51062</v>
      </c>
      <c r="J1301" s="46">
        <v>10</v>
      </c>
      <c r="K1301" s="47">
        <v>44204</v>
      </c>
      <c r="L1301" s="46">
        <v>10830</v>
      </c>
      <c r="M1301" s="46">
        <v>10</v>
      </c>
    </row>
    <row r="1302" spans="2:13" ht="14.1" customHeight="1" x14ac:dyDescent="0.25">
      <c r="B1302" s="46" t="str">
        <f t="shared" si="20"/>
        <v>2012-32-203683</v>
      </c>
      <c r="C1302" s="47">
        <v>44172</v>
      </c>
      <c r="D1302" s="46">
        <v>32</v>
      </c>
      <c r="E1302" s="46">
        <v>20</v>
      </c>
      <c r="F1302" s="46">
        <v>203683</v>
      </c>
      <c r="G1302" s="48" t="s">
        <v>179</v>
      </c>
      <c r="H1302" s="47">
        <v>44193</v>
      </c>
      <c r="I1302" s="46">
        <v>51062</v>
      </c>
      <c r="J1302" s="46">
        <v>20</v>
      </c>
      <c r="K1302" s="47">
        <v>44204</v>
      </c>
      <c r="L1302" s="46">
        <v>10830</v>
      </c>
      <c r="M1302" s="46">
        <v>20</v>
      </c>
    </row>
    <row r="1303" spans="2:13" ht="14.1" customHeight="1" x14ac:dyDescent="0.25">
      <c r="B1303" s="46" t="str">
        <f t="shared" si="20"/>
        <v>2012-32-107441</v>
      </c>
      <c r="C1303" s="47">
        <v>44172</v>
      </c>
      <c r="D1303" s="46">
        <v>32</v>
      </c>
      <c r="E1303" s="46">
        <v>40</v>
      </c>
      <c r="F1303" s="46">
        <v>107441</v>
      </c>
      <c r="G1303" s="48" t="s">
        <v>232</v>
      </c>
      <c r="H1303" s="47">
        <v>44193</v>
      </c>
      <c r="I1303" s="46">
        <v>51062</v>
      </c>
      <c r="J1303" s="46">
        <v>40</v>
      </c>
      <c r="K1303" s="47">
        <v>44204</v>
      </c>
      <c r="L1303" s="46">
        <v>10830</v>
      </c>
      <c r="M1303" s="46">
        <v>40</v>
      </c>
    </row>
    <row r="1304" spans="2:13" ht="14.1" customHeight="1" x14ac:dyDescent="0.25">
      <c r="B1304" s="46" t="str">
        <f t="shared" si="20"/>
        <v>2012-33-204822</v>
      </c>
      <c r="C1304" s="47">
        <v>44172</v>
      </c>
      <c r="D1304" s="46">
        <v>33</v>
      </c>
      <c r="E1304" s="46">
        <v>16</v>
      </c>
      <c r="F1304" s="46">
        <v>204822</v>
      </c>
      <c r="G1304" s="48" t="s">
        <v>545</v>
      </c>
      <c r="H1304" s="47">
        <v>44188</v>
      </c>
      <c r="I1304" s="46">
        <v>51040</v>
      </c>
      <c r="J1304" s="46">
        <v>16</v>
      </c>
      <c r="K1304" s="47">
        <v>44200</v>
      </c>
      <c r="L1304" s="46">
        <v>10793</v>
      </c>
      <c r="M1304" s="46">
        <v>16</v>
      </c>
    </row>
    <row r="1305" spans="2:13" ht="14.1" customHeight="1" x14ac:dyDescent="0.25">
      <c r="B1305" s="46" t="str">
        <f t="shared" si="20"/>
        <v>2012-34-204845</v>
      </c>
      <c r="C1305" s="47">
        <v>44172</v>
      </c>
      <c r="D1305" s="46">
        <v>34</v>
      </c>
      <c r="E1305" s="46">
        <v>4</v>
      </c>
      <c r="F1305" s="46">
        <v>204845</v>
      </c>
      <c r="G1305" s="48" t="s">
        <v>312</v>
      </c>
      <c r="H1305" s="47">
        <v>44173</v>
      </c>
      <c r="I1305" s="46">
        <v>50868</v>
      </c>
      <c r="J1305" s="46">
        <v>4</v>
      </c>
      <c r="K1305" s="47">
        <v>44175</v>
      </c>
      <c r="L1305" s="46">
        <v>10648</v>
      </c>
      <c r="M1305" s="46">
        <v>4</v>
      </c>
    </row>
    <row r="1306" spans="2:13" ht="14.1" customHeight="1" x14ac:dyDescent="0.25">
      <c r="B1306" s="46" t="str">
        <f t="shared" si="20"/>
        <v>2012-34-312095</v>
      </c>
      <c r="C1306" s="47">
        <v>44172</v>
      </c>
      <c r="D1306" s="46">
        <v>34</v>
      </c>
      <c r="E1306" s="46">
        <v>4</v>
      </c>
      <c r="F1306" s="46">
        <v>312095</v>
      </c>
      <c r="G1306" s="48" t="s">
        <v>797</v>
      </c>
      <c r="H1306" s="47">
        <v>44173</v>
      </c>
      <c r="I1306" s="46">
        <v>50868</v>
      </c>
      <c r="J1306" s="46">
        <v>4</v>
      </c>
      <c r="K1306" s="47">
        <v>44175</v>
      </c>
      <c r="L1306" s="46">
        <v>10648</v>
      </c>
      <c r="M1306" s="46">
        <v>4</v>
      </c>
    </row>
    <row r="1307" spans="2:13" ht="14.1" customHeight="1" x14ac:dyDescent="0.25">
      <c r="B1307" s="46" t="str">
        <f t="shared" si="20"/>
        <v>2012-34-312508</v>
      </c>
      <c r="C1307" s="47">
        <v>44172</v>
      </c>
      <c r="D1307" s="46">
        <v>34</v>
      </c>
      <c r="E1307" s="46">
        <v>2</v>
      </c>
      <c r="F1307" s="46">
        <v>312508</v>
      </c>
      <c r="G1307" s="48" t="s">
        <v>313</v>
      </c>
      <c r="H1307" s="47">
        <v>44173</v>
      </c>
      <c r="I1307" s="46">
        <v>50868</v>
      </c>
      <c r="J1307" s="46">
        <v>2</v>
      </c>
      <c r="K1307" s="47">
        <v>44175</v>
      </c>
      <c r="L1307" s="46">
        <v>10648</v>
      </c>
      <c r="M1307" s="46">
        <v>2</v>
      </c>
    </row>
    <row r="1308" spans="2:13" ht="14.1" customHeight="1" x14ac:dyDescent="0.25">
      <c r="B1308" s="46" t="str">
        <f t="shared" si="20"/>
        <v>2012-34-312536</v>
      </c>
      <c r="C1308" s="47">
        <v>44172</v>
      </c>
      <c r="D1308" s="46">
        <v>34</v>
      </c>
      <c r="E1308" s="46">
        <v>6</v>
      </c>
      <c r="F1308" s="46">
        <v>312536</v>
      </c>
      <c r="G1308" s="48" t="s">
        <v>812</v>
      </c>
      <c r="H1308" s="47">
        <v>44175</v>
      </c>
      <c r="I1308" s="46">
        <v>50897</v>
      </c>
      <c r="J1308" s="46">
        <v>6</v>
      </c>
      <c r="K1308" s="47">
        <v>44179</v>
      </c>
      <c r="L1308" s="46">
        <v>10678</v>
      </c>
      <c r="M1308" s="46">
        <v>6</v>
      </c>
    </row>
    <row r="1309" spans="2:13" ht="14.1" customHeight="1" x14ac:dyDescent="0.25">
      <c r="B1309" s="46" t="str">
        <f t="shared" si="20"/>
        <v>2012-34-106244</v>
      </c>
      <c r="C1309" s="47">
        <v>44172</v>
      </c>
      <c r="D1309" s="46">
        <v>34</v>
      </c>
      <c r="E1309" s="46">
        <v>8</v>
      </c>
      <c r="F1309" s="46">
        <v>106244</v>
      </c>
      <c r="G1309" s="50" t="s">
        <v>291</v>
      </c>
      <c r="H1309" s="47">
        <v>44173</v>
      </c>
      <c r="I1309" s="46">
        <v>50868</v>
      </c>
      <c r="J1309" s="46">
        <v>8</v>
      </c>
      <c r="K1309" s="47">
        <v>44175</v>
      </c>
      <c r="L1309" s="46">
        <v>10648</v>
      </c>
      <c r="M1309" s="46">
        <v>8</v>
      </c>
    </row>
    <row r="1310" spans="2:13" ht="14.1" customHeight="1" x14ac:dyDescent="0.25">
      <c r="B1310" s="46" t="str">
        <f t="shared" si="20"/>
        <v>2012-35-106576</v>
      </c>
      <c r="C1310" s="47">
        <v>44172</v>
      </c>
      <c r="D1310" s="46">
        <v>35</v>
      </c>
      <c r="E1310" s="46">
        <v>2</v>
      </c>
      <c r="F1310" s="46">
        <v>106576</v>
      </c>
      <c r="G1310" s="48" t="s">
        <v>145</v>
      </c>
      <c r="I1310" s="46">
        <v>0</v>
      </c>
      <c r="J1310" s="46">
        <v>0</v>
      </c>
      <c r="L1310" s="46">
        <v>0</v>
      </c>
      <c r="M1310" s="46">
        <v>0</v>
      </c>
    </row>
    <row r="1311" spans="2:13" ht="14.1" customHeight="1" x14ac:dyDescent="0.25">
      <c r="B1311" s="46" t="str">
        <f t="shared" si="20"/>
        <v>2012-35-203633</v>
      </c>
      <c r="C1311" s="47">
        <v>44172</v>
      </c>
      <c r="D1311" s="46">
        <v>35</v>
      </c>
      <c r="E1311" s="46">
        <v>2</v>
      </c>
      <c r="F1311" s="46">
        <v>203633</v>
      </c>
      <c r="G1311" s="48" t="s">
        <v>36</v>
      </c>
      <c r="I1311" s="46">
        <v>0</v>
      </c>
      <c r="J1311" s="46">
        <v>0</v>
      </c>
      <c r="L1311" s="46">
        <v>0</v>
      </c>
      <c r="M1311" s="46">
        <v>0</v>
      </c>
    </row>
    <row r="1312" spans="2:13" ht="14.1" customHeight="1" x14ac:dyDescent="0.25">
      <c r="B1312" s="46" t="str">
        <f t="shared" si="20"/>
        <v>2012-36-312095</v>
      </c>
      <c r="C1312" s="47">
        <v>44172</v>
      </c>
      <c r="D1312" s="46">
        <v>36</v>
      </c>
      <c r="E1312" s="46">
        <v>2</v>
      </c>
      <c r="F1312" s="46">
        <v>312095</v>
      </c>
      <c r="G1312" s="48" t="s">
        <v>797</v>
      </c>
      <c r="H1312" s="47">
        <v>44173</v>
      </c>
      <c r="I1312" s="46">
        <v>50869</v>
      </c>
      <c r="J1312" s="46">
        <v>2</v>
      </c>
      <c r="K1312" s="47">
        <v>44175</v>
      </c>
      <c r="L1312" s="46">
        <v>10649</v>
      </c>
      <c r="M1312" s="46">
        <v>2</v>
      </c>
    </row>
    <row r="1313" spans="2:13" ht="14.1" customHeight="1" x14ac:dyDescent="0.25">
      <c r="B1313" s="46" t="str">
        <f t="shared" si="20"/>
        <v>2012-36-312508</v>
      </c>
      <c r="C1313" s="47">
        <v>44172</v>
      </c>
      <c r="D1313" s="46">
        <v>36</v>
      </c>
      <c r="E1313" s="46">
        <v>2</v>
      </c>
      <c r="F1313" s="46">
        <v>312508</v>
      </c>
      <c r="G1313" s="48" t="s">
        <v>313</v>
      </c>
      <c r="H1313" s="47">
        <v>44173</v>
      </c>
      <c r="I1313" s="46">
        <v>50869</v>
      </c>
      <c r="J1313" s="46">
        <v>2</v>
      </c>
      <c r="K1313" s="47">
        <v>44175</v>
      </c>
      <c r="L1313" s="46">
        <v>10649</v>
      </c>
      <c r="M1313" s="46">
        <v>2</v>
      </c>
    </row>
    <row r="1314" spans="2:13" ht="14.1" customHeight="1" x14ac:dyDescent="0.25">
      <c r="B1314" s="46" t="str">
        <f t="shared" si="20"/>
        <v>2012-37-300431</v>
      </c>
      <c r="C1314" s="47">
        <v>44172</v>
      </c>
      <c r="D1314" s="46">
        <v>37</v>
      </c>
      <c r="E1314" s="46">
        <v>1</v>
      </c>
      <c r="F1314" s="46">
        <v>300431</v>
      </c>
      <c r="G1314" s="48" t="s">
        <v>599</v>
      </c>
      <c r="H1314" s="47">
        <v>44253</v>
      </c>
      <c r="I1314" s="46">
        <v>51874</v>
      </c>
      <c r="J1314" s="46">
        <v>1</v>
      </c>
      <c r="K1314" s="47">
        <v>44257</v>
      </c>
      <c r="L1314" s="46">
        <v>11369</v>
      </c>
      <c r="M1314" s="46">
        <v>1</v>
      </c>
    </row>
    <row r="1315" spans="2:13" ht="14.1" customHeight="1" x14ac:dyDescent="0.25">
      <c r="B1315" s="46" t="str">
        <f t="shared" si="20"/>
        <v>2012-38-312508</v>
      </c>
      <c r="C1315" s="47">
        <v>44172</v>
      </c>
      <c r="D1315" s="46">
        <v>38</v>
      </c>
      <c r="E1315" s="46">
        <v>1</v>
      </c>
      <c r="F1315" s="46">
        <v>312508</v>
      </c>
      <c r="G1315" s="48" t="s">
        <v>313</v>
      </c>
      <c r="H1315" s="47">
        <v>44173</v>
      </c>
      <c r="I1315" s="46">
        <v>50871</v>
      </c>
      <c r="J1315" s="46">
        <v>1</v>
      </c>
      <c r="K1315" s="47">
        <v>44175</v>
      </c>
      <c r="L1315" s="46">
        <v>10651</v>
      </c>
      <c r="M1315" s="46">
        <v>1</v>
      </c>
    </row>
    <row r="1316" spans="2:13" ht="14.1" customHeight="1" x14ac:dyDescent="0.25">
      <c r="B1316" s="46" t="str">
        <f t="shared" si="20"/>
        <v>2012-38-312536</v>
      </c>
      <c r="C1316" s="47">
        <v>44172</v>
      </c>
      <c r="D1316" s="46">
        <v>38</v>
      </c>
      <c r="E1316" s="46">
        <v>6</v>
      </c>
      <c r="F1316" s="46">
        <v>312536</v>
      </c>
      <c r="G1316" s="48" t="s">
        <v>812</v>
      </c>
      <c r="H1316" s="47">
        <v>44175</v>
      </c>
      <c r="I1316" s="46">
        <v>50898</v>
      </c>
      <c r="J1316" s="46">
        <v>6</v>
      </c>
      <c r="K1316" s="47">
        <v>44179</v>
      </c>
      <c r="L1316" s="46">
        <v>10677</v>
      </c>
      <c r="M1316" s="46">
        <v>6</v>
      </c>
    </row>
    <row r="1317" spans="2:13" ht="14.1" customHeight="1" x14ac:dyDescent="0.25">
      <c r="B1317" s="46" t="str">
        <f t="shared" si="20"/>
        <v>2012-38-313967</v>
      </c>
      <c r="C1317" s="47">
        <v>44172</v>
      </c>
      <c r="D1317" s="46">
        <v>38</v>
      </c>
      <c r="E1317" s="46">
        <v>6</v>
      </c>
      <c r="F1317" s="46">
        <v>313967</v>
      </c>
      <c r="G1317" s="48" t="s">
        <v>845</v>
      </c>
      <c r="H1317" s="47">
        <v>44175</v>
      </c>
      <c r="I1317" s="46">
        <v>50898</v>
      </c>
      <c r="J1317" s="46">
        <v>6</v>
      </c>
      <c r="K1317" s="47">
        <v>44179</v>
      </c>
      <c r="L1317" s="46">
        <v>10677</v>
      </c>
      <c r="M1317" s="46">
        <v>6</v>
      </c>
    </row>
    <row r="1318" spans="2:13" ht="14.1" customHeight="1" x14ac:dyDescent="0.25">
      <c r="B1318" s="46" t="str">
        <f t="shared" si="20"/>
        <v>2012-38-106205</v>
      </c>
      <c r="C1318" s="47">
        <v>44172</v>
      </c>
      <c r="D1318" s="46">
        <v>38</v>
      </c>
      <c r="E1318" s="46">
        <v>4</v>
      </c>
      <c r="F1318" s="46">
        <v>106205</v>
      </c>
      <c r="G1318" s="48" t="s">
        <v>454</v>
      </c>
      <c r="H1318" s="47">
        <v>44173</v>
      </c>
      <c r="I1318" s="46">
        <v>50871</v>
      </c>
      <c r="J1318" s="46">
        <v>4</v>
      </c>
      <c r="K1318" s="47">
        <v>44175</v>
      </c>
      <c r="L1318" s="46">
        <v>10651</v>
      </c>
      <c r="M1318" s="46">
        <v>4</v>
      </c>
    </row>
    <row r="1319" spans="2:13" ht="14.1" customHeight="1" x14ac:dyDescent="0.25">
      <c r="B1319" s="46" t="str">
        <f t="shared" si="20"/>
        <v>2012-39-312095</v>
      </c>
      <c r="C1319" s="47">
        <v>44172</v>
      </c>
      <c r="D1319" s="46">
        <v>39</v>
      </c>
      <c r="E1319" s="46">
        <v>2</v>
      </c>
      <c r="F1319" s="46">
        <v>312095</v>
      </c>
      <c r="G1319" s="48" t="s">
        <v>797</v>
      </c>
      <c r="H1319" s="47">
        <v>44173</v>
      </c>
      <c r="I1319" s="46">
        <v>50870</v>
      </c>
      <c r="J1319" s="46">
        <v>2</v>
      </c>
      <c r="K1319" s="47">
        <v>44175</v>
      </c>
      <c r="L1319" s="46">
        <v>10650</v>
      </c>
      <c r="M1319" s="46">
        <v>2</v>
      </c>
    </row>
    <row r="1320" spans="2:13" ht="14.1" customHeight="1" x14ac:dyDescent="0.25">
      <c r="B1320" s="46" t="str">
        <f t="shared" si="20"/>
        <v>2012-39-312508</v>
      </c>
      <c r="C1320" s="47">
        <v>44172</v>
      </c>
      <c r="D1320" s="46">
        <v>39</v>
      </c>
      <c r="E1320" s="46">
        <v>1</v>
      </c>
      <c r="F1320" s="46">
        <v>312508</v>
      </c>
      <c r="G1320" s="48" t="s">
        <v>313</v>
      </c>
      <c r="H1320" s="47">
        <v>44173</v>
      </c>
      <c r="I1320" s="46">
        <v>50870</v>
      </c>
      <c r="J1320" s="46">
        <v>1</v>
      </c>
      <c r="K1320" s="47">
        <v>44175</v>
      </c>
      <c r="L1320" s="46">
        <v>10650</v>
      </c>
      <c r="M1320" s="46">
        <v>1</v>
      </c>
    </row>
    <row r="1321" spans="2:13" ht="14.1" customHeight="1" x14ac:dyDescent="0.25">
      <c r="B1321" s="46" t="str">
        <f t="shared" si="20"/>
        <v>2012-39-312536</v>
      </c>
      <c r="C1321" s="47">
        <v>44172</v>
      </c>
      <c r="D1321" s="46">
        <v>39</v>
      </c>
      <c r="E1321" s="46">
        <v>5</v>
      </c>
      <c r="F1321" s="46">
        <v>312536</v>
      </c>
      <c r="G1321" s="48" t="s">
        <v>812</v>
      </c>
      <c r="H1321" s="47">
        <v>44175</v>
      </c>
      <c r="I1321" s="46">
        <v>50899</v>
      </c>
      <c r="J1321" s="46">
        <v>5</v>
      </c>
      <c r="K1321" s="47">
        <v>44179</v>
      </c>
      <c r="L1321" s="46">
        <v>10679</v>
      </c>
      <c r="M1321" s="46">
        <v>5</v>
      </c>
    </row>
    <row r="1322" spans="2:13" ht="14.1" customHeight="1" x14ac:dyDescent="0.25">
      <c r="B1322" s="46" t="str">
        <f t="shared" si="20"/>
        <v>2012-39-309589</v>
      </c>
      <c r="C1322" s="47">
        <v>44172</v>
      </c>
      <c r="D1322" s="46">
        <v>39</v>
      </c>
      <c r="E1322" s="46">
        <v>4</v>
      </c>
      <c r="F1322" s="46">
        <v>309589</v>
      </c>
      <c r="G1322" s="48" t="s">
        <v>1093</v>
      </c>
      <c r="H1322" s="47">
        <v>44173</v>
      </c>
      <c r="I1322" s="46">
        <v>50870</v>
      </c>
      <c r="J1322" s="46">
        <v>4</v>
      </c>
      <c r="K1322" s="47">
        <v>44175</v>
      </c>
      <c r="L1322" s="46">
        <v>10650</v>
      </c>
      <c r="M1322" s="46">
        <v>4</v>
      </c>
    </row>
    <row r="1323" spans="2:13" ht="14.1" customHeight="1" x14ac:dyDescent="0.25">
      <c r="B1323" s="46" t="str">
        <f t="shared" si="20"/>
        <v>2012-40-314565</v>
      </c>
      <c r="C1323" s="47">
        <v>44172</v>
      </c>
      <c r="D1323" s="46">
        <v>40</v>
      </c>
      <c r="E1323" s="46">
        <v>20</v>
      </c>
      <c r="F1323" s="46">
        <v>314565</v>
      </c>
      <c r="G1323" s="48" t="s">
        <v>857</v>
      </c>
      <c r="H1323" s="47">
        <v>44173</v>
      </c>
      <c r="I1323" s="46">
        <v>50792</v>
      </c>
      <c r="J1323" s="46">
        <v>20</v>
      </c>
      <c r="K1323" s="47">
        <v>44176</v>
      </c>
      <c r="L1323" s="46">
        <v>10662</v>
      </c>
      <c r="M1323" s="46">
        <v>20</v>
      </c>
    </row>
    <row r="1324" spans="2:13" ht="14.1" customHeight="1" x14ac:dyDescent="0.25">
      <c r="B1324" s="46" t="str">
        <f t="shared" si="20"/>
        <v>2012-41-309161</v>
      </c>
      <c r="C1324" s="47">
        <v>44172</v>
      </c>
      <c r="D1324" s="46">
        <v>41</v>
      </c>
      <c r="E1324" s="46">
        <v>1</v>
      </c>
      <c r="F1324" s="46">
        <v>309161</v>
      </c>
      <c r="G1324" s="48" t="s">
        <v>755</v>
      </c>
      <c r="I1324" s="46">
        <v>0</v>
      </c>
      <c r="J1324" s="46">
        <v>0</v>
      </c>
      <c r="L1324" s="46">
        <v>0</v>
      </c>
      <c r="M1324" s="46">
        <v>0</v>
      </c>
    </row>
    <row r="1325" spans="2:13" ht="14.1" customHeight="1" x14ac:dyDescent="0.25">
      <c r="B1325" s="46" t="str">
        <f t="shared" si="20"/>
        <v>2012-42-320049</v>
      </c>
      <c r="C1325" s="47">
        <v>44172</v>
      </c>
      <c r="D1325" s="46">
        <v>42</v>
      </c>
      <c r="E1325" s="46">
        <v>200</v>
      </c>
      <c r="F1325" s="46">
        <v>320049</v>
      </c>
      <c r="G1325" s="48" t="s">
        <v>394</v>
      </c>
      <c r="H1325" s="47">
        <v>44182</v>
      </c>
      <c r="I1325" s="46">
        <v>50930</v>
      </c>
      <c r="J1325" s="46">
        <v>200</v>
      </c>
      <c r="K1325" s="47">
        <v>44201</v>
      </c>
      <c r="L1325" s="46">
        <v>10803</v>
      </c>
      <c r="M1325" s="46">
        <v>200</v>
      </c>
    </row>
    <row r="1326" spans="2:13" ht="14.1" customHeight="1" x14ac:dyDescent="0.25">
      <c r="B1326" s="46" t="str">
        <f t="shared" si="20"/>
        <v>2012-43-319688</v>
      </c>
      <c r="C1326" s="47">
        <v>44172</v>
      </c>
      <c r="D1326" s="46">
        <v>43</v>
      </c>
      <c r="E1326" s="46">
        <v>2000</v>
      </c>
      <c r="F1326" s="46">
        <v>319688</v>
      </c>
      <c r="G1326" s="48" t="s">
        <v>281</v>
      </c>
      <c r="H1326" s="47">
        <v>44172</v>
      </c>
      <c r="I1326" s="46">
        <v>50780</v>
      </c>
      <c r="J1326" s="46">
        <v>2000</v>
      </c>
      <c r="K1326" s="47">
        <v>44175</v>
      </c>
      <c r="L1326" s="46">
        <v>10652</v>
      </c>
      <c r="M1326" s="46">
        <v>2000</v>
      </c>
    </row>
    <row r="1327" spans="2:13" ht="14.1" customHeight="1" x14ac:dyDescent="0.25">
      <c r="B1327" s="46" t="str">
        <f t="shared" si="20"/>
        <v>2012-51-302569</v>
      </c>
      <c r="C1327" s="47">
        <v>44173</v>
      </c>
      <c r="D1327" s="46">
        <v>51</v>
      </c>
      <c r="E1327" s="46">
        <v>1</v>
      </c>
      <c r="F1327" s="46">
        <v>302569</v>
      </c>
      <c r="G1327" s="48" t="s">
        <v>642</v>
      </c>
      <c r="H1327" s="47">
        <v>44179</v>
      </c>
      <c r="I1327" s="46">
        <v>50895</v>
      </c>
      <c r="J1327" s="46">
        <v>1</v>
      </c>
      <c r="L1327" s="46">
        <v>0</v>
      </c>
      <c r="M1327" s="46">
        <v>0</v>
      </c>
    </row>
    <row r="1328" spans="2:13" ht="14.1" customHeight="1" x14ac:dyDescent="0.25">
      <c r="B1328" s="46" t="str">
        <f t="shared" si="20"/>
        <v>2012-53-303459</v>
      </c>
      <c r="C1328" s="47">
        <v>44173</v>
      </c>
      <c r="D1328" s="46">
        <v>53</v>
      </c>
      <c r="E1328" s="46">
        <v>3</v>
      </c>
      <c r="F1328" s="46">
        <v>303459</v>
      </c>
      <c r="G1328" s="48" t="s">
        <v>655</v>
      </c>
      <c r="H1328" s="47">
        <v>44175</v>
      </c>
      <c r="I1328" s="46">
        <v>50833</v>
      </c>
      <c r="J1328" s="46">
        <v>3</v>
      </c>
      <c r="K1328" s="47">
        <v>44179</v>
      </c>
      <c r="L1328" s="46">
        <v>10676</v>
      </c>
      <c r="M1328" s="46">
        <v>3</v>
      </c>
    </row>
    <row r="1329" spans="2:13" ht="14.1" customHeight="1" x14ac:dyDescent="0.25">
      <c r="B1329" s="46" t="str">
        <f t="shared" si="20"/>
        <v>2012-53-318024</v>
      </c>
      <c r="C1329" s="47">
        <v>44173</v>
      </c>
      <c r="D1329" s="46">
        <v>53</v>
      </c>
      <c r="E1329" s="46">
        <v>3</v>
      </c>
      <c r="F1329" s="46">
        <v>318024</v>
      </c>
      <c r="G1329" s="48" t="s">
        <v>916</v>
      </c>
      <c r="H1329" s="47">
        <v>44179</v>
      </c>
      <c r="I1329" s="46">
        <v>50875</v>
      </c>
      <c r="J1329" s="46">
        <v>3</v>
      </c>
      <c r="K1329" s="47">
        <v>44182</v>
      </c>
      <c r="L1329" s="46">
        <v>10708</v>
      </c>
      <c r="M1329" s="46">
        <v>3</v>
      </c>
    </row>
    <row r="1330" spans="2:13" ht="14.1" customHeight="1" x14ac:dyDescent="0.25">
      <c r="B1330" s="46" t="str">
        <f t="shared" si="20"/>
        <v>2012-53-320492</v>
      </c>
      <c r="C1330" s="47">
        <v>44173</v>
      </c>
      <c r="D1330" s="46">
        <v>53</v>
      </c>
      <c r="E1330" s="46">
        <v>6</v>
      </c>
      <c r="F1330" s="46">
        <v>320492</v>
      </c>
      <c r="G1330" s="48" t="s">
        <v>1085</v>
      </c>
      <c r="H1330" s="47">
        <v>44175</v>
      </c>
      <c r="I1330" s="46">
        <v>50833</v>
      </c>
      <c r="J1330" s="46">
        <v>6</v>
      </c>
      <c r="K1330" s="47">
        <v>44179</v>
      </c>
      <c r="L1330" s="46">
        <v>10676</v>
      </c>
      <c r="M1330" s="46">
        <v>6</v>
      </c>
    </row>
    <row r="1331" spans="2:13" ht="14.1" customHeight="1" x14ac:dyDescent="0.25">
      <c r="B1331" s="46" t="str">
        <f t="shared" si="20"/>
        <v>2012-53-303860</v>
      </c>
      <c r="C1331" s="47">
        <v>44173</v>
      </c>
      <c r="D1331" s="46">
        <v>53</v>
      </c>
      <c r="E1331" s="46">
        <v>100</v>
      </c>
      <c r="F1331" s="46">
        <v>303860</v>
      </c>
      <c r="G1331" s="48" t="s">
        <v>361</v>
      </c>
      <c r="H1331" s="47">
        <v>44175</v>
      </c>
      <c r="I1331" s="46">
        <v>50833</v>
      </c>
      <c r="J1331" s="46">
        <v>100</v>
      </c>
      <c r="K1331" s="47">
        <v>44179</v>
      </c>
      <c r="L1331" s="46">
        <v>10676</v>
      </c>
      <c r="M1331" s="46">
        <v>100</v>
      </c>
    </row>
    <row r="1332" spans="2:13" ht="14.1" customHeight="1" x14ac:dyDescent="0.25">
      <c r="B1332" s="46" t="str">
        <f t="shared" si="20"/>
        <v>2012-53-311264</v>
      </c>
      <c r="C1332" s="47">
        <v>44173</v>
      </c>
      <c r="D1332" s="46">
        <v>53</v>
      </c>
      <c r="E1332" s="46">
        <v>3</v>
      </c>
      <c r="F1332" s="46">
        <v>311264</v>
      </c>
      <c r="G1332" s="48" t="s">
        <v>788</v>
      </c>
      <c r="H1332" s="47">
        <v>44175</v>
      </c>
      <c r="I1332" s="46">
        <v>50833</v>
      </c>
      <c r="J1332" s="46">
        <v>3</v>
      </c>
      <c r="K1332" s="47">
        <v>44179</v>
      </c>
      <c r="L1332" s="46">
        <v>10676</v>
      </c>
      <c r="M1332" s="46">
        <v>3</v>
      </c>
    </row>
    <row r="1333" spans="2:13" ht="14.1" customHeight="1" x14ac:dyDescent="0.25">
      <c r="B1333" s="46" t="str">
        <f t="shared" si="20"/>
        <v>2012-53-320493</v>
      </c>
      <c r="C1333" s="47">
        <v>44173</v>
      </c>
      <c r="D1333" s="46">
        <v>53</v>
      </c>
      <c r="E1333" s="46">
        <v>30</v>
      </c>
      <c r="F1333" s="46">
        <v>320493</v>
      </c>
      <c r="G1333" s="50" t="s">
        <v>1086</v>
      </c>
      <c r="H1333" s="47">
        <v>44175</v>
      </c>
      <c r="I1333" s="46">
        <v>50833</v>
      </c>
      <c r="J1333" s="46">
        <v>30</v>
      </c>
      <c r="K1333" s="47">
        <v>44179</v>
      </c>
      <c r="L1333" s="46">
        <v>10676</v>
      </c>
      <c r="M1333" s="46">
        <v>30</v>
      </c>
    </row>
    <row r="1334" spans="2:13" ht="14.1" customHeight="1" x14ac:dyDescent="0.25">
      <c r="B1334" s="46" t="str">
        <f t="shared" si="20"/>
        <v>2012-56-205571</v>
      </c>
      <c r="C1334" s="47">
        <v>44173</v>
      </c>
      <c r="D1334" s="46">
        <v>56</v>
      </c>
      <c r="E1334" s="46">
        <v>1</v>
      </c>
      <c r="F1334" s="46">
        <v>205571</v>
      </c>
      <c r="G1334" s="48" t="s">
        <v>566</v>
      </c>
      <c r="H1334" s="47">
        <v>44173</v>
      </c>
      <c r="I1334" s="46">
        <v>50805</v>
      </c>
      <c r="J1334" s="46">
        <v>1</v>
      </c>
      <c r="K1334" s="47">
        <v>44173</v>
      </c>
      <c r="L1334" s="46">
        <v>10623</v>
      </c>
      <c r="M1334" s="46">
        <v>1</v>
      </c>
    </row>
    <row r="1335" spans="2:13" ht="14.1" customHeight="1" x14ac:dyDescent="0.25">
      <c r="B1335" s="46" t="str">
        <f t="shared" si="20"/>
        <v>2012-56-205572</v>
      </c>
      <c r="C1335" s="47">
        <v>44173</v>
      </c>
      <c r="D1335" s="46">
        <v>56</v>
      </c>
      <c r="E1335" s="46">
        <v>1</v>
      </c>
      <c r="F1335" s="46">
        <v>205572</v>
      </c>
      <c r="G1335" s="48" t="s">
        <v>567</v>
      </c>
      <c r="H1335" s="47">
        <v>44173</v>
      </c>
      <c r="I1335" s="46">
        <v>50805</v>
      </c>
      <c r="J1335" s="46">
        <v>1</v>
      </c>
      <c r="K1335" s="47">
        <v>44173</v>
      </c>
      <c r="L1335" s="46">
        <v>10623</v>
      </c>
      <c r="M1335" s="46">
        <v>1</v>
      </c>
    </row>
    <row r="1336" spans="2:13" ht="14.1" customHeight="1" x14ac:dyDescent="0.25">
      <c r="B1336" s="46" t="str">
        <f t="shared" si="20"/>
        <v>2012-57-206218</v>
      </c>
      <c r="C1336" s="47">
        <v>44173</v>
      </c>
      <c r="D1336" s="46">
        <v>57</v>
      </c>
      <c r="E1336" s="46">
        <v>3000</v>
      </c>
      <c r="F1336" s="46">
        <v>206218</v>
      </c>
      <c r="G1336" s="48" t="s">
        <v>213</v>
      </c>
      <c r="H1336" s="47">
        <v>44179</v>
      </c>
      <c r="I1336" s="46">
        <v>50888</v>
      </c>
      <c r="J1336" s="46">
        <v>3000</v>
      </c>
      <c r="K1336" s="47">
        <v>44194</v>
      </c>
      <c r="L1336" s="46">
        <v>10768</v>
      </c>
      <c r="M1336" s="46">
        <v>3000</v>
      </c>
    </row>
    <row r="1337" spans="2:13" ht="14.1" customHeight="1" x14ac:dyDescent="0.25">
      <c r="B1337" s="46" t="str">
        <f t="shared" si="20"/>
        <v>2012-57-107280</v>
      </c>
      <c r="C1337" s="47">
        <v>44173</v>
      </c>
      <c r="D1337" s="46">
        <v>57</v>
      </c>
      <c r="E1337" s="46">
        <v>4000</v>
      </c>
      <c r="F1337" s="46">
        <v>107280</v>
      </c>
      <c r="G1337" s="48" t="s">
        <v>131</v>
      </c>
      <c r="H1337" s="47">
        <v>44179</v>
      </c>
      <c r="I1337" s="46">
        <v>50887</v>
      </c>
      <c r="J1337" s="46">
        <v>4000</v>
      </c>
      <c r="K1337" s="47">
        <v>44193</v>
      </c>
      <c r="L1337" s="46">
        <v>10763</v>
      </c>
      <c r="M1337" s="46">
        <v>4000</v>
      </c>
    </row>
    <row r="1338" spans="2:13" ht="14.1" customHeight="1" x14ac:dyDescent="0.25">
      <c r="B1338" s="46" t="str">
        <f t="shared" si="20"/>
        <v>2012-57-311507</v>
      </c>
      <c r="C1338" s="47">
        <v>44173</v>
      </c>
      <c r="D1338" s="46">
        <v>57</v>
      </c>
      <c r="E1338" s="46">
        <v>20</v>
      </c>
      <c r="F1338" s="46">
        <v>311507</v>
      </c>
      <c r="G1338" s="50" t="s">
        <v>51</v>
      </c>
      <c r="H1338" s="47">
        <v>44186</v>
      </c>
      <c r="I1338" s="46">
        <v>51010</v>
      </c>
      <c r="J1338" s="46">
        <v>20</v>
      </c>
      <c r="K1338" s="47">
        <v>44202</v>
      </c>
      <c r="L1338" s="46">
        <v>10810</v>
      </c>
      <c r="M1338" s="46">
        <v>20</v>
      </c>
    </row>
    <row r="1339" spans="2:13" ht="14.1" customHeight="1" x14ac:dyDescent="0.25">
      <c r="B1339" s="46" t="str">
        <f t="shared" si="20"/>
        <v>2012-58-320072</v>
      </c>
      <c r="C1339" s="47">
        <v>44173</v>
      </c>
      <c r="D1339" s="46">
        <v>58</v>
      </c>
      <c r="E1339" s="46">
        <v>400</v>
      </c>
      <c r="F1339" s="46">
        <v>320072</v>
      </c>
      <c r="G1339" s="48" t="s">
        <v>943</v>
      </c>
      <c r="H1339" s="47">
        <v>44186</v>
      </c>
      <c r="I1339" s="46">
        <v>51006</v>
      </c>
      <c r="J1339" s="46">
        <v>400</v>
      </c>
      <c r="K1339" s="47">
        <v>44209</v>
      </c>
      <c r="L1339" s="46">
        <v>10870</v>
      </c>
      <c r="M1339" s="46">
        <v>400</v>
      </c>
    </row>
    <row r="1340" spans="2:13" ht="14.1" customHeight="1" x14ac:dyDescent="0.25">
      <c r="B1340" s="46" t="str">
        <f t="shared" si="20"/>
        <v>2012-61-306475</v>
      </c>
      <c r="C1340" s="47">
        <v>44174</v>
      </c>
      <c r="D1340" s="46">
        <v>61</v>
      </c>
      <c r="E1340" s="46">
        <v>2</v>
      </c>
      <c r="F1340" s="46">
        <v>306475</v>
      </c>
      <c r="G1340" s="48" t="s">
        <v>709</v>
      </c>
      <c r="H1340" s="47">
        <v>44229</v>
      </c>
      <c r="I1340" s="46">
        <v>51452</v>
      </c>
      <c r="J1340" s="46">
        <v>2</v>
      </c>
      <c r="K1340" s="47">
        <v>44264</v>
      </c>
      <c r="L1340" s="46">
        <v>11443</v>
      </c>
      <c r="M1340" s="46">
        <v>2</v>
      </c>
    </row>
    <row r="1341" spans="2:13" ht="14.1" customHeight="1" x14ac:dyDescent="0.25">
      <c r="B1341" s="46" t="str">
        <f t="shared" si="20"/>
        <v>2012-62-320495</v>
      </c>
      <c r="C1341" s="47">
        <v>44174</v>
      </c>
      <c r="D1341" s="46">
        <v>62</v>
      </c>
      <c r="E1341" s="46">
        <v>4</v>
      </c>
      <c r="F1341" s="46">
        <v>320495</v>
      </c>
      <c r="G1341" s="48" t="s">
        <v>1088</v>
      </c>
      <c r="H1341" s="47">
        <v>44176</v>
      </c>
      <c r="I1341" s="46">
        <v>50845</v>
      </c>
      <c r="J1341" s="46">
        <v>4</v>
      </c>
      <c r="K1341" s="47">
        <v>44211</v>
      </c>
      <c r="L1341" s="46">
        <v>10905</v>
      </c>
      <c r="M1341" s="46">
        <v>4</v>
      </c>
    </row>
    <row r="1342" spans="2:13" ht="14.1" customHeight="1" x14ac:dyDescent="0.25">
      <c r="B1342" s="46" t="str">
        <f t="shared" si="20"/>
        <v>2012-62-320496</v>
      </c>
      <c r="C1342" s="47">
        <v>44174</v>
      </c>
      <c r="D1342" s="46">
        <v>62</v>
      </c>
      <c r="E1342" s="46">
        <v>4</v>
      </c>
      <c r="F1342" s="46">
        <v>320496</v>
      </c>
      <c r="G1342" s="48" t="s">
        <v>1089</v>
      </c>
      <c r="H1342" s="47">
        <v>44176</v>
      </c>
      <c r="I1342" s="46">
        <v>50845</v>
      </c>
      <c r="J1342" s="46">
        <v>4</v>
      </c>
      <c r="K1342" s="47">
        <v>44211</v>
      </c>
      <c r="L1342" s="46">
        <v>10905</v>
      </c>
      <c r="M1342" s="46">
        <v>4</v>
      </c>
    </row>
    <row r="1343" spans="2:13" ht="14.1" customHeight="1" x14ac:dyDescent="0.25">
      <c r="B1343" s="46" t="str">
        <f t="shared" si="20"/>
        <v>2012-62-320497</v>
      </c>
      <c r="C1343" s="47">
        <v>44174</v>
      </c>
      <c r="D1343" s="46">
        <v>62</v>
      </c>
      <c r="E1343" s="46">
        <v>4</v>
      </c>
      <c r="F1343" s="46">
        <v>320497</v>
      </c>
      <c r="G1343" s="48" t="s">
        <v>1090</v>
      </c>
      <c r="H1343" s="47">
        <v>44176</v>
      </c>
      <c r="I1343" s="46">
        <v>50845</v>
      </c>
      <c r="J1343" s="46">
        <v>4</v>
      </c>
      <c r="K1343" s="47">
        <v>44211</v>
      </c>
      <c r="L1343" s="46">
        <v>10905</v>
      </c>
      <c r="M1343" s="46">
        <v>4</v>
      </c>
    </row>
    <row r="1344" spans="2:13" ht="14.1" customHeight="1" x14ac:dyDescent="0.25">
      <c r="B1344" s="46" t="str">
        <f t="shared" si="20"/>
        <v>2012-62-320494</v>
      </c>
      <c r="C1344" s="47">
        <v>44174</v>
      </c>
      <c r="D1344" s="46">
        <v>62</v>
      </c>
      <c r="E1344" s="46">
        <v>4</v>
      </c>
      <c r="F1344" s="46">
        <v>320494</v>
      </c>
      <c r="G1344" s="48" t="s">
        <v>1087</v>
      </c>
      <c r="H1344" s="47">
        <v>44176</v>
      </c>
      <c r="I1344" s="46">
        <v>50845</v>
      </c>
      <c r="J1344" s="46">
        <v>4</v>
      </c>
      <c r="K1344" s="47">
        <v>44211</v>
      </c>
      <c r="L1344" s="46">
        <v>10905</v>
      </c>
      <c r="M1344" s="46">
        <v>4</v>
      </c>
    </row>
    <row r="1345" spans="2:13" ht="14.1" customHeight="1" x14ac:dyDescent="0.25">
      <c r="B1345" s="46" t="str">
        <f t="shared" si="20"/>
        <v>2012-63-320498</v>
      </c>
      <c r="C1345" s="47">
        <v>44174</v>
      </c>
      <c r="D1345" s="46">
        <v>63</v>
      </c>
      <c r="E1345" s="46">
        <v>2</v>
      </c>
      <c r="F1345" s="46">
        <v>320498</v>
      </c>
      <c r="G1345" s="48" t="s">
        <v>1091</v>
      </c>
      <c r="H1345" s="47">
        <v>44182</v>
      </c>
      <c r="I1345" s="46">
        <v>50952</v>
      </c>
      <c r="J1345" s="46">
        <v>2</v>
      </c>
      <c r="L1345" s="46">
        <v>0</v>
      </c>
      <c r="M1345" s="46">
        <v>0</v>
      </c>
    </row>
    <row r="1346" spans="2:13" ht="14.1" customHeight="1" x14ac:dyDescent="0.25">
      <c r="B1346" s="46" t="str">
        <f t="shared" si="20"/>
        <v>2012-67-200751</v>
      </c>
      <c r="C1346" s="47">
        <v>44174</v>
      </c>
      <c r="D1346" s="46">
        <v>67</v>
      </c>
      <c r="E1346" s="46">
        <v>20000</v>
      </c>
      <c r="F1346" s="46">
        <v>200751</v>
      </c>
      <c r="G1346" s="48" t="s">
        <v>151</v>
      </c>
      <c r="H1346" s="47">
        <v>44172</v>
      </c>
      <c r="I1346" s="46">
        <v>50839</v>
      </c>
      <c r="J1346" s="46">
        <v>10000</v>
      </c>
      <c r="K1346" s="47">
        <v>44174</v>
      </c>
      <c r="L1346" s="46">
        <v>10633</v>
      </c>
      <c r="M1346" s="46">
        <v>10000</v>
      </c>
    </row>
    <row r="1347" spans="2:13" ht="14.1" customHeight="1" x14ac:dyDescent="0.25">
      <c r="B1347" s="46" t="str">
        <f t="shared" si="20"/>
        <v>2012-67-200751</v>
      </c>
      <c r="C1347" s="47">
        <v>44174</v>
      </c>
      <c r="D1347" s="46">
        <v>67</v>
      </c>
      <c r="E1347" s="46">
        <v>20000</v>
      </c>
      <c r="F1347" s="46">
        <v>200751</v>
      </c>
      <c r="G1347" s="48" t="s">
        <v>151</v>
      </c>
      <c r="H1347" s="47">
        <v>44172</v>
      </c>
      <c r="I1347" s="46">
        <v>50839</v>
      </c>
      <c r="J1347" s="46">
        <v>10000</v>
      </c>
      <c r="K1347" s="47">
        <v>44174</v>
      </c>
      <c r="L1347" s="46">
        <v>10634</v>
      </c>
      <c r="M1347" s="46">
        <v>10000</v>
      </c>
    </row>
    <row r="1348" spans="2:13" ht="14.1" customHeight="1" x14ac:dyDescent="0.25">
      <c r="B1348" s="46" t="str">
        <f t="shared" si="20"/>
        <v>2012-67-200751</v>
      </c>
      <c r="C1348" s="47">
        <v>44174</v>
      </c>
      <c r="D1348" s="46">
        <v>67</v>
      </c>
      <c r="E1348" s="46">
        <v>20000</v>
      </c>
      <c r="F1348" s="46">
        <v>200751</v>
      </c>
      <c r="G1348" s="48" t="s">
        <v>151</v>
      </c>
      <c r="H1348" s="47">
        <v>44172</v>
      </c>
      <c r="I1348" s="46">
        <v>50841</v>
      </c>
      <c r="J1348" s="46">
        <v>10000</v>
      </c>
      <c r="K1348" s="47">
        <v>44174</v>
      </c>
      <c r="L1348" s="46">
        <v>10633</v>
      </c>
      <c r="M1348" s="46">
        <v>10000</v>
      </c>
    </row>
    <row r="1349" spans="2:13" ht="14.1" customHeight="1" x14ac:dyDescent="0.25">
      <c r="B1349" s="46" t="str">
        <f t="shared" si="20"/>
        <v>2012-67-200751</v>
      </c>
      <c r="C1349" s="47">
        <v>44174</v>
      </c>
      <c r="D1349" s="46">
        <v>67</v>
      </c>
      <c r="E1349" s="46">
        <v>20000</v>
      </c>
      <c r="F1349" s="46">
        <v>200751</v>
      </c>
      <c r="G1349" s="48" t="s">
        <v>151</v>
      </c>
      <c r="H1349" s="47">
        <v>44172</v>
      </c>
      <c r="I1349" s="46">
        <v>50841</v>
      </c>
      <c r="J1349" s="46">
        <v>10000</v>
      </c>
      <c r="K1349" s="47">
        <v>44174</v>
      </c>
      <c r="L1349" s="46">
        <v>10634</v>
      </c>
      <c r="M1349" s="46">
        <v>10000</v>
      </c>
    </row>
    <row r="1350" spans="2:13" ht="14.1" customHeight="1" x14ac:dyDescent="0.25">
      <c r="B1350" s="46" t="str">
        <f t="shared" si="20"/>
        <v>2012-73-317569</v>
      </c>
      <c r="C1350" s="47">
        <v>44174</v>
      </c>
      <c r="D1350" s="46">
        <v>73</v>
      </c>
      <c r="E1350" s="46">
        <v>1</v>
      </c>
      <c r="F1350" s="46">
        <v>317569</v>
      </c>
      <c r="G1350" s="48" t="s">
        <v>911</v>
      </c>
      <c r="H1350" s="47">
        <v>44174</v>
      </c>
      <c r="I1350" s="46">
        <v>50843</v>
      </c>
      <c r="J1350" s="46">
        <v>1</v>
      </c>
      <c r="K1350" s="47">
        <v>44174</v>
      </c>
      <c r="L1350" s="46">
        <v>10642</v>
      </c>
      <c r="M1350" s="46">
        <v>1</v>
      </c>
    </row>
    <row r="1351" spans="2:13" ht="14.1" customHeight="1" x14ac:dyDescent="0.25">
      <c r="B1351" s="46" t="str">
        <f t="shared" si="20"/>
        <v>2012-74-200751</v>
      </c>
      <c r="C1351" s="47">
        <v>44174</v>
      </c>
      <c r="D1351" s="46">
        <v>74</v>
      </c>
      <c r="E1351" s="46">
        <v>30000</v>
      </c>
      <c r="F1351" s="46">
        <v>200751</v>
      </c>
      <c r="G1351" s="48" t="s">
        <v>151</v>
      </c>
      <c r="H1351" s="47">
        <v>44175</v>
      </c>
      <c r="I1351" s="46">
        <v>50974</v>
      </c>
      <c r="J1351" s="46">
        <v>10000</v>
      </c>
      <c r="K1351" s="47">
        <v>44175</v>
      </c>
      <c r="L1351" s="46">
        <v>10659</v>
      </c>
      <c r="M1351" s="46">
        <v>10000</v>
      </c>
    </row>
    <row r="1352" spans="2:13" ht="14.1" customHeight="1" x14ac:dyDescent="0.25">
      <c r="B1352" s="46" t="str">
        <f t="shared" si="20"/>
        <v>2012-74-200751</v>
      </c>
      <c r="C1352" s="47">
        <v>44174</v>
      </c>
      <c r="D1352" s="46">
        <v>74</v>
      </c>
      <c r="E1352" s="46">
        <v>30000</v>
      </c>
      <c r="F1352" s="46">
        <v>200751</v>
      </c>
      <c r="G1352" s="48" t="s">
        <v>151</v>
      </c>
      <c r="H1352" s="47">
        <v>44175</v>
      </c>
      <c r="I1352" s="46">
        <v>50974</v>
      </c>
      <c r="J1352" s="46">
        <v>10000</v>
      </c>
      <c r="K1352" s="47">
        <v>44179</v>
      </c>
      <c r="L1352" s="46">
        <v>10684</v>
      </c>
      <c r="M1352" s="46">
        <v>10000</v>
      </c>
    </row>
    <row r="1353" spans="2:13" ht="14.1" customHeight="1" x14ac:dyDescent="0.25">
      <c r="B1353" s="46" t="str">
        <f t="shared" si="20"/>
        <v>2012-74-200751</v>
      </c>
      <c r="C1353" s="47">
        <v>44174</v>
      </c>
      <c r="D1353" s="46">
        <v>74</v>
      </c>
      <c r="E1353" s="46">
        <v>30000</v>
      </c>
      <c r="F1353" s="46">
        <v>200751</v>
      </c>
      <c r="G1353" s="48" t="s">
        <v>151</v>
      </c>
      <c r="H1353" s="47">
        <v>44175</v>
      </c>
      <c r="I1353" s="46">
        <v>50974</v>
      </c>
      <c r="J1353" s="46">
        <v>10000</v>
      </c>
      <c r="K1353" s="47">
        <v>44180</v>
      </c>
      <c r="L1353" s="46">
        <v>10695</v>
      </c>
      <c r="M1353" s="46">
        <v>10000</v>
      </c>
    </row>
    <row r="1354" spans="2:13" ht="14.1" customHeight="1" x14ac:dyDescent="0.25">
      <c r="B1354" s="46" t="str">
        <f t="shared" si="20"/>
        <v>2012-74-200751</v>
      </c>
      <c r="C1354" s="47">
        <v>44174</v>
      </c>
      <c r="D1354" s="46">
        <v>74</v>
      </c>
      <c r="E1354" s="46">
        <v>30000</v>
      </c>
      <c r="F1354" s="46">
        <v>200751</v>
      </c>
      <c r="G1354" s="48" t="s">
        <v>151</v>
      </c>
      <c r="H1354" s="47">
        <v>44176</v>
      </c>
      <c r="I1354" s="46">
        <v>50893</v>
      </c>
      <c r="J1354" s="46">
        <v>10000</v>
      </c>
      <c r="K1354" s="47">
        <v>44175</v>
      </c>
      <c r="L1354" s="46">
        <v>10659</v>
      </c>
      <c r="M1354" s="46">
        <v>10000</v>
      </c>
    </row>
    <row r="1355" spans="2:13" ht="14.1" customHeight="1" x14ac:dyDescent="0.25">
      <c r="B1355" s="46" t="str">
        <f t="shared" si="20"/>
        <v>2012-74-200751</v>
      </c>
      <c r="C1355" s="47">
        <v>44174</v>
      </c>
      <c r="D1355" s="46">
        <v>74</v>
      </c>
      <c r="E1355" s="46">
        <v>30000</v>
      </c>
      <c r="F1355" s="46">
        <v>200751</v>
      </c>
      <c r="G1355" s="48" t="s">
        <v>151</v>
      </c>
      <c r="H1355" s="47">
        <v>44176</v>
      </c>
      <c r="I1355" s="46">
        <v>50893</v>
      </c>
      <c r="J1355" s="46">
        <v>10000</v>
      </c>
      <c r="K1355" s="47">
        <v>44179</v>
      </c>
      <c r="L1355" s="46">
        <v>10684</v>
      </c>
      <c r="M1355" s="46">
        <v>10000</v>
      </c>
    </row>
    <row r="1356" spans="2:13" ht="14.1" customHeight="1" x14ac:dyDescent="0.25">
      <c r="B1356" s="46" t="str">
        <f t="shared" ref="B1356:B1419" si="21">TEXT(C1356,"yy") &amp; TEXT(C1356,"mm") &amp;"-"&amp;(D1356) &amp;"-"&amp;(F1356)</f>
        <v>2012-74-200751</v>
      </c>
      <c r="C1356" s="47">
        <v>44174</v>
      </c>
      <c r="D1356" s="46">
        <v>74</v>
      </c>
      <c r="E1356" s="46">
        <v>30000</v>
      </c>
      <c r="F1356" s="46">
        <v>200751</v>
      </c>
      <c r="G1356" s="48" t="s">
        <v>151</v>
      </c>
      <c r="H1356" s="47">
        <v>44176</v>
      </c>
      <c r="I1356" s="46">
        <v>50893</v>
      </c>
      <c r="J1356" s="46">
        <v>10000</v>
      </c>
      <c r="K1356" s="47">
        <v>44180</v>
      </c>
      <c r="L1356" s="46">
        <v>10695</v>
      </c>
      <c r="M1356" s="46">
        <v>10000</v>
      </c>
    </row>
    <row r="1357" spans="2:13" ht="14.1" customHeight="1" x14ac:dyDescent="0.25">
      <c r="B1357" s="46" t="str">
        <f t="shared" si="21"/>
        <v>2012-74-200751</v>
      </c>
      <c r="C1357" s="47">
        <v>44174</v>
      </c>
      <c r="D1357" s="46">
        <v>74</v>
      </c>
      <c r="E1357" s="46">
        <v>30000</v>
      </c>
      <c r="F1357" s="46">
        <v>200751</v>
      </c>
      <c r="G1357" s="48" t="s">
        <v>151</v>
      </c>
      <c r="H1357" s="47">
        <v>44179</v>
      </c>
      <c r="I1357" s="46">
        <v>50909</v>
      </c>
      <c r="J1357" s="46">
        <v>10000</v>
      </c>
      <c r="K1357" s="47">
        <v>44175</v>
      </c>
      <c r="L1357" s="46">
        <v>10659</v>
      </c>
      <c r="M1357" s="46">
        <v>10000</v>
      </c>
    </row>
    <row r="1358" spans="2:13" ht="14.1" customHeight="1" x14ac:dyDescent="0.25">
      <c r="B1358" s="46" t="str">
        <f t="shared" si="21"/>
        <v>2012-74-200751</v>
      </c>
      <c r="C1358" s="47">
        <v>44174</v>
      </c>
      <c r="D1358" s="46">
        <v>74</v>
      </c>
      <c r="E1358" s="46">
        <v>30000</v>
      </c>
      <c r="F1358" s="46">
        <v>200751</v>
      </c>
      <c r="G1358" s="48" t="s">
        <v>151</v>
      </c>
      <c r="H1358" s="47">
        <v>44179</v>
      </c>
      <c r="I1358" s="46">
        <v>50909</v>
      </c>
      <c r="J1358" s="46">
        <v>10000</v>
      </c>
      <c r="K1358" s="47">
        <v>44179</v>
      </c>
      <c r="L1358" s="46">
        <v>10684</v>
      </c>
      <c r="M1358" s="46">
        <v>10000</v>
      </c>
    </row>
    <row r="1359" spans="2:13" ht="14.1" customHeight="1" x14ac:dyDescent="0.25">
      <c r="B1359" s="46" t="str">
        <f t="shared" si="21"/>
        <v>2012-74-200751</v>
      </c>
      <c r="C1359" s="47">
        <v>44174</v>
      </c>
      <c r="D1359" s="46">
        <v>74</v>
      </c>
      <c r="E1359" s="46">
        <v>30000</v>
      </c>
      <c r="F1359" s="46">
        <v>200751</v>
      </c>
      <c r="G1359" s="48" t="s">
        <v>151</v>
      </c>
      <c r="H1359" s="47">
        <v>44179</v>
      </c>
      <c r="I1359" s="46">
        <v>50909</v>
      </c>
      <c r="J1359" s="46">
        <v>10000</v>
      </c>
      <c r="K1359" s="47">
        <v>44180</v>
      </c>
      <c r="L1359" s="46">
        <v>10695</v>
      </c>
      <c r="M1359" s="46">
        <v>10000</v>
      </c>
    </row>
    <row r="1360" spans="2:13" ht="14.1" customHeight="1" x14ac:dyDescent="0.25">
      <c r="B1360" s="46" t="str">
        <f t="shared" si="21"/>
        <v>2012-75-105719</v>
      </c>
      <c r="C1360" s="47">
        <v>44175</v>
      </c>
      <c r="D1360" s="46">
        <v>75</v>
      </c>
      <c r="E1360" s="46">
        <v>7</v>
      </c>
      <c r="F1360" s="46">
        <v>105719</v>
      </c>
      <c r="G1360" s="48" t="s">
        <v>127</v>
      </c>
      <c r="H1360" s="47">
        <v>44175</v>
      </c>
      <c r="I1360" s="46">
        <v>50837</v>
      </c>
      <c r="J1360" s="46">
        <v>7</v>
      </c>
      <c r="K1360" s="47">
        <v>44179</v>
      </c>
      <c r="L1360" s="46">
        <v>10681</v>
      </c>
      <c r="M1360" s="46">
        <v>7</v>
      </c>
    </row>
    <row r="1361" spans="2:13" ht="14.1" customHeight="1" x14ac:dyDescent="0.25">
      <c r="B1361" s="46" t="str">
        <f t="shared" si="21"/>
        <v>2012-76-306936</v>
      </c>
      <c r="C1361" s="47">
        <v>44175</v>
      </c>
      <c r="D1361" s="46">
        <v>76</v>
      </c>
      <c r="E1361" s="46">
        <v>1</v>
      </c>
      <c r="F1361" s="46">
        <v>306936</v>
      </c>
      <c r="G1361" s="48" t="s">
        <v>718</v>
      </c>
      <c r="H1361" s="47">
        <v>44166</v>
      </c>
      <c r="I1361" s="46">
        <v>50872</v>
      </c>
      <c r="J1361" s="46">
        <v>1</v>
      </c>
      <c r="K1361" s="47">
        <v>44175</v>
      </c>
      <c r="L1361" s="46">
        <v>10654</v>
      </c>
      <c r="M1361" s="46">
        <v>1</v>
      </c>
    </row>
    <row r="1362" spans="2:13" ht="14.1" customHeight="1" x14ac:dyDescent="0.25">
      <c r="B1362" s="46" t="str">
        <f t="shared" si="21"/>
        <v>2012-76-106658</v>
      </c>
      <c r="C1362" s="47">
        <v>44175</v>
      </c>
      <c r="D1362" s="46">
        <v>76</v>
      </c>
      <c r="E1362" s="46">
        <v>1</v>
      </c>
      <c r="F1362" s="46">
        <v>106658</v>
      </c>
      <c r="G1362" s="48" t="s">
        <v>471</v>
      </c>
      <c r="H1362" s="47">
        <v>44166</v>
      </c>
      <c r="I1362" s="46">
        <v>50872</v>
      </c>
      <c r="J1362" s="46">
        <v>1</v>
      </c>
      <c r="K1362" s="47">
        <v>44175</v>
      </c>
      <c r="L1362" s="46">
        <v>10654</v>
      </c>
      <c r="M1362" s="46">
        <v>1</v>
      </c>
    </row>
    <row r="1363" spans="2:13" ht="14.1" customHeight="1" x14ac:dyDescent="0.25">
      <c r="B1363" s="46" t="str">
        <f t="shared" si="21"/>
        <v>2012-76-304485</v>
      </c>
      <c r="C1363" s="47">
        <v>44175</v>
      </c>
      <c r="D1363" s="46">
        <v>76</v>
      </c>
      <c r="E1363" s="46">
        <v>1</v>
      </c>
      <c r="F1363" s="46">
        <v>304485</v>
      </c>
      <c r="G1363" s="48" t="s">
        <v>672</v>
      </c>
      <c r="H1363" s="47">
        <v>44166</v>
      </c>
      <c r="I1363" s="46">
        <v>50872</v>
      </c>
      <c r="J1363" s="46">
        <v>1</v>
      </c>
      <c r="K1363" s="47">
        <v>44175</v>
      </c>
      <c r="L1363" s="46">
        <v>10654</v>
      </c>
      <c r="M1363" s="46">
        <v>1</v>
      </c>
    </row>
    <row r="1364" spans="2:13" ht="14.1" customHeight="1" x14ac:dyDescent="0.25">
      <c r="B1364" s="46" t="str">
        <f t="shared" si="21"/>
        <v>2012-76-303819</v>
      </c>
      <c r="C1364" s="47">
        <v>44175</v>
      </c>
      <c r="D1364" s="46">
        <v>76</v>
      </c>
      <c r="E1364" s="46">
        <v>1</v>
      </c>
      <c r="F1364" s="46">
        <v>303819</v>
      </c>
      <c r="G1364" s="48" t="s">
        <v>664</v>
      </c>
      <c r="H1364" s="47">
        <v>44166</v>
      </c>
      <c r="I1364" s="46">
        <v>50872</v>
      </c>
      <c r="J1364" s="46">
        <v>1</v>
      </c>
      <c r="K1364" s="47">
        <v>44175</v>
      </c>
      <c r="L1364" s="46">
        <v>10654</v>
      </c>
      <c r="M1364" s="46">
        <v>1</v>
      </c>
    </row>
    <row r="1365" spans="2:13" ht="14.1" customHeight="1" x14ac:dyDescent="0.25">
      <c r="B1365" s="46" t="str">
        <f t="shared" si="21"/>
        <v>2012-76-310755</v>
      </c>
      <c r="C1365" s="47">
        <v>44175</v>
      </c>
      <c r="D1365" s="46">
        <v>76</v>
      </c>
      <c r="E1365" s="46">
        <v>1</v>
      </c>
      <c r="F1365" s="46">
        <v>310755</v>
      </c>
      <c r="G1365" s="48" t="s">
        <v>779</v>
      </c>
      <c r="H1365" s="47">
        <v>44166</v>
      </c>
      <c r="I1365" s="46">
        <v>50872</v>
      </c>
      <c r="J1365" s="46">
        <v>1</v>
      </c>
      <c r="K1365" s="47">
        <v>44175</v>
      </c>
      <c r="L1365" s="46">
        <v>10654</v>
      </c>
      <c r="M1365" s="46">
        <v>1</v>
      </c>
    </row>
    <row r="1366" spans="2:13" ht="14.1" customHeight="1" x14ac:dyDescent="0.25">
      <c r="B1366" s="46" t="str">
        <f t="shared" si="21"/>
        <v>2012-76-106657</v>
      </c>
      <c r="C1366" s="47">
        <v>44175</v>
      </c>
      <c r="D1366" s="46">
        <v>76</v>
      </c>
      <c r="E1366" s="46">
        <v>1</v>
      </c>
      <c r="F1366" s="46">
        <v>106657</v>
      </c>
      <c r="G1366" s="48" t="s">
        <v>470</v>
      </c>
      <c r="H1366" s="47">
        <v>44166</v>
      </c>
      <c r="I1366" s="46">
        <v>50872</v>
      </c>
      <c r="J1366" s="46">
        <v>1</v>
      </c>
      <c r="K1366" s="47">
        <v>44175</v>
      </c>
      <c r="L1366" s="46">
        <v>10654</v>
      </c>
      <c r="M1366" s="46">
        <v>1</v>
      </c>
    </row>
    <row r="1367" spans="2:13" ht="14.1" customHeight="1" x14ac:dyDescent="0.25">
      <c r="B1367" s="46" t="str">
        <f t="shared" si="21"/>
        <v>2012-76-106979</v>
      </c>
      <c r="C1367" s="47">
        <v>44175</v>
      </c>
      <c r="D1367" s="46">
        <v>76</v>
      </c>
      <c r="E1367" s="46">
        <v>2</v>
      </c>
      <c r="F1367" s="46">
        <v>106979</v>
      </c>
      <c r="G1367" s="48" t="s">
        <v>477</v>
      </c>
      <c r="H1367" s="47">
        <v>44166</v>
      </c>
      <c r="I1367" s="46">
        <v>50872</v>
      </c>
      <c r="J1367" s="46">
        <v>2</v>
      </c>
      <c r="K1367" s="47">
        <v>44175</v>
      </c>
      <c r="L1367" s="46">
        <v>10654</v>
      </c>
      <c r="M1367" s="46">
        <v>2</v>
      </c>
    </row>
    <row r="1368" spans="2:13" ht="14.1" customHeight="1" x14ac:dyDescent="0.25">
      <c r="B1368" s="46" t="str">
        <f t="shared" si="21"/>
        <v>2012-76-318906</v>
      </c>
      <c r="C1368" s="47">
        <v>44175</v>
      </c>
      <c r="D1368" s="46">
        <v>76</v>
      </c>
      <c r="E1368" s="46">
        <v>1</v>
      </c>
      <c r="F1368" s="46">
        <v>318906</v>
      </c>
      <c r="G1368" s="48" t="s">
        <v>927</v>
      </c>
      <c r="H1368" s="47">
        <v>44166</v>
      </c>
      <c r="I1368" s="46">
        <v>50872</v>
      </c>
      <c r="J1368" s="46">
        <v>1</v>
      </c>
      <c r="K1368" s="47">
        <v>44175</v>
      </c>
      <c r="L1368" s="46">
        <v>10654</v>
      </c>
      <c r="M1368" s="46">
        <v>1</v>
      </c>
    </row>
    <row r="1369" spans="2:13" ht="14.1" customHeight="1" x14ac:dyDescent="0.25">
      <c r="B1369" s="46" t="str">
        <f t="shared" si="21"/>
        <v>2012-77-302484</v>
      </c>
      <c r="C1369" s="47">
        <v>44175</v>
      </c>
      <c r="D1369" s="46">
        <v>77</v>
      </c>
      <c r="E1369" s="46">
        <v>18</v>
      </c>
      <c r="F1369" s="46">
        <v>302484</v>
      </c>
      <c r="G1369" s="48" t="s">
        <v>307</v>
      </c>
      <c r="H1369" s="47">
        <v>44179</v>
      </c>
      <c r="I1369" s="46">
        <v>50873</v>
      </c>
      <c r="J1369" s="46">
        <v>18</v>
      </c>
      <c r="K1369" s="47">
        <v>44175</v>
      </c>
      <c r="L1369" s="46">
        <v>10655</v>
      </c>
      <c r="M1369" s="46">
        <v>18</v>
      </c>
    </row>
    <row r="1370" spans="2:13" ht="14.1" customHeight="1" x14ac:dyDescent="0.25">
      <c r="B1370" s="46" t="str">
        <f t="shared" si="21"/>
        <v>2012-77-106121</v>
      </c>
      <c r="C1370" s="47">
        <v>44175</v>
      </c>
      <c r="D1370" s="46">
        <v>77</v>
      </c>
      <c r="E1370" s="46">
        <v>3</v>
      </c>
      <c r="F1370" s="46">
        <v>106121</v>
      </c>
      <c r="G1370" s="48" t="s">
        <v>401</v>
      </c>
      <c r="H1370" s="47">
        <v>44179</v>
      </c>
      <c r="I1370" s="46">
        <v>50873</v>
      </c>
      <c r="J1370" s="46">
        <v>3</v>
      </c>
      <c r="K1370" s="47">
        <v>44175</v>
      </c>
      <c r="L1370" s="46">
        <v>10655</v>
      </c>
      <c r="M1370" s="46">
        <v>3</v>
      </c>
    </row>
    <row r="1371" spans="2:13" ht="14.1" customHeight="1" x14ac:dyDescent="0.25">
      <c r="B1371" s="46" t="str">
        <f t="shared" si="21"/>
        <v>2012-77-204542</v>
      </c>
      <c r="C1371" s="47">
        <v>44175</v>
      </c>
      <c r="D1371" s="46">
        <v>77</v>
      </c>
      <c r="E1371" s="46">
        <v>1</v>
      </c>
      <c r="F1371" s="46">
        <v>204542</v>
      </c>
      <c r="G1371" s="48" t="s">
        <v>148</v>
      </c>
      <c r="H1371" s="47">
        <v>44179</v>
      </c>
      <c r="I1371" s="46">
        <v>50873</v>
      </c>
      <c r="J1371" s="46">
        <v>1</v>
      </c>
      <c r="K1371" s="47">
        <v>44175</v>
      </c>
      <c r="L1371" s="46">
        <v>10655</v>
      </c>
      <c r="M1371" s="46">
        <v>1</v>
      </c>
    </row>
    <row r="1372" spans="2:13" ht="14.1" customHeight="1" x14ac:dyDescent="0.25">
      <c r="B1372" s="46" t="str">
        <f t="shared" si="21"/>
        <v>2012-80-320505</v>
      </c>
      <c r="C1372" s="47">
        <v>44175</v>
      </c>
      <c r="D1372" s="46">
        <v>80</v>
      </c>
      <c r="E1372" s="46">
        <v>8</v>
      </c>
      <c r="F1372" s="46">
        <v>320505</v>
      </c>
      <c r="G1372" s="48" t="s">
        <v>1094</v>
      </c>
      <c r="H1372" s="47">
        <v>44181</v>
      </c>
      <c r="I1372" s="46">
        <v>50921</v>
      </c>
      <c r="J1372" s="46">
        <v>8</v>
      </c>
      <c r="K1372" s="47">
        <v>44200</v>
      </c>
      <c r="L1372" s="46">
        <v>10792</v>
      </c>
      <c r="M1372" s="46">
        <v>8</v>
      </c>
    </row>
    <row r="1373" spans="2:13" ht="14.1" customHeight="1" x14ac:dyDescent="0.25">
      <c r="B1373" s="46" t="str">
        <f t="shared" si="21"/>
        <v>2012-80-319125</v>
      </c>
      <c r="C1373" s="47">
        <v>44175</v>
      </c>
      <c r="D1373" s="46">
        <v>80</v>
      </c>
      <c r="E1373" s="46">
        <v>6</v>
      </c>
      <c r="F1373" s="46">
        <v>319125</v>
      </c>
      <c r="G1373" s="48" t="s">
        <v>253</v>
      </c>
      <c r="H1373" s="47">
        <v>44181</v>
      </c>
      <c r="I1373" s="46">
        <v>50920</v>
      </c>
      <c r="J1373" s="46">
        <v>6</v>
      </c>
      <c r="K1373" s="47">
        <v>44186</v>
      </c>
      <c r="L1373" s="46">
        <v>10734</v>
      </c>
      <c r="M1373" s="46">
        <v>6</v>
      </c>
    </row>
    <row r="1374" spans="2:13" ht="14.1" customHeight="1" x14ac:dyDescent="0.25">
      <c r="B1374" s="46" t="str">
        <f t="shared" si="21"/>
        <v>2012-80-320506</v>
      </c>
      <c r="C1374" s="47">
        <v>44175</v>
      </c>
      <c r="D1374" s="46">
        <v>80</v>
      </c>
      <c r="E1374" s="46">
        <v>2</v>
      </c>
      <c r="F1374" s="46">
        <v>320506</v>
      </c>
      <c r="G1374" s="48" t="s">
        <v>1095</v>
      </c>
      <c r="H1374" s="47">
        <v>44181</v>
      </c>
      <c r="I1374" s="46">
        <v>50921</v>
      </c>
      <c r="J1374" s="46">
        <v>2</v>
      </c>
      <c r="K1374" s="47">
        <v>44200</v>
      </c>
      <c r="L1374" s="46">
        <v>10792</v>
      </c>
      <c r="M1374" s="46">
        <v>2</v>
      </c>
    </row>
    <row r="1375" spans="2:13" ht="14.1" customHeight="1" x14ac:dyDescent="0.25">
      <c r="B1375" s="46" t="str">
        <f t="shared" si="21"/>
        <v>2012-80-205036</v>
      </c>
      <c r="C1375" s="47">
        <v>44175</v>
      </c>
      <c r="D1375" s="46">
        <v>80</v>
      </c>
      <c r="E1375" s="46">
        <v>8</v>
      </c>
      <c r="F1375" s="46">
        <v>205036</v>
      </c>
      <c r="G1375" s="48" t="s">
        <v>549</v>
      </c>
      <c r="H1375" s="47">
        <v>44181</v>
      </c>
      <c r="I1375" s="46">
        <v>50919</v>
      </c>
      <c r="J1375" s="46">
        <v>8</v>
      </c>
      <c r="K1375" s="47">
        <v>44186</v>
      </c>
      <c r="L1375" s="46">
        <v>10735</v>
      </c>
      <c r="M1375" s="46">
        <v>8</v>
      </c>
    </row>
    <row r="1376" spans="2:13" ht="14.1" customHeight="1" x14ac:dyDescent="0.25">
      <c r="B1376" s="46" t="str">
        <f t="shared" si="21"/>
        <v>2012-82-204334</v>
      </c>
      <c r="C1376" s="47">
        <v>44176</v>
      </c>
      <c r="D1376" s="46">
        <v>82</v>
      </c>
      <c r="E1376" s="46">
        <v>1</v>
      </c>
      <c r="F1376" s="46">
        <v>204334</v>
      </c>
      <c r="G1376" s="48" t="s">
        <v>534</v>
      </c>
      <c r="H1376" s="47">
        <v>44181</v>
      </c>
      <c r="I1376" s="46">
        <v>50918</v>
      </c>
      <c r="J1376" s="46">
        <v>1</v>
      </c>
      <c r="K1376" s="47">
        <v>44186</v>
      </c>
      <c r="L1376" s="46">
        <v>10731</v>
      </c>
      <c r="M1376" s="46">
        <v>1</v>
      </c>
    </row>
    <row r="1377" spans="2:13" ht="14.1" customHeight="1" x14ac:dyDescent="0.25">
      <c r="B1377" s="46" t="str">
        <f t="shared" si="21"/>
        <v>2012-83-307825</v>
      </c>
      <c r="C1377" s="47">
        <v>44176</v>
      </c>
      <c r="D1377" s="46">
        <v>83</v>
      </c>
      <c r="E1377" s="46">
        <v>6</v>
      </c>
      <c r="F1377" s="46">
        <v>307825</v>
      </c>
      <c r="G1377" s="48" t="s">
        <v>733</v>
      </c>
      <c r="I1377" s="46">
        <v>0</v>
      </c>
      <c r="J1377" s="46">
        <v>0</v>
      </c>
      <c r="L1377" s="46">
        <v>0</v>
      </c>
      <c r="M1377" s="46">
        <v>0</v>
      </c>
    </row>
    <row r="1378" spans="2:13" ht="14.1" customHeight="1" x14ac:dyDescent="0.25">
      <c r="B1378" s="46" t="str">
        <f t="shared" si="21"/>
        <v>2012-84-203593</v>
      </c>
      <c r="C1378" s="47">
        <v>44176</v>
      </c>
      <c r="D1378" s="46">
        <v>84</v>
      </c>
      <c r="E1378" s="46">
        <v>21298</v>
      </c>
      <c r="F1378" s="46">
        <v>203593</v>
      </c>
      <c r="G1378" s="48" t="s">
        <v>211</v>
      </c>
      <c r="H1378" s="47">
        <v>44174</v>
      </c>
      <c r="I1378" s="46">
        <v>50874</v>
      </c>
      <c r="J1378" s="46">
        <v>21298</v>
      </c>
      <c r="K1378" s="47">
        <v>44176</v>
      </c>
      <c r="L1378" s="46">
        <v>10660</v>
      </c>
      <c r="M1378" s="46">
        <v>21298</v>
      </c>
    </row>
    <row r="1379" spans="2:13" ht="14.1" customHeight="1" x14ac:dyDescent="0.25">
      <c r="B1379" s="46" t="str">
        <f t="shared" si="21"/>
        <v>2012-85-205564</v>
      </c>
      <c r="C1379" s="47">
        <v>44176</v>
      </c>
      <c r="D1379" s="46">
        <v>85</v>
      </c>
      <c r="E1379" s="46">
        <v>1</v>
      </c>
      <c r="F1379" s="46">
        <v>205564</v>
      </c>
      <c r="G1379" s="48" t="s">
        <v>565</v>
      </c>
      <c r="H1379" s="47">
        <v>44182</v>
      </c>
      <c r="I1379" s="46">
        <v>50932</v>
      </c>
      <c r="J1379" s="46">
        <v>1</v>
      </c>
      <c r="K1379" s="47">
        <v>44225</v>
      </c>
      <c r="L1379" s="46">
        <v>11039</v>
      </c>
      <c r="M1379" s="46">
        <v>1</v>
      </c>
    </row>
    <row r="1380" spans="2:13" ht="14.1" customHeight="1" x14ac:dyDescent="0.25">
      <c r="B1380" s="46" t="str">
        <f t="shared" si="21"/>
        <v>2012-87-203639</v>
      </c>
      <c r="C1380" s="47">
        <v>44176</v>
      </c>
      <c r="D1380" s="46">
        <v>87</v>
      </c>
      <c r="E1380" s="46">
        <v>3</v>
      </c>
      <c r="F1380" s="46">
        <v>203639</v>
      </c>
      <c r="G1380" s="48" t="s">
        <v>266</v>
      </c>
      <c r="I1380" s="46">
        <v>0</v>
      </c>
      <c r="J1380" s="46">
        <v>0</v>
      </c>
      <c r="L1380" s="46">
        <v>0</v>
      </c>
      <c r="M1380" s="46">
        <v>0</v>
      </c>
    </row>
    <row r="1381" spans="2:13" ht="14.1" customHeight="1" x14ac:dyDescent="0.25">
      <c r="B1381" s="46" t="str">
        <f t="shared" si="21"/>
        <v>2012-87-306021</v>
      </c>
      <c r="C1381" s="47">
        <v>44176</v>
      </c>
      <c r="D1381" s="46">
        <v>87</v>
      </c>
      <c r="E1381" s="46">
        <v>4</v>
      </c>
      <c r="F1381" s="46">
        <v>306021</v>
      </c>
      <c r="G1381" s="48" t="s">
        <v>64</v>
      </c>
      <c r="I1381" s="46">
        <v>0</v>
      </c>
      <c r="J1381" s="46">
        <v>0</v>
      </c>
      <c r="L1381" s="46">
        <v>0</v>
      </c>
      <c r="M1381" s="46">
        <v>0</v>
      </c>
    </row>
    <row r="1382" spans="2:13" ht="14.1" customHeight="1" x14ac:dyDescent="0.25">
      <c r="B1382" s="46" t="str">
        <f t="shared" si="21"/>
        <v>2012-88-314510</v>
      </c>
      <c r="C1382" s="47">
        <v>44176</v>
      </c>
      <c r="D1382" s="46">
        <v>88</v>
      </c>
      <c r="E1382" s="46">
        <v>5</v>
      </c>
      <c r="F1382" s="46">
        <v>314510</v>
      </c>
      <c r="G1382" s="48" t="s">
        <v>854</v>
      </c>
      <c r="H1382" s="47">
        <v>44193</v>
      </c>
      <c r="I1382" s="46">
        <v>51055</v>
      </c>
      <c r="J1382" s="46">
        <v>5</v>
      </c>
      <c r="K1382" s="47">
        <v>44195</v>
      </c>
      <c r="L1382" s="46">
        <v>10782</v>
      </c>
      <c r="M1382" s="46">
        <v>5</v>
      </c>
    </row>
    <row r="1383" spans="2:13" ht="14.1" customHeight="1" x14ac:dyDescent="0.25">
      <c r="B1383" s="46" t="str">
        <f t="shared" si="21"/>
        <v>2012-88-308170</v>
      </c>
      <c r="C1383" s="47">
        <v>44176</v>
      </c>
      <c r="D1383" s="46">
        <v>88</v>
      </c>
      <c r="E1383" s="46">
        <v>2</v>
      </c>
      <c r="F1383" s="46">
        <v>308170</v>
      </c>
      <c r="G1383" s="48" t="s">
        <v>738</v>
      </c>
      <c r="H1383" s="47">
        <v>44182</v>
      </c>
      <c r="I1383" s="46">
        <v>50926</v>
      </c>
      <c r="J1383" s="46">
        <v>2</v>
      </c>
      <c r="K1383" s="47">
        <v>44187</v>
      </c>
      <c r="L1383" s="46">
        <v>10745</v>
      </c>
      <c r="M1383" s="46">
        <v>2</v>
      </c>
    </row>
    <row r="1384" spans="2:13" ht="14.1" customHeight="1" x14ac:dyDescent="0.25">
      <c r="B1384" s="46" t="str">
        <f t="shared" si="21"/>
        <v>2012-96-313814</v>
      </c>
      <c r="C1384" s="47">
        <v>44180</v>
      </c>
      <c r="D1384" s="46">
        <v>96</v>
      </c>
      <c r="E1384" s="46">
        <v>1</v>
      </c>
      <c r="F1384" s="46">
        <v>313814</v>
      </c>
      <c r="G1384" s="48" t="s">
        <v>224</v>
      </c>
      <c r="H1384" s="47">
        <v>44181</v>
      </c>
      <c r="I1384" s="46">
        <v>50934</v>
      </c>
      <c r="J1384" s="46">
        <v>1</v>
      </c>
      <c r="K1384" s="47">
        <v>44180</v>
      </c>
      <c r="L1384" s="46">
        <v>10694</v>
      </c>
      <c r="M1384" s="46">
        <v>1</v>
      </c>
    </row>
    <row r="1385" spans="2:13" ht="14.1" customHeight="1" x14ac:dyDescent="0.25">
      <c r="B1385" s="46" t="str">
        <f t="shared" si="21"/>
        <v>2012-96-313812</v>
      </c>
      <c r="C1385" s="47">
        <v>44180</v>
      </c>
      <c r="D1385" s="46">
        <v>96</v>
      </c>
      <c r="E1385" s="46">
        <v>1</v>
      </c>
      <c r="F1385" s="46">
        <v>313812</v>
      </c>
      <c r="G1385" s="48" t="s">
        <v>225</v>
      </c>
      <c r="H1385" s="47">
        <v>44231</v>
      </c>
      <c r="I1385" s="46">
        <v>51499</v>
      </c>
      <c r="J1385" s="46">
        <v>1</v>
      </c>
      <c r="K1385" s="47">
        <v>44222</v>
      </c>
      <c r="L1385" s="46">
        <v>11008</v>
      </c>
      <c r="M1385" s="46">
        <v>1</v>
      </c>
    </row>
    <row r="1386" spans="2:13" ht="14.1" customHeight="1" x14ac:dyDescent="0.25">
      <c r="B1386" s="46" t="str">
        <f t="shared" si="21"/>
        <v>2012-96-303716</v>
      </c>
      <c r="C1386" s="47">
        <v>44180</v>
      </c>
      <c r="D1386" s="46">
        <v>96</v>
      </c>
      <c r="E1386" s="46">
        <v>1</v>
      </c>
      <c r="F1386" s="46">
        <v>303716</v>
      </c>
      <c r="G1386" s="48" t="s">
        <v>35</v>
      </c>
      <c r="H1386" s="47">
        <v>44181</v>
      </c>
      <c r="I1386" s="46">
        <v>50934</v>
      </c>
      <c r="J1386" s="46">
        <v>1</v>
      </c>
      <c r="K1386" s="47">
        <v>44180</v>
      </c>
      <c r="L1386" s="46">
        <v>10694</v>
      </c>
      <c r="M1386" s="46">
        <v>1</v>
      </c>
    </row>
    <row r="1387" spans="2:13" ht="14.1" customHeight="1" x14ac:dyDescent="0.25">
      <c r="B1387" s="46" t="str">
        <f t="shared" si="21"/>
        <v>2012-97-310692</v>
      </c>
      <c r="C1387" s="47">
        <v>44180</v>
      </c>
      <c r="D1387" s="46">
        <v>97</v>
      </c>
      <c r="E1387" s="46">
        <v>2</v>
      </c>
      <c r="F1387" s="46">
        <v>310692</v>
      </c>
      <c r="G1387" s="48" t="s">
        <v>774</v>
      </c>
      <c r="H1387" s="47">
        <v>44186</v>
      </c>
      <c r="I1387" s="46">
        <v>50996</v>
      </c>
      <c r="J1387" s="46">
        <v>2</v>
      </c>
      <c r="K1387" s="47">
        <v>44202</v>
      </c>
      <c r="L1387" s="46">
        <v>10815</v>
      </c>
      <c r="M1387" s="46">
        <v>2</v>
      </c>
    </row>
    <row r="1388" spans="2:13" ht="14.1" customHeight="1" x14ac:dyDescent="0.25">
      <c r="B1388" s="46" t="str">
        <f t="shared" si="21"/>
        <v>2012-97-300500</v>
      </c>
      <c r="C1388" s="47">
        <v>44180</v>
      </c>
      <c r="D1388" s="46">
        <v>97</v>
      </c>
      <c r="E1388" s="46">
        <v>6</v>
      </c>
      <c r="F1388" s="46">
        <v>300500</v>
      </c>
      <c r="G1388" s="48" t="s">
        <v>346</v>
      </c>
      <c r="H1388" s="47">
        <v>44186</v>
      </c>
      <c r="I1388" s="46">
        <v>50998</v>
      </c>
      <c r="J1388" s="46">
        <v>6</v>
      </c>
      <c r="K1388" s="47">
        <v>44215</v>
      </c>
      <c r="L1388" s="46">
        <v>10947</v>
      </c>
      <c r="M1388" s="46">
        <v>6</v>
      </c>
    </row>
    <row r="1389" spans="2:13" ht="14.1" customHeight="1" x14ac:dyDescent="0.25">
      <c r="B1389" s="46" t="str">
        <f t="shared" si="21"/>
        <v>2012-98-105904</v>
      </c>
      <c r="C1389" s="47">
        <v>44180</v>
      </c>
      <c r="D1389" s="46">
        <v>98</v>
      </c>
      <c r="E1389" s="46">
        <v>10</v>
      </c>
      <c r="F1389" s="46">
        <v>105904</v>
      </c>
      <c r="G1389" s="48" t="s">
        <v>442</v>
      </c>
      <c r="H1389" s="47">
        <v>44186</v>
      </c>
      <c r="I1389" s="46">
        <v>51007</v>
      </c>
      <c r="J1389" s="46">
        <v>10</v>
      </c>
      <c r="K1389" s="47">
        <v>44195</v>
      </c>
      <c r="L1389" s="46">
        <v>10779</v>
      </c>
      <c r="M1389" s="46">
        <v>10</v>
      </c>
    </row>
    <row r="1390" spans="2:13" ht="14.1" customHeight="1" x14ac:dyDescent="0.25">
      <c r="B1390" s="46" t="str">
        <f t="shared" si="21"/>
        <v>2012-98-301915</v>
      </c>
      <c r="C1390" s="47">
        <v>44180</v>
      </c>
      <c r="D1390" s="46">
        <v>98</v>
      </c>
      <c r="E1390" s="46">
        <v>10</v>
      </c>
      <c r="F1390" s="46">
        <v>301915</v>
      </c>
      <c r="G1390" s="48" t="s">
        <v>1863</v>
      </c>
      <c r="H1390" s="47">
        <v>44186</v>
      </c>
      <c r="I1390" s="46">
        <v>51007</v>
      </c>
      <c r="J1390" s="46">
        <v>10</v>
      </c>
      <c r="K1390" s="47">
        <v>44195</v>
      </c>
      <c r="L1390" s="46">
        <v>10779</v>
      </c>
      <c r="M1390" s="46">
        <v>10</v>
      </c>
    </row>
    <row r="1391" spans="2:13" ht="14.1" customHeight="1" x14ac:dyDescent="0.25">
      <c r="B1391" s="46" t="str">
        <f t="shared" si="21"/>
        <v>2012-98-308005</v>
      </c>
      <c r="C1391" s="47">
        <v>44180</v>
      </c>
      <c r="D1391" s="46">
        <v>98</v>
      </c>
      <c r="E1391" s="46">
        <v>10</v>
      </c>
      <c r="F1391" s="46">
        <v>308005</v>
      </c>
      <c r="G1391" s="48" t="s">
        <v>736</v>
      </c>
      <c r="H1391" s="47">
        <v>44186</v>
      </c>
      <c r="I1391" s="46">
        <v>51007</v>
      </c>
      <c r="J1391" s="46">
        <v>10</v>
      </c>
      <c r="K1391" s="47">
        <v>44195</v>
      </c>
      <c r="L1391" s="46">
        <v>10779</v>
      </c>
      <c r="M1391" s="46">
        <v>10</v>
      </c>
    </row>
    <row r="1392" spans="2:13" ht="14.1" customHeight="1" x14ac:dyDescent="0.25">
      <c r="B1392" s="46" t="str">
        <f t="shared" si="21"/>
        <v>2012-98-310104</v>
      </c>
      <c r="C1392" s="47">
        <v>44180</v>
      </c>
      <c r="D1392" s="46">
        <v>98</v>
      </c>
      <c r="E1392" s="46">
        <v>15</v>
      </c>
      <c r="F1392" s="46">
        <v>310104</v>
      </c>
      <c r="G1392" s="48" t="s">
        <v>62</v>
      </c>
      <c r="H1392" s="47">
        <v>44186</v>
      </c>
      <c r="I1392" s="46">
        <v>51007</v>
      </c>
      <c r="J1392" s="46">
        <v>15</v>
      </c>
      <c r="K1392" s="47">
        <v>44195</v>
      </c>
      <c r="L1392" s="46">
        <v>10779</v>
      </c>
      <c r="M1392" s="46">
        <v>15</v>
      </c>
    </row>
    <row r="1393" spans="2:13" ht="14.1" customHeight="1" x14ac:dyDescent="0.25">
      <c r="B1393" s="46" t="str">
        <f t="shared" si="21"/>
        <v>2012-98-204623</v>
      </c>
      <c r="C1393" s="47">
        <v>44180</v>
      </c>
      <c r="D1393" s="46">
        <v>98</v>
      </c>
      <c r="E1393" s="46">
        <v>15</v>
      </c>
      <c r="F1393" s="46">
        <v>204623</v>
      </c>
      <c r="G1393" s="48" t="s">
        <v>541</v>
      </c>
      <c r="H1393" s="47">
        <v>44186</v>
      </c>
      <c r="I1393" s="46">
        <v>51007</v>
      </c>
      <c r="J1393" s="46">
        <v>15</v>
      </c>
      <c r="K1393" s="47">
        <v>44195</v>
      </c>
      <c r="L1393" s="46">
        <v>10779</v>
      </c>
      <c r="M1393" s="46">
        <v>15</v>
      </c>
    </row>
    <row r="1394" spans="2:13" ht="14.1" customHeight="1" x14ac:dyDescent="0.25">
      <c r="B1394" s="46" t="str">
        <f t="shared" si="21"/>
        <v>2012-98-106646</v>
      </c>
      <c r="C1394" s="47">
        <v>44180</v>
      </c>
      <c r="D1394" s="46">
        <v>98</v>
      </c>
      <c r="E1394" s="46">
        <v>15</v>
      </c>
      <c r="F1394" s="46">
        <v>106646</v>
      </c>
      <c r="G1394" s="48" t="s">
        <v>469</v>
      </c>
      <c r="H1394" s="47">
        <v>44186</v>
      </c>
      <c r="I1394" s="46">
        <v>51007</v>
      </c>
      <c r="J1394" s="46">
        <v>15</v>
      </c>
      <c r="K1394" s="47">
        <v>44195</v>
      </c>
      <c r="L1394" s="46">
        <v>10779</v>
      </c>
      <c r="M1394" s="46">
        <v>15</v>
      </c>
    </row>
    <row r="1395" spans="2:13" ht="14.1" customHeight="1" x14ac:dyDescent="0.25">
      <c r="B1395" s="46" t="str">
        <f t="shared" si="21"/>
        <v>2012-98-203784</v>
      </c>
      <c r="C1395" s="47">
        <v>44180</v>
      </c>
      <c r="D1395" s="46">
        <v>98</v>
      </c>
      <c r="E1395" s="46">
        <v>4</v>
      </c>
      <c r="F1395" s="46">
        <v>203784</v>
      </c>
      <c r="G1395" s="48" t="s">
        <v>348</v>
      </c>
      <c r="H1395" s="47">
        <v>44186</v>
      </c>
      <c r="I1395" s="46">
        <v>51007</v>
      </c>
      <c r="J1395" s="46">
        <v>4</v>
      </c>
      <c r="K1395" s="47">
        <v>44195</v>
      </c>
      <c r="L1395" s="46">
        <v>10779</v>
      </c>
      <c r="M1395" s="46">
        <v>4</v>
      </c>
    </row>
    <row r="1396" spans="2:13" ht="14.1" customHeight="1" x14ac:dyDescent="0.25">
      <c r="B1396" s="46" t="str">
        <f t="shared" si="21"/>
        <v>2012-98-203961</v>
      </c>
      <c r="C1396" s="47">
        <v>44180</v>
      </c>
      <c r="D1396" s="46">
        <v>98</v>
      </c>
      <c r="E1396" s="46">
        <v>4</v>
      </c>
      <c r="F1396" s="46">
        <v>203961</v>
      </c>
      <c r="G1396" s="48" t="s">
        <v>180</v>
      </c>
      <c r="H1396" s="47">
        <v>44186</v>
      </c>
      <c r="I1396" s="46">
        <v>51007</v>
      </c>
      <c r="J1396" s="46">
        <v>4</v>
      </c>
      <c r="K1396" s="47">
        <v>44195</v>
      </c>
      <c r="L1396" s="46">
        <v>10779</v>
      </c>
      <c r="M1396" s="46">
        <v>4</v>
      </c>
    </row>
    <row r="1397" spans="2:13" ht="14.1" customHeight="1" x14ac:dyDescent="0.25">
      <c r="B1397" s="46" t="str">
        <f t="shared" si="21"/>
        <v>2012-98-200247</v>
      </c>
      <c r="C1397" s="47">
        <v>44180</v>
      </c>
      <c r="D1397" s="46">
        <v>98</v>
      </c>
      <c r="E1397" s="46">
        <v>40</v>
      </c>
      <c r="F1397" s="46">
        <v>200247</v>
      </c>
      <c r="G1397" s="48" t="s">
        <v>242</v>
      </c>
      <c r="H1397" s="47">
        <v>44186</v>
      </c>
      <c r="I1397" s="46">
        <v>51007</v>
      </c>
      <c r="J1397" s="46">
        <v>40</v>
      </c>
      <c r="K1397" s="47">
        <v>44195</v>
      </c>
      <c r="L1397" s="46">
        <v>10779</v>
      </c>
      <c r="M1397" s="46">
        <v>40</v>
      </c>
    </row>
    <row r="1398" spans="2:13" ht="14.1" customHeight="1" x14ac:dyDescent="0.25">
      <c r="B1398" s="46" t="str">
        <f t="shared" si="21"/>
        <v>2012-99-312794</v>
      </c>
      <c r="C1398" s="47">
        <v>44180</v>
      </c>
      <c r="D1398" s="46">
        <v>99</v>
      </c>
      <c r="E1398" s="46">
        <v>1</v>
      </c>
      <c r="F1398" s="46">
        <v>312794</v>
      </c>
      <c r="G1398" s="48" t="s">
        <v>1330</v>
      </c>
      <c r="H1398" s="47">
        <v>44207</v>
      </c>
      <c r="I1398" s="46">
        <v>51177</v>
      </c>
      <c r="J1398" s="46">
        <v>1</v>
      </c>
      <c r="K1398" s="47">
        <v>44180</v>
      </c>
      <c r="L1398" s="46">
        <v>10689</v>
      </c>
      <c r="M1398" s="46">
        <v>1</v>
      </c>
    </row>
    <row r="1399" spans="2:13" ht="14.1" customHeight="1" x14ac:dyDescent="0.25">
      <c r="B1399" s="46" t="str">
        <f t="shared" si="21"/>
        <v>2012-101-205325</v>
      </c>
      <c r="C1399" s="47">
        <v>44180</v>
      </c>
      <c r="D1399" s="46">
        <v>101</v>
      </c>
      <c r="E1399" s="46">
        <v>1</v>
      </c>
      <c r="F1399" s="46">
        <v>205325</v>
      </c>
      <c r="G1399" s="48" t="s">
        <v>557</v>
      </c>
      <c r="H1399" s="47">
        <v>44182</v>
      </c>
      <c r="I1399" s="46">
        <v>50960</v>
      </c>
      <c r="J1399" s="46">
        <v>1</v>
      </c>
      <c r="K1399" s="47">
        <v>44183</v>
      </c>
      <c r="L1399" s="46">
        <v>10717</v>
      </c>
      <c r="M1399" s="46">
        <v>1</v>
      </c>
    </row>
    <row r="1400" spans="2:13" ht="14.1" customHeight="1" x14ac:dyDescent="0.25">
      <c r="B1400" s="46" t="str">
        <f t="shared" si="21"/>
        <v>2012-102-317120</v>
      </c>
      <c r="C1400" s="47">
        <v>44180</v>
      </c>
      <c r="D1400" s="46">
        <v>102</v>
      </c>
      <c r="E1400" s="46">
        <v>1</v>
      </c>
      <c r="F1400" s="46">
        <v>317120</v>
      </c>
      <c r="G1400" s="48" t="s">
        <v>906</v>
      </c>
      <c r="H1400" s="47">
        <v>44186</v>
      </c>
      <c r="I1400" s="46">
        <v>50987</v>
      </c>
      <c r="J1400" s="46">
        <v>1</v>
      </c>
      <c r="K1400" s="47">
        <v>44193</v>
      </c>
      <c r="L1400" s="46">
        <v>10761</v>
      </c>
      <c r="M1400" s="46">
        <v>1</v>
      </c>
    </row>
    <row r="1401" spans="2:13" ht="14.1" customHeight="1" x14ac:dyDescent="0.25">
      <c r="B1401" s="46" t="str">
        <f t="shared" si="21"/>
        <v>2012-102-320518</v>
      </c>
      <c r="C1401" s="47">
        <v>44180</v>
      </c>
      <c r="D1401" s="46">
        <v>102</v>
      </c>
      <c r="E1401" s="46">
        <v>2</v>
      </c>
      <c r="F1401" s="46">
        <v>320518</v>
      </c>
      <c r="G1401" s="48" t="s">
        <v>1101</v>
      </c>
      <c r="H1401" s="47">
        <v>44186</v>
      </c>
      <c r="I1401" s="46">
        <v>50987</v>
      </c>
      <c r="J1401" s="46">
        <v>2</v>
      </c>
      <c r="K1401" s="47">
        <v>44193</v>
      </c>
      <c r="L1401" s="46">
        <v>10761</v>
      </c>
      <c r="M1401" s="46">
        <v>2</v>
      </c>
    </row>
    <row r="1402" spans="2:13" ht="14.1" customHeight="1" x14ac:dyDescent="0.25">
      <c r="B1402" s="46" t="str">
        <f t="shared" si="21"/>
        <v>2012-102-318501</v>
      </c>
      <c r="C1402" s="47">
        <v>44180</v>
      </c>
      <c r="D1402" s="46">
        <v>102</v>
      </c>
      <c r="E1402" s="46">
        <v>1</v>
      </c>
      <c r="F1402" s="46">
        <v>318501</v>
      </c>
      <c r="G1402" s="48" t="s">
        <v>922</v>
      </c>
      <c r="H1402" s="47">
        <v>44186</v>
      </c>
      <c r="I1402" s="46">
        <v>50987</v>
      </c>
      <c r="J1402" s="46">
        <v>1</v>
      </c>
      <c r="K1402" s="47">
        <v>44193</v>
      </c>
      <c r="L1402" s="46">
        <v>10761</v>
      </c>
      <c r="M1402" s="46">
        <v>1</v>
      </c>
    </row>
    <row r="1403" spans="2:13" ht="14.1" customHeight="1" x14ac:dyDescent="0.25">
      <c r="B1403" s="46" t="str">
        <f t="shared" si="21"/>
        <v>2012-102-320516</v>
      </c>
      <c r="C1403" s="47">
        <v>44180</v>
      </c>
      <c r="D1403" s="46">
        <v>102</v>
      </c>
      <c r="E1403" s="46">
        <v>1</v>
      </c>
      <c r="F1403" s="46">
        <v>320516</v>
      </c>
      <c r="G1403" s="48" t="s">
        <v>1099</v>
      </c>
      <c r="H1403" s="47">
        <v>44186</v>
      </c>
      <c r="I1403" s="46">
        <v>50987</v>
      </c>
      <c r="J1403" s="46">
        <v>1</v>
      </c>
      <c r="K1403" s="47">
        <v>44193</v>
      </c>
      <c r="L1403" s="46">
        <v>10761</v>
      </c>
      <c r="M1403" s="46">
        <v>1</v>
      </c>
    </row>
    <row r="1404" spans="2:13" ht="14.1" customHeight="1" x14ac:dyDescent="0.25">
      <c r="B1404" s="46" t="str">
        <f t="shared" si="21"/>
        <v>2012-102-315524</v>
      </c>
      <c r="C1404" s="47">
        <v>44180</v>
      </c>
      <c r="D1404" s="46">
        <v>102</v>
      </c>
      <c r="E1404" s="46">
        <v>1</v>
      </c>
      <c r="F1404" s="46">
        <v>315524</v>
      </c>
      <c r="G1404" s="48" t="s">
        <v>878</v>
      </c>
      <c r="H1404" s="47">
        <v>44186</v>
      </c>
      <c r="I1404" s="46">
        <v>50987</v>
      </c>
      <c r="J1404" s="46">
        <v>1</v>
      </c>
      <c r="K1404" s="47">
        <v>44193</v>
      </c>
      <c r="L1404" s="46">
        <v>10761</v>
      </c>
      <c r="M1404" s="46">
        <v>1</v>
      </c>
    </row>
    <row r="1405" spans="2:13" ht="14.1" customHeight="1" x14ac:dyDescent="0.25">
      <c r="B1405" s="46" t="str">
        <f t="shared" si="21"/>
        <v>2012-102-320519</v>
      </c>
      <c r="C1405" s="47">
        <v>44180</v>
      </c>
      <c r="D1405" s="46">
        <v>102</v>
      </c>
      <c r="E1405" s="46">
        <v>1</v>
      </c>
      <c r="F1405" s="46">
        <v>320519</v>
      </c>
      <c r="G1405" s="48" t="s">
        <v>1102</v>
      </c>
      <c r="H1405" s="47">
        <v>44186</v>
      </c>
      <c r="I1405" s="46">
        <v>50987</v>
      </c>
      <c r="J1405" s="46">
        <v>1</v>
      </c>
      <c r="K1405" s="47">
        <v>44193</v>
      </c>
      <c r="L1405" s="46">
        <v>10761</v>
      </c>
      <c r="M1405" s="46">
        <v>1</v>
      </c>
    </row>
    <row r="1406" spans="2:13" ht="14.1" customHeight="1" x14ac:dyDescent="0.25">
      <c r="B1406" s="46" t="str">
        <f t="shared" si="21"/>
        <v>2012-102-106979</v>
      </c>
      <c r="C1406" s="47">
        <v>44180</v>
      </c>
      <c r="D1406" s="46">
        <v>102</v>
      </c>
      <c r="E1406" s="46">
        <v>2</v>
      </c>
      <c r="F1406" s="46">
        <v>106979</v>
      </c>
      <c r="G1406" s="50" t="s">
        <v>477</v>
      </c>
      <c r="H1406" s="47">
        <v>44186</v>
      </c>
      <c r="I1406" s="46">
        <v>50987</v>
      </c>
      <c r="J1406" s="46">
        <v>2</v>
      </c>
      <c r="K1406" s="47">
        <v>44193</v>
      </c>
      <c r="L1406" s="46">
        <v>10761</v>
      </c>
      <c r="M1406" s="46">
        <v>2</v>
      </c>
    </row>
    <row r="1407" spans="2:13" ht="14.1" customHeight="1" x14ac:dyDescent="0.25">
      <c r="B1407" s="46" t="str">
        <f t="shared" si="21"/>
        <v>2012-102-318503</v>
      </c>
      <c r="C1407" s="47">
        <v>44180</v>
      </c>
      <c r="D1407" s="46">
        <v>102</v>
      </c>
      <c r="E1407" s="46">
        <v>1</v>
      </c>
      <c r="F1407" s="46">
        <v>318503</v>
      </c>
      <c r="G1407" s="50" t="s">
        <v>923</v>
      </c>
      <c r="H1407" s="47">
        <v>44186</v>
      </c>
      <c r="I1407" s="46">
        <v>50987</v>
      </c>
      <c r="J1407" s="46">
        <v>1</v>
      </c>
      <c r="K1407" s="47">
        <v>44193</v>
      </c>
      <c r="L1407" s="46">
        <v>10761</v>
      </c>
      <c r="M1407" s="46">
        <v>1</v>
      </c>
    </row>
    <row r="1408" spans="2:13" ht="14.1" customHeight="1" x14ac:dyDescent="0.25">
      <c r="B1408" s="46" t="str">
        <f t="shared" si="21"/>
        <v>2012-102-320514</v>
      </c>
      <c r="C1408" s="47">
        <v>44180</v>
      </c>
      <c r="D1408" s="46">
        <v>102</v>
      </c>
      <c r="E1408" s="46">
        <v>2</v>
      </c>
      <c r="F1408" s="46">
        <v>320514</v>
      </c>
      <c r="G1408" s="48" t="s">
        <v>1097</v>
      </c>
      <c r="H1408" s="47">
        <v>44186</v>
      </c>
      <c r="I1408" s="46">
        <v>50987</v>
      </c>
      <c r="J1408" s="46">
        <v>2</v>
      </c>
      <c r="K1408" s="47">
        <v>44193</v>
      </c>
      <c r="L1408" s="46">
        <v>10761</v>
      </c>
      <c r="M1408" s="46">
        <v>2</v>
      </c>
    </row>
    <row r="1409" spans="2:13" ht="14.1" customHeight="1" x14ac:dyDescent="0.25">
      <c r="B1409" s="46" t="str">
        <f t="shared" si="21"/>
        <v>2012-102-320515</v>
      </c>
      <c r="C1409" s="47">
        <v>44180</v>
      </c>
      <c r="D1409" s="46">
        <v>102</v>
      </c>
      <c r="E1409" s="46">
        <v>1</v>
      </c>
      <c r="F1409" s="46">
        <v>320515</v>
      </c>
      <c r="G1409" s="48" t="s">
        <v>1098</v>
      </c>
      <c r="H1409" s="47">
        <v>44186</v>
      </c>
      <c r="I1409" s="46">
        <v>50987</v>
      </c>
      <c r="J1409" s="46">
        <v>1</v>
      </c>
      <c r="K1409" s="47">
        <v>44193</v>
      </c>
      <c r="L1409" s="46">
        <v>10761</v>
      </c>
      <c r="M1409" s="46">
        <v>1</v>
      </c>
    </row>
    <row r="1410" spans="2:13" ht="14.1" customHeight="1" x14ac:dyDescent="0.25">
      <c r="B1410" s="46" t="str">
        <f t="shared" si="21"/>
        <v>2012-102-320517</v>
      </c>
      <c r="C1410" s="47">
        <v>44180</v>
      </c>
      <c r="D1410" s="46">
        <v>102</v>
      </c>
      <c r="E1410" s="46">
        <v>1</v>
      </c>
      <c r="F1410" s="46">
        <v>320517</v>
      </c>
      <c r="G1410" s="48" t="s">
        <v>1100</v>
      </c>
      <c r="H1410" s="47">
        <v>44186</v>
      </c>
      <c r="I1410" s="46">
        <v>50987</v>
      </c>
      <c r="J1410" s="46">
        <v>1</v>
      </c>
      <c r="L1410" s="46">
        <v>0</v>
      </c>
      <c r="M1410" s="46">
        <v>0</v>
      </c>
    </row>
    <row r="1411" spans="2:13" ht="14.1" customHeight="1" x14ac:dyDescent="0.25">
      <c r="B1411" s="46" t="str">
        <f t="shared" si="21"/>
        <v>2012-103-306857</v>
      </c>
      <c r="C1411" s="47">
        <v>44180</v>
      </c>
      <c r="D1411" s="46">
        <v>103</v>
      </c>
      <c r="E1411" s="46">
        <v>18</v>
      </c>
      <c r="F1411" s="46">
        <v>306857</v>
      </c>
      <c r="G1411" s="48" t="s">
        <v>716</v>
      </c>
      <c r="H1411" s="47">
        <v>44188</v>
      </c>
      <c r="I1411" s="46">
        <v>51041</v>
      </c>
      <c r="J1411" s="46">
        <v>18</v>
      </c>
      <c r="K1411" s="47">
        <v>44200</v>
      </c>
      <c r="L1411" s="46">
        <v>10789</v>
      </c>
      <c r="M1411" s="46">
        <v>18</v>
      </c>
    </row>
    <row r="1412" spans="2:13" ht="14.1" customHeight="1" x14ac:dyDescent="0.25">
      <c r="B1412" s="46" t="str">
        <f t="shared" si="21"/>
        <v>2012-104-106992</v>
      </c>
      <c r="C1412" s="47">
        <v>44180</v>
      </c>
      <c r="D1412" s="46">
        <v>104</v>
      </c>
      <c r="E1412" s="46">
        <v>8</v>
      </c>
      <c r="F1412" s="46">
        <v>106992</v>
      </c>
      <c r="G1412" s="48" t="s">
        <v>478</v>
      </c>
      <c r="H1412" s="47">
        <v>44180</v>
      </c>
      <c r="I1412" s="46">
        <v>50907</v>
      </c>
      <c r="J1412" s="46">
        <v>8</v>
      </c>
      <c r="K1412" s="47">
        <v>44182</v>
      </c>
      <c r="L1412" s="46">
        <v>10709</v>
      </c>
      <c r="M1412" s="46">
        <v>8</v>
      </c>
    </row>
    <row r="1413" spans="2:13" ht="14.1" customHeight="1" x14ac:dyDescent="0.25">
      <c r="B1413" s="46" t="str">
        <f t="shared" si="21"/>
        <v>2012-104-300460</v>
      </c>
      <c r="C1413" s="47">
        <v>44180</v>
      </c>
      <c r="D1413" s="46">
        <v>104</v>
      </c>
      <c r="E1413" s="46">
        <v>15</v>
      </c>
      <c r="F1413" s="46">
        <v>300460</v>
      </c>
      <c r="G1413" s="48" t="s">
        <v>600</v>
      </c>
      <c r="H1413" s="47">
        <v>44180</v>
      </c>
      <c r="I1413" s="46">
        <v>50907</v>
      </c>
      <c r="J1413" s="46">
        <v>15</v>
      </c>
      <c r="K1413" s="47">
        <v>44182</v>
      </c>
      <c r="L1413" s="46">
        <v>10709</v>
      </c>
      <c r="M1413" s="46">
        <v>15</v>
      </c>
    </row>
    <row r="1414" spans="2:13" ht="14.1" customHeight="1" x14ac:dyDescent="0.25">
      <c r="B1414" s="46" t="str">
        <f t="shared" si="21"/>
        <v>2012-105-200316</v>
      </c>
      <c r="C1414" s="47">
        <v>44181</v>
      </c>
      <c r="D1414" s="46">
        <v>105</v>
      </c>
      <c r="E1414" s="46">
        <v>40</v>
      </c>
      <c r="F1414" s="46">
        <v>200316</v>
      </c>
      <c r="G1414" s="48" t="s">
        <v>490</v>
      </c>
      <c r="H1414" s="47">
        <v>44186</v>
      </c>
      <c r="I1414" s="46">
        <v>50994</v>
      </c>
      <c r="J1414" s="46">
        <v>40</v>
      </c>
      <c r="K1414" s="47">
        <v>44195</v>
      </c>
      <c r="L1414" s="46">
        <v>10780</v>
      </c>
      <c r="M1414" s="46">
        <v>40</v>
      </c>
    </row>
    <row r="1415" spans="2:13" ht="14.1" customHeight="1" x14ac:dyDescent="0.25">
      <c r="B1415" s="46" t="str">
        <f t="shared" si="21"/>
        <v>2012-105-201824</v>
      </c>
      <c r="C1415" s="47">
        <v>44181</v>
      </c>
      <c r="D1415" s="46">
        <v>105</v>
      </c>
      <c r="E1415" s="46">
        <v>15</v>
      </c>
      <c r="F1415" s="46">
        <v>201824</v>
      </c>
      <c r="G1415" s="48" t="s">
        <v>33</v>
      </c>
      <c r="H1415" s="47">
        <v>44229</v>
      </c>
      <c r="I1415" s="46">
        <v>51500</v>
      </c>
      <c r="J1415" s="46">
        <v>15</v>
      </c>
      <c r="K1415" s="47">
        <v>44229</v>
      </c>
      <c r="L1415" s="46">
        <v>11078</v>
      </c>
      <c r="M1415" s="46">
        <v>15</v>
      </c>
    </row>
    <row r="1416" spans="2:13" ht="14.1" customHeight="1" x14ac:dyDescent="0.25">
      <c r="B1416" s="46" t="str">
        <f t="shared" si="21"/>
        <v>2012-107-104924</v>
      </c>
      <c r="C1416" s="47">
        <v>44181</v>
      </c>
      <c r="D1416" s="46">
        <v>107</v>
      </c>
      <c r="E1416" s="46">
        <v>10</v>
      </c>
      <c r="F1416" s="46">
        <v>104924</v>
      </c>
      <c r="G1416" s="48" t="s">
        <v>79</v>
      </c>
      <c r="H1416" s="47">
        <v>44188</v>
      </c>
      <c r="I1416" s="46">
        <v>51039</v>
      </c>
      <c r="J1416" s="46">
        <v>10</v>
      </c>
      <c r="K1416" s="47">
        <v>44195</v>
      </c>
      <c r="L1416" s="46">
        <v>10775</v>
      </c>
      <c r="M1416" s="46">
        <v>10</v>
      </c>
    </row>
    <row r="1417" spans="2:13" ht="14.1" customHeight="1" x14ac:dyDescent="0.25">
      <c r="B1417" s="46" t="str">
        <f t="shared" si="21"/>
        <v>2012-107-305798</v>
      </c>
      <c r="C1417" s="47">
        <v>44181</v>
      </c>
      <c r="D1417" s="46">
        <v>107</v>
      </c>
      <c r="E1417" s="46">
        <v>2</v>
      </c>
      <c r="F1417" s="46">
        <v>305798</v>
      </c>
      <c r="G1417" s="48" t="s">
        <v>75</v>
      </c>
      <c r="H1417" s="47">
        <v>44188</v>
      </c>
      <c r="I1417" s="46">
        <v>51039</v>
      </c>
      <c r="J1417" s="46">
        <v>2</v>
      </c>
      <c r="K1417" s="47">
        <v>44195</v>
      </c>
      <c r="L1417" s="46">
        <v>10775</v>
      </c>
      <c r="M1417" s="46">
        <v>2</v>
      </c>
    </row>
    <row r="1418" spans="2:13" ht="14.1" customHeight="1" x14ac:dyDescent="0.25">
      <c r="B1418" s="46" t="str">
        <f t="shared" si="21"/>
        <v>2012-107-305796</v>
      </c>
      <c r="C1418" s="47">
        <v>44181</v>
      </c>
      <c r="D1418" s="46">
        <v>107</v>
      </c>
      <c r="E1418" s="46">
        <v>2</v>
      </c>
      <c r="F1418" s="46">
        <v>305796</v>
      </c>
      <c r="G1418" s="48" t="s">
        <v>78</v>
      </c>
      <c r="H1418" s="47">
        <v>44188</v>
      </c>
      <c r="I1418" s="46">
        <v>51039</v>
      </c>
      <c r="J1418" s="46">
        <v>2</v>
      </c>
      <c r="K1418" s="47">
        <v>44195</v>
      </c>
      <c r="L1418" s="46">
        <v>10775</v>
      </c>
      <c r="M1418" s="46">
        <v>2</v>
      </c>
    </row>
    <row r="1419" spans="2:13" ht="14.1" customHeight="1" x14ac:dyDescent="0.25">
      <c r="B1419" s="46" t="str">
        <f t="shared" si="21"/>
        <v>2012-107-305797</v>
      </c>
      <c r="C1419" s="47">
        <v>44181</v>
      </c>
      <c r="D1419" s="46">
        <v>107</v>
      </c>
      <c r="E1419" s="46">
        <v>2</v>
      </c>
      <c r="F1419" s="46">
        <v>305797</v>
      </c>
      <c r="G1419" s="48" t="s">
        <v>76</v>
      </c>
      <c r="H1419" s="47">
        <v>44188</v>
      </c>
      <c r="I1419" s="46">
        <v>51039</v>
      </c>
      <c r="J1419" s="46">
        <v>2</v>
      </c>
      <c r="K1419" s="47">
        <v>44195</v>
      </c>
      <c r="L1419" s="46">
        <v>10775</v>
      </c>
      <c r="M1419" s="46">
        <v>2</v>
      </c>
    </row>
    <row r="1420" spans="2:13" ht="14.1" customHeight="1" x14ac:dyDescent="0.25">
      <c r="B1420" s="46" t="str">
        <f t="shared" ref="B1420:B1483" si="22">TEXT(C1420,"yy") &amp; TEXT(C1420,"mm") &amp;"-"&amp;(D1420) &amp;"-"&amp;(F1420)</f>
        <v>2012-107-306949</v>
      </c>
      <c r="C1420" s="47">
        <v>44181</v>
      </c>
      <c r="D1420" s="46">
        <v>107</v>
      </c>
      <c r="E1420" s="46">
        <v>4</v>
      </c>
      <c r="F1420" s="46">
        <v>306949</v>
      </c>
      <c r="G1420" s="48" t="s">
        <v>194</v>
      </c>
      <c r="H1420" s="47">
        <v>44188</v>
      </c>
      <c r="I1420" s="46">
        <v>51039</v>
      </c>
      <c r="J1420" s="46">
        <v>4</v>
      </c>
      <c r="K1420" s="47">
        <v>44195</v>
      </c>
      <c r="L1420" s="46">
        <v>10775</v>
      </c>
      <c r="M1420" s="46">
        <v>4</v>
      </c>
    </row>
    <row r="1421" spans="2:13" ht="14.1" customHeight="1" x14ac:dyDescent="0.25">
      <c r="B1421" s="46" t="str">
        <f t="shared" si="22"/>
        <v>2012-107-305795</v>
      </c>
      <c r="C1421" s="47">
        <v>44181</v>
      </c>
      <c r="D1421" s="46">
        <v>107</v>
      </c>
      <c r="E1421" s="46">
        <v>3</v>
      </c>
      <c r="F1421" s="46">
        <v>305795</v>
      </c>
      <c r="G1421" s="48" t="s">
        <v>355</v>
      </c>
      <c r="H1421" s="47">
        <v>44188</v>
      </c>
      <c r="I1421" s="46">
        <v>51039</v>
      </c>
      <c r="J1421" s="46">
        <v>3</v>
      </c>
      <c r="K1421" s="47">
        <v>44195</v>
      </c>
      <c r="L1421" s="46">
        <v>10775</v>
      </c>
      <c r="M1421" s="46">
        <v>3</v>
      </c>
    </row>
    <row r="1422" spans="2:13" ht="14.1" customHeight="1" x14ac:dyDescent="0.25">
      <c r="B1422" s="46" t="str">
        <f t="shared" si="22"/>
        <v>2012-108-319359</v>
      </c>
      <c r="C1422" s="47">
        <v>44181</v>
      </c>
      <c r="D1422" s="46">
        <v>108</v>
      </c>
      <c r="E1422" s="46">
        <v>6000</v>
      </c>
      <c r="F1422" s="46">
        <v>319359</v>
      </c>
      <c r="G1422" s="48" t="s">
        <v>210</v>
      </c>
      <c r="H1422" s="47">
        <v>44186</v>
      </c>
      <c r="I1422" s="46">
        <v>50973</v>
      </c>
      <c r="J1422" s="46">
        <v>6000</v>
      </c>
      <c r="K1422" s="47">
        <v>44186</v>
      </c>
      <c r="L1422" s="46">
        <v>10733</v>
      </c>
      <c r="M1422" s="46">
        <v>6000</v>
      </c>
    </row>
    <row r="1423" spans="2:13" ht="14.1" customHeight="1" x14ac:dyDescent="0.25">
      <c r="B1423" s="46" t="str">
        <f t="shared" si="22"/>
        <v>2012-109-319919</v>
      </c>
      <c r="C1423" s="47">
        <v>44181</v>
      </c>
      <c r="D1423" s="46">
        <v>109</v>
      </c>
      <c r="E1423" s="46">
        <v>1</v>
      </c>
      <c r="F1423" s="46">
        <v>319919</v>
      </c>
      <c r="G1423" s="48" t="s">
        <v>339</v>
      </c>
      <c r="H1423" s="47">
        <v>44183</v>
      </c>
      <c r="I1423" s="46">
        <v>50979</v>
      </c>
      <c r="J1423" s="46">
        <v>1</v>
      </c>
      <c r="K1423" s="47">
        <v>44186</v>
      </c>
      <c r="L1423" s="46">
        <v>10737</v>
      </c>
      <c r="M1423" s="46">
        <v>1</v>
      </c>
    </row>
    <row r="1424" spans="2:13" ht="14.1" customHeight="1" x14ac:dyDescent="0.25">
      <c r="B1424" s="46" t="str">
        <f t="shared" si="22"/>
        <v>2012-110-300312</v>
      </c>
      <c r="C1424" s="47">
        <v>44181</v>
      </c>
      <c r="D1424" s="46">
        <v>110</v>
      </c>
      <c r="E1424" s="46">
        <v>1500</v>
      </c>
      <c r="F1424" s="46">
        <v>300312</v>
      </c>
      <c r="G1424" s="48" t="s">
        <v>186</v>
      </c>
      <c r="H1424" s="47">
        <v>44186</v>
      </c>
      <c r="I1424" s="46">
        <v>50992</v>
      </c>
      <c r="J1424" s="46">
        <v>1500</v>
      </c>
      <c r="K1424" s="47">
        <v>44181</v>
      </c>
      <c r="L1424" s="46">
        <v>10698</v>
      </c>
      <c r="M1424" s="46">
        <v>1500</v>
      </c>
    </row>
    <row r="1425" spans="2:13" ht="14.1" customHeight="1" x14ac:dyDescent="0.25">
      <c r="B1425" s="46" t="str">
        <f t="shared" si="22"/>
        <v>2012-114-101931</v>
      </c>
      <c r="C1425" s="47">
        <v>44181</v>
      </c>
      <c r="D1425" s="46">
        <v>114</v>
      </c>
      <c r="E1425" s="46">
        <v>2</v>
      </c>
      <c r="F1425" s="46">
        <v>101931</v>
      </c>
      <c r="G1425" s="48" t="s">
        <v>420</v>
      </c>
      <c r="H1425" s="47">
        <v>44189</v>
      </c>
      <c r="I1425" s="46">
        <v>51050</v>
      </c>
      <c r="J1425" s="46">
        <v>2</v>
      </c>
      <c r="K1425" s="47">
        <v>44194</v>
      </c>
      <c r="L1425" s="46">
        <v>10767</v>
      </c>
      <c r="M1425" s="46">
        <v>2</v>
      </c>
    </row>
    <row r="1426" spans="2:13" ht="14.1" customHeight="1" x14ac:dyDescent="0.25">
      <c r="B1426" s="46" t="str">
        <f t="shared" si="22"/>
        <v>2012-116-106183</v>
      </c>
      <c r="C1426" s="47">
        <v>44181</v>
      </c>
      <c r="D1426" s="46">
        <v>116</v>
      </c>
      <c r="E1426" s="46">
        <v>60</v>
      </c>
      <c r="F1426" s="46">
        <v>106183</v>
      </c>
      <c r="G1426" s="48" t="s">
        <v>452</v>
      </c>
      <c r="H1426" s="47">
        <v>44186</v>
      </c>
      <c r="I1426" s="46">
        <v>51011</v>
      </c>
      <c r="J1426" s="46">
        <v>60</v>
      </c>
      <c r="K1426" s="47">
        <v>44200</v>
      </c>
      <c r="L1426" s="46">
        <v>10790</v>
      </c>
      <c r="M1426" s="46">
        <v>60</v>
      </c>
    </row>
    <row r="1427" spans="2:13" ht="14.1" customHeight="1" x14ac:dyDescent="0.25">
      <c r="B1427" s="46" t="str">
        <f t="shared" si="22"/>
        <v>2012-116-107546</v>
      </c>
      <c r="C1427" s="47">
        <v>44181</v>
      </c>
      <c r="D1427" s="46">
        <v>116</v>
      </c>
      <c r="E1427" s="46">
        <v>20</v>
      </c>
      <c r="F1427" s="46">
        <v>107546</v>
      </c>
      <c r="G1427" s="48" t="s">
        <v>483</v>
      </c>
      <c r="H1427" s="47">
        <v>44186</v>
      </c>
      <c r="I1427" s="46">
        <v>51011</v>
      </c>
      <c r="J1427" s="46">
        <v>20</v>
      </c>
      <c r="K1427" s="47">
        <v>44200</v>
      </c>
      <c r="L1427" s="46">
        <v>10790</v>
      </c>
      <c r="M1427" s="46">
        <v>20</v>
      </c>
    </row>
    <row r="1428" spans="2:13" ht="14.1" customHeight="1" x14ac:dyDescent="0.25">
      <c r="B1428" s="46" t="str">
        <f t="shared" si="22"/>
        <v>2012-116-204336</v>
      </c>
      <c r="C1428" s="47">
        <v>44181</v>
      </c>
      <c r="D1428" s="46">
        <v>116</v>
      </c>
      <c r="E1428" s="46">
        <v>60</v>
      </c>
      <c r="F1428" s="46">
        <v>204336</v>
      </c>
      <c r="G1428" s="48" t="s">
        <v>55</v>
      </c>
      <c r="H1428" s="47">
        <v>44186</v>
      </c>
      <c r="I1428" s="46">
        <v>51011</v>
      </c>
      <c r="J1428" s="46">
        <v>60</v>
      </c>
      <c r="K1428" s="47">
        <v>44200</v>
      </c>
      <c r="L1428" s="46">
        <v>10790</v>
      </c>
      <c r="M1428" s="46">
        <v>60</v>
      </c>
    </row>
    <row r="1429" spans="2:13" ht="14.1" customHeight="1" x14ac:dyDescent="0.25">
      <c r="B1429" s="46" t="str">
        <f t="shared" si="22"/>
        <v>2012-116-107494</v>
      </c>
      <c r="C1429" s="47">
        <v>44181</v>
      </c>
      <c r="D1429" s="46">
        <v>116</v>
      </c>
      <c r="E1429" s="46">
        <v>30</v>
      </c>
      <c r="F1429" s="46">
        <v>107494</v>
      </c>
      <c r="G1429" s="50" t="s">
        <v>482</v>
      </c>
      <c r="H1429" s="47">
        <v>44186</v>
      </c>
      <c r="I1429" s="46">
        <v>51011</v>
      </c>
      <c r="J1429" s="46">
        <v>30</v>
      </c>
      <c r="K1429" s="47">
        <v>44200</v>
      </c>
      <c r="L1429" s="46">
        <v>10790</v>
      </c>
      <c r="M1429" s="46">
        <v>30</v>
      </c>
    </row>
    <row r="1430" spans="2:13" ht="14.1" customHeight="1" x14ac:dyDescent="0.25">
      <c r="B1430" s="46" t="str">
        <f t="shared" si="22"/>
        <v>2012-116-106644</v>
      </c>
      <c r="C1430" s="47">
        <v>44181</v>
      </c>
      <c r="D1430" s="46">
        <v>116</v>
      </c>
      <c r="E1430" s="46">
        <v>60</v>
      </c>
      <c r="F1430" s="46">
        <v>106644</v>
      </c>
      <c r="G1430" s="48" t="s">
        <v>83</v>
      </c>
      <c r="H1430" s="47">
        <v>44186</v>
      </c>
      <c r="I1430" s="46">
        <v>51011</v>
      </c>
      <c r="J1430" s="46">
        <v>60</v>
      </c>
      <c r="K1430" s="47">
        <v>44200</v>
      </c>
      <c r="L1430" s="46">
        <v>10790</v>
      </c>
      <c r="M1430" s="46">
        <v>60</v>
      </c>
    </row>
    <row r="1431" spans="2:13" ht="14.1" customHeight="1" x14ac:dyDescent="0.25">
      <c r="B1431" s="46" t="str">
        <f t="shared" si="22"/>
        <v>2012-116-205398</v>
      </c>
      <c r="C1431" s="47">
        <v>44181</v>
      </c>
      <c r="D1431" s="46">
        <v>116</v>
      </c>
      <c r="E1431" s="46">
        <v>40</v>
      </c>
      <c r="F1431" s="46">
        <v>205398</v>
      </c>
      <c r="G1431" s="48" t="s">
        <v>562</v>
      </c>
      <c r="H1431" s="47">
        <v>44186</v>
      </c>
      <c r="I1431" s="46">
        <v>51011</v>
      </c>
      <c r="J1431" s="46">
        <v>40</v>
      </c>
      <c r="K1431" s="47">
        <v>44200</v>
      </c>
      <c r="L1431" s="46">
        <v>10790</v>
      </c>
      <c r="M1431" s="46">
        <v>40</v>
      </c>
    </row>
    <row r="1432" spans="2:13" ht="14.1" customHeight="1" x14ac:dyDescent="0.25">
      <c r="B1432" s="46" t="str">
        <f t="shared" si="22"/>
        <v>2012-116-200699</v>
      </c>
      <c r="C1432" s="47">
        <v>44181</v>
      </c>
      <c r="D1432" s="46">
        <v>116</v>
      </c>
      <c r="E1432" s="46">
        <v>40</v>
      </c>
      <c r="F1432" s="46">
        <v>200699</v>
      </c>
      <c r="G1432" s="48" t="s">
        <v>54</v>
      </c>
      <c r="H1432" s="47">
        <v>44186</v>
      </c>
      <c r="I1432" s="46">
        <v>51011</v>
      </c>
      <c r="J1432" s="46">
        <v>40</v>
      </c>
      <c r="K1432" s="47">
        <v>44200</v>
      </c>
      <c r="L1432" s="46">
        <v>10790</v>
      </c>
      <c r="M1432" s="46">
        <v>40</v>
      </c>
    </row>
    <row r="1433" spans="2:13" ht="14.1" customHeight="1" x14ac:dyDescent="0.25">
      <c r="B1433" s="46" t="str">
        <f t="shared" si="22"/>
        <v>2012-116-301674</v>
      </c>
      <c r="C1433" s="47">
        <v>44181</v>
      </c>
      <c r="D1433" s="46">
        <v>116</v>
      </c>
      <c r="E1433" s="46">
        <v>60</v>
      </c>
      <c r="F1433" s="46">
        <v>301674</v>
      </c>
      <c r="G1433" s="48" t="s">
        <v>53</v>
      </c>
      <c r="H1433" s="47">
        <v>44186</v>
      </c>
      <c r="I1433" s="46">
        <v>51011</v>
      </c>
      <c r="J1433" s="46">
        <v>60</v>
      </c>
      <c r="K1433" s="47">
        <v>44200</v>
      </c>
      <c r="L1433" s="46">
        <v>10790</v>
      </c>
      <c r="M1433" s="46">
        <v>60</v>
      </c>
    </row>
    <row r="1434" spans="2:13" ht="14.1" customHeight="1" x14ac:dyDescent="0.25">
      <c r="B1434" s="46" t="str">
        <f t="shared" si="22"/>
        <v>2012-116-300320</v>
      </c>
      <c r="C1434" s="47">
        <v>44181</v>
      </c>
      <c r="D1434" s="46">
        <v>116</v>
      </c>
      <c r="E1434" s="46">
        <v>40</v>
      </c>
      <c r="F1434" s="46">
        <v>300320</v>
      </c>
      <c r="G1434" s="48" t="s">
        <v>592</v>
      </c>
      <c r="H1434" s="47">
        <v>44186</v>
      </c>
      <c r="I1434" s="46">
        <v>51011</v>
      </c>
      <c r="J1434" s="46">
        <v>40</v>
      </c>
      <c r="K1434" s="47">
        <v>44200</v>
      </c>
      <c r="L1434" s="46">
        <v>10790</v>
      </c>
      <c r="M1434" s="46">
        <v>40</v>
      </c>
    </row>
    <row r="1435" spans="2:13" ht="14.1" customHeight="1" x14ac:dyDescent="0.25">
      <c r="B1435" s="46" t="str">
        <f t="shared" si="22"/>
        <v>2012-116-204187</v>
      </c>
      <c r="C1435" s="47">
        <v>44181</v>
      </c>
      <c r="D1435" s="46">
        <v>116</v>
      </c>
      <c r="E1435" s="46">
        <v>40</v>
      </c>
      <c r="F1435" s="46">
        <v>204187</v>
      </c>
      <c r="G1435" s="48" t="s">
        <v>530</v>
      </c>
      <c r="H1435" s="47">
        <v>44186</v>
      </c>
      <c r="I1435" s="46">
        <v>51011</v>
      </c>
      <c r="J1435" s="46">
        <v>40</v>
      </c>
      <c r="K1435" s="47">
        <v>44200</v>
      </c>
      <c r="L1435" s="46">
        <v>10790</v>
      </c>
      <c r="M1435" s="46">
        <v>40</v>
      </c>
    </row>
    <row r="1436" spans="2:13" ht="14.1" customHeight="1" x14ac:dyDescent="0.25">
      <c r="B1436" s="46" t="str">
        <f t="shared" si="22"/>
        <v>2012-117-315721</v>
      </c>
      <c r="C1436" s="47">
        <v>44181</v>
      </c>
      <c r="D1436" s="46">
        <v>117</v>
      </c>
      <c r="E1436" s="46">
        <v>500</v>
      </c>
      <c r="F1436" s="46">
        <v>315721</v>
      </c>
      <c r="G1436" s="48" t="s">
        <v>107</v>
      </c>
      <c r="H1436" s="47">
        <v>44186</v>
      </c>
      <c r="I1436" s="46">
        <v>50991</v>
      </c>
      <c r="J1436" s="46">
        <v>500</v>
      </c>
      <c r="K1436" s="47">
        <v>44195</v>
      </c>
      <c r="L1436" s="46">
        <v>10777</v>
      </c>
      <c r="M1436" s="46">
        <v>500</v>
      </c>
    </row>
    <row r="1437" spans="2:13" ht="14.1" customHeight="1" x14ac:dyDescent="0.25">
      <c r="B1437" s="46" t="str">
        <f t="shared" si="22"/>
        <v>2012-117-315720</v>
      </c>
      <c r="C1437" s="47">
        <v>44181</v>
      </c>
      <c r="D1437" s="46">
        <v>117</v>
      </c>
      <c r="E1437" s="46">
        <v>500</v>
      </c>
      <c r="F1437" s="46">
        <v>315720</v>
      </c>
      <c r="G1437" s="48" t="s">
        <v>105</v>
      </c>
      <c r="H1437" s="47">
        <v>44186</v>
      </c>
      <c r="I1437" s="46">
        <v>50991</v>
      </c>
      <c r="J1437" s="46">
        <v>500</v>
      </c>
      <c r="K1437" s="47">
        <v>44195</v>
      </c>
      <c r="L1437" s="46">
        <v>10777</v>
      </c>
      <c r="M1437" s="46">
        <v>500</v>
      </c>
    </row>
    <row r="1438" spans="2:13" ht="14.1" customHeight="1" x14ac:dyDescent="0.25">
      <c r="B1438" s="46" t="str">
        <f t="shared" si="22"/>
        <v>2012-120-204542</v>
      </c>
      <c r="C1438" s="47">
        <v>44182</v>
      </c>
      <c r="D1438" s="46">
        <v>120</v>
      </c>
      <c r="E1438" s="46">
        <v>30</v>
      </c>
      <c r="F1438" s="46">
        <v>204542</v>
      </c>
      <c r="G1438" s="48" t="s">
        <v>148</v>
      </c>
      <c r="H1438" s="47">
        <v>44186</v>
      </c>
      <c r="I1438" s="46">
        <v>50993</v>
      </c>
      <c r="J1438" s="46">
        <v>30</v>
      </c>
      <c r="K1438" s="47">
        <v>44195</v>
      </c>
      <c r="L1438" s="46">
        <v>10781</v>
      </c>
      <c r="M1438" s="46">
        <v>27</v>
      </c>
    </row>
    <row r="1439" spans="2:13" ht="14.1" customHeight="1" x14ac:dyDescent="0.25">
      <c r="B1439" s="46" t="str">
        <f t="shared" si="22"/>
        <v>2012-120-204542</v>
      </c>
      <c r="C1439" s="47">
        <v>44182</v>
      </c>
      <c r="D1439" s="46">
        <v>120</v>
      </c>
      <c r="E1439" s="46">
        <v>30</v>
      </c>
      <c r="F1439" s="46">
        <v>204542</v>
      </c>
      <c r="G1439" s="48" t="s">
        <v>148</v>
      </c>
      <c r="H1439" s="47">
        <v>44186</v>
      </c>
      <c r="I1439" s="46">
        <v>50993</v>
      </c>
      <c r="J1439" s="46">
        <v>30</v>
      </c>
      <c r="K1439" s="47">
        <v>44203</v>
      </c>
      <c r="L1439" s="46">
        <v>10828</v>
      </c>
      <c r="M1439" s="46">
        <v>3</v>
      </c>
    </row>
    <row r="1440" spans="2:13" ht="14.1" customHeight="1" x14ac:dyDescent="0.25">
      <c r="B1440" s="46" t="str">
        <f t="shared" si="22"/>
        <v>2012-120-200157</v>
      </c>
      <c r="C1440" s="47">
        <v>44182</v>
      </c>
      <c r="D1440" s="46">
        <v>120</v>
      </c>
      <c r="E1440" s="46">
        <v>20</v>
      </c>
      <c r="F1440" s="46">
        <v>200157</v>
      </c>
      <c r="G1440" s="48" t="s">
        <v>487</v>
      </c>
      <c r="H1440" s="47">
        <v>44186</v>
      </c>
      <c r="I1440" s="46">
        <v>50993</v>
      </c>
      <c r="J1440" s="46">
        <v>20</v>
      </c>
      <c r="K1440" s="47">
        <v>44195</v>
      </c>
      <c r="L1440" s="46">
        <v>10781</v>
      </c>
      <c r="M1440" s="46">
        <v>20</v>
      </c>
    </row>
    <row r="1441" spans="2:13" ht="14.1" customHeight="1" x14ac:dyDescent="0.25">
      <c r="B1441" s="46" t="str">
        <f t="shared" si="22"/>
        <v>2012-120-107441</v>
      </c>
      <c r="C1441" s="47">
        <v>44182</v>
      </c>
      <c r="D1441" s="46">
        <v>120</v>
      </c>
      <c r="E1441" s="46">
        <v>40</v>
      </c>
      <c r="F1441" s="46">
        <v>107441</v>
      </c>
      <c r="G1441" s="48" t="s">
        <v>232</v>
      </c>
      <c r="H1441" s="47">
        <v>44186</v>
      </c>
      <c r="I1441" s="46">
        <v>50993</v>
      </c>
      <c r="J1441" s="46">
        <v>40</v>
      </c>
      <c r="K1441" s="47">
        <v>44195</v>
      </c>
      <c r="L1441" s="46">
        <v>10781</v>
      </c>
      <c r="M1441" s="46">
        <v>40</v>
      </c>
    </row>
    <row r="1442" spans="2:13" ht="14.1" customHeight="1" x14ac:dyDescent="0.25">
      <c r="B1442" s="46" t="str">
        <f t="shared" si="22"/>
        <v>2012-120-200209</v>
      </c>
      <c r="C1442" s="47">
        <v>44182</v>
      </c>
      <c r="D1442" s="46">
        <v>120</v>
      </c>
      <c r="E1442" s="46">
        <v>20</v>
      </c>
      <c r="F1442" s="46">
        <v>200209</v>
      </c>
      <c r="G1442" s="48" t="s">
        <v>228</v>
      </c>
      <c r="H1442" s="47">
        <v>44186</v>
      </c>
      <c r="I1442" s="46">
        <v>50993</v>
      </c>
      <c r="J1442" s="46">
        <v>20</v>
      </c>
      <c r="K1442" s="47">
        <v>44195</v>
      </c>
      <c r="L1442" s="46">
        <v>10781</v>
      </c>
      <c r="M1442" s="46">
        <v>20</v>
      </c>
    </row>
    <row r="1443" spans="2:13" ht="14.1" customHeight="1" x14ac:dyDescent="0.25">
      <c r="B1443" s="46" t="str">
        <f t="shared" si="22"/>
        <v>2012-121-200534</v>
      </c>
      <c r="C1443" s="47">
        <v>44182</v>
      </c>
      <c r="D1443" s="46">
        <v>121</v>
      </c>
      <c r="E1443" s="46">
        <v>10</v>
      </c>
      <c r="F1443" s="46">
        <v>200534</v>
      </c>
      <c r="G1443" s="50" t="s">
        <v>90</v>
      </c>
      <c r="H1443" s="47">
        <v>44186</v>
      </c>
      <c r="I1443" s="46">
        <v>50988</v>
      </c>
      <c r="J1443" s="46">
        <v>10</v>
      </c>
      <c r="K1443" s="47">
        <v>44188</v>
      </c>
      <c r="L1443" s="46">
        <v>10749</v>
      </c>
      <c r="M1443" s="46">
        <v>10</v>
      </c>
    </row>
    <row r="1444" spans="2:13" ht="14.1" customHeight="1" x14ac:dyDescent="0.25">
      <c r="B1444" s="46" t="str">
        <f t="shared" si="22"/>
        <v>2012-121-200790</v>
      </c>
      <c r="C1444" s="47">
        <v>44182</v>
      </c>
      <c r="D1444" s="46">
        <v>121</v>
      </c>
      <c r="E1444" s="46">
        <v>10</v>
      </c>
      <c r="F1444" s="46">
        <v>200790</v>
      </c>
      <c r="G1444" s="50" t="s">
        <v>246</v>
      </c>
      <c r="H1444" s="47">
        <v>44186</v>
      </c>
      <c r="I1444" s="46">
        <v>50990</v>
      </c>
      <c r="J1444" s="46">
        <v>10</v>
      </c>
      <c r="K1444" s="47">
        <v>44195</v>
      </c>
      <c r="L1444" s="46">
        <v>10778</v>
      </c>
      <c r="M1444" s="46">
        <v>10</v>
      </c>
    </row>
    <row r="1445" spans="2:13" ht="14.1" customHeight="1" x14ac:dyDescent="0.25">
      <c r="B1445" s="46" t="str">
        <f t="shared" si="22"/>
        <v>2012-121-200791</v>
      </c>
      <c r="C1445" s="47">
        <v>44182</v>
      </c>
      <c r="D1445" s="46">
        <v>121</v>
      </c>
      <c r="E1445" s="46">
        <v>10</v>
      </c>
      <c r="F1445" s="46">
        <v>200791</v>
      </c>
      <c r="G1445" s="50" t="s">
        <v>88</v>
      </c>
      <c r="H1445" s="47">
        <v>44186</v>
      </c>
      <c r="I1445" s="46">
        <v>50988</v>
      </c>
      <c r="J1445" s="46">
        <v>10</v>
      </c>
      <c r="K1445" s="47">
        <v>44188</v>
      </c>
      <c r="L1445" s="46">
        <v>10749</v>
      </c>
      <c r="M1445" s="46">
        <v>10</v>
      </c>
    </row>
    <row r="1446" spans="2:13" ht="14.1" customHeight="1" x14ac:dyDescent="0.25">
      <c r="B1446" s="46" t="str">
        <f t="shared" si="22"/>
        <v>2012-122-316612</v>
      </c>
      <c r="C1446" s="47">
        <v>44182</v>
      </c>
      <c r="D1446" s="46">
        <v>122</v>
      </c>
      <c r="E1446" s="46">
        <v>100</v>
      </c>
      <c r="F1446" s="46">
        <v>316612</v>
      </c>
      <c r="G1446" s="48" t="s">
        <v>126</v>
      </c>
      <c r="H1446" s="47">
        <v>44194</v>
      </c>
      <c r="I1446" s="46">
        <v>51069</v>
      </c>
      <c r="J1446" s="46">
        <v>100</v>
      </c>
      <c r="K1446" s="47">
        <v>44202</v>
      </c>
      <c r="L1446" s="46">
        <v>10811</v>
      </c>
      <c r="M1446" s="46">
        <v>100</v>
      </c>
    </row>
    <row r="1447" spans="2:13" ht="14.1" customHeight="1" x14ac:dyDescent="0.25">
      <c r="B1447" s="46" t="str">
        <f t="shared" si="22"/>
        <v>2012-122-206607</v>
      </c>
      <c r="C1447" s="47">
        <v>44182</v>
      </c>
      <c r="D1447" s="46">
        <v>122</v>
      </c>
      <c r="E1447" s="46">
        <v>200</v>
      </c>
      <c r="F1447" s="46">
        <v>206607</v>
      </c>
      <c r="G1447" s="48" t="s">
        <v>125</v>
      </c>
      <c r="H1447" s="47">
        <v>44194</v>
      </c>
      <c r="I1447" s="46">
        <v>51069</v>
      </c>
      <c r="J1447" s="46">
        <v>200</v>
      </c>
      <c r="K1447" s="47">
        <v>44202</v>
      </c>
      <c r="L1447" s="46">
        <v>10811</v>
      </c>
      <c r="M1447" s="46">
        <v>200</v>
      </c>
    </row>
    <row r="1448" spans="2:13" ht="14.1" customHeight="1" x14ac:dyDescent="0.25">
      <c r="B1448" s="46" t="str">
        <f t="shared" si="22"/>
        <v>2012-123-200751</v>
      </c>
      <c r="C1448" s="47">
        <v>44182</v>
      </c>
      <c r="D1448" s="46">
        <v>123</v>
      </c>
      <c r="E1448" s="46">
        <v>20000</v>
      </c>
      <c r="F1448" s="46">
        <v>200751</v>
      </c>
      <c r="G1448" s="50" t="s">
        <v>151</v>
      </c>
      <c r="H1448" s="47">
        <v>44186</v>
      </c>
      <c r="I1448" s="46">
        <v>51004</v>
      </c>
      <c r="J1448" s="46">
        <v>10000</v>
      </c>
      <c r="K1448" s="47">
        <v>44183</v>
      </c>
      <c r="L1448" s="46">
        <v>10724</v>
      </c>
      <c r="M1448" s="46">
        <v>10000</v>
      </c>
    </row>
    <row r="1449" spans="2:13" ht="14.1" customHeight="1" x14ac:dyDescent="0.25">
      <c r="B1449" s="46" t="str">
        <f t="shared" si="22"/>
        <v>2012-123-200751</v>
      </c>
      <c r="C1449" s="47">
        <v>44182</v>
      </c>
      <c r="D1449" s="46">
        <v>123</v>
      </c>
      <c r="E1449" s="46">
        <v>20000</v>
      </c>
      <c r="F1449" s="46">
        <v>200751</v>
      </c>
      <c r="G1449" s="48" t="s">
        <v>151</v>
      </c>
      <c r="H1449" s="47">
        <v>44186</v>
      </c>
      <c r="I1449" s="46">
        <v>51004</v>
      </c>
      <c r="J1449" s="46">
        <v>10000</v>
      </c>
      <c r="K1449" s="47">
        <v>44186</v>
      </c>
      <c r="L1449" s="46">
        <v>10742</v>
      </c>
      <c r="M1449" s="46">
        <v>10000</v>
      </c>
    </row>
    <row r="1450" spans="2:13" ht="14.1" customHeight="1" x14ac:dyDescent="0.25">
      <c r="B1450" s="46" t="str">
        <f t="shared" si="22"/>
        <v>2012-123-200751</v>
      </c>
      <c r="C1450" s="47">
        <v>44182</v>
      </c>
      <c r="D1450" s="46">
        <v>123</v>
      </c>
      <c r="E1450" s="46">
        <v>20000</v>
      </c>
      <c r="F1450" s="46">
        <v>200751</v>
      </c>
      <c r="G1450" s="48" t="s">
        <v>151</v>
      </c>
      <c r="H1450" s="47">
        <v>44187</v>
      </c>
      <c r="I1450" s="46">
        <v>51012</v>
      </c>
      <c r="J1450" s="46">
        <v>10000</v>
      </c>
      <c r="K1450" s="47">
        <v>44183</v>
      </c>
      <c r="L1450" s="46">
        <v>10724</v>
      </c>
      <c r="M1450" s="46">
        <v>10000</v>
      </c>
    </row>
    <row r="1451" spans="2:13" ht="14.1" customHeight="1" x14ac:dyDescent="0.25">
      <c r="B1451" s="46" t="str">
        <f t="shared" si="22"/>
        <v>2012-123-200751</v>
      </c>
      <c r="C1451" s="47">
        <v>44182</v>
      </c>
      <c r="D1451" s="46">
        <v>123</v>
      </c>
      <c r="E1451" s="46">
        <v>20000</v>
      </c>
      <c r="F1451" s="46">
        <v>200751</v>
      </c>
      <c r="G1451" s="48" t="s">
        <v>151</v>
      </c>
      <c r="H1451" s="47">
        <v>44187</v>
      </c>
      <c r="I1451" s="46">
        <v>51012</v>
      </c>
      <c r="J1451" s="46">
        <v>10000</v>
      </c>
      <c r="K1451" s="47">
        <v>44186</v>
      </c>
      <c r="L1451" s="46">
        <v>10742</v>
      </c>
      <c r="M1451" s="46">
        <v>10000</v>
      </c>
    </row>
    <row r="1452" spans="2:13" ht="14.1" customHeight="1" x14ac:dyDescent="0.25">
      <c r="B1452" s="46" t="str">
        <f t="shared" si="22"/>
        <v>2012-124-309723</v>
      </c>
      <c r="C1452" s="47">
        <v>44182</v>
      </c>
      <c r="D1452" s="46">
        <v>124</v>
      </c>
      <c r="E1452" s="46">
        <v>2</v>
      </c>
      <c r="F1452" s="46">
        <v>309723</v>
      </c>
      <c r="G1452" s="48" t="s">
        <v>760</v>
      </c>
      <c r="H1452" s="47">
        <v>44181</v>
      </c>
      <c r="I1452" s="46">
        <v>50951</v>
      </c>
      <c r="J1452" s="46">
        <v>2</v>
      </c>
      <c r="K1452" s="47">
        <v>44182</v>
      </c>
      <c r="L1452" s="46">
        <v>10710</v>
      </c>
      <c r="M1452" s="46">
        <v>2</v>
      </c>
    </row>
    <row r="1453" spans="2:13" ht="14.1" customHeight="1" x14ac:dyDescent="0.25">
      <c r="B1453" s="46" t="str">
        <f t="shared" si="22"/>
        <v>2012-129-201824</v>
      </c>
      <c r="C1453" s="47">
        <v>44183</v>
      </c>
      <c r="D1453" s="46">
        <v>129</v>
      </c>
      <c r="E1453" s="46">
        <v>80</v>
      </c>
      <c r="F1453" s="46">
        <v>201824</v>
      </c>
      <c r="G1453" s="48" t="s">
        <v>33</v>
      </c>
      <c r="H1453" s="47">
        <v>44181</v>
      </c>
      <c r="I1453" s="46">
        <v>50961</v>
      </c>
      <c r="J1453" s="46">
        <v>80</v>
      </c>
      <c r="K1453" s="47">
        <v>44183</v>
      </c>
      <c r="L1453" s="46">
        <v>10718</v>
      </c>
      <c r="M1453" s="46">
        <v>80</v>
      </c>
    </row>
    <row r="1454" spans="2:13" ht="14.1" customHeight="1" x14ac:dyDescent="0.25">
      <c r="B1454" s="46" t="str">
        <f t="shared" si="22"/>
        <v>2012-130-319688</v>
      </c>
      <c r="C1454" s="47">
        <v>44183</v>
      </c>
      <c r="D1454" s="46">
        <v>130</v>
      </c>
      <c r="E1454" s="46">
        <v>2000</v>
      </c>
      <c r="F1454" s="46">
        <v>319688</v>
      </c>
      <c r="G1454" s="48" t="s">
        <v>281</v>
      </c>
      <c r="H1454" s="47">
        <v>44187</v>
      </c>
      <c r="I1454" s="46">
        <v>51017</v>
      </c>
      <c r="J1454" s="46">
        <v>2000</v>
      </c>
      <c r="K1454" s="47">
        <v>44193</v>
      </c>
      <c r="L1454" s="46">
        <v>10759</v>
      </c>
      <c r="M1454" s="46">
        <v>2000</v>
      </c>
    </row>
    <row r="1455" spans="2:13" ht="14.1" customHeight="1" x14ac:dyDescent="0.25">
      <c r="B1455" s="46" t="str">
        <f t="shared" si="22"/>
        <v>2012-131-205752</v>
      </c>
      <c r="C1455" s="47">
        <v>44183</v>
      </c>
      <c r="D1455" s="46">
        <v>131</v>
      </c>
      <c r="E1455" s="46">
        <v>55</v>
      </c>
      <c r="F1455" s="46">
        <v>205752</v>
      </c>
      <c r="G1455" s="48" t="s">
        <v>197</v>
      </c>
      <c r="H1455" s="47">
        <v>44201</v>
      </c>
      <c r="I1455" s="46">
        <v>51092</v>
      </c>
      <c r="J1455" s="46">
        <v>55</v>
      </c>
      <c r="K1455" s="47">
        <v>44210</v>
      </c>
      <c r="L1455" s="46">
        <v>10887</v>
      </c>
      <c r="M1455" s="46">
        <v>55</v>
      </c>
    </row>
    <row r="1456" spans="2:13" ht="14.1" customHeight="1" x14ac:dyDescent="0.25">
      <c r="B1456" s="46" t="str">
        <f t="shared" si="22"/>
        <v>2012-132-304159</v>
      </c>
      <c r="C1456" s="47">
        <v>44183</v>
      </c>
      <c r="D1456" s="46">
        <v>132</v>
      </c>
      <c r="E1456" s="46">
        <v>1800</v>
      </c>
      <c r="F1456" s="46">
        <v>304159</v>
      </c>
      <c r="G1456" s="48" t="s">
        <v>152</v>
      </c>
      <c r="H1456" s="47">
        <v>44201</v>
      </c>
      <c r="I1456" s="46">
        <v>51091</v>
      </c>
      <c r="J1456" s="46">
        <v>1800</v>
      </c>
      <c r="K1456" s="47">
        <v>44183</v>
      </c>
      <c r="L1456" s="46">
        <v>10719</v>
      </c>
      <c r="M1456" s="46">
        <v>1800</v>
      </c>
    </row>
    <row r="1457" spans="2:13" ht="14.1" customHeight="1" x14ac:dyDescent="0.25">
      <c r="B1457" s="46" t="str">
        <f t="shared" si="22"/>
        <v>2012-133-300599</v>
      </c>
      <c r="C1457" s="47">
        <v>44183</v>
      </c>
      <c r="D1457" s="46">
        <v>133</v>
      </c>
      <c r="E1457" s="46">
        <v>1</v>
      </c>
      <c r="F1457" s="46">
        <v>300599</v>
      </c>
      <c r="G1457" s="48" t="s">
        <v>306</v>
      </c>
      <c r="H1457" s="47">
        <v>44182</v>
      </c>
      <c r="I1457" s="46">
        <v>50965</v>
      </c>
      <c r="J1457" s="46">
        <v>1</v>
      </c>
      <c r="K1457" s="47">
        <v>44183</v>
      </c>
      <c r="L1457" s="46">
        <v>10720</v>
      </c>
      <c r="M1457" s="46">
        <v>1</v>
      </c>
    </row>
    <row r="1458" spans="2:13" ht="14.1" customHeight="1" x14ac:dyDescent="0.25">
      <c r="B1458" s="46" t="str">
        <f t="shared" si="22"/>
        <v>2012-133-206609</v>
      </c>
      <c r="C1458" s="47">
        <v>44183</v>
      </c>
      <c r="D1458" s="46">
        <v>133</v>
      </c>
      <c r="E1458" s="46">
        <v>2</v>
      </c>
      <c r="F1458" s="46">
        <v>206609</v>
      </c>
      <c r="G1458" s="48" t="s">
        <v>587</v>
      </c>
      <c r="H1458" s="47">
        <v>44182</v>
      </c>
      <c r="I1458" s="46">
        <v>50965</v>
      </c>
      <c r="J1458" s="46">
        <v>2</v>
      </c>
      <c r="K1458" s="47">
        <v>44183</v>
      </c>
      <c r="L1458" s="46">
        <v>10720</v>
      </c>
      <c r="M1458" s="46">
        <v>2</v>
      </c>
    </row>
    <row r="1459" spans="2:13" ht="14.1" customHeight="1" x14ac:dyDescent="0.25">
      <c r="B1459" s="46" t="str">
        <f t="shared" si="22"/>
        <v>2012-134-320121</v>
      </c>
      <c r="C1459" s="47">
        <v>44183</v>
      </c>
      <c r="D1459" s="46">
        <v>134</v>
      </c>
      <c r="E1459" s="46">
        <v>4</v>
      </c>
      <c r="F1459" s="46">
        <v>320121</v>
      </c>
      <c r="G1459" s="48" t="s">
        <v>947</v>
      </c>
      <c r="H1459" s="47">
        <v>44182</v>
      </c>
      <c r="I1459" s="46">
        <v>50964</v>
      </c>
      <c r="J1459" s="46">
        <v>4</v>
      </c>
      <c r="K1459" s="47">
        <v>44183</v>
      </c>
      <c r="L1459" s="46">
        <v>10721</v>
      </c>
      <c r="M1459" s="46">
        <v>4</v>
      </c>
    </row>
    <row r="1460" spans="2:13" ht="14.1" customHeight="1" x14ac:dyDescent="0.25">
      <c r="B1460" s="46" t="str">
        <f t="shared" si="22"/>
        <v>2012-135-206065</v>
      </c>
      <c r="C1460" s="47">
        <v>44183</v>
      </c>
      <c r="D1460" s="46">
        <v>135</v>
      </c>
      <c r="E1460" s="46">
        <v>6</v>
      </c>
      <c r="F1460" s="46">
        <v>206065</v>
      </c>
      <c r="G1460" s="48" t="s">
        <v>576</v>
      </c>
      <c r="H1460" s="47">
        <v>44195</v>
      </c>
      <c r="I1460" s="46">
        <v>51073</v>
      </c>
      <c r="J1460" s="46">
        <v>6</v>
      </c>
      <c r="K1460" s="47">
        <v>44204</v>
      </c>
      <c r="L1460" s="46">
        <v>10837</v>
      </c>
      <c r="M1460" s="46">
        <v>6</v>
      </c>
    </row>
    <row r="1461" spans="2:13" ht="14.1" customHeight="1" x14ac:dyDescent="0.25">
      <c r="B1461" s="46" t="str">
        <f t="shared" si="22"/>
        <v>2012-135-314338</v>
      </c>
      <c r="C1461" s="47">
        <v>44183</v>
      </c>
      <c r="D1461" s="46">
        <v>135</v>
      </c>
      <c r="E1461" s="46">
        <v>8</v>
      </c>
      <c r="F1461" s="46">
        <v>314338</v>
      </c>
      <c r="G1461" s="48" t="s">
        <v>852</v>
      </c>
      <c r="H1461" s="47">
        <v>44195</v>
      </c>
      <c r="I1461" s="46">
        <v>51073</v>
      </c>
      <c r="J1461" s="46">
        <v>8</v>
      </c>
      <c r="K1461" s="47">
        <v>44211</v>
      </c>
      <c r="L1461" s="46">
        <v>10906</v>
      </c>
      <c r="M1461" s="46">
        <v>8</v>
      </c>
    </row>
    <row r="1462" spans="2:13" ht="14.1" customHeight="1" x14ac:dyDescent="0.25">
      <c r="B1462" s="46" t="str">
        <f t="shared" si="22"/>
        <v>2012-135-204094</v>
      </c>
      <c r="C1462" s="47">
        <v>44183</v>
      </c>
      <c r="D1462" s="46">
        <v>135</v>
      </c>
      <c r="E1462" s="46">
        <v>3</v>
      </c>
      <c r="F1462" s="46">
        <v>204094</v>
      </c>
      <c r="G1462" s="48" t="s">
        <v>526</v>
      </c>
      <c r="H1462" s="47">
        <v>44195</v>
      </c>
      <c r="I1462" s="46">
        <v>51073</v>
      </c>
      <c r="J1462" s="46">
        <v>3</v>
      </c>
      <c r="K1462" s="47">
        <v>44204</v>
      </c>
      <c r="L1462" s="46">
        <v>10837</v>
      </c>
      <c r="M1462" s="46">
        <v>3</v>
      </c>
    </row>
    <row r="1463" spans="2:13" ht="14.1" customHeight="1" x14ac:dyDescent="0.25">
      <c r="B1463" s="46" t="str">
        <f t="shared" si="22"/>
        <v>2012-135-301417</v>
      </c>
      <c r="C1463" s="47">
        <v>44183</v>
      </c>
      <c r="D1463" s="46">
        <v>135</v>
      </c>
      <c r="E1463" s="46">
        <v>3</v>
      </c>
      <c r="F1463" s="46">
        <v>301417</v>
      </c>
      <c r="G1463" s="50" t="s">
        <v>624</v>
      </c>
      <c r="H1463" s="47">
        <v>44195</v>
      </c>
      <c r="I1463" s="46">
        <v>51073</v>
      </c>
      <c r="J1463" s="46">
        <v>3</v>
      </c>
      <c r="K1463" s="47">
        <v>44204</v>
      </c>
      <c r="L1463" s="46">
        <v>10837</v>
      </c>
      <c r="M1463" s="46">
        <v>3</v>
      </c>
    </row>
    <row r="1464" spans="2:13" ht="14.1" customHeight="1" x14ac:dyDescent="0.25">
      <c r="B1464" s="46" t="str">
        <f t="shared" si="22"/>
        <v>2012-135-305761</v>
      </c>
      <c r="C1464" s="47">
        <v>44183</v>
      </c>
      <c r="D1464" s="46">
        <v>135</v>
      </c>
      <c r="E1464" s="46">
        <v>100</v>
      </c>
      <c r="F1464" s="46">
        <v>305761</v>
      </c>
      <c r="G1464" s="48" t="s">
        <v>700</v>
      </c>
      <c r="H1464" s="47">
        <v>44195</v>
      </c>
      <c r="I1464" s="46">
        <v>51073</v>
      </c>
      <c r="J1464" s="46">
        <v>100</v>
      </c>
      <c r="K1464" s="47">
        <v>44204</v>
      </c>
      <c r="L1464" s="46">
        <v>10837</v>
      </c>
      <c r="M1464" s="46">
        <v>100</v>
      </c>
    </row>
    <row r="1465" spans="2:13" ht="14.1" customHeight="1" x14ac:dyDescent="0.25">
      <c r="B1465" s="46" t="str">
        <f t="shared" si="22"/>
        <v>2012-135-320363</v>
      </c>
      <c r="C1465" s="47">
        <v>44183</v>
      </c>
      <c r="D1465" s="46">
        <v>135</v>
      </c>
      <c r="E1465" s="46">
        <v>4</v>
      </c>
      <c r="F1465" s="46">
        <v>320363</v>
      </c>
      <c r="G1465" s="48" t="s">
        <v>1051</v>
      </c>
      <c r="H1465" s="47">
        <v>44195</v>
      </c>
      <c r="I1465" s="46">
        <v>51073</v>
      </c>
      <c r="J1465" s="46">
        <v>4</v>
      </c>
      <c r="K1465" s="47">
        <v>44204</v>
      </c>
      <c r="L1465" s="46">
        <v>10837</v>
      </c>
      <c r="M1465" s="46">
        <v>4</v>
      </c>
    </row>
    <row r="1466" spans="2:13" ht="14.1" customHeight="1" x14ac:dyDescent="0.25">
      <c r="B1466" s="46" t="str">
        <f t="shared" si="22"/>
        <v>2012-141-314644</v>
      </c>
      <c r="C1466" s="47">
        <v>44183</v>
      </c>
      <c r="D1466" s="46">
        <v>141</v>
      </c>
      <c r="E1466" s="46">
        <v>4</v>
      </c>
      <c r="F1466" s="46">
        <v>314644</v>
      </c>
      <c r="G1466" s="48" t="s">
        <v>858</v>
      </c>
      <c r="H1466" s="47">
        <v>44183</v>
      </c>
      <c r="I1466" s="46">
        <v>50968</v>
      </c>
      <c r="J1466" s="46">
        <v>4</v>
      </c>
      <c r="K1466" s="47">
        <v>44183</v>
      </c>
      <c r="L1466" s="46">
        <v>10728</v>
      </c>
      <c r="M1466" s="46">
        <v>4</v>
      </c>
    </row>
    <row r="1467" spans="2:13" ht="14.1" customHeight="1" x14ac:dyDescent="0.25">
      <c r="B1467" s="46" t="str">
        <f t="shared" si="22"/>
        <v>2012-141-312508</v>
      </c>
      <c r="C1467" s="47">
        <v>44183</v>
      </c>
      <c r="D1467" s="46">
        <v>141</v>
      </c>
      <c r="E1467" s="46">
        <v>2</v>
      </c>
      <c r="F1467" s="46">
        <v>312508</v>
      </c>
      <c r="G1467" s="48" t="s">
        <v>313</v>
      </c>
      <c r="H1467" s="47">
        <v>44183</v>
      </c>
      <c r="I1467" s="46">
        <v>50968</v>
      </c>
      <c r="J1467" s="46">
        <v>2</v>
      </c>
      <c r="K1467" s="47">
        <v>44183</v>
      </c>
      <c r="L1467" s="46">
        <v>10728</v>
      </c>
      <c r="M1467" s="46">
        <v>2</v>
      </c>
    </row>
    <row r="1468" spans="2:13" ht="14.1" customHeight="1" x14ac:dyDescent="0.25">
      <c r="B1468" s="46" t="str">
        <f t="shared" si="22"/>
        <v>2012-141-205882</v>
      </c>
      <c r="C1468" s="47">
        <v>44183</v>
      </c>
      <c r="D1468" s="46">
        <v>141</v>
      </c>
      <c r="E1468" s="46">
        <v>2</v>
      </c>
      <c r="F1468" s="46">
        <v>205882</v>
      </c>
      <c r="G1468" s="48" t="s">
        <v>573</v>
      </c>
      <c r="H1468" s="47">
        <v>44183</v>
      </c>
      <c r="I1468" s="46">
        <v>50968</v>
      </c>
      <c r="J1468" s="46">
        <v>2</v>
      </c>
      <c r="K1468" s="47">
        <v>44183</v>
      </c>
      <c r="L1468" s="46">
        <v>10728</v>
      </c>
      <c r="M1468" s="46">
        <v>2</v>
      </c>
    </row>
    <row r="1469" spans="2:13" ht="14.1" customHeight="1" x14ac:dyDescent="0.25">
      <c r="B1469" s="46" t="str">
        <f t="shared" si="22"/>
        <v>2012-141-106767</v>
      </c>
      <c r="C1469" s="47">
        <v>44183</v>
      </c>
      <c r="D1469" s="46">
        <v>141</v>
      </c>
      <c r="E1469" s="46">
        <v>4</v>
      </c>
      <c r="F1469" s="46">
        <v>106767</v>
      </c>
      <c r="G1469" s="48" t="s">
        <v>474</v>
      </c>
      <c r="H1469" s="47">
        <v>44183</v>
      </c>
      <c r="I1469" s="46">
        <v>50968</v>
      </c>
      <c r="J1469" s="46">
        <v>4</v>
      </c>
      <c r="K1469" s="47">
        <v>44183</v>
      </c>
      <c r="L1469" s="46">
        <v>10728</v>
      </c>
      <c r="M1469" s="46">
        <v>4</v>
      </c>
    </row>
    <row r="1470" spans="2:13" ht="14.1" customHeight="1" x14ac:dyDescent="0.25">
      <c r="B1470" s="46" t="str">
        <f t="shared" si="22"/>
        <v>2012-145-203593</v>
      </c>
      <c r="C1470" s="47">
        <v>44186</v>
      </c>
      <c r="D1470" s="46">
        <v>145</v>
      </c>
      <c r="E1470" s="46">
        <v>3607</v>
      </c>
      <c r="F1470" s="46">
        <v>203593</v>
      </c>
      <c r="G1470" s="48" t="s">
        <v>211</v>
      </c>
      <c r="H1470" s="47">
        <v>44166</v>
      </c>
      <c r="I1470" s="46">
        <v>50978</v>
      </c>
      <c r="J1470" s="46">
        <v>3607</v>
      </c>
      <c r="K1470" s="47">
        <v>44186</v>
      </c>
      <c r="L1470" s="46">
        <v>10738</v>
      </c>
      <c r="M1470" s="46">
        <v>3607</v>
      </c>
    </row>
    <row r="1471" spans="2:13" ht="14.1" customHeight="1" x14ac:dyDescent="0.25">
      <c r="B1471" s="46" t="str">
        <f t="shared" si="22"/>
        <v>2012-147-319359</v>
      </c>
      <c r="C1471" s="47">
        <v>44186</v>
      </c>
      <c r="D1471" s="46">
        <v>147</v>
      </c>
      <c r="E1471" s="46">
        <v>4000</v>
      </c>
      <c r="F1471" s="46">
        <v>319359</v>
      </c>
      <c r="G1471" s="48" t="s">
        <v>210</v>
      </c>
      <c r="H1471" s="47">
        <v>44201</v>
      </c>
      <c r="I1471" s="46">
        <v>51090</v>
      </c>
      <c r="J1471" s="46">
        <v>4000</v>
      </c>
      <c r="K1471" s="47">
        <v>44186</v>
      </c>
      <c r="L1471" s="46">
        <v>10740</v>
      </c>
      <c r="M1471" s="46">
        <v>4000</v>
      </c>
    </row>
    <row r="1472" spans="2:13" ht="14.1" customHeight="1" x14ac:dyDescent="0.25">
      <c r="B1472" s="46" t="str">
        <f t="shared" si="22"/>
        <v>2012-148-308890</v>
      </c>
      <c r="C1472" s="47">
        <v>44186</v>
      </c>
      <c r="D1472" s="46">
        <v>148</v>
      </c>
      <c r="E1472" s="46">
        <v>4</v>
      </c>
      <c r="F1472" s="46">
        <v>308890</v>
      </c>
      <c r="G1472" s="48" t="s">
        <v>52</v>
      </c>
      <c r="H1472" s="47">
        <v>44193</v>
      </c>
      <c r="I1472" s="46">
        <v>51053</v>
      </c>
      <c r="J1472" s="46">
        <v>4</v>
      </c>
      <c r="K1472" s="47">
        <v>44194</v>
      </c>
      <c r="L1472" s="46">
        <v>10769</v>
      </c>
      <c r="M1472" s="46">
        <v>4</v>
      </c>
    </row>
    <row r="1473" spans="2:13" ht="14.1" customHeight="1" x14ac:dyDescent="0.25">
      <c r="B1473" s="46" t="str">
        <f t="shared" si="22"/>
        <v>2012-148-300337</v>
      </c>
      <c r="C1473" s="47">
        <v>44186</v>
      </c>
      <c r="D1473" s="46">
        <v>148</v>
      </c>
      <c r="E1473" s="46">
        <v>60</v>
      </c>
      <c r="F1473" s="46">
        <v>300337</v>
      </c>
      <c r="G1473" s="48" t="s">
        <v>117</v>
      </c>
      <c r="H1473" s="47">
        <v>44193</v>
      </c>
      <c r="I1473" s="46">
        <v>51054</v>
      </c>
      <c r="J1473" s="46">
        <v>60</v>
      </c>
      <c r="K1473" s="47">
        <v>44195</v>
      </c>
      <c r="L1473" s="46">
        <v>10786</v>
      </c>
      <c r="M1473" s="46">
        <v>60</v>
      </c>
    </row>
    <row r="1474" spans="2:13" ht="14.1" customHeight="1" x14ac:dyDescent="0.25">
      <c r="B1474" s="46" t="str">
        <f t="shared" si="22"/>
        <v>2012-148-102033</v>
      </c>
      <c r="C1474" s="47">
        <v>44186</v>
      </c>
      <c r="D1474" s="46">
        <v>148</v>
      </c>
      <c r="E1474" s="46">
        <v>5</v>
      </c>
      <c r="F1474" s="46">
        <v>102033</v>
      </c>
      <c r="G1474" s="48" t="s">
        <v>421</v>
      </c>
      <c r="H1474" s="47">
        <v>44193</v>
      </c>
      <c r="I1474" s="46">
        <v>51053</v>
      </c>
      <c r="J1474" s="46">
        <v>1</v>
      </c>
      <c r="K1474" s="47">
        <v>44194</v>
      </c>
      <c r="L1474" s="46">
        <v>10769</v>
      </c>
      <c r="M1474" s="46">
        <v>1</v>
      </c>
    </row>
    <row r="1475" spans="2:13" ht="14.1" customHeight="1" x14ac:dyDescent="0.25">
      <c r="B1475" s="46" t="str">
        <f t="shared" si="22"/>
        <v>2012-148-102033</v>
      </c>
      <c r="C1475" s="47">
        <v>44186</v>
      </c>
      <c r="D1475" s="46">
        <v>148</v>
      </c>
      <c r="E1475" s="46">
        <v>5</v>
      </c>
      <c r="F1475" s="46">
        <v>102033</v>
      </c>
      <c r="G1475" s="48" t="s">
        <v>421</v>
      </c>
      <c r="H1475" s="47">
        <v>44193</v>
      </c>
      <c r="I1475" s="46">
        <v>51053</v>
      </c>
      <c r="J1475" s="46">
        <v>1</v>
      </c>
      <c r="K1475" s="47">
        <v>44194</v>
      </c>
      <c r="L1475" s="46">
        <v>10772</v>
      </c>
      <c r="M1475" s="46">
        <v>4</v>
      </c>
    </row>
    <row r="1476" spans="2:13" ht="14.1" customHeight="1" x14ac:dyDescent="0.25">
      <c r="B1476" s="46" t="str">
        <f t="shared" si="22"/>
        <v>2012-148-102033</v>
      </c>
      <c r="C1476" s="47">
        <v>44186</v>
      </c>
      <c r="D1476" s="46">
        <v>148</v>
      </c>
      <c r="E1476" s="46">
        <v>5</v>
      </c>
      <c r="F1476" s="46">
        <v>102033</v>
      </c>
      <c r="G1476" s="48" t="s">
        <v>421</v>
      </c>
      <c r="H1476" s="47">
        <v>44193</v>
      </c>
      <c r="I1476" s="46">
        <v>51058</v>
      </c>
      <c r="J1476" s="46">
        <v>4</v>
      </c>
      <c r="K1476" s="47">
        <v>44194</v>
      </c>
      <c r="L1476" s="46">
        <v>10769</v>
      </c>
      <c r="M1476" s="46">
        <v>1</v>
      </c>
    </row>
    <row r="1477" spans="2:13" ht="14.1" customHeight="1" x14ac:dyDescent="0.25">
      <c r="B1477" s="46" t="str">
        <f t="shared" si="22"/>
        <v>2012-148-102033</v>
      </c>
      <c r="C1477" s="47">
        <v>44186</v>
      </c>
      <c r="D1477" s="46">
        <v>148</v>
      </c>
      <c r="E1477" s="46">
        <v>5</v>
      </c>
      <c r="F1477" s="46">
        <v>102033</v>
      </c>
      <c r="G1477" s="48" t="s">
        <v>421</v>
      </c>
      <c r="H1477" s="47">
        <v>44193</v>
      </c>
      <c r="I1477" s="46">
        <v>51058</v>
      </c>
      <c r="J1477" s="46">
        <v>4</v>
      </c>
      <c r="K1477" s="47">
        <v>44194</v>
      </c>
      <c r="L1477" s="46">
        <v>10772</v>
      </c>
      <c r="M1477" s="46">
        <v>4</v>
      </c>
    </row>
    <row r="1478" spans="2:13" ht="14.1" customHeight="1" x14ac:dyDescent="0.25">
      <c r="B1478" s="46" t="str">
        <f t="shared" si="22"/>
        <v>2012-148-309720</v>
      </c>
      <c r="C1478" s="47">
        <v>44186</v>
      </c>
      <c r="D1478" s="46">
        <v>148</v>
      </c>
      <c r="E1478" s="46">
        <v>5</v>
      </c>
      <c r="F1478" s="46">
        <v>309720</v>
      </c>
      <c r="G1478" s="48" t="s">
        <v>759</v>
      </c>
      <c r="H1478" s="47">
        <v>44193</v>
      </c>
      <c r="I1478" s="46">
        <v>51053</v>
      </c>
      <c r="J1478" s="46">
        <v>5</v>
      </c>
      <c r="K1478" s="47">
        <v>44194</v>
      </c>
      <c r="L1478" s="46">
        <v>10769</v>
      </c>
      <c r="M1478" s="46">
        <v>5</v>
      </c>
    </row>
    <row r="1479" spans="2:13" ht="14.1" customHeight="1" x14ac:dyDescent="0.25">
      <c r="B1479" s="46" t="str">
        <f t="shared" si="22"/>
        <v>2012-148-105240</v>
      </c>
      <c r="C1479" s="47">
        <v>44186</v>
      </c>
      <c r="D1479" s="46">
        <v>148</v>
      </c>
      <c r="E1479" s="46">
        <v>14</v>
      </c>
      <c r="F1479" s="46">
        <v>105240</v>
      </c>
      <c r="G1479" s="48" t="s">
        <v>429</v>
      </c>
      <c r="H1479" s="47">
        <v>44193</v>
      </c>
      <c r="I1479" s="46">
        <v>51058</v>
      </c>
      <c r="J1479" s="46">
        <v>14</v>
      </c>
      <c r="K1479" s="47">
        <v>44208</v>
      </c>
      <c r="L1479" s="46">
        <v>10855</v>
      </c>
      <c r="M1479" s="46">
        <v>14</v>
      </c>
    </row>
    <row r="1480" spans="2:13" ht="14.1" customHeight="1" x14ac:dyDescent="0.25">
      <c r="B1480" s="46" t="str">
        <f t="shared" si="22"/>
        <v>2012-148-311311</v>
      </c>
      <c r="C1480" s="47">
        <v>44186</v>
      </c>
      <c r="D1480" s="46">
        <v>148</v>
      </c>
      <c r="E1480" s="46">
        <v>5</v>
      </c>
      <c r="F1480" s="46">
        <v>311311</v>
      </c>
      <c r="G1480" s="48" t="s">
        <v>790</v>
      </c>
      <c r="H1480" s="47">
        <v>44193</v>
      </c>
      <c r="I1480" s="46">
        <v>51053</v>
      </c>
      <c r="J1480" s="46">
        <v>5</v>
      </c>
      <c r="K1480" s="47">
        <v>44194</v>
      </c>
      <c r="L1480" s="46">
        <v>10769</v>
      </c>
      <c r="M1480" s="46">
        <v>5</v>
      </c>
    </row>
    <row r="1481" spans="2:13" ht="14.1" customHeight="1" x14ac:dyDescent="0.25">
      <c r="B1481" s="46" t="str">
        <f t="shared" si="22"/>
        <v>2012-148-205957</v>
      </c>
      <c r="C1481" s="47">
        <v>44186</v>
      </c>
      <c r="D1481" s="46">
        <v>148</v>
      </c>
      <c r="E1481" s="46">
        <v>8</v>
      </c>
      <c r="F1481" s="46">
        <v>205957</v>
      </c>
      <c r="G1481" s="48" t="s">
        <v>43</v>
      </c>
      <c r="H1481" s="47">
        <v>44193</v>
      </c>
      <c r="I1481" s="46">
        <v>51056</v>
      </c>
      <c r="J1481" s="46">
        <v>8</v>
      </c>
      <c r="K1481" s="47">
        <v>44194</v>
      </c>
      <c r="L1481" s="46">
        <v>10771</v>
      </c>
      <c r="M1481" s="46">
        <v>8</v>
      </c>
    </row>
    <row r="1482" spans="2:13" ht="14.1" customHeight="1" x14ac:dyDescent="0.25">
      <c r="B1482" s="46" t="str">
        <f t="shared" si="22"/>
        <v>2012-148-307031</v>
      </c>
      <c r="C1482" s="47">
        <v>44186</v>
      </c>
      <c r="D1482" s="46">
        <v>148</v>
      </c>
      <c r="E1482" s="46">
        <v>5</v>
      </c>
      <c r="F1482" s="46">
        <v>307031</v>
      </c>
      <c r="G1482" s="48" t="s">
        <v>263</v>
      </c>
      <c r="H1482" s="47">
        <v>44193</v>
      </c>
      <c r="I1482" s="46">
        <v>51053</v>
      </c>
      <c r="J1482" s="46">
        <v>5</v>
      </c>
      <c r="K1482" s="47">
        <v>44194</v>
      </c>
      <c r="L1482" s="46">
        <v>10769</v>
      </c>
      <c r="M1482" s="46">
        <v>5</v>
      </c>
    </row>
    <row r="1483" spans="2:13" ht="14.1" customHeight="1" x14ac:dyDescent="0.25">
      <c r="B1483" s="46" t="str">
        <f t="shared" si="22"/>
        <v>2012-148-303947</v>
      </c>
      <c r="C1483" s="47">
        <v>44186</v>
      </c>
      <c r="D1483" s="46">
        <v>148</v>
      </c>
      <c r="E1483" s="46">
        <v>6</v>
      </c>
      <c r="F1483" s="46">
        <v>303947</v>
      </c>
      <c r="G1483" s="48" t="s">
        <v>203</v>
      </c>
      <c r="H1483" s="47">
        <v>44193</v>
      </c>
      <c r="I1483" s="46">
        <v>51053</v>
      </c>
      <c r="J1483" s="46">
        <v>6</v>
      </c>
      <c r="K1483" s="47">
        <v>44194</v>
      </c>
      <c r="L1483" s="46">
        <v>10769</v>
      </c>
      <c r="M1483" s="46">
        <v>6</v>
      </c>
    </row>
    <row r="1484" spans="2:13" ht="14.1" customHeight="1" x14ac:dyDescent="0.25">
      <c r="B1484" s="46" t="str">
        <f t="shared" ref="B1484:B1547" si="23">TEXT(C1484,"yy") &amp; TEXT(C1484,"mm") &amp;"-"&amp;(D1484) &amp;"-"&amp;(F1484)</f>
        <v>2012-148-306628</v>
      </c>
      <c r="C1484" s="47">
        <v>44186</v>
      </c>
      <c r="D1484" s="46">
        <v>148</v>
      </c>
      <c r="E1484" s="46">
        <v>60</v>
      </c>
      <c r="F1484" s="46">
        <v>306628</v>
      </c>
      <c r="G1484" s="48" t="s">
        <v>204</v>
      </c>
      <c r="H1484" s="47">
        <v>44193</v>
      </c>
      <c r="I1484" s="46">
        <v>51054</v>
      </c>
      <c r="J1484" s="46">
        <v>60</v>
      </c>
      <c r="K1484" s="47">
        <v>44195</v>
      </c>
      <c r="L1484" s="46">
        <v>10786</v>
      </c>
      <c r="M1484" s="46">
        <v>60</v>
      </c>
    </row>
    <row r="1485" spans="2:13" ht="14.1" customHeight="1" x14ac:dyDescent="0.25">
      <c r="B1485" s="46" t="str">
        <f t="shared" si="23"/>
        <v>2012-148-312677</v>
      </c>
      <c r="C1485" s="47">
        <v>44186</v>
      </c>
      <c r="D1485" s="46">
        <v>148</v>
      </c>
      <c r="E1485" s="46">
        <v>15</v>
      </c>
      <c r="F1485" s="46">
        <v>312677</v>
      </c>
      <c r="G1485" s="48" t="s">
        <v>819</v>
      </c>
      <c r="H1485" s="47">
        <v>44193</v>
      </c>
      <c r="I1485" s="46">
        <v>51053</v>
      </c>
      <c r="J1485" s="46">
        <v>15</v>
      </c>
      <c r="K1485" s="47">
        <v>44194</v>
      </c>
      <c r="L1485" s="46">
        <v>10774</v>
      </c>
      <c r="M1485" s="46">
        <v>15</v>
      </c>
    </row>
    <row r="1486" spans="2:13" ht="14.1" customHeight="1" x14ac:dyDescent="0.25">
      <c r="B1486" s="46" t="str">
        <f t="shared" si="23"/>
        <v>2012-148-204172</v>
      </c>
      <c r="C1486" s="47">
        <v>44186</v>
      </c>
      <c r="D1486" s="46">
        <v>148</v>
      </c>
      <c r="E1486" s="46">
        <v>15</v>
      </c>
      <c r="F1486" s="46">
        <v>204172</v>
      </c>
      <c r="G1486" s="48" t="s">
        <v>527</v>
      </c>
      <c r="H1486" s="47">
        <v>44193</v>
      </c>
      <c r="I1486" s="46">
        <v>51053</v>
      </c>
      <c r="J1486" s="46">
        <v>15</v>
      </c>
      <c r="K1486" s="47">
        <v>44194</v>
      </c>
      <c r="L1486" s="46">
        <v>10769</v>
      </c>
      <c r="M1486" s="46">
        <v>15</v>
      </c>
    </row>
    <row r="1487" spans="2:13" ht="14.1" customHeight="1" x14ac:dyDescent="0.25">
      <c r="B1487" s="46" t="str">
        <f t="shared" si="23"/>
        <v>2012-149-105986</v>
      </c>
      <c r="C1487" s="47">
        <v>44186</v>
      </c>
      <c r="D1487" s="46">
        <v>149</v>
      </c>
      <c r="E1487" s="46">
        <v>5</v>
      </c>
      <c r="F1487" s="46">
        <v>105986</v>
      </c>
      <c r="G1487" s="48" t="s">
        <v>448</v>
      </c>
      <c r="H1487" s="47">
        <v>44208</v>
      </c>
      <c r="I1487" s="46">
        <v>51182</v>
      </c>
      <c r="J1487" s="46">
        <v>5</v>
      </c>
      <c r="K1487" s="47">
        <v>44210</v>
      </c>
      <c r="L1487" s="46">
        <v>10892</v>
      </c>
      <c r="M1487" s="46">
        <v>5</v>
      </c>
    </row>
    <row r="1488" spans="2:13" ht="14.1" customHeight="1" x14ac:dyDescent="0.25">
      <c r="B1488" s="46" t="str">
        <f t="shared" si="23"/>
        <v>2012-150-104964</v>
      </c>
      <c r="C1488" s="47">
        <v>44186</v>
      </c>
      <c r="D1488" s="46">
        <v>150</v>
      </c>
      <c r="E1488" s="46">
        <v>4</v>
      </c>
      <c r="F1488" s="46">
        <v>104964</v>
      </c>
      <c r="G1488" s="48" t="s">
        <v>427</v>
      </c>
      <c r="H1488" s="47">
        <v>44193</v>
      </c>
      <c r="I1488" s="46">
        <v>51060</v>
      </c>
      <c r="J1488" s="46">
        <v>4</v>
      </c>
      <c r="K1488" s="47">
        <v>44195</v>
      </c>
      <c r="L1488" s="46">
        <v>10783</v>
      </c>
      <c r="M1488" s="46">
        <v>4</v>
      </c>
    </row>
    <row r="1489" spans="2:13" ht="14.1" customHeight="1" x14ac:dyDescent="0.25">
      <c r="B1489" s="46" t="str">
        <f t="shared" si="23"/>
        <v>2012-150-320537</v>
      </c>
      <c r="C1489" s="47">
        <v>44186</v>
      </c>
      <c r="D1489" s="46">
        <v>150</v>
      </c>
      <c r="E1489" s="46">
        <v>1</v>
      </c>
      <c r="F1489" s="46">
        <v>320537</v>
      </c>
      <c r="G1489" s="48" t="s">
        <v>1106</v>
      </c>
      <c r="H1489" s="47">
        <v>44193</v>
      </c>
      <c r="I1489" s="46">
        <v>51061</v>
      </c>
      <c r="J1489" s="46">
        <v>1</v>
      </c>
      <c r="K1489" s="47">
        <v>44201</v>
      </c>
      <c r="L1489" s="46">
        <v>10802</v>
      </c>
      <c r="M1489" s="46">
        <v>1</v>
      </c>
    </row>
    <row r="1490" spans="2:13" ht="14.1" customHeight="1" x14ac:dyDescent="0.25">
      <c r="B1490" s="46" t="str">
        <f t="shared" si="23"/>
        <v>2012-151-200551</v>
      </c>
      <c r="C1490" s="47">
        <v>44186</v>
      </c>
      <c r="D1490" s="46">
        <v>151</v>
      </c>
      <c r="E1490" s="46">
        <v>55</v>
      </c>
      <c r="F1490" s="46">
        <v>200551</v>
      </c>
      <c r="G1490" s="48" t="s">
        <v>229</v>
      </c>
      <c r="H1490" s="47">
        <v>44201</v>
      </c>
      <c r="I1490" s="46">
        <v>51089</v>
      </c>
      <c r="J1490" s="46">
        <v>55</v>
      </c>
      <c r="K1490" s="47">
        <v>44210</v>
      </c>
      <c r="L1490" s="46">
        <v>10888</v>
      </c>
      <c r="M1490" s="46">
        <v>55</v>
      </c>
    </row>
    <row r="1491" spans="2:13" ht="14.1" customHeight="1" x14ac:dyDescent="0.25">
      <c r="B1491" s="46" t="str">
        <f t="shared" si="23"/>
        <v>2012-153-303510</v>
      </c>
      <c r="C1491" s="47">
        <v>44187</v>
      </c>
      <c r="D1491" s="46">
        <v>153</v>
      </c>
      <c r="E1491" s="46">
        <v>2</v>
      </c>
      <c r="F1491" s="46">
        <v>303510</v>
      </c>
      <c r="G1491" s="48" t="s">
        <v>262</v>
      </c>
      <c r="H1491" s="47">
        <v>44193</v>
      </c>
      <c r="I1491" s="46">
        <v>51051</v>
      </c>
      <c r="J1491" s="46">
        <v>2</v>
      </c>
      <c r="K1491" s="47">
        <v>44194</v>
      </c>
      <c r="L1491" s="46">
        <v>10770</v>
      </c>
      <c r="M1491" s="46">
        <v>2</v>
      </c>
    </row>
    <row r="1492" spans="2:13" ht="14.1" customHeight="1" x14ac:dyDescent="0.25">
      <c r="B1492" s="46" t="str">
        <f t="shared" si="23"/>
        <v>2012-153-308890</v>
      </c>
      <c r="C1492" s="47">
        <v>44187</v>
      </c>
      <c r="D1492" s="46">
        <v>153</v>
      </c>
      <c r="E1492" s="46">
        <v>3</v>
      </c>
      <c r="F1492" s="46">
        <v>308890</v>
      </c>
      <c r="G1492" s="48" t="s">
        <v>52</v>
      </c>
      <c r="H1492" s="47">
        <v>44193</v>
      </c>
      <c r="I1492" s="46">
        <v>51051</v>
      </c>
      <c r="J1492" s="46">
        <v>3</v>
      </c>
      <c r="K1492" s="47">
        <v>44194</v>
      </c>
      <c r="L1492" s="46">
        <v>10770</v>
      </c>
      <c r="M1492" s="46">
        <v>3</v>
      </c>
    </row>
    <row r="1493" spans="2:13" ht="14.1" customHeight="1" x14ac:dyDescent="0.25">
      <c r="B1493" s="46" t="str">
        <f t="shared" si="23"/>
        <v>2012-153-303811</v>
      </c>
      <c r="C1493" s="47">
        <v>44187</v>
      </c>
      <c r="D1493" s="46">
        <v>153</v>
      </c>
      <c r="E1493" s="46">
        <v>2</v>
      </c>
      <c r="F1493" s="46">
        <v>303811</v>
      </c>
      <c r="G1493" s="48" t="s">
        <v>1644</v>
      </c>
      <c r="H1493" s="47">
        <v>44193</v>
      </c>
      <c r="I1493" s="46">
        <v>51051</v>
      </c>
      <c r="J1493" s="46">
        <v>2</v>
      </c>
      <c r="K1493" s="47">
        <v>44194</v>
      </c>
      <c r="L1493" s="46">
        <v>10770</v>
      </c>
      <c r="M1493" s="46">
        <v>2</v>
      </c>
    </row>
    <row r="1494" spans="2:13" ht="14.1" customHeight="1" x14ac:dyDescent="0.25">
      <c r="B1494" s="46" t="str">
        <f t="shared" si="23"/>
        <v>2012-153-205957</v>
      </c>
      <c r="C1494" s="47">
        <v>44187</v>
      </c>
      <c r="D1494" s="46">
        <v>153</v>
      </c>
      <c r="E1494" s="46">
        <v>6</v>
      </c>
      <c r="F1494" s="46">
        <v>205957</v>
      </c>
      <c r="G1494" s="48" t="s">
        <v>43</v>
      </c>
      <c r="H1494" s="47">
        <v>44193</v>
      </c>
      <c r="I1494" s="46">
        <v>51057</v>
      </c>
      <c r="J1494" s="46">
        <v>6</v>
      </c>
      <c r="K1494" s="47">
        <v>44194</v>
      </c>
      <c r="L1494" s="46">
        <v>10771</v>
      </c>
      <c r="M1494" s="46">
        <v>6</v>
      </c>
    </row>
    <row r="1495" spans="2:13" ht="14.1" customHeight="1" x14ac:dyDescent="0.25">
      <c r="B1495" s="46" t="str">
        <f t="shared" si="23"/>
        <v>2012-153-303947</v>
      </c>
      <c r="C1495" s="47">
        <v>44187</v>
      </c>
      <c r="D1495" s="46">
        <v>153</v>
      </c>
      <c r="E1495" s="46">
        <v>6</v>
      </c>
      <c r="F1495" s="46">
        <v>303947</v>
      </c>
      <c r="G1495" s="48" t="s">
        <v>203</v>
      </c>
      <c r="H1495" s="47">
        <v>44193</v>
      </c>
      <c r="I1495" s="46">
        <v>51051</v>
      </c>
      <c r="J1495" s="46">
        <v>6</v>
      </c>
      <c r="K1495" s="47">
        <v>44194</v>
      </c>
      <c r="L1495" s="46">
        <v>10770</v>
      </c>
      <c r="M1495" s="46">
        <v>6</v>
      </c>
    </row>
    <row r="1496" spans="2:13" ht="14.1" customHeight="1" x14ac:dyDescent="0.25">
      <c r="B1496" s="46" t="str">
        <f t="shared" si="23"/>
        <v>2012-154-320538</v>
      </c>
      <c r="C1496" s="47">
        <v>44187</v>
      </c>
      <c r="D1496" s="46">
        <v>154</v>
      </c>
      <c r="E1496" s="46">
        <v>42</v>
      </c>
      <c r="F1496" s="46">
        <v>320538</v>
      </c>
      <c r="G1496" s="48" t="s">
        <v>1107</v>
      </c>
      <c r="H1496" s="47">
        <v>44193</v>
      </c>
      <c r="I1496" s="46">
        <v>51052</v>
      </c>
      <c r="J1496" s="46">
        <v>42</v>
      </c>
      <c r="K1496" s="47">
        <v>44208</v>
      </c>
      <c r="L1496" s="46">
        <v>10856</v>
      </c>
      <c r="M1496" s="46">
        <v>30</v>
      </c>
    </row>
    <row r="1497" spans="2:13" ht="14.1" customHeight="1" x14ac:dyDescent="0.25">
      <c r="B1497" s="46" t="str">
        <f t="shared" si="23"/>
        <v>2012-154-320538</v>
      </c>
      <c r="C1497" s="47">
        <v>44187</v>
      </c>
      <c r="D1497" s="46">
        <v>154</v>
      </c>
      <c r="E1497" s="46">
        <v>42</v>
      </c>
      <c r="F1497" s="46">
        <v>320538</v>
      </c>
      <c r="G1497" s="48" t="s">
        <v>1107</v>
      </c>
      <c r="H1497" s="47">
        <v>44193</v>
      </c>
      <c r="I1497" s="46">
        <v>51052</v>
      </c>
      <c r="J1497" s="46">
        <v>42</v>
      </c>
      <c r="K1497" s="47">
        <v>44270</v>
      </c>
      <c r="L1497" s="46">
        <v>11521</v>
      </c>
      <c r="M1497" s="46">
        <v>12</v>
      </c>
    </row>
    <row r="1498" spans="2:13" ht="14.1" customHeight="1" x14ac:dyDescent="0.25">
      <c r="B1498" s="46" t="str">
        <f t="shared" si="23"/>
        <v>2012-155-315665</v>
      </c>
      <c r="C1498" s="47">
        <v>44187</v>
      </c>
      <c r="D1498" s="46">
        <v>155</v>
      </c>
      <c r="E1498" s="46">
        <v>100</v>
      </c>
      <c r="F1498" s="46">
        <v>315665</v>
      </c>
      <c r="G1498" s="48" t="s">
        <v>116</v>
      </c>
      <c r="H1498" s="47">
        <v>44188</v>
      </c>
      <c r="I1498" s="46">
        <v>51025</v>
      </c>
      <c r="J1498" s="46">
        <v>100</v>
      </c>
      <c r="K1498" s="47">
        <v>44209</v>
      </c>
      <c r="L1498" s="46">
        <v>10879</v>
      </c>
      <c r="M1498" s="46">
        <v>65</v>
      </c>
    </row>
    <row r="1499" spans="2:13" ht="14.1" customHeight="1" x14ac:dyDescent="0.25">
      <c r="B1499" s="46" t="str">
        <f t="shared" si="23"/>
        <v>2012-155-315665</v>
      </c>
      <c r="C1499" s="47">
        <v>44187</v>
      </c>
      <c r="D1499" s="46">
        <v>155</v>
      </c>
      <c r="E1499" s="46">
        <v>100</v>
      </c>
      <c r="F1499" s="46">
        <v>315665</v>
      </c>
      <c r="G1499" s="48" t="s">
        <v>116</v>
      </c>
      <c r="H1499" s="47">
        <v>44188</v>
      </c>
      <c r="I1499" s="46">
        <v>51025</v>
      </c>
      <c r="J1499" s="46">
        <v>100</v>
      </c>
      <c r="K1499" s="47">
        <v>44211</v>
      </c>
      <c r="L1499" s="46">
        <v>10902</v>
      </c>
      <c r="M1499" s="46">
        <v>35</v>
      </c>
    </row>
    <row r="1500" spans="2:13" ht="14.1" customHeight="1" x14ac:dyDescent="0.25">
      <c r="B1500" s="46" t="str">
        <f t="shared" si="23"/>
        <v>2012-156-310670</v>
      </c>
      <c r="C1500" s="47">
        <v>44187</v>
      </c>
      <c r="D1500" s="46">
        <v>156</v>
      </c>
      <c r="E1500" s="46">
        <v>2</v>
      </c>
      <c r="F1500" s="46">
        <v>310670</v>
      </c>
      <c r="G1500" s="48" t="s">
        <v>773</v>
      </c>
      <c r="H1500" s="47">
        <v>44187</v>
      </c>
      <c r="I1500" s="46">
        <v>51019</v>
      </c>
      <c r="J1500" s="46">
        <v>2</v>
      </c>
      <c r="K1500" s="47">
        <v>44193</v>
      </c>
      <c r="L1500" s="46">
        <v>10766</v>
      </c>
      <c r="M1500" s="46">
        <v>2</v>
      </c>
    </row>
    <row r="1501" spans="2:13" ht="14.1" customHeight="1" x14ac:dyDescent="0.25">
      <c r="B1501" s="46" t="str">
        <f t="shared" si="23"/>
        <v>2012-156-205277</v>
      </c>
      <c r="C1501" s="47">
        <v>44187</v>
      </c>
      <c r="D1501" s="46">
        <v>156</v>
      </c>
      <c r="E1501" s="46">
        <v>1</v>
      </c>
      <c r="F1501" s="46">
        <v>205277</v>
      </c>
      <c r="G1501" s="48" t="s">
        <v>556</v>
      </c>
      <c r="H1501" s="47">
        <v>44187</v>
      </c>
      <c r="I1501" s="46">
        <v>51020</v>
      </c>
      <c r="J1501" s="46">
        <v>1</v>
      </c>
      <c r="K1501" s="47">
        <v>44193</v>
      </c>
      <c r="L1501" s="46">
        <v>10765</v>
      </c>
      <c r="M1501" s="46">
        <v>1</v>
      </c>
    </row>
    <row r="1502" spans="2:13" ht="14.1" customHeight="1" x14ac:dyDescent="0.25">
      <c r="B1502" s="46" t="str">
        <f t="shared" si="23"/>
        <v>2012-157-204050</v>
      </c>
      <c r="C1502" s="47">
        <v>44187</v>
      </c>
      <c r="D1502" s="46">
        <v>157</v>
      </c>
      <c r="E1502" s="46">
        <v>6</v>
      </c>
      <c r="F1502" s="46">
        <v>204050</v>
      </c>
      <c r="G1502" s="48" t="s">
        <v>525</v>
      </c>
      <c r="H1502" s="47">
        <v>44229</v>
      </c>
      <c r="I1502" s="46">
        <v>51451</v>
      </c>
      <c r="J1502" s="46">
        <v>6</v>
      </c>
      <c r="K1502" s="47">
        <v>44252</v>
      </c>
      <c r="L1502" s="46">
        <v>11350</v>
      </c>
      <c r="M1502" s="46">
        <v>6</v>
      </c>
    </row>
    <row r="1503" spans="2:13" ht="14.1" customHeight="1" x14ac:dyDescent="0.25">
      <c r="B1503" s="46" t="str">
        <f t="shared" si="23"/>
        <v>2012-157-314770</v>
      </c>
      <c r="C1503" s="47">
        <v>44187</v>
      </c>
      <c r="D1503" s="46">
        <v>157</v>
      </c>
      <c r="E1503" s="46">
        <v>2</v>
      </c>
      <c r="F1503" s="46">
        <v>314770</v>
      </c>
      <c r="G1503" s="48" t="s">
        <v>861</v>
      </c>
      <c r="H1503" s="47">
        <v>44229</v>
      </c>
      <c r="I1503" s="46">
        <v>51450</v>
      </c>
      <c r="J1503" s="46">
        <v>2</v>
      </c>
      <c r="K1503" s="47">
        <v>44264</v>
      </c>
      <c r="L1503" s="46">
        <v>11448</v>
      </c>
      <c r="M1503" s="46">
        <v>2</v>
      </c>
    </row>
    <row r="1504" spans="2:13" ht="14.1" customHeight="1" x14ac:dyDescent="0.25">
      <c r="B1504" s="46" t="str">
        <f t="shared" si="23"/>
        <v>2012-157-316812</v>
      </c>
      <c r="C1504" s="47">
        <v>44187</v>
      </c>
      <c r="D1504" s="46">
        <v>157</v>
      </c>
      <c r="E1504" s="46">
        <v>8</v>
      </c>
      <c r="F1504" s="46">
        <v>316812</v>
      </c>
      <c r="G1504" s="48" t="s">
        <v>901</v>
      </c>
      <c r="H1504" s="47">
        <v>44229</v>
      </c>
      <c r="I1504" s="46">
        <v>51451</v>
      </c>
      <c r="J1504" s="46">
        <v>8</v>
      </c>
      <c r="K1504" s="47">
        <v>44252</v>
      </c>
      <c r="L1504" s="46">
        <v>11350</v>
      </c>
      <c r="M1504" s="46">
        <v>8</v>
      </c>
    </row>
    <row r="1505" spans="2:13" ht="14.1" customHeight="1" x14ac:dyDescent="0.25">
      <c r="B1505" s="46" t="str">
        <f t="shared" si="23"/>
        <v>2012-157-204192</v>
      </c>
      <c r="C1505" s="47">
        <v>44187</v>
      </c>
      <c r="D1505" s="46">
        <v>157</v>
      </c>
      <c r="E1505" s="46">
        <v>200</v>
      </c>
      <c r="F1505" s="46">
        <v>204192</v>
      </c>
      <c r="G1505" s="48" t="s">
        <v>59</v>
      </c>
      <c r="H1505" s="47">
        <v>44229</v>
      </c>
      <c r="I1505" s="46">
        <v>51451</v>
      </c>
      <c r="J1505" s="46">
        <v>200</v>
      </c>
      <c r="K1505" s="47">
        <v>44252</v>
      </c>
      <c r="L1505" s="46">
        <v>11350</v>
      </c>
      <c r="M1505" s="46">
        <v>200</v>
      </c>
    </row>
    <row r="1506" spans="2:13" ht="14.1" customHeight="1" x14ac:dyDescent="0.25">
      <c r="B1506" s="46" t="str">
        <f t="shared" si="23"/>
        <v>2012-157-305044</v>
      </c>
      <c r="C1506" s="47">
        <v>44187</v>
      </c>
      <c r="D1506" s="46">
        <v>157</v>
      </c>
      <c r="E1506" s="46">
        <v>6</v>
      </c>
      <c r="F1506" s="46">
        <v>305044</v>
      </c>
      <c r="G1506" s="48" t="s">
        <v>686</v>
      </c>
      <c r="H1506" s="47">
        <v>44229</v>
      </c>
      <c r="I1506" s="46">
        <v>51451</v>
      </c>
      <c r="J1506" s="46">
        <v>6</v>
      </c>
      <c r="K1506" s="47">
        <v>44252</v>
      </c>
      <c r="L1506" s="46">
        <v>11350</v>
      </c>
      <c r="M1506" s="46">
        <v>6</v>
      </c>
    </row>
    <row r="1507" spans="2:13" ht="14.1" customHeight="1" x14ac:dyDescent="0.25">
      <c r="B1507" s="46" t="str">
        <f t="shared" si="23"/>
        <v>2012-159-307763</v>
      </c>
      <c r="C1507" s="47">
        <v>44188</v>
      </c>
      <c r="D1507" s="46">
        <v>159</v>
      </c>
      <c r="E1507" s="46">
        <v>10</v>
      </c>
      <c r="F1507" s="46">
        <v>307763</v>
      </c>
      <c r="G1507" s="48" t="s">
        <v>226</v>
      </c>
      <c r="H1507" s="47">
        <v>44201</v>
      </c>
      <c r="I1507" s="46">
        <v>51093</v>
      </c>
      <c r="J1507" s="46">
        <v>10</v>
      </c>
      <c r="K1507" s="47">
        <v>44215</v>
      </c>
      <c r="L1507" s="46">
        <v>10949</v>
      </c>
      <c r="M1507" s="46">
        <v>10</v>
      </c>
    </row>
    <row r="1508" spans="2:13" ht="14.1" customHeight="1" x14ac:dyDescent="0.25">
      <c r="B1508" s="46" t="str">
        <f t="shared" si="23"/>
        <v>2012-160-100376</v>
      </c>
      <c r="C1508" s="47">
        <v>44188</v>
      </c>
      <c r="D1508" s="46">
        <v>160</v>
      </c>
      <c r="E1508" s="46">
        <v>30</v>
      </c>
      <c r="F1508" s="46">
        <v>100376</v>
      </c>
      <c r="G1508" s="48" t="s">
        <v>243</v>
      </c>
      <c r="H1508" s="47">
        <v>44201</v>
      </c>
      <c r="I1508" s="46">
        <v>51087</v>
      </c>
      <c r="J1508" s="46">
        <v>30</v>
      </c>
      <c r="K1508" s="47">
        <v>44214</v>
      </c>
      <c r="L1508" s="46">
        <v>10934</v>
      </c>
      <c r="M1508" s="46">
        <v>30</v>
      </c>
    </row>
    <row r="1509" spans="2:13" ht="14.1" customHeight="1" x14ac:dyDescent="0.25">
      <c r="B1509" s="46" t="str">
        <f t="shared" si="23"/>
        <v>2012-160-201003</v>
      </c>
      <c r="C1509" s="47">
        <v>44188</v>
      </c>
      <c r="D1509" s="46">
        <v>160</v>
      </c>
      <c r="E1509" s="46">
        <v>20</v>
      </c>
      <c r="F1509" s="46">
        <v>201003</v>
      </c>
      <c r="G1509" s="48" t="s">
        <v>110</v>
      </c>
      <c r="H1509" s="47">
        <v>44201</v>
      </c>
      <c r="I1509" s="46">
        <v>51087</v>
      </c>
      <c r="J1509" s="46">
        <v>20</v>
      </c>
      <c r="K1509" s="47">
        <v>44214</v>
      </c>
      <c r="L1509" s="46">
        <v>10934</v>
      </c>
      <c r="M1509" s="46">
        <v>20</v>
      </c>
    </row>
    <row r="1510" spans="2:13" ht="14.1" customHeight="1" x14ac:dyDescent="0.25">
      <c r="B1510" s="46" t="str">
        <f t="shared" si="23"/>
        <v>2012-160-200864</v>
      </c>
      <c r="C1510" s="47">
        <v>44188</v>
      </c>
      <c r="D1510" s="46">
        <v>160</v>
      </c>
      <c r="E1510" s="46">
        <v>15</v>
      </c>
      <c r="F1510" s="46">
        <v>200864</v>
      </c>
      <c r="G1510" s="48" t="s">
        <v>299</v>
      </c>
      <c r="H1510" s="47">
        <v>44201</v>
      </c>
      <c r="I1510" s="46">
        <v>51087</v>
      </c>
      <c r="J1510" s="46">
        <v>15</v>
      </c>
      <c r="K1510" s="47">
        <v>44214</v>
      </c>
      <c r="L1510" s="46">
        <v>10934</v>
      </c>
      <c r="M1510" s="46">
        <v>15</v>
      </c>
    </row>
    <row r="1511" spans="2:13" ht="14.1" customHeight="1" x14ac:dyDescent="0.25">
      <c r="B1511" s="46" t="str">
        <f t="shared" si="23"/>
        <v>2012-160-203683</v>
      </c>
      <c r="C1511" s="47">
        <v>44188</v>
      </c>
      <c r="D1511" s="46">
        <v>160</v>
      </c>
      <c r="E1511" s="46">
        <v>10</v>
      </c>
      <c r="F1511" s="46">
        <v>203683</v>
      </c>
      <c r="G1511" s="48" t="s">
        <v>179</v>
      </c>
      <c r="H1511" s="47">
        <v>44201</v>
      </c>
      <c r="I1511" s="46">
        <v>51087</v>
      </c>
      <c r="J1511" s="46">
        <v>10</v>
      </c>
      <c r="K1511" s="47">
        <v>44214</v>
      </c>
      <c r="L1511" s="46">
        <v>10934</v>
      </c>
      <c r="M1511" s="46">
        <v>10</v>
      </c>
    </row>
    <row r="1512" spans="2:13" ht="14.1" customHeight="1" x14ac:dyDescent="0.25">
      <c r="B1512" s="46" t="str">
        <f t="shared" si="23"/>
        <v>2012-169-106464</v>
      </c>
      <c r="C1512" s="47">
        <v>44193</v>
      </c>
      <c r="D1512" s="46">
        <v>169</v>
      </c>
      <c r="E1512" s="46">
        <v>1</v>
      </c>
      <c r="F1512" s="46">
        <v>106464</v>
      </c>
      <c r="G1512" s="48" t="s">
        <v>458</v>
      </c>
      <c r="H1512" s="47">
        <v>44215</v>
      </c>
      <c r="I1512" s="46">
        <v>51260</v>
      </c>
      <c r="J1512" s="46">
        <v>1</v>
      </c>
      <c r="K1512" s="47">
        <v>44236</v>
      </c>
      <c r="L1512" s="46">
        <v>11143</v>
      </c>
      <c r="M1512" s="46">
        <v>1</v>
      </c>
    </row>
    <row r="1513" spans="2:13" ht="14.1" customHeight="1" x14ac:dyDescent="0.25">
      <c r="B1513" s="46" t="str">
        <f t="shared" si="23"/>
        <v>2012-169-106466</v>
      </c>
      <c r="C1513" s="47">
        <v>44193</v>
      </c>
      <c r="D1513" s="46">
        <v>169</v>
      </c>
      <c r="E1513" s="46">
        <v>1</v>
      </c>
      <c r="F1513" s="46">
        <v>106466</v>
      </c>
      <c r="G1513" s="48" t="s">
        <v>460</v>
      </c>
      <c r="H1513" s="47">
        <v>44215</v>
      </c>
      <c r="I1513" s="46">
        <v>51260</v>
      </c>
      <c r="J1513" s="46">
        <v>1</v>
      </c>
      <c r="K1513" s="47">
        <v>44236</v>
      </c>
      <c r="L1513" s="46">
        <v>11143</v>
      </c>
      <c r="M1513" s="46">
        <v>1</v>
      </c>
    </row>
    <row r="1514" spans="2:13" ht="14.1" customHeight="1" x14ac:dyDescent="0.25">
      <c r="B1514" s="46" t="str">
        <f t="shared" si="23"/>
        <v>2012-169-106471</v>
      </c>
      <c r="C1514" s="47">
        <v>44193</v>
      </c>
      <c r="D1514" s="46">
        <v>169</v>
      </c>
      <c r="E1514" s="46">
        <v>1</v>
      </c>
      <c r="F1514" s="46">
        <v>106471</v>
      </c>
      <c r="G1514" s="48" t="s">
        <v>139</v>
      </c>
      <c r="H1514" s="47">
        <v>44215</v>
      </c>
      <c r="I1514" s="46">
        <v>51260</v>
      </c>
      <c r="J1514" s="46">
        <v>1</v>
      </c>
      <c r="K1514" s="47">
        <v>44236</v>
      </c>
      <c r="L1514" s="46">
        <v>11143</v>
      </c>
      <c r="M1514" s="46">
        <v>1</v>
      </c>
    </row>
    <row r="1515" spans="2:13" ht="14.1" customHeight="1" x14ac:dyDescent="0.25">
      <c r="B1515" s="46" t="str">
        <f t="shared" si="23"/>
        <v>2012-169-106714</v>
      </c>
      <c r="C1515" s="47">
        <v>44193</v>
      </c>
      <c r="D1515" s="46">
        <v>169</v>
      </c>
      <c r="E1515" s="46">
        <v>1</v>
      </c>
      <c r="F1515" s="46">
        <v>106714</v>
      </c>
      <c r="G1515" s="48" t="s">
        <v>472</v>
      </c>
      <c r="H1515" s="47">
        <v>44215</v>
      </c>
      <c r="I1515" s="46">
        <v>51260</v>
      </c>
      <c r="J1515" s="46">
        <v>1</v>
      </c>
      <c r="K1515" s="47">
        <v>44236</v>
      </c>
      <c r="L1515" s="46">
        <v>11143</v>
      </c>
      <c r="M1515" s="46">
        <v>1</v>
      </c>
    </row>
    <row r="1516" spans="2:13" ht="14.1" customHeight="1" x14ac:dyDescent="0.25">
      <c r="B1516" s="46" t="str">
        <f t="shared" si="23"/>
        <v>2012-169-205224</v>
      </c>
      <c r="C1516" s="47">
        <v>44193</v>
      </c>
      <c r="D1516" s="46">
        <v>169</v>
      </c>
      <c r="E1516" s="46">
        <v>1</v>
      </c>
      <c r="F1516" s="46">
        <v>205224</v>
      </c>
      <c r="G1516" s="48" t="s">
        <v>1148</v>
      </c>
      <c r="H1516" s="47">
        <v>44215</v>
      </c>
      <c r="I1516" s="46">
        <v>51260</v>
      </c>
      <c r="J1516" s="46">
        <v>1</v>
      </c>
      <c r="K1516" s="47">
        <v>44236</v>
      </c>
      <c r="L1516" s="46">
        <v>11143</v>
      </c>
      <c r="M1516" s="46">
        <v>1</v>
      </c>
    </row>
    <row r="1517" spans="2:13" ht="14.1" customHeight="1" x14ac:dyDescent="0.25">
      <c r="B1517" s="46" t="str">
        <f t="shared" si="23"/>
        <v>2012-169-312071</v>
      </c>
      <c r="C1517" s="47">
        <v>44193</v>
      </c>
      <c r="D1517" s="46">
        <v>169</v>
      </c>
      <c r="E1517" s="46">
        <v>1</v>
      </c>
      <c r="F1517" s="46">
        <v>312071</v>
      </c>
      <c r="G1517" s="48" t="s">
        <v>796</v>
      </c>
      <c r="H1517" s="47">
        <v>44215</v>
      </c>
      <c r="I1517" s="46">
        <v>51260</v>
      </c>
      <c r="J1517" s="46">
        <v>1</v>
      </c>
      <c r="K1517" s="47">
        <v>44236</v>
      </c>
      <c r="L1517" s="46">
        <v>11143</v>
      </c>
      <c r="M1517" s="46">
        <v>1</v>
      </c>
    </row>
    <row r="1518" spans="2:13" ht="14.1" customHeight="1" x14ac:dyDescent="0.25">
      <c r="B1518" s="46" t="str">
        <f t="shared" si="23"/>
        <v>2012-169-106467</v>
      </c>
      <c r="C1518" s="47">
        <v>44193</v>
      </c>
      <c r="D1518" s="46">
        <v>169</v>
      </c>
      <c r="E1518" s="46">
        <v>1</v>
      </c>
      <c r="F1518" s="46">
        <v>106467</v>
      </c>
      <c r="G1518" s="48" t="s">
        <v>461</v>
      </c>
      <c r="H1518" s="47">
        <v>44215</v>
      </c>
      <c r="I1518" s="46">
        <v>51260</v>
      </c>
      <c r="J1518" s="46">
        <v>1</v>
      </c>
      <c r="K1518" s="47">
        <v>44236</v>
      </c>
      <c r="L1518" s="46">
        <v>11143</v>
      </c>
      <c r="M1518" s="46">
        <v>1</v>
      </c>
    </row>
    <row r="1519" spans="2:13" ht="14.1" customHeight="1" x14ac:dyDescent="0.25">
      <c r="B1519" s="46" t="str">
        <f t="shared" si="23"/>
        <v>2012-169-106955</v>
      </c>
      <c r="C1519" s="47">
        <v>44193</v>
      </c>
      <c r="D1519" s="46">
        <v>169</v>
      </c>
      <c r="E1519" s="46">
        <v>1</v>
      </c>
      <c r="F1519" s="46">
        <v>106955</v>
      </c>
      <c r="G1519" s="48" t="s">
        <v>476</v>
      </c>
      <c r="H1519" s="47">
        <v>44215</v>
      </c>
      <c r="I1519" s="46">
        <v>51260</v>
      </c>
      <c r="J1519" s="46">
        <v>1</v>
      </c>
      <c r="K1519" s="47">
        <v>44236</v>
      </c>
      <c r="L1519" s="46">
        <v>11143</v>
      </c>
      <c r="M1519" s="46">
        <v>1</v>
      </c>
    </row>
    <row r="1520" spans="2:13" ht="14.1" customHeight="1" x14ac:dyDescent="0.25">
      <c r="B1520" s="46" t="str">
        <f t="shared" si="23"/>
        <v>2012-169-310365</v>
      </c>
      <c r="C1520" s="47">
        <v>44193</v>
      </c>
      <c r="D1520" s="46">
        <v>169</v>
      </c>
      <c r="E1520" s="46">
        <v>1</v>
      </c>
      <c r="F1520" s="46">
        <v>310365</v>
      </c>
      <c r="G1520" s="48" t="s">
        <v>971</v>
      </c>
      <c r="H1520" s="47">
        <v>44215</v>
      </c>
      <c r="I1520" s="46">
        <v>51260</v>
      </c>
      <c r="J1520" s="46">
        <v>1</v>
      </c>
      <c r="L1520" s="46">
        <v>0</v>
      </c>
      <c r="M1520" s="46">
        <v>0</v>
      </c>
    </row>
    <row r="1521" spans="2:13" ht="14.1" customHeight="1" x14ac:dyDescent="0.25">
      <c r="B1521" s="46" t="str">
        <f t="shared" si="23"/>
        <v>2012-169-310194</v>
      </c>
      <c r="C1521" s="47">
        <v>44193</v>
      </c>
      <c r="D1521" s="46">
        <v>169</v>
      </c>
      <c r="E1521" s="46">
        <v>1</v>
      </c>
      <c r="F1521" s="46">
        <v>310194</v>
      </c>
      <c r="G1521" s="48" t="s">
        <v>141</v>
      </c>
      <c r="H1521" s="47">
        <v>44215</v>
      </c>
      <c r="I1521" s="46">
        <v>51260</v>
      </c>
      <c r="J1521" s="46">
        <v>1</v>
      </c>
      <c r="K1521" s="47">
        <v>44236</v>
      </c>
      <c r="L1521" s="46">
        <v>11143</v>
      </c>
      <c r="M1521" s="46">
        <v>1</v>
      </c>
    </row>
    <row r="1522" spans="2:13" ht="14.1" customHeight="1" x14ac:dyDescent="0.25">
      <c r="B1522" s="46" t="str">
        <f t="shared" si="23"/>
        <v>2012-169-206428</v>
      </c>
      <c r="C1522" s="47">
        <v>44193</v>
      </c>
      <c r="D1522" s="46">
        <v>169</v>
      </c>
      <c r="E1522" s="46">
        <v>1</v>
      </c>
      <c r="F1522" s="46">
        <v>206428</v>
      </c>
      <c r="G1522" s="48" t="s">
        <v>390</v>
      </c>
      <c r="H1522" s="47">
        <v>44215</v>
      </c>
      <c r="I1522" s="46">
        <v>51260</v>
      </c>
      <c r="J1522" s="46">
        <v>1</v>
      </c>
      <c r="K1522" s="47">
        <v>44236</v>
      </c>
      <c r="L1522" s="46">
        <v>11143</v>
      </c>
      <c r="M1522" s="46">
        <v>1</v>
      </c>
    </row>
    <row r="1523" spans="2:13" ht="14.1" customHeight="1" x14ac:dyDescent="0.25">
      <c r="B1523" s="46" t="str">
        <f t="shared" si="23"/>
        <v>2012-169-205628</v>
      </c>
      <c r="C1523" s="47">
        <v>44193</v>
      </c>
      <c r="D1523" s="46">
        <v>169</v>
      </c>
      <c r="E1523" s="46">
        <v>1</v>
      </c>
      <c r="F1523" s="46">
        <v>205628</v>
      </c>
      <c r="G1523" s="48" t="s">
        <v>143</v>
      </c>
      <c r="H1523" s="47">
        <v>44251</v>
      </c>
      <c r="I1523" s="46">
        <v>51851</v>
      </c>
      <c r="J1523" s="46">
        <v>1</v>
      </c>
      <c r="K1523" s="47">
        <v>44278</v>
      </c>
      <c r="L1523" s="46">
        <v>11598</v>
      </c>
      <c r="M1523" s="46">
        <v>1</v>
      </c>
    </row>
    <row r="1524" spans="2:13" ht="14.1" customHeight="1" x14ac:dyDescent="0.25">
      <c r="B1524" s="46" t="str">
        <f t="shared" si="23"/>
        <v>2012-169-205628</v>
      </c>
      <c r="C1524" s="47">
        <v>44193</v>
      </c>
      <c r="D1524" s="46">
        <v>169</v>
      </c>
      <c r="E1524" s="46">
        <v>1</v>
      </c>
      <c r="F1524" s="46">
        <v>205628</v>
      </c>
      <c r="G1524" s="48" t="s">
        <v>143</v>
      </c>
      <c r="I1524" s="46">
        <v>0</v>
      </c>
      <c r="J1524" s="46">
        <v>0</v>
      </c>
      <c r="L1524" s="46">
        <v>0</v>
      </c>
      <c r="M1524" s="46">
        <v>0</v>
      </c>
    </row>
    <row r="1525" spans="2:13" ht="14.1" customHeight="1" x14ac:dyDescent="0.25">
      <c r="B1525" s="46" t="str">
        <f t="shared" si="23"/>
        <v>2012-169-307282</v>
      </c>
      <c r="C1525" s="47">
        <v>44193</v>
      </c>
      <c r="D1525" s="46">
        <v>169</v>
      </c>
      <c r="E1525" s="46">
        <v>5</v>
      </c>
      <c r="F1525" s="46">
        <v>307282</v>
      </c>
      <c r="G1525" s="48" t="s">
        <v>725</v>
      </c>
      <c r="H1525" s="47">
        <v>44215</v>
      </c>
      <c r="I1525" s="46">
        <v>51260</v>
      </c>
      <c r="J1525" s="46">
        <v>5</v>
      </c>
      <c r="K1525" s="47">
        <v>44236</v>
      </c>
      <c r="L1525" s="46">
        <v>11143</v>
      </c>
      <c r="M1525" s="46">
        <v>5</v>
      </c>
    </row>
    <row r="1526" spans="2:13" ht="14.1" customHeight="1" x14ac:dyDescent="0.25">
      <c r="B1526" s="46" t="str">
        <f t="shared" si="23"/>
        <v>2012-169-206568</v>
      </c>
      <c r="C1526" s="47">
        <v>44193</v>
      </c>
      <c r="D1526" s="46">
        <v>169</v>
      </c>
      <c r="E1526" s="46">
        <v>1</v>
      </c>
      <c r="F1526" s="46">
        <v>206568</v>
      </c>
      <c r="G1526" s="48" t="s">
        <v>1110</v>
      </c>
      <c r="H1526" s="47">
        <v>44215</v>
      </c>
      <c r="I1526" s="46">
        <v>51260</v>
      </c>
      <c r="J1526" s="46">
        <v>1</v>
      </c>
      <c r="K1526" s="47">
        <v>44236</v>
      </c>
      <c r="L1526" s="46">
        <v>11143</v>
      </c>
      <c r="M1526" s="46">
        <v>1</v>
      </c>
    </row>
    <row r="1527" spans="2:13" ht="14.1" customHeight="1" x14ac:dyDescent="0.25">
      <c r="B1527" s="46" t="str">
        <f t="shared" si="23"/>
        <v>2012-169-105692</v>
      </c>
      <c r="C1527" s="47">
        <v>44193</v>
      </c>
      <c r="D1527" s="46">
        <v>169</v>
      </c>
      <c r="E1527" s="46">
        <v>1</v>
      </c>
      <c r="F1527" s="46">
        <v>105692</v>
      </c>
      <c r="G1527" s="48" t="s">
        <v>140</v>
      </c>
      <c r="H1527" s="47">
        <v>44215</v>
      </c>
      <c r="I1527" s="46">
        <v>51260</v>
      </c>
      <c r="J1527" s="46">
        <v>1</v>
      </c>
      <c r="K1527" s="47">
        <v>44236</v>
      </c>
      <c r="L1527" s="46">
        <v>11143</v>
      </c>
      <c r="M1527" s="46">
        <v>1</v>
      </c>
    </row>
    <row r="1528" spans="2:13" ht="14.1" customHeight="1" x14ac:dyDescent="0.25">
      <c r="B1528" s="46" t="str">
        <f t="shared" si="23"/>
        <v>2012-169-205204</v>
      </c>
      <c r="C1528" s="47">
        <v>44193</v>
      </c>
      <c r="D1528" s="46">
        <v>169</v>
      </c>
      <c r="E1528" s="46">
        <v>1</v>
      </c>
      <c r="F1528" s="46">
        <v>205204</v>
      </c>
      <c r="G1528" s="48" t="s">
        <v>554</v>
      </c>
      <c r="H1528" s="47">
        <v>44215</v>
      </c>
      <c r="I1528" s="46">
        <v>51260</v>
      </c>
      <c r="J1528" s="46">
        <v>1</v>
      </c>
      <c r="K1528" s="47">
        <v>44236</v>
      </c>
      <c r="L1528" s="46">
        <v>11143</v>
      </c>
      <c r="M1528" s="46">
        <v>1</v>
      </c>
    </row>
    <row r="1529" spans="2:13" ht="14.1" customHeight="1" x14ac:dyDescent="0.25">
      <c r="B1529" s="46" t="str">
        <f t="shared" si="23"/>
        <v>2012-169-205223</v>
      </c>
      <c r="C1529" s="47">
        <v>44193</v>
      </c>
      <c r="D1529" s="46">
        <v>169</v>
      </c>
      <c r="E1529" s="46">
        <v>1</v>
      </c>
      <c r="F1529" s="46">
        <v>205223</v>
      </c>
      <c r="G1529" s="48" t="s">
        <v>1149</v>
      </c>
      <c r="H1529" s="47">
        <v>44215</v>
      </c>
      <c r="I1529" s="46">
        <v>51260</v>
      </c>
      <c r="J1529" s="46">
        <v>1</v>
      </c>
      <c r="K1529" s="47">
        <v>44236</v>
      </c>
      <c r="L1529" s="46">
        <v>11143</v>
      </c>
      <c r="M1529" s="46">
        <v>1</v>
      </c>
    </row>
    <row r="1530" spans="2:13" ht="14.1" customHeight="1" x14ac:dyDescent="0.25">
      <c r="B1530" s="46" t="str">
        <f t="shared" si="23"/>
        <v>2012-169-106465</v>
      </c>
      <c r="C1530" s="47">
        <v>44193</v>
      </c>
      <c r="D1530" s="46">
        <v>169</v>
      </c>
      <c r="E1530" s="46">
        <v>1</v>
      </c>
      <c r="F1530" s="46">
        <v>106465</v>
      </c>
      <c r="G1530" s="48" t="s">
        <v>459</v>
      </c>
      <c r="H1530" s="47">
        <v>44215</v>
      </c>
      <c r="I1530" s="46">
        <v>51260</v>
      </c>
      <c r="J1530" s="46">
        <v>1</v>
      </c>
      <c r="K1530" s="47">
        <v>44236</v>
      </c>
      <c r="L1530" s="46">
        <v>11143</v>
      </c>
      <c r="M1530" s="46">
        <v>1</v>
      </c>
    </row>
    <row r="1531" spans="2:13" ht="14.1" customHeight="1" x14ac:dyDescent="0.25">
      <c r="B1531" s="46" t="str">
        <f t="shared" si="23"/>
        <v>2012-169-204531</v>
      </c>
      <c r="C1531" s="47">
        <v>44193</v>
      </c>
      <c r="D1531" s="46">
        <v>169</v>
      </c>
      <c r="E1531" s="46">
        <v>1</v>
      </c>
      <c r="F1531" s="46">
        <v>204531</v>
      </c>
      <c r="G1531" s="48" t="s">
        <v>330</v>
      </c>
      <c r="H1531" s="47">
        <v>44215</v>
      </c>
      <c r="I1531" s="46">
        <v>51260</v>
      </c>
      <c r="J1531" s="46">
        <v>1</v>
      </c>
      <c r="K1531" s="47">
        <v>44236</v>
      </c>
      <c r="L1531" s="46">
        <v>11143</v>
      </c>
      <c r="M1531" s="46">
        <v>1</v>
      </c>
    </row>
    <row r="1532" spans="2:13" ht="14.1" customHeight="1" x14ac:dyDescent="0.25">
      <c r="B1532" s="46" t="str">
        <f t="shared" si="23"/>
        <v>2012-170-201615</v>
      </c>
      <c r="C1532" s="47">
        <v>44193</v>
      </c>
      <c r="D1532" s="46">
        <v>170</v>
      </c>
      <c r="E1532" s="46">
        <v>20</v>
      </c>
      <c r="F1532" s="46">
        <v>201615</v>
      </c>
      <c r="G1532" s="48" t="s">
        <v>494</v>
      </c>
      <c r="H1532" s="47">
        <v>44194</v>
      </c>
      <c r="I1532" s="46">
        <v>51064</v>
      </c>
      <c r="J1532" s="46">
        <v>20</v>
      </c>
      <c r="K1532" s="47">
        <v>44200</v>
      </c>
      <c r="L1532" s="46">
        <v>10791</v>
      </c>
      <c r="M1532" s="46">
        <v>20</v>
      </c>
    </row>
    <row r="1533" spans="2:13" ht="14.1" customHeight="1" x14ac:dyDescent="0.25">
      <c r="B1533" s="46" t="str">
        <f t="shared" si="23"/>
        <v>2012-170-307178</v>
      </c>
      <c r="C1533" s="47">
        <v>44193</v>
      </c>
      <c r="D1533" s="46">
        <v>170</v>
      </c>
      <c r="E1533" s="46">
        <v>4</v>
      </c>
      <c r="F1533" s="46">
        <v>307178</v>
      </c>
      <c r="G1533" s="48" t="s">
        <v>722</v>
      </c>
      <c r="H1533" s="47">
        <v>44194</v>
      </c>
      <c r="I1533" s="46">
        <v>51065</v>
      </c>
      <c r="J1533" s="46">
        <v>4</v>
      </c>
      <c r="K1533" s="47">
        <v>44200</v>
      </c>
      <c r="L1533" s="46">
        <v>10795</v>
      </c>
      <c r="M1533" s="46">
        <v>4</v>
      </c>
    </row>
    <row r="1534" spans="2:13" ht="14.1" customHeight="1" x14ac:dyDescent="0.25">
      <c r="B1534" s="46" t="str">
        <f t="shared" si="23"/>
        <v>2012-170-306342</v>
      </c>
      <c r="C1534" s="47">
        <v>44193</v>
      </c>
      <c r="D1534" s="46">
        <v>170</v>
      </c>
      <c r="E1534" s="46">
        <v>4</v>
      </c>
      <c r="F1534" s="46">
        <v>306342</v>
      </c>
      <c r="G1534" s="48" t="s">
        <v>267</v>
      </c>
      <c r="H1534" s="47">
        <v>44194</v>
      </c>
      <c r="I1534" s="46">
        <v>51065</v>
      </c>
      <c r="J1534" s="46">
        <v>4</v>
      </c>
      <c r="K1534" s="47">
        <v>44200</v>
      </c>
      <c r="L1534" s="46">
        <v>10795</v>
      </c>
      <c r="M1534" s="46">
        <v>4</v>
      </c>
    </row>
    <row r="1535" spans="2:13" ht="14.1" customHeight="1" x14ac:dyDescent="0.25">
      <c r="B1535" s="46" t="str">
        <f t="shared" si="23"/>
        <v>2012-170-105826</v>
      </c>
      <c r="C1535" s="47">
        <v>44193</v>
      </c>
      <c r="D1535" s="46">
        <v>170</v>
      </c>
      <c r="E1535" s="46">
        <v>3</v>
      </c>
      <c r="F1535" s="46">
        <v>105826</v>
      </c>
      <c r="G1535" s="48" t="s">
        <v>1111</v>
      </c>
      <c r="H1535" s="47">
        <v>44194</v>
      </c>
      <c r="I1535" s="46">
        <v>51064</v>
      </c>
      <c r="J1535" s="46">
        <v>3</v>
      </c>
      <c r="K1535" s="47">
        <v>44200</v>
      </c>
      <c r="L1535" s="46">
        <v>10791</v>
      </c>
      <c r="M1535" s="46">
        <v>3</v>
      </c>
    </row>
    <row r="1536" spans="2:13" ht="14.1" customHeight="1" x14ac:dyDescent="0.25">
      <c r="B1536" s="46" t="str">
        <f t="shared" si="23"/>
        <v>2012-170-305427</v>
      </c>
      <c r="C1536" s="47">
        <v>44193</v>
      </c>
      <c r="D1536" s="46">
        <v>170</v>
      </c>
      <c r="E1536" s="46">
        <v>30</v>
      </c>
      <c r="F1536" s="46">
        <v>305427</v>
      </c>
      <c r="G1536" s="48" t="s">
        <v>694</v>
      </c>
      <c r="H1536" s="47">
        <v>44194</v>
      </c>
      <c r="I1536" s="46">
        <v>51064</v>
      </c>
      <c r="J1536" s="46">
        <v>30</v>
      </c>
      <c r="K1536" s="47">
        <v>44200</v>
      </c>
      <c r="L1536" s="46">
        <v>10791</v>
      </c>
      <c r="M1536" s="46">
        <v>30</v>
      </c>
    </row>
    <row r="1537" spans="2:13" ht="14.1" customHeight="1" x14ac:dyDescent="0.25">
      <c r="B1537" s="46" t="str">
        <f t="shared" si="23"/>
        <v>2012-170-105526</v>
      </c>
      <c r="C1537" s="47">
        <v>44193</v>
      </c>
      <c r="D1537" s="46">
        <v>170</v>
      </c>
      <c r="E1537" s="46">
        <v>4</v>
      </c>
      <c r="F1537" s="46">
        <v>105526</v>
      </c>
      <c r="G1537" s="48" t="s">
        <v>1061</v>
      </c>
      <c r="H1537" s="47">
        <v>44194</v>
      </c>
      <c r="I1537" s="46">
        <v>51065</v>
      </c>
      <c r="J1537" s="46">
        <v>2</v>
      </c>
      <c r="K1537" s="47">
        <v>44200</v>
      </c>
      <c r="L1537" s="46">
        <v>10795</v>
      </c>
      <c r="M1537" s="46">
        <v>2</v>
      </c>
    </row>
    <row r="1538" spans="2:13" ht="14.1" customHeight="1" x14ac:dyDescent="0.25">
      <c r="B1538" s="46" t="str">
        <f t="shared" si="23"/>
        <v>2012-171-201861</v>
      </c>
      <c r="C1538" s="47">
        <v>44193</v>
      </c>
      <c r="D1538" s="46">
        <v>171</v>
      </c>
      <c r="E1538" s="46">
        <v>4</v>
      </c>
      <c r="F1538" s="46">
        <v>201861</v>
      </c>
      <c r="G1538" s="48" t="s">
        <v>495</v>
      </c>
      <c r="H1538" s="47">
        <v>44215</v>
      </c>
      <c r="I1538" s="46">
        <v>51261</v>
      </c>
      <c r="J1538" s="46">
        <v>4</v>
      </c>
      <c r="K1538" s="47">
        <v>44217</v>
      </c>
      <c r="L1538" s="46">
        <v>10970</v>
      </c>
      <c r="M1538" s="46">
        <v>4</v>
      </c>
    </row>
    <row r="1539" spans="2:13" ht="14.1" customHeight="1" x14ac:dyDescent="0.25">
      <c r="B1539" s="46" t="str">
        <f t="shared" si="23"/>
        <v>2012-173-314511</v>
      </c>
      <c r="C1539" s="47">
        <v>44193</v>
      </c>
      <c r="D1539" s="46">
        <v>173</v>
      </c>
      <c r="E1539" s="46">
        <v>3</v>
      </c>
      <c r="F1539" s="46">
        <v>314511</v>
      </c>
      <c r="G1539" s="48" t="s">
        <v>855</v>
      </c>
      <c r="H1539" s="47">
        <v>44216</v>
      </c>
      <c r="I1539" s="46">
        <v>51276</v>
      </c>
      <c r="J1539" s="46">
        <v>3</v>
      </c>
      <c r="K1539" s="47">
        <v>44221</v>
      </c>
      <c r="L1539" s="46">
        <v>10987</v>
      </c>
      <c r="M1539" s="46">
        <v>3</v>
      </c>
    </row>
    <row r="1540" spans="2:13" ht="14.1" customHeight="1" x14ac:dyDescent="0.25">
      <c r="B1540" s="46" t="str">
        <f t="shared" si="23"/>
        <v>2012-173-316203</v>
      </c>
      <c r="C1540" s="47">
        <v>44193</v>
      </c>
      <c r="D1540" s="46">
        <v>173</v>
      </c>
      <c r="E1540" s="46">
        <v>5</v>
      </c>
      <c r="F1540" s="46">
        <v>316203</v>
      </c>
      <c r="G1540" s="48" t="s">
        <v>888</v>
      </c>
      <c r="H1540" s="47">
        <v>44216</v>
      </c>
      <c r="I1540" s="46">
        <v>51276</v>
      </c>
      <c r="J1540" s="46">
        <v>5</v>
      </c>
      <c r="K1540" s="47">
        <v>44221</v>
      </c>
      <c r="L1540" s="46">
        <v>10987</v>
      </c>
      <c r="M1540" s="46">
        <v>5</v>
      </c>
    </row>
    <row r="1541" spans="2:13" ht="14.1" customHeight="1" x14ac:dyDescent="0.25">
      <c r="B1541" s="46" t="str">
        <f t="shared" si="23"/>
        <v>2012-173-315724</v>
      </c>
      <c r="C1541" s="47">
        <v>44193</v>
      </c>
      <c r="D1541" s="46">
        <v>173</v>
      </c>
      <c r="E1541" s="46">
        <v>3</v>
      </c>
      <c r="F1541" s="46">
        <v>315724</v>
      </c>
      <c r="G1541" s="48" t="s">
        <v>881</v>
      </c>
      <c r="H1541" s="47">
        <v>44216</v>
      </c>
      <c r="I1541" s="46">
        <v>51276</v>
      </c>
      <c r="J1541" s="46">
        <v>3</v>
      </c>
      <c r="K1541" s="47">
        <v>44221</v>
      </c>
      <c r="L1541" s="46">
        <v>10987</v>
      </c>
      <c r="M1541" s="46">
        <v>3</v>
      </c>
    </row>
    <row r="1542" spans="2:13" ht="14.1" customHeight="1" x14ac:dyDescent="0.25">
      <c r="B1542" s="46" t="str">
        <f t="shared" si="23"/>
        <v>2012-173-314512</v>
      </c>
      <c r="C1542" s="47">
        <v>44193</v>
      </c>
      <c r="D1542" s="46">
        <v>173</v>
      </c>
      <c r="E1542" s="46">
        <v>3</v>
      </c>
      <c r="F1542" s="46">
        <v>314512</v>
      </c>
      <c r="G1542" s="48" t="s">
        <v>856</v>
      </c>
      <c r="H1542" s="47">
        <v>44216</v>
      </c>
      <c r="I1542" s="46">
        <v>51276</v>
      </c>
      <c r="J1542" s="46">
        <v>3</v>
      </c>
      <c r="K1542" s="47">
        <v>44221</v>
      </c>
      <c r="L1542" s="46">
        <v>10987</v>
      </c>
      <c r="M1542" s="46">
        <v>3</v>
      </c>
    </row>
    <row r="1543" spans="2:13" ht="14.1" customHeight="1" x14ac:dyDescent="0.25">
      <c r="B1543" s="46" t="str">
        <f t="shared" si="23"/>
        <v>2012-174-105945</v>
      </c>
      <c r="C1543" s="47">
        <v>44193</v>
      </c>
      <c r="D1543" s="46">
        <v>174</v>
      </c>
      <c r="E1543" s="46">
        <v>4</v>
      </c>
      <c r="F1543" s="46">
        <v>105945</v>
      </c>
      <c r="G1543" s="48" t="s">
        <v>37</v>
      </c>
      <c r="H1543" s="47">
        <v>44207</v>
      </c>
      <c r="I1543" s="46">
        <v>51176</v>
      </c>
      <c r="J1543" s="46">
        <v>4</v>
      </c>
      <c r="K1543" s="47">
        <v>44214</v>
      </c>
      <c r="L1543" s="46">
        <v>10937</v>
      </c>
      <c r="M1543" s="46">
        <v>4</v>
      </c>
    </row>
    <row r="1544" spans="2:13" ht="14.1" customHeight="1" x14ac:dyDescent="0.25">
      <c r="B1544" s="46" t="str">
        <f t="shared" si="23"/>
        <v>2012-174-309682</v>
      </c>
      <c r="C1544" s="47">
        <v>44193</v>
      </c>
      <c r="D1544" s="46">
        <v>174</v>
      </c>
      <c r="E1544" s="46">
        <v>1</v>
      </c>
      <c r="F1544" s="46">
        <v>309682</v>
      </c>
      <c r="G1544" s="48" t="s">
        <v>758</v>
      </c>
      <c r="H1544" s="47">
        <v>44207</v>
      </c>
      <c r="I1544" s="46">
        <v>51176</v>
      </c>
      <c r="J1544" s="46">
        <v>1</v>
      </c>
      <c r="K1544" s="47">
        <v>44214</v>
      </c>
      <c r="L1544" s="46">
        <v>10937</v>
      </c>
      <c r="M1544" s="46">
        <v>1</v>
      </c>
    </row>
    <row r="1545" spans="2:13" ht="14.1" customHeight="1" x14ac:dyDescent="0.25">
      <c r="B1545" s="46" t="str">
        <f t="shared" si="23"/>
        <v>2012-174-309793</v>
      </c>
      <c r="C1545" s="47">
        <v>44193</v>
      </c>
      <c r="D1545" s="46">
        <v>174</v>
      </c>
      <c r="E1545" s="46">
        <v>9</v>
      </c>
      <c r="F1545" s="46">
        <v>309793</v>
      </c>
      <c r="G1545" s="48" t="s">
        <v>762</v>
      </c>
      <c r="H1545" s="47">
        <v>44207</v>
      </c>
      <c r="I1545" s="46">
        <v>51174</v>
      </c>
      <c r="J1545" s="46">
        <v>9</v>
      </c>
      <c r="K1545" s="47">
        <v>44209</v>
      </c>
      <c r="L1545" s="46">
        <v>10871</v>
      </c>
      <c r="M1545" s="46">
        <v>9</v>
      </c>
    </row>
    <row r="1546" spans="2:13" ht="14.1" customHeight="1" x14ac:dyDescent="0.25">
      <c r="B1546" s="46" t="str">
        <f t="shared" si="23"/>
        <v>2012-174-105978</v>
      </c>
      <c r="C1546" s="47">
        <v>44193</v>
      </c>
      <c r="D1546" s="46">
        <v>174</v>
      </c>
      <c r="E1546" s="46">
        <v>25</v>
      </c>
      <c r="F1546" s="46">
        <v>105978</v>
      </c>
      <c r="G1546" s="48" t="s">
        <v>447</v>
      </c>
      <c r="H1546" s="47">
        <v>44207</v>
      </c>
      <c r="I1546" s="46">
        <v>51173</v>
      </c>
      <c r="J1546" s="46">
        <v>25</v>
      </c>
      <c r="K1546" s="47">
        <v>44211</v>
      </c>
      <c r="L1546" s="46">
        <v>10909</v>
      </c>
      <c r="M1546" s="46">
        <v>25</v>
      </c>
    </row>
    <row r="1547" spans="2:13" ht="14.1" customHeight="1" x14ac:dyDescent="0.25">
      <c r="B1547" s="46" t="str">
        <f t="shared" si="23"/>
        <v>2012-174-308988</v>
      </c>
      <c r="C1547" s="47">
        <v>44193</v>
      </c>
      <c r="D1547" s="46">
        <v>174</v>
      </c>
      <c r="E1547" s="46">
        <v>1</v>
      </c>
      <c r="F1547" s="46">
        <v>308988</v>
      </c>
      <c r="G1547" s="48" t="s">
        <v>751</v>
      </c>
      <c r="H1547" s="47">
        <v>44207</v>
      </c>
      <c r="I1547" s="46">
        <v>51175</v>
      </c>
      <c r="J1547" s="46">
        <v>1</v>
      </c>
      <c r="K1547" s="47">
        <v>44210</v>
      </c>
      <c r="L1547" s="46">
        <v>10894</v>
      </c>
      <c r="M1547" s="46">
        <v>1</v>
      </c>
    </row>
    <row r="1548" spans="2:13" ht="14.1" customHeight="1" x14ac:dyDescent="0.25">
      <c r="B1548" s="46" t="str">
        <f t="shared" ref="B1548:B1611" si="24">TEXT(C1548,"yy") &amp; TEXT(C1548,"mm") &amp;"-"&amp;(D1548) &amp;"-"&amp;(F1548)</f>
        <v>2012-174-313725</v>
      </c>
      <c r="C1548" s="47">
        <v>44193</v>
      </c>
      <c r="D1548" s="46">
        <v>174</v>
      </c>
      <c r="E1548" s="46">
        <v>4</v>
      </c>
      <c r="F1548" s="46">
        <v>313725</v>
      </c>
      <c r="G1548" s="48" t="s">
        <v>839</v>
      </c>
      <c r="H1548" s="47">
        <v>44207</v>
      </c>
      <c r="I1548" s="46">
        <v>51173</v>
      </c>
      <c r="J1548" s="46">
        <v>4</v>
      </c>
      <c r="K1548" s="47">
        <v>44211</v>
      </c>
      <c r="L1548" s="46">
        <v>10909</v>
      </c>
      <c r="M1548" s="46">
        <v>4</v>
      </c>
    </row>
    <row r="1549" spans="2:13" ht="14.1" customHeight="1" x14ac:dyDescent="0.25">
      <c r="B1549" s="46" t="str">
        <f t="shared" si="24"/>
        <v>2012-174-312586</v>
      </c>
      <c r="C1549" s="47">
        <v>44193</v>
      </c>
      <c r="D1549" s="46">
        <v>174</v>
      </c>
      <c r="E1549" s="46">
        <v>1</v>
      </c>
      <c r="F1549" s="46">
        <v>312586</v>
      </c>
      <c r="G1549" s="48" t="s">
        <v>814</v>
      </c>
      <c r="H1549" s="47">
        <v>44207</v>
      </c>
      <c r="I1549" s="46">
        <v>51173</v>
      </c>
      <c r="J1549" s="46">
        <v>1</v>
      </c>
      <c r="K1549" s="47">
        <v>44211</v>
      </c>
      <c r="L1549" s="46">
        <v>10909</v>
      </c>
      <c r="M1549" s="46">
        <v>1</v>
      </c>
    </row>
    <row r="1550" spans="2:13" ht="14.1" customHeight="1" x14ac:dyDescent="0.25">
      <c r="B1550" s="46" t="str">
        <f t="shared" si="24"/>
        <v>2012-174-106735</v>
      </c>
      <c r="C1550" s="47">
        <v>44193</v>
      </c>
      <c r="D1550" s="46">
        <v>174</v>
      </c>
      <c r="E1550" s="46">
        <v>1</v>
      </c>
      <c r="F1550" s="46">
        <v>106735</v>
      </c>
      <c r="G1550" s="48" t="s">
        <v>473</v>
      </c>
      <c r="H1550" s="47">
        <v>44207</v>
      </c>
      <c r="I1550" s="46">
        <v>51173</v>
      </c>
      <c r="J1550" s="46">
        <v>1</v>
      </c>
      <c r="K1550" s="47">
        <v>44211</v>
      </c>
      <c r="L1550" s="46">
        <v>10909</v>
      </c>
      <c r="M1550" s="46">
        <v>1</v>
      </c>
    </row>
    <row r="1551" spans="2:13" ht="14.1" customHeight="1" x14ac:dyDescent="0.25">
      <c r="B1551" s="46" t="str">
        <f t="shared" si="24"/>
        <v>2012-175-319941</v>
      </c>
      <c r="C1551" s="47">
        <v>44193</v>
      </c>
      <c r="D1551" s="46">
        <v>175</v>
      </c>
      <c r="E1551" s="46">
        <v>1</v>
      </c>
      <c r="F1551" s="46">
        <v>319941</v>
      </c>
      <c r="G1551" s="48" t="s">
        <v>941</v>
      </c>
      <c r="H1551" s="47">
        <v>44193</v>
      </c>
      <c r="I1551" s="46">
        <v>51063</v>
      </c>
      <c r="J1551" s="46">
        <v>1</v>
      </c>
      <c r="K1551" s="47">
        <v>44225</v>
      </c>
      <c r="L1551" s="46">
        <v>11040</v>
      </c>
      <c r="M1551" s="46">
        <v>1</v>
      </c>
    </row>
    <row r="1552" spans="2:13" ht="14.1" customHeight="1" x14ac:dyDescent="0.25">
      <c r="B1552" s="46" t="str">
        <f t="shared" si="24"/>
        <v>2012-176-312217</v>
      </c>
      <c r="C1552" s="47">
        <v>44193</v>
      </c>
      <c r="D1552" s="46">
        <v>176</v>
      </c>
      <c r="E1552" s="46">
        <v>1</v>
      </c>
      <c r="F1552" s="46">
        <v>312217</v>
      </c>
      <c r="G1552" s="48" t="s">
        <v>807</v>
      </c>
      <c r="H1552" s="47">
        <v>44207</v>
      </c>
      <c r="I1552" s="46">
        <v>51170</v>
      </c>
      <c r="J1552" s="46">
        <v>1</v>
      </c>
      <c r="K1552" s="47">
        <v>44214</v>
      </c>
      <c r="L1552" s="46">
        <v>10936</v>
      </c>
      <c r="M1552" s="46">
        <v>1</v>
      </c>
    </row>
    <row r="1553" spans="2:13" ht="14.1" customHeight="1" x14ac:dyDescent="0.25">
      <c r="B1553" s="46" t="str">
        <f t="shared" si="24"/>
        <v>2012-176-312584</v>
      </c>
      <c r="C1553" s="47">
        <v>44193</v>
      </c>
      <c r="D1553" s="46">
        <v>176</v>
      </c>
      <c r="E1553" s="46">
        <v>30</v>
      </c>
      <c r="F1553" s="46">
        <v>312584</v>
      </c>
      <c r="G1553" s="48" t="s">
        <v>813</v>
      </c>
      <c r="H1553" s="47">
        <v>44207</v>
      </c>
      <c r="I1553" s="46">
        <v>51171</v>
      </c>
      <c r="J1553" s="46">
        <v>30</v>
      </c>
      <c r="K1553" s="47">
        <v>44211</v>
      </c>
      <c r="L1553" s="46">
        <v>10908</v>
      </c>
      <c r="M1553" s="46">
        <v>30</v>
      </c>
    </row>
    <row r="1554" spans="2:13" ht="14.1" customHeight="1" x14ac:dyDescent="0.25">
      <c r="B1554" s="46" t="str">
        <f t="shared" si="24"/>
        <v>2012-176-309682</v>
      </c>
      <c r="C1554" s="47">
        <v>44193</v>
      </c>
      <c r="D1554" s="46">
        <v>176</v>
      </c>
      <c r="E1554" s="46">
        <v>1</v>
      </c>
      <c r="F1554" s="46">
        <v>309682</v>
      </c>
      <c r="G1554" s="48" t="s">
        <v>758</v>
      </c>
      <c r="H1554" s="47">
        <v>44207</v>
      </c>
      <c r="I1554" s="46">
        <v>51169</v>
      </c>
      <c r="J1554" s="46">
        <v>1</v>
      </c>
      <c r="K1554" s="47">
        <v>44214</v>
      </c>
      <c r="L1554" s="46">
        <v>10938</v>
      </c>
      <c r="M1554" s="46">
        <v>1</v>
      </c>
    </row>
    <row r="1555" spans="2:13" ht="14.1" customHeight="1" x14ac:dyDescent="0.25">
      <c r="B1555" s="46" t="str">
        <f t="shared" si="24"/>
        <v>2012-176-309793</v>
      </c>
      <c r="C1555" s="47">
        <v>44193</v>
      </c>
      <c r="D1555" s="46">
        <v>176</v>
      </c>
      <c r="E1555" s="46">
        <v>2</v>
      </c>
      <c r="F1555" s="46">
        <v>309793</v>
      </c>
      <c r="G1555" s="48" t="s">
        <v>762</v>
      </c>
      <c r="H1555" s="47">
        <v>44207</v>
      </c>
      <c r="I1555" s="46">
        <v>51167</v>
      </c>
      <c r="J1555" s="46">
        <v>2</v>
      </c>
      <c r="K1555" s="47">
        <v>44209</v>
      </c>
      <c r="L1555" s="46">
        <v>10872</v>
      </c>
      <c r="M1555" s="46">
        <v>2</v>
      </c>
    </row>
    <row r="1556" spans="2:13" ht="14.1" customHeight="1" x14ac:dyDescent="0.25">
      <c r="B1556" s="46" t="str">
        <f t="shared" si="24"/>
        <v>2012-176-312587</v>
      </c>
      <c r="C1556" s="47">
        <v>44193</v>
      </c>
      <c r="D1556" s="46">
        <v>176</v>
      </c>
      <c r="E1556" s="46">
        <v>10</v>
      </c>
      <c r="F1556" s="46">
        <v>312587</v>
      </c>
      <c r="G1556" s="48" t="s">
        <v>815</v>
      </c>
      <c r="H1556" s="47">
        <v>44207</v>
      </c>
      <c r="I1556" s="46">
        <v>51171</v>
      </c>
      <c r="J1556" s="46">
        <v>10</v>
      </c>
      <c r="K1556" s="47">
        <v>44211</v>
      </c>
      <c r="L1556" s="46">
        <v>10908</v>
      </c>
      <c r="M1556" s="46">
        <v>10</v>
      </c>
    </row>
    <row r="1557" spans="2:13" ht="14.1" customHeight="1" x14ac:dyDescent="0.25">
      <c r="B1557" s="46" t="str">
        <f t="shared" si="24"/>
        <v>2012-176-308988</v>
      </c>
      <c r="C1557" s="47">
        <v>44193</v>
      </c>
      <c r="D1557" s="46">
        <v>176</v>
      </c>
      <c r="E1557" s="46">
        <v>1</v>
      </c>
      <c r="F1557" s="46">
        <v>308988</v>
      </c>
      <c r="G1557" s="48" t="s">
        <v>751</v>
      </c>
      <c r="H1557" s="47">
        <v>44207</v>
      </c>
      <c r="I1557" s="46">
        <v>51168</v>
      </c>
      <c r="J1557" s="46">
        <v>1</v>
      </c>
      <c r="K1557" s="47">
        <v>44210</v>
      </c>
      <c r="L1557" s="46">
        <v>10898</v>
      </c>
      <c r="M1557" s="46">
        <v>1</v>
      </c>
    </row>
    <row r="1558" spans="2:13" ht="14.1" customHeight="1" x14ac:dyDescent="0.25">
      <c r="B1558" s="46" t="str">
        <f t="shared" si="24"/>
        <v>2012-176-105978</v>
      </c>
      <c r="C1558" s="47">
        <v>44193</v>
      </c>
      <c r="D1558" s="46">
        <v>176</v>
      </c>
      <c r="E1558" s="46">
        <v>15</v>
      </c>
      <c r="F1558" s="46">
        <v>105978</v>
      </c>
      <c r="G1558" s="48" t="s">
        <v>447</v>
      </c>
      <c r="H1558" s="47">
        <v>44207</v>
      </c>
      <c r="I1558" s="46">
        <v>51171</v>
      </c>
      <c r="J1558" s="46">
        <v>15</v>
      </c>
      <c r="K1558" s="47">
        <v>44211</v>
      </c>
      <c r="L1558" s="46">
        <v>10908</v>
      </c>
      <c r="M1558" s="46">
        <v>15</v>
      </c>
    </row>
    <row r="1559" spans="2:13" ht="14.1" customHeight="1" x14ac:dyDescent="0.25">
      <c r="B1559" s="46" t="str">
        <f t="shared" si="24"/>
        <v>2012-176-313723</v>
      </c>
      <c r="C1559" s="47">
        <v>44193</v>
      </c>
      <c r="D1559" s="46">
        <v>176</v>
      </c>
      <c r="E1559" s="46">
        <v>1</v>
      </c>
      <c r="F1559" s="46">
        <v>313723</v>
      </c>
      <c r="G1559" s="48" t="s">
        <v>838</v>
      </c>
      <c r="H1559" s="47">
        <v>44207</v>
      </c>
      <c r="I1559" s="46">
        <v>51170</v>
      </c>
      <c r="J1559" s="46">
        <v>1</v>
      </c>
      <c r="K1559" s="47">
        <v>44214</v>
      </c>
      <c r="L1559" s="46">
        <v>10936</v>
      </c>
      <c r="M1559" s="46">
        <v>1</v>
      </c>
    </row>
    <row r="1560" spans="2:13" ht="14.1" customHeight="1" x14ac:dyDescent="0.25">
      <c r="B1560" s="46" t="str">
        <f t="shared" si="24"/>
        <v>2012-176-312589</v>
      </c>
      <c r="C1560" s="47">
        <v>44193</v>
      </c>
      <c r="D1560" s="46">
        <v>176</v>
      </c>
      <c r="E1560" s="46">
        <v>1</v>
      </c>
      <c r="F1560" s="46">
        <v>312589</v>
      </c>
      <c r="G1560" s="48" t="s">
        <v>816</v>
      </c>
      <c r="H1560" s="47">
        <v>44207</v>
      </c>
      <c r="I1560" s="46">
        <v>51171</v>
      </c>
      <c r="J1560" s="46">
        <v>1</v>
      </c>
      <c r="K1560" s="47">
        <v>44211</v>
      </c>
      <c r="L1560" s="46">
        <v>10908</v>
      </c>
      <c r="M1560" s="46">
        <v>1</v>
      </c>
    </row>
    <row r="1561" spans="2:13" ht="14.1" customHeight="1" x14ac:dyDescent="0.25">
      <c r="B1561" s="46" t="str">
        <f t="shared" si="24"/>
        <v>2012-176-106735</v>
      </c>
      <c r="C1561" s="47">
        <v>44193</v>
      </c>
      <c r="D1561" s="46">
        <v>176</v>
      </c>
      <c r="E1561" s="46">
        <v>2</v>
      </c>
      <c r="F1561" s="46">
        <v>106735</v>
      </c>
      <c r="G1561" s="48" t="s">
        <v>473</v>
      </c>
      <c r="H1561" s="47">
        <v>44207</v>
      </c>
      <c r="I1561" s="46">
        <v>51171</v>
      </c>
      <c r="J1561" s="46">
        <v>2</v>
      </c>
      <c r="K1561" s="47">
        <v>44211</v>
      </c>
      <c r="L1561" s="46">
        <v>10908</v>
      </c>
      <c r="M1561" s="46">
        <v>2</v>
      </c>
    </row>
    <row r="1562" spans="2:13" ht="14.1" customHeight="1" x14ac:dyDescent="0.25">
      <c r="B1562" s="46" t="str">
        <f t="shared" si="24"/>
        <v>2012-177-319125</v>
      </c>
      <c r="C1562" s="47">
        <v>44193</v>
      </c>
      <c r="D1562" s="46">
        <v>177</v>
      </c>
      <c r="E1562" s="46">
        <v>5</v>
      </c>
      <c r="F1562" s="46">
        <v>319125</v>
      </c>
      <c r="G1562" s="48" t="s">
        <v>253</v>
      </c>
      <c r="H1562" s="47">
        <v>44194</v>
      </c>
      <c r="I1562" s="46">
        <v>51066</v>
      </c>
      <c r="J1562" s="46">
        <v>5</v>
      </c>
      <c r="K1562" s="47">
        <v>44195</v>
      </c>
      <c r="L1562" s="46">
        <v>10784</v>
      </c>
      <c r="M1562" s="46">
        <v>5</v>
      </c>
    </row>
    <row r="1563" spans="2:13" ht="14.1" customHeight="1" x14ac:dyDescent="0.25">
      <c r="B1563" s="46" t="str">
        <f t="shared" si="24"/>
        <v>2012-178-203059</v>
      </c>
      <c r="C1563" s="47">
        <v>44194</v>
      </c>
      <c r="D1563" s="46">
        <v>178</v>
      </c>
      <c r="E1563" s="46">
        <v>70</v>
      </c>
      <c r="F1563" s="46">
        <v>203059</v>
      </c>
      <c r="G1563" s="50" t="s">
        <v>314</v>
      </c>
      <c r="H1563" s="47">
        <v>44194</v>
      </c>
      <c r="I1563" s="46">
        <v>51070</v>
      </c>
      <c r="J1563" s="46">
        <v>70</v>
      </c>
      <c r="K1563" s="47">
        <v>44200</v>
      </c>
      <c r="L1563" s="46">
        <v>10798</v>
      </c>
      <c r="M1563" s="46">
        <v>35</v>
      </c>
    </row>
    <row r="1564" spans="2:13" ht="14.1" customHeight="1" x14ac:dyDescent="0.25">
      <c r="B1564" s="46" t="str">
        <f t="shared" si="24"/>
        <v>2012-178-203059</v>
      </c>
      <c r="C1564" s="47">
        <v>44194</v>
      </c>
      <c r="D1564" s="46">
        <v>178</v>
      </c>
      <c r="E1564" s="46">
        <v>70</v>
      </c>
      <c r="F1564" s="46">
        <v>203059</v>
      </c>
      <c r="G1564" s="48" t="s">
        <v>314</v>
      </c>
      <c r="H1564" s="47">
        <v>44194</v>
      </c>
      <c r="I1564" s="46">
        <v>51070</v>
      </c>
      <c r="J1564" s="46">
        <v>70</v>
      </c>
      <c r="K1564" s="47">
        <v>44202</v>
      </c>
      <c r="L1564" s="46">
        <v>10812</v>
      </c>
      <c r="M1564" s="46">
        <v>35</v>
      </c>
    </row>
    <row r="1565" spans="2:13" ht="14.1" customHeight="1" x14ac:dyDescent="0.25">
      <c r="B1565" s="46" t="str">
        <f t="shared" si="24"/>
        <v>2012-179-310433</v>
      </c>
      <c r="C1565" s="47">
        <v>44194</v>
      </c>
      <c r="D1565" s="46">
        <v>179</v>
      </c>
      <c r="E1565" s="46">
        <v>4</v>
      </c>
      <c r="F1565" s="46">
        <v>310433</v>
      </c>
      <c r="G1565" s="48" t="s">
        <v>770</v>
      </c>
      <c r="H1565" s="47">
        <v>44202</v>
      </c>
      <c r="I1565" s="46">
        <v>51097</v>
      </c>
      <c r="J1565" s="46">
        <v>4</v>
      </c>
      <c r="K1565" s="47">
        <v>44208</v>
      </c>
      <c r="L1565" s="46">
        <v>10853</v>
      </c>
      <c r="M1565" s="46">
        <v>4</v>
      </c>
    </row>
    <row r="1566" spans="2:13" ht="14.1" customHeight="1" x14ac:dyDescent="0.25">
      <c r="B1566" s="46" t="str">
        <f t="shared" si="24"/>
        <v>2012-179-316664</v>
      </c>
      <c r="C1566" s="47">
        <v>44194</v>
      </c>
      <c r="D1566" s="46">
        <v>179</v>
      </c>
      <c r="E1566" s="46">
        <v>2</v>
      </c>
      <c r="F1566" s="46">
        <v>316664</v>
      </c>
      <c r="G1566" s="48" t="s">
        <v>895</v>
      </c>
      <c r="H1566" s="47">
        <v>44202</v>
      </c>
      <c r="I1566" s="46">
        <v>51097</v>
      </c>
      <c r="J1566" s="46">
        <v>2</v>
      </c>
      <c r="K1566" s="47">
        <v>44208</v>
      </c>
      <c r="L1566" s="46">
        <v>10853</v>
      </c>
      <c r="M1566" s="46">
        <v>2</v>
      </c>
    </row>
    <row r="1567" spans="2:13" ht="14.1" customHeight="1" x14ac:dyDescent="0.25">
      <c r="B1567" s="46" t="str">
        <f t="shared" si="24"/>
        <v>2012-179-309235</v>
      </c>
      <c r="C1567" s="47">
        <v>44194</v>
      </c>
      <c r="D1567" s="46">
        <v>179</v>
      </c>
      <c r="E1567" s="46">
        <v>1</v>
      </c>
      <c r="F1567" s="46">
        <v>309235</v>
      </c>
      <c r="G1567" s="48" t="s">
        <v>183</v>
      </c>
      <c r="H1567" s="47">
        <v>44202</v>
      </c>
      <c r="I1567" s="46">
        <v>51097</v>
      </c>
      <c r="J1567" s="46">
        <v>1</v>
      </c>
      <c r="K1567" s="47">
        <v>44208</v>
      </c>
      <c r="L1567" s="46">
        <v>10853</v>
      </c>
      <c r="M1567" s="46">
        <v>1</v>
      </c>
    </row>
    <row r="1568" spans="2:13" ht="14.1" customHeight="1" x14ac:dyDescent="0.25">
      <c r="B1568" s="46" t="str">
        <f t="shared" si="24"/>
        <v>2012-179-312095</v>
      </c>
      <c r="C1568" s="47">
        <v>44194</v>
      </c>
      <c r="D1568" s="46">
        <v>179</v>
      </c>
      <c r="E1568" s="46">
        <v>2</v>
      </c>
      <c r="F1568" s="46">
        <v>312095</v>
      </c>
      <c r="G1568" s="48" t="s">
        <v>797</v>
      </c>
      <c r="H1568" s="47">
        <v>44202</v>
      </c>
      <c r="I1568" s="46">
        <v>51097</v>
      </c>
      <c r="J1568" s="46">
        <v>2</v>
      </c>
      <c r="K1568" s="47">
        <v>44208</v>
      </c>
      <c r="L1568" s="46">
        <v>10853</v>
      </c>
      <c r="M1568" s="46">
        <v>2</v>
      </c>
    </row>
    <row r="1569" spans="2:13" ht="14.1" customHeight="1" x14ac:dyDescent="0.25">
      <c r="B1569" s="46" t="str">
        <f t="shared" si="24"/>
        <v>2012-179-309937</v>
      </c>
      <c r="C1569" s="47">
        <v>44194</v>
      </c>
      <c r="D1569" s="46">
        <v>179</v>
      </c>
      <c r="E1569" s="46">
        <v>4</v>
      </c>
      <c r="F1569" s="46">
        <v>309937</v>
      </c>
      <c r="G1569" s="48" t="s">
        <v>765</v>
      </c>
      <c r="H1569" s="47">
        <v>44202</v>
      </c>
      <c r="I1569" s="46">
        <v>51097</v>
      </c>
      <c r="J1569" s="46">
        <v>4</v>
      </c>
      <c r="K1569" s="47">
        <v>44208</v>
      </c>
      <c r="L1569" s="46">
        <v>10853</v>
      </c>
      <c r="M1569" s="46">
        <v>4</v>
      </c>
    </row>
    <row r="1570" spans="2:13" ht="14.1" customHeight="1" x14ac:dyDescent="0.25">
      <c r="B1570" s="46" t="str">
        <f t="shared" si="24"/>
        <v>2012-179-300602</v>
      </c>
      <c r="C1570" s="47">
        <v>44194</v>
      </c>
      <c r="D1570" s="46">
        <v>179</v>
      </c>
      <c r="E1570" s="46">
        <v>20</v>
      </c>
      <c r="F1570" s="46">
        <v>300602</v>
      </c>
      <c r="G1570" s="48" t="s">
        <v>403</v>
      </c>
      <c r="H1570" s="47">
        <v>44202</v>
      </c>
      <c r="I1570" s="46">
        <v>51097</v>
      </c>
      <c r="J1570" s="46">
        <v>20</v>
      </c>
      <c r="K1570" s="47">
        <v>44208</v>
      </c>
      <c r="L1570" s="46">
        <v>10853</v>
      </c>
      <c r="M1570" s="46">
        <v>20</v>
      </c>
    </row>
    <row r="1571" spans="2:13" ht="14.1" customHeight="1" x14ac:dyDescent="0.25">
      <c r="B1571" s="46" t="str">
        <f t="shared" si="24"/>
        <v>2012-179-310432</v>
      </c>
      <c r="C1571" s="47">
        <v>44194</v>
      </c>
      <c r="D1571" s="46">
        <v>179</v>
      </c>
      <c r="E1571" s="46">
        <v>1</v>
      </c>
      <c r="F1571" s="46">
        <v>310432</v>
      </c>
      <c r="G1571" s="48" t="s">
        <v>769</v>
      </c>
      <c r="H1571" s="47">
        <v>44202</v>
      </c>
      <c r="I1571" s="46">
        <v>51097</v>
      </c>
      <c r="J1571" s="46">
        <v>1</v>
      </c>
      <c r="K1571" s="47">
        <v>44208</v>
      </c>
      <c r="L1571" s="46">
        <v>10853</v>
      </c>
      <c r="M1571" s="46">
        <v>1</v>
      </c>
    </row>
    <row r="1572" spans="2:13" ht="14.1" customHeight="1" x14ac:dyDescent="0.25">
      <c r="B1572" s="46" t="str">
        <f t="shared" si="24"/>
        <v>2012-179-309589</v>
      </c>
      <c r="C1572" s="47">
        <v>44194</v>
      </c>
      <c r="D1572" s="46">
        <v>179</v>
      </c>
      <c r="E1572" s="46">
        <v>4</v>
      </c>
      <c r="F1572" s="46">
        <v>309589</v>
      </c>
      <c r="G1572" s="48" t="s">
        <v>1093</v>
      </c>
      <c r="H1572" s="47">
        <v>44202</v>
      </c>
      <c r="I1572" s="46">
        <v>51097</v>
      </c>
      <c r="J1572" s="46">
        <v>4</v>
      </c>
      <c r="K1572" s="47">
        <v>44208</v>
      </c>
      <c r="L1572" s="46">
        <v>10853</v>
      </c>
      <c r="M1572" s="46">
        <v>4</v>
      </c>
    </row>
    <row r="1573" spans="2:13" ht="14.1" customHeight="1" x14ac:dyDescent="0.25">
      <c r="B1573" s="46" t="str">
        <f t="shared" si="24"/>
        <v>2012-180-105502</v>
      </c>
      <c r="C1573" s="47">
        <v>44194</v>
      </c>
      <c r="D1573" s="46">
        <v>180</v>
      </c>
      <c r="E1573" s="46">
        <v>1</v>
      </c>
      <c r="F1573" s="46">
        <v>105502</v>
      </c>
      <c r="G1573" s="48" t="s">
        <v>433</v>
      </c>
      <c r="H1573" s="47">
        <v>44203</v>
      </c>
      <c r="I1573" s="46">
        <v>51113</v>
      </c>
      <c r="J1573" s="46">
        <v>1</v>
      </c>
      <c r="K1573" s="47">
        <v>44208</v>
      </c>
      <c r="L1573" s="46">
        <v>10859</v>
      </c>
      <c r="M1573" s="46">
        <v>1</v>
      </c>
    </row>
    <row r="1574" spans="2:13" ht="14.1" customHeight="1" x14ac:dyDescent="0.25">
      <c r="B1574" s="46" t="str">
        <f t="shared" si="24"/>
        <v>2012-180-306808</v>
      </c>
      <c r="C1574" s="47">
        <v>44194</v>
      </c>
      <c r="D1574" s="46">
        <v>180</v>
      </c>
      <c r="E1574" s="46">
        <v>2</v>
      </c>
      <c r="F1574" s="46">
        <v>306808</v>
      </c>
      <c r="G1574" s="48" t="s">
        <v>715</v>
      </c>
      <c r="H1574" s="47">
        <v>44203</v>
      </c>
      <c r="I1574" s="46">
        <v>51113</v>
      </c>
      <c r="J1574" s="46">
        <v>2</v>
      </c>
      <c r="K1574" s="47">
        <v>44208</v>
      </c>
      <c r="L1574" s="46">
        <v>10859</v>
      </c>
      <c r="M1574" s="46">
        <v>2</v>
      </c>
    </row>
    <row r="1575" spans="2:13" ht="14.1" customHeight="1" x14ac:dyDescent="0.25">
      <c r="B1575" s="46" t="str">
        <f t="shared" si="24"/>
        <v>2012-180-300537</v>
      </c>
      <c r="C1575" s="47">
        <v>44194</v>
      </c>
      <c r="D1575" s="46">
        <v>180</v>
      </c>
      <c r="E1575" s="46">
        <v>4</v>
      </c>
      <c r="F1575" s="46">
        <v>300537</v>
      </c>
      <c r="G1575" s="48" t="s">
        <v>602</v>
      </c>
      <c r="H1575" s="47">
        <v>44203</v>
      </c>
      <c r="I1575" s="46">
        <v>51113</v>
      </c>
      <c r="J1575" s="46">
        <v>4</v>
      </c>
      <c r="K1575" s="47">
        <v>44208</v>
      </c>
      <c r="L1575" s="46">
        <v>10859</v>
      </c>
      <c r="M1575" s="46">
        <v>4</v>
      </c>
    </row>
    <row r="1576" spans="2:13" ht="14.1" customHeight="1" x14ac:dyDescent="0.25">
      <c r="B1576" s="46" t="str">
        <f t="shared" si="24"/>
        <v>2012-180-106589</v>
      </c>
      <c r="C1576" s="47">
        <v>44194</v>
      </c>
      <c r="D1576" s="46">
        <v>180</v>
      </c>
      <c r="E1576" s="46">
        <v>4</v>
      </c>
      <c r="F1576" s="46">
        <v>106589</v>
      </c>
      <c r="G1576" s="48" t="s">
        <v>466</v>
      </c>
      <c r="H1576" s="47">
        <v>44203</v>
      </c>
      <c r="I1576" s="46">
        <v>51113</v>
      </c>
      <c r="J1576" s="46">
        <v>4</v>
      </c>
      <c r="K1576" s="47">
        <v>44208</v>
      </c>
      <c r="L1576" s="46">
        <v>10859</v>
      </c>
      <c r="M1576" s="46">
        <v>4</v>
      </c>
    </row>
    <row r="1577" spans="2:13" ht="14.1" customHeight="1" x14ac:dyDescent="0.25">
      <c r="B1577" s="46" t="str">
        <f t="shared" si="24"/>
        <v>2012-180-311002</v>
      </c>
      <c r="C1577" s="47">
        <v>44194</v>
      </c>
      <c r="D1577" s="46">
        <v>180</v>
      </c>
      <c r="E1577" s="46">
        <v>4</v>
      </c>
      <c r="F1577" s="46">
        <v>311002</v>
      </c>
      <c r="G1577" s="48" t="s">
        <v>782</v>
      </c>
      <c r="H1577" s="47">
        <v>44203</v>
      </c>
      <c r="I1577" s="46">
        <v>51113</v>
      </c>
      <c r="J1577" s="46">
        <v>4</v>
      </c>
      <c r="K1577" s="47">
        <v>44208</v>
      </c>
      <c r="L1577" s="46">
        <v>10859</v>
      </c>
      <c r="M1577" s="46">
        <v>4</v>
      </c>
    </row>
    <row r="1578" spans="2:13" ht="14.1" customHeight="1" x14ac:dyDescent="0.25">
      <c r="B1578" s="46" t="str">
        <f t="shared" si="24"/>
        <v>2012-180-106548</v>
      </c>
      <c r="C1578" s="47">
        <v>44194</v>
      </c>
      <c r="D1578" s="46">
        <v>180</v>
      </c>
      <c r="E1578" s="46">
        <v>2</v>
      </c>
      <c r="F1578" s="46">
        <v>106548</v>
      </c>
      <c r="G1578" s="48" t="s">
        <v>465</v>
      </c>
      <c r="H1578" s="47">
        <v>44203</v>
      </c>
      <c r="I1578" s="46">
        <v>51113</v>
      </c>
      <c r="J1578" s="46">
        <v>2</v>
      </c>
      <c r="K1578" s="47">
        <v>44208</v>
      </c>
      <c r="L1578" s="46">
        <v>10859</v>
      </c>
      <c r="M1578" s="46">
        <v>2</v>
      </c>
    </row>
    <row r="1579" spans="2:13" ht="14.1" customHeight="1" x14ac:dyDescent="0.25">
      <c r="B1579" s="46" t="str">
        <f t="shared" si="24"/>
        <v>2012-180-105371</v>
      </c>
      <c r="C1579" s="47">
        <v>44194</v>
      </c>
      <c r="D1579" s="46">
        <v>180</v>
      </c>
      <c r="E1579" s="46">
        <v>2</v>
      </c>
      <c r="F1579" s="46">
        <v>105371</v>
      </c>
      <c r="G1579" s="48" t="s">
        <v>38</v>
      </c>
      <c r="H1579" s="47">
        <v>44203</v>
      </c>
      <c r="I1579" s="46">
        <v>51113</v>
      </c>
      <c r="J1579" s="46">
        <v>2</v>
      </c>
      <c r="K1579" s="47">
        <v>44208</v>
      </c>
      <c r="L1579" s="46">
        <v>10859</v>
      </c>
      <c r="M1579" s="46">
        <v>2</v>
      </c>
    </row>
    <row r="1580" spans="2:13" ht="14.1" customHeight="1" x14ac:dyDescent="0.25">
      <c r="B1580" s="46" t="str">
        <f t="shared" si="24"/>
        <v>2012-180-303747</v>
      </c>
      <c r="C1580" s="47">
        <v>44194</v>
      </c>
      <c r="D1580" s="46">
        <v>180</v>
      </c>
      <c r="E1580" s="46">
        <v>2</v>
      </c>
      <c r="F1580" s="46">
        <v>303747</v>
      </c>
      <c r="G1580" s="48" t="s">
        <v>663</v>
      </c>
      <c r="H1580" s="47">
        <v>44203</v>
      </c>
      <c r="I1580" s="46">
        <v>51113</v>
      </c>
      <c r="J1580" s="46">
        <v>2</v>
      </c>
      <c r="K1580" s="47">
        <v>44208</v>
      </c>
      <c r="L1580" s="46">
        <v>10859</v>
      </c>
      <c r="M1580" s="46">
        <v>2</v>
      </c>
    </row>
    <row r="1581" spans="2:13" ht="14.1" customHeight="1" x14ac:dyDescent="0.25">
      <c r="B1581" s="46" t="str">
        <f t="shared" si="24"/>
        <v>2012-180-203633</v>
      </c>
      <c r="C1581" s="47">
        <v>44194</v>
      </c>
      <c r="D1581" s="46">
        <v>180</v>
      </c>
      <c r="E1581" s="46">
        <v>2</v>
      </c>
      <c r="F1581" s="46">
        <v>203633</v>
      </c>
      <c r="G1581" s="48" t="s">
        <v>36</v>
      </c>
      <c r="H1581" s="47">
        <v>44203</v>
      </c>
      <c r="I1581" s="46">
        <v>51113</v>
      </c>
      <c r="J1581" s="46">
        <v>2</v>
      </c>
      <c r="K1581" s="47">
        <v>44208</v>
      </c>
      <c r="L1581" s="46">
        <v>10859</v>
      </c>
      <c r="M1581" s="46">
        <v>2</v>
      </c>
    </row>
    <row r="1582" spans="2:13" ht="14.1" customHeight="1" x14ac:dyDescent="0.25">
      <c r="B1582" s="46" t="str">
        <f t="shared" si="24"/>
        <v>2012-180-106244</v>
      </c>
      <c r="C1582" s="47">
        <v>44194</v>
      </c>
      <c r="D1582" s="46">
        <v>180</v>
      </c>
      <c r="E1582" s="46">
        <v>4</v>
      </c>
      <c r="F1582" s="46">
        <v>106244</v>
      </c>
      <c r="G1582" s="48" t="s">
        <v>291</v>
      </c>
      <c r="H1582" s="47">
        <v>44203</v>
      </c>
      <c r="I1582" s="46">
        <v>51113</v>
      </c>
      <c r="J1582" s="46">
        <v>4</v>
      </c>
      <c r="K1582" s="47">
        <v>44208</v>
      </c>
      <c r="L1582" s="46">
        <v>10859</v>
      </c>
      <c r="M1582" s="46">
        <v>4</v>
      </c>
    </row>
    <row r="1583" spans="2:13" ht="14.1" customHeight="1" x14ac:dyDescent="0.25">
      <c r="B1583" s="46" t="str">
        <f t="shared" si="24"/>
        <v>2012-180-105561</v>
      </c>
      <c r="C1583" s="47">
        <v>44194</v>
      </c>
      <c r="D1583" s="46">
        <v>180</v>
      </c>
      <c r="E1583" s="46">
        <v>1</v>
      </c>
      <c r="F1583" s="46">
        <v>105561</v>
      </c>
      <c r="G1583" s="48" t="s">
        <v>177</v>
      </c>
      <c r="H1583" s="47">
        <v>44203</v>
      </c>
      <c r="I1583" s="46">
        <v>51113</v>
      </c>
      <c r="J1583" s="46">
        <v>1</v>
      </c>
      <c r="K1583" s="47">
        <v>44208</v>
      </c>
      <c r="L1583" s="46">
        <v>10859</v>
      </c>
      <c r="M1583" s="46">
        <v>1</v>
      </c>
    </row>
    <row r="1584" spans="2:13" ht="14.1" customHeight="1" x14ac:dyDescent="0.25">
      <c r="B1584" s="46" t="str">
        <f t="shared" si="24"/>
        <v>2012-180-204634</v>
      </c>
      <c r="C1584" s="47">
        <v>44194</v>
      </c>
      <c r="D1584" s="46">
        <v>180</v>
      </c>
      <c r="E1584" s="46">
        <v>2</v>
      </c>
      <c r="F1584" s="46">
        <v>204634</v>
      </c>
      <c r="G1584" s="48" t="s">
        <v>142</v>
      </c>
      <c r="H1584" s="47">
        <v>44203</v>
      </c>
      <c r="I1584" s="46">
        <v>51113</v>
      </c>
      <c r="J1584" s="46">
        <v>2</v>
      </c>
      <c r="K1584" s="47">
        <v>44208</v>
      </c>
      <c r="L1584" s="46">
        <v>10859</v>
      </c>
      <c r="M1584" s="46">
        <v>2</v>
      </c>
    </row>
    <row r="1585" spans="2:13" ht="14.1" customHeight="1" x14ac:dyDescent="0.25">
      <c r="B1585" s="46" t="str">
        <f t="shared" si="24"/>
        <v>2012-181-308520</v>
      </c>
      <c r="C1585" s="47">
        <v>44194</v>
      </c>
      <c r="D1585" s="46">
        <v>181</v>
      </c>
      <c r="E1585" s="46">
        <v>105</v>
      </c>
      <c r="F1585" s="46">
        <v>308520</v>
      </c>
      <c r="G1585" s="48" t="s">
        <v>270</v>
      </c>
      <c r="H1585" s="47">
        <v>44194</v>
      </c>
      <c r="I1585" s="46">
        <v>51067</v>
      </c>
      <c r="J1585" s="46">
        <v>105</v>
      </c>
      <c r="K1585" s="47">
        <v>44200</v>
      </c>
      <c r="L1585" s="46">
        <v>10799</v>
      </c>
      <c r="M1585" s="46">
        <v>105</v>
      </c>
    </row>
    <row r="1586" spans="2:13" ht="14.1" customHeight="1" x14ac:dyDescent="0.25">
      <c r="B1586" s="46" t="str">
        <f t="shared" si="24"/>
        <v>2012-182-200751</v>
      </c>
      <c r="C1586" s="47">
        <v>44194</v>
      </c>
      <c r="D1586" s="46">
        <v>182</v>
      </c>
      <c r="E1586" s="46">
        <v>10000</v>
      </c>
      <c r="F1586" s="46">
        <v>200751</v>
      </c>
      <c r="G1586" s="48" t="s">
        <v>151</v>
      </c>
      <c r="H1586" s="47">
        <v>44200</v>
      </c>
      <c r="I1586" s="46">
        <v>51132</v>
      </c>
      <c r="J1586" s="46">
        <v>10000</v>
      </c>
      <c r="K1586" s="47">
        <v>44195</v>
      </c>
      <c r="L1586" s="46">
        <v>10787</v>
      </c>
      <c r="M1586" s="46">
        <v>10000</v>
      </c>
    </row>
    <row r="1587" spans="2:13" ht="14.1" customHeight="1" x14ac:dyDescent="0.25">
      <c r="B1587" s="46" t="str">
        <f t="shared" si="24"/>
        <v>2012-183-313014</v>
      </c>
      <c r="C1587" s="47">
        <v>44195</v>
      </c>
      <c r="D1587" s="46">
        <v>183</v>
      </c>
      <c r="E1587" s="46">
        <v>2</v>
      </c>
      <c r="F1587" s="46">
        <v>313014</v>
      </c>
      <c r="G1587" s="48" t="s">
        <v>825</v>
      </c>
      <c r="H1587" s="47">
        <v>44202</v>
      </c>
      <c r="I1587" s="46">
        <v>51096</v>
      </c>
      <c r="J1587" s="46">
        <v>2</v>
      </c>
      <c r="K1587" s="47">
        <v>44208</v>
      </c>
      <c r="L1587" s="46">
        <v>10857</v>
      </c>
      <c r="M1587" s="46">
        <v>2</v>
      </c>
    </row>
    <row r="1588" spans="2:13" ht="14.1" customHeight="1" x14ac:dyDescent="0.25">
      <c r="B1588" s="46" t="str">
        <f t="shared" si="24"/>
        <v>2012-183-307882</v>
      </c>
      <c r="C1588" s="47">
        <v>44195</v>
      </c>
      <c r="D1588" s="46">
        <v>183</v>
      </c>
      <c r="E1588" s="46">
        <v>1</v>
      </c>
      <c r="F1588" s="46">
        <v>307882</v>
      </c>
      <c r="G1588" s="48" t="s">
        <v>734</v>
      </c>
      <c r="H1588" s="47">
        <v>44202</v>
      </c>
      <c r="I1588" s="46">
        <v>51096</v>
      </c>
      <c r="J1588" s="46">
        <v>1</v>
      </c>
      <c r="K1588" s="47">
        <v>44208</v>
      </c>
      <c r="L1588" s="46">
        <v>10857</v>
      </c>
      <c r="M1588" s="46">
        <v>1</v>
      </c>
    </row>
    <row r="1589" spans="2:13" ht="14.1" customHeight="1" x14ac:dyDescent="0.25">
      <c r="B1589" s="46" t="str">
        <f t="shared" si="24"/>
        <v>2012-183-305906</v>
      </c>
      <c r="C1589" s="47">
        <v>44195</v>
      </c>
      <c r="D1589" s="46">
        <v>183</v>
      </c>
      <c r="E1589" s="46">
        <v>3</v>
      </c>
      <c r="F1589" s="46">
        <v>305906</v>
      </c>
      <c r="G1589" s="48" t="s">
        <v>703</v>
      </c>
      <c r="H1589" s="47">
        <v>44202</v>
      </c>
      <c r="I1589" s="46">
        <v>51096</v>
      </c>
      <c r="J1589" s="46">
        <v>3</v>
      </c>
      <c r="K1589" s="47">
        <v>44208</v>
      </c>
      <c r="L1589" s="46">
        <v>10857</v>
      </c>
      <c r="M1589" s="46">
        <v>3</v>
      </c>
    </row>
    <row r="1590" spans="2:13" ht="14.1" customHeight="1" x14ac:dyDescent="0.25">
      <c r="B1590" s="46" t="str">
        <f t="shared" si="24"/>
        <v>2012-183-309842</v>
      </c>
      <c r="C1590" s="47">
        <v>44195</v>
      </c>
      <c r="D1590" s="46">
        <v>183</v>
      </c>
      <c r="E1590" s="46">
        <v>2</v>
      </c>
      <c r="F1590" s="46">
        <v>309842</v>
      </c>
      <c r="G1590" s="50" t="s">
        <v>764</v>
      </c>
      <c r="H1590" s="47">
        <v>44202</v>
      </c>
      <c r="I1590" s="46">
        <v>51096</v>
      </c>
      <c r="J1590" s="46">
        <v>2</v>
      </c>
      <c r="K1590" s="47">
        <v>44208</v>
      </c>
      <c r="L1590" s="46">
        <v>10857</v>
      </c>
      <c r="M1590" s="46">
        <v>2</v>
      </c>
    </row>
    <row r="1591" spans="2:13" ht="14.1" customHeight="1" x14ac:dyDescent="0.25">
      <c r="B1591" s="46" t="str">
        <f t="shared" si="24"/>
        <v>2012-183-305907</v>
      </c>
      <c r="C1591" s="47">
        <v>44195</v>
      </c>
      <c r="D1591" s="46">
        <v>183</v>
      </c>
      <c r="E1591" s="46">
        <v>3</v>
      </c>
      <c r="F1591" s="46">
        <v>305907</v>
      </c>
      <c r="G1591" s="48" t="s">
        <v>704</v>
      </c>
      <c r="H1591" s="47">
        <v>44202</v>
      </c>
      <c r="I1591" s="46">
        <v>51096</v>
      </c>
      <c r="J1591" s="46">
        <v>3</v>
      </c>
      <c r="K1591" s="47">
        <v>44208</v>
      </c>
      <c r="L1591" s="46">
        <v>10857</v>
      </c>
      <c r="M1591" s="46">
        <v>3</v>
      </c>
    </row>
    <row r="1592" spans="2:13" ht="14.1" customHeight="1" x14ac:dyDescent="0.25">
      <c r="B1592" s="46" t="str">
        <f t="shared" si="24"/>
        <v>2012-183-303983</v>
      </c>
      <c r="C1592" s="47">
        <v>44195</v>
      </c>
      <c r="D1592" s="46">
        <v>183</v>
      </c>
      <c r="E1592" s="46">
        <v>9</v>
      </c>
      <c r="F1592" s="46">
        <v>303983</v>
      </c>
      <c r="G1592" s="48" t="s">
        <v>446</v>
      </c>
      <c r="H1592" s="47">
        <v>44202</v>
      </c>
      <c r="I1592" s="46">
        <v>51096</v>
      </c>
      <c r="J1592" s="46">
        <v>9</v>
      </c>
      <c r="K1592" s="47">
        <v>44208</v>
      </c>
      <c r="L1592" s="46">
        <v>10857</v>
      </c>
      <c r="M1592" s="46">
        <v>9</v>
      </c>
    </row>
    <row r="1593" spans="2:13" ht="14.1" customHeight="1" x14ac:dyDescent="0.25">
      <c r="B1593" s="46" t="str">
        <f t="shared" si="24"/>
        <v>2012-185-300311</v>
      </c>
      <c r="C1593" s="47">
        <v>44195</v>
      </c>
      <c r="D1593" s="46">
        <v>185</v>
      </c>
      <c r="E1593" s="46">
        <v>1000</v>
      </c>
      <c r="F1593" s="46">
        <v>300311</v>
      </c>
      <c r="G1593" s="48" t="s">
        <v>128</v>
      </c>
      <c r="H1593" s="47">
        <v>44203</v>
      </c>
      <c r="I1593" s="46">
        <v>51107</v>
      </c>
      <c r="J1593" s="46">
        <v>1000</v>
      </c>
      <c r="K1593" s="47">
        <v>44195</v>
      </c>
      <c r="L1593" s="46">
        <v>10788</v>
      </c>
      <c r="M1593" s="46">
        <v>1000</v>
      </c>
    </row>
    <row r="1594" spans="2:13" ht="14.1" customHeight="1" x14ac:dyDescent="0.25">
      <c r="B1594" s="46" t="str">
        <f t="shared" si="24"/>
        <v>2101-1-105579</v>
      </c>
      <c r="C1594" s="47">
        <v>44200</v>
      </c>
      <c r="D1594" s="46">
        <v>1</v>
      </c>
      <c r="E1594" s="46">
        <v>16</v>
      </c>
      <c r="F1594" s="46">
        <v>105579</v>
      </c>
      <c r="G1594" s="48" t="s">
        <v>1150</v>
      </c>
      <c r="H1594" s="47">
        <v>44215</v>
      </c>
      <c r="I1594" s="46">
        <v>51248</v>
      </c>
      <c r="J1594" s="46">
        <v>16</v>
      </c>
      <c r="K1594" s="47">
        <v>44216</v>
      </c>
      <c r="L1594" s="46">
        <v>10958</v>
      </c>
      <c r="M1594" s="46">
        <v>16</v>
      </c>
    </row>
    <row r="1595" spans="2:13" ht="14.1" customHeight="1" x14ac:dyDescent="0.25">
      <c r="B1595" s="46" t="str">
        <f t="shared" si="24"/>
        <v>2101-1-320557</v>
      </c>
      <c r="C1595" s="47">
        <v>44200</v>
      </c>
      <c r="D1595" s="46">
        <v>1</v>
      </c>
      <c r="E1595" s="46">
        <v>1</v>
      </c>
      <c r="F1595" s="46">
        <v>320557</v>
      </c>
      <c r="G1595" s="48" t="s">
        <v>1152</v>
      </c>
      <c r="I1595" s="46">
        <v>0</v>
      </c>
      <c r="J1595" s="46">
        <v>0</v>
      </c>
      <c r="L1595" s="46">
        <v>0</v>
      </c>
      <c r="M1595" s="46">
        <v>0</v>
      </c>
    </row>
    <row r="1596" spans="2:13" ht="14.1" customHeight="1" x14ac:dyDescent="0.25">
      <c r="B1596" s="46" t="str">
        <f t="shared" si="24"/>
        <v>2101-1-320556</v>
      </c>
      <c r="C1596" s="47">
        <v>44200</v>
      </c>
      <c r="D1596" s="46">
        <v>1</v>
      </c>
      <c r="E1596" s="46">
        <v>2</v>
      </c>
      <c r="F1596" s="46">
        <v>320556</v>
      </c>
      <c r="G1596" s="48" t="s">
        <v>1151</v>
      </c>
      <c r="I1596" s="46">
        <v>0</v>
      </c>
      <c r="J1596" s="46">
        <v>0</v>
      </c>
      <c r="L1596" s="46">
        <v>0</v>
      </c>
      <c r="M1596" s="46">
        <v>0</v>
      </c>
    </row>
    <row r="1597" spans="2:13" ht="14.1" customHeight="1" x14ac:dyDescent="0.25">
      <c r="B1597" s="46" t="str">
        <f t="shared" si="24"/>
        <v>2101-2-205332</v>
      </c>
      <c r="C1597" s="47">
        <v>44200</v>
      </c>
      <c r="D1597" s="46">
        <v>2</v>
      </c>
      <c r="E1597" s="46">
        <v>2</v>
      </c>
      <c r="F1597" s="46">
        <v>205332</v>
      </c>
      <c r="G1597" s="48" t="s">
        <v>1153</v>
      </c>
      <c r="H1597" s="47">
        <v>44236</v>
      </c>
      <c r="I1597" s="46">
        <v>51575</v>
      </c>
      <c r="J1597" s="46">
        <v>2</v>
      </c>
      <c r="K1597" s="47">
        <v>44249</v>
      </c>
      <c r="L1597" s="46">
        <v>11286</v>
      </c>
      <c r="M1597" s="46">
        <v>2</v>
      </c>
    </row>
    <row r="1598" spans="2:13" ht="14.1" customHeight="1" x14ac:dyDescent="0.25">
      <c r="B1598" s="46" t="str">
        <f t="shared" si="24"/>
        <v>2101-3-320553</v>
      </c>
      <c r="C1598" s="47">
        <v>44200</v>
      </c>
      <c r="D1598" s="46">
        <v>3</v>
      </c>
      <c r="E1598" s="46">
        <v>20</v>
      </c>
      <c r="F1598" s="46">
        <v>320553</v>
      </c>
      <c r="G1598" s="48" t="s">
        <v>1154</v>
      </c>
      <c r="H1598" s="47">
        <v>44214</v>
      </c>
      <c r="I1598" s="46">
        <v>51244</v>
      </c>
      <c r="J1598" s="46">
        <v>20</v>
      </c>
      <c r="K1598" s="47">
        <v>44216</v>
      </c>
      <c r="L1598" s="46">
        <v>10959</v>
      </c>
      <c r="M1598" s="46">
        <v>20</v>
      </c>
    </row>
    <row r="1599" spans="2:13" ht="14.1" customHeight="1" x14ac:dyDescent="0.25">
      <c r="B1599" s="46" t="str">
        <f t="shared" si="24"/>
        <v>2101-3-320554</v>
      </c>
      <c r="C1599" s="47">
        <v>44200</v>
      </c>
      <c r="D1599" s="46">
        <v>3</v>
      </c>
      <c r="E1599" s="46">
        <v>4</v>
      </c>
      <c r="F1599" s="46">
        <v>320554</v>
      </c>
      <c r="G1599" s="48" t="s">
        <v>1155</v>
      </c>
      <c r="H1599" s="47">
        <v>44214</v>
      </c>
      <c r="I1599" s="46">
        <v>51244</v>
      </c>
      <c r="J1599" s="46">
        <v>4</v>
      </c>
      <c r="K1599" s="47">
        <v>44216</v>
      </c>
      <c r="L1599" s="46">
        <v>10959</v>
      </c>
      <c r="M1599" s="46">
        <v>4</v>
      </c>
    </row>
    <row r="1600" spans="2:13" ht="14.1" customHeight="1" x14ac:dyDescent="0.25">
      <c r="B1600" s="46" t="str">
        <f t="shared" si="24"/>
        <v>2101-3-320555</v>
      </c>
      <c r="C1600" s="47">
        <v>44200</v>
      </c>
      <c r="D1600" s="46">
        <v>3</v>
      </c>
      <c r="E1600" s="46">
        <v>2</v>
      </c>
      <c r="F1600" s="46">
        <v>320555</v>
      </c>
      <c r="G1600" s="48" t="s">
        <v>1156</v>
      </c>
      <c r="H1600" s="47">
        <v>44214</v>
      </c>
      <c r="I1600" s="46">
        <v>51244</v>
      </c>
      <c r="J1600" s="46">
        <v>2</v>
      </c>
      <c r="K1600" s="47">
        <v>44216</v>
      </c>
      <c r="L1600" s="46">
        <v>10959</v>
      </c>
      <c r="M1600" s="46">
        <v>2</v>
      </c>
    </row>
    <row r="1601" spans="2:13" ht="14.1" customHeight="1" x14ac:dyDescent="0.25">
      <c r="B1601" s="46" t="str">
        <f t="shared" si="24"/>
        <v>2101-3-206591</v>
      </c>
      <c r="C1601" s="47">
        <v>44200</v>
      </c>
      <c r="D1601" s="46">
        <v>3</v>
      </c>
      <c r="E1601" s="46">
        <v>150</v>
      </c>
      <c r="F1601" s="46">
        <v>206591</v>
      </c>
      <c r="G1601" s="48" t="s">
        <v>1157</v>
      </c>
      <c r="H1601" s="47">
        <v>44214</v>
      </c>
      <c r="I1601" s="46">
        <v>51244</v>
      </c>
      <c r="J1601" s="46">
        <v>150</v>
      </c>
      <c r="K1601" s="47">
        <v>44216</v>
      </c>
      <c r="L1601" s="46">
        <v>10959</v>
      </c>
      <c r="M1601" s="46">
        <v>150</v>
      </c>
    </row>
    <row r="1602" spans="2:13" ht="14.1" customHeight="1" x14ac:dyDescent="0.25">
      <c r="B1602" s="46" t="str">
        <f t="shared" si="24"/>
        <v>2101-4-203825</v>
      </c>
      <c r="C1602" s="47">
        <v>44200</v>
      </c>
      <c r="D1602" s="46">
        <v>4</v>
      </c>
      <c r="E1602" s="46">
        <v>10</v>
      </c>
      <c r="F1602" s="46">
        <v>203825</v>
      </c>
      <c r="G1602" s="50" t="s">
        <v>86</v>
      </c>
      <c r="H1602" s="47">
        <v>44208</v>
      </c>
      <c r="I1602" s="46">
        <v>51183</v>
      </c>
      <c r="J1602" s="46">
        <v>10</v>
      </c>
      <c r="K1602" s="47">
        <v>44210</v>
      </c>
      <c r="L1602" s="46">
        <v>10885</v>
      </c>
      <c r="M1602" s="46">
        <v>10</v>
      </c>
    </row>
    <row r="1603" spans="2:13" ht="14.1" customHeight="1" x14ac:dyDescent="0.25">
      <c r="B1603" s="46" t="str">
        <f t="shared" si="24"/>
        <v>2101-4-302475</v>
      </c>
      <c r="C1603" s="47">
        <v>44200</v>
      </c>
      <c r="D1603" s="46">
        <v>4</v>
      </c>
      <c r="E1603" s="46">
        <v>10</v>
      </c>
      <c r="F1603" s="46">
        <v>302475</v>
      </c>
      <c r="G1603" s="48" t="s">
        <v>153</v>
      </c>
      <c r="H1603" s="47">
        <v>44208</v>
      </c>
      <c r="I1603" s="46">
        <v>51183</v>
      </c>
      <c r="J1603" s="46">
        <v>10</v>
      </c>
      <c r="K1603" s="47">
        <v>44210</v>
      </c>
      <c r="L1603" s="46">
        <v>10885</v>
      </c>
      <c r="M1603" s="46">
        <v>7</v>
      </c>
    </row>
    <row r="1604" spans="2:13" ht="14.1" customHeight="1" x14ac:dyDescent="0.25">
      <c r="B1604" s="46" t="str">
        <f t="shared" si="24"/>
        <v>2101-4-302475</v>
      </c>
      <c r="C1604" s="47">
        <v>44200</v>
      </c>
      <c r="D1604" s="46">
        <v>4</v>
      </c>
      <c r="E1604" s="46">
        <v>10</v>
      </c>
      <c r="F1604" s="46">
        <v>302475</v>
      </c>
      <c r="G1604" s="48" t="s">
        <v>153</v>
      </c>
      <c r="H1604" s="47">
        <v>44208</v>
      </c>
      <c r="I1604" s="46">
        <v>51183</v>
      </c>
      <c r="J1604" s="46">
        <v>10</v>
      </c>
      <c r="K1604" s="47">
        <v>44211</v>
      </c>
      <c r="L1604" s="46">
        <v>10907</v>
      </c>
      <c r="M1604" s="46">
        <v>3</v>
      </c>
    </row>
    <row r="1605" spans="2:13" ht="14.1" customHeight="1" x14ac:dyDescent="0.25">
      <c r="B1605" s="46" t="str">
        <f t="shared" si="24"/>
        <v>2101-4-305882</v>
      </c>
      <c r="C1605" s="47">
        <v>44200</v>
      </c>
      <c r="D1605" s="46">
        <v>4</v>
      </c>
      <c r="E1605" s="46">
        <v>6</v>
      </c>
      <c r="F1605" s="46">
        <v>305882</v>
      </c>
      <c r="G1605" s="50" t="s">
        <v>1158</v>
      </c>
      <c r="H1605" s="47">
        <v>44208</v>
      </c>
      <c r="I1605" s="46">
        <v>51183</v>
      </c>
      <c r="J1605" s="46">
        <v>6</v>
      </c>
      <c r="K1605" s="47">
        <v>44210</v>
      </c>
      <c r="L1605" s="46">
        <v>10885</v>
      </c>
      <c r="M1605" s="46">
        <v>6</v>
      </c>
    </row>
    <row r="1606" spans="2:13" ht="14.1" customHeight="1" x14ac:dyDescent="0.25">
      <c r="B1606" s="46" t="str">
        <f t="shared" si="24"/>
        <v>2101-4-107136</v>
      </c>
      <c r="C1606" s="47">
        <v>44200</v>
      </c>
      <c r="D1606" s="46">
        <v>4</v>
      </c>
      <c r="E1606" s="46">
        <v>6</v>
      </c>
      <c r="F1606" s="46">
        <v>107136</v>
      </c>
      <c r="G1606" s="50" t="s">
        <v>87</v>
      </c>
      <c r="H1606" s="47">
        <v>44208</v>
      </c>
      <c r="I1606" s="46">
        <v>51194</v>
      </c>
      <c r="J1606" s="46">
        <v>6</v>
      </c>
      <c r="K1606" s="47">
        <v>44211</v>
      </c>
      <c r="L1606" s="46">
        <v>10904</v>
      </c>
      <c r="M1606" s="46">
        <v>6</v>
      </c>
    </row>
    <row r="1607" spans="2:13" ht="14.1" customHeight="1" x14ac:dyDescent="0.25">
      <c r="B1607" s="46" t="str">
        <f t="shared" si="24"/>
        <v>2101-4-200791</v>
      </c>
      <c r="C1607" s="47">
        <v>44200</v>
      </c>
      <c r="D1607" s="46">
        <v>4</v>
      </c>
      <c r="E1607" s="46">
        <v>10</v>
      </c>
      <c r="F1607" s="46">
        <v>200791</v>
      </c>
      <c r="G1607" s="50" t="s">
        <v>88</v>
      </c>
      <c r="H1607" s="47">
        <v>44208</v>
      </c>
      <c r="I1607" s="46">
        <v>51183</v>
      </c>
      <c r="J1607" s="46">
        <v>10</v>
      </c>
      <c r="K1607" s="47">
        <v>44210</v>
      </c>
      <c r="L1607" s="46">
        <v>10885</v>
      </c>
      <c r="M1607" s="46">
        <v>10</v>
      </c>
    </row>
    <row r="1608" spans="2:13" ht="14.1" customHeight="1" x14ac:dyDescent="0.25">
      <c r="B1608" s="46" t="str">
        <f t="shared" si="24"/>
        <v>2101-5-319982</v>
      </c>
      <c r="C1608" s="47">
        <v>44200</v>
      </c>
      <c r="D1608" s="46">
        <v>5</v>
      </c>
      <c r="E1608" s="46">
        <v>6</v>
      </c>
      <c r="F1608" s="46">
        <v>319982</v>
      </c>
      <c r="G1608" s="48" t="s">
        <v>1159</v>
      </c>
      <c r="I1608" s="46">
        <v>0</v>
      </c>
      <c r="J1608" s="46">
        <v>0</v>
      </c>
      <c r="L1608" s="46">
        <v>0</v>
      </c>
      <c r="M1608" s="46">
        <v>0</v>
      </c>
    </row>
    <row r="1609" spans="2:13" ht="14.1" customHeight="1" x14ac:dyDescent="0.25">
      <c r="B1609" s="46" t="str">
        <f t="shared" si="24"/>
        <v>2101-5-319983</v>
      </c>
      <c r="C1609" s="47">
        <v>44200</v>
      </c>
      <c r="D1609" s="46">
        <v>5</v>
      </c>
      <c r="E1609" s="46">
        <v>4</v>
      </c>
      <c r="F1609" s="46">
        <v>319983</v>
      </c>
      <c r="G1609" s="48" t="s">
        <v>358</v>
      </c>
      <c r="I1609" s="46">
        <v>0</v>
      </c>
      <c r="J1609" s="46">
        <v>0</v>
      </c>
      <c r="L1609" s="46">
        <v>0</v>
      </c>
      <c r="M1609" s="46">
        <v>0</v>
      </c>
    </row>
    <row r="1610" spans="2:13" ht="14.1" customHeight="1" x14ac:dyDescent="0.25">
      <c r="B1610" s="46" t="str">
        <f t="shared" si="24"/>
        <v>2101-5-319203</v>
      </c>
      <c r="C1610" s="47">
        <v>44200</v>
      </c>
      <c r="D1610" s="46">
        <v>5</v>
      </c>
      <c r="E1610" s="46">
        <v>2</v>
      </c>
      <c r="F1610" s="46">
        <v>319203</v>
      </c>
      <c r="G1610" s="48" t="s">
        <v>934</v>
      </c>
      <c r="H1610" s="47">
        <v>44238</v>
      </c>
      <c r="I1610" s="46">
        <v>51633</v>
      </c>
      <c r="J1610" s="46">
        <v>2</v>
      </c>
      <c r="K1610" s="47">
        <v>44239</v>
      </c>
      <c r="L1610" s="46">
        <v>11174</v>
      </c>
      <c r="M1610" s="46">
        <v>2</v>
      </c>
    </row>
    <row r="1611" spans="2:13" ht="14.1" customHeight="1" x14ac:dyDescent="0.25">
      <c r="B1611" s="46" t="str">
        <f t="shared" si="24"/>
        <v>2101-6-310416</v>
      </c>
      <c r="C1611" s="47">
        <v>44200</v>
      </c>
      <c r="D1611" s="46">
        <v>6</v>
      </c>
      <c r="E1611" s="46">
        <v>30</v>
      </c>
      <c r="F1611" s="46">
        <v>310416</v>
      </c>
      <c r="G1611" s="48" t="s">
        <v>240</v>
      </c>
      <c r="H1611" s="47">
        <v>44214</v>
      </c>
      <c r="I1611" s="46">
        <v>51229</v>
      </c>
      <c r="J1611" s="46">
        <v>30</v>
      </c>
      <c r="K1611" s="47">
        <v>44225</v>
      </c>
      <c r="L1611" s="46">
        <v>11041</v>
      </c>
      <c r="M1611" s="46">
        <v>30</v>
      </c>
    </row>
    <row r="1612" spans="2:13" ht="14.1" customHeight="1" x14ac:dyDescent="0.25">
      <c r="B1612" s="46" t="str">
        <f t="shared" ref="B1612:B1675" si="25">TEXT(C1612,"yy") &amp; TEXT(C1612,"mm") &amp;"-"&amp;(D1612) &amp;"-"&amp;(F1612)</f>
        <v>2101-6-200837</v>
      </c>
      <c r="C1612" s="47">
        <v>44200</v>
      </c>
      <c r="D1612" s="46">
        <v>6</v>
      </c>
      <c r="E1612" s="46">
        <v>15</v>
      </c>
      <c r="F1612" s="46">
        <v>200837</v>
      </c>
      <c r="G1612" s="48" t="s">
        <v>1141</v>
      </c>
      <c r="H1612" s="47">
        <v>44214</v>
      </c>
      <c r="I1612" s="46">
        <v>51243</v>
      </c>
      <c r="J1612" s="46">
        <v>15</v>
      </c>
      <c r="K1612" s="47">
        <v>44229</v>
      </c>
      <c r="L1612" s="46">
        <v>11063</v>
      </c>
      <c r="M1612" s="46">
        <v>15</v>
      </c>
    </row>
    <row r="1613" spans="2:13" ht="14.1" customHeight="1" x14ac:dyDescent="0.25">
      <c r="B1613" s="46" t="str">
        <f t="shared" si="25"/>
        <v>2101-6-311507</v>
      </c>
      <c r="C1613" s="47">
        <v>44200</v>
      </c>
      <c r="D1613" s="46">
        <v>6</v>
      </c>
      <c r="E1613" s="46">
        <v>20</v>
      </c>
      <c r="F1613" s="46">
        <v>311507</v>
      </c>
      <c r="G1613" s="48" t="s">
        <v>51</v>
      </c>
      <c r="H1613" s="47">
        <v>44214</v>
      </c>
      <c r="I1613" s="46">
        <v>51243</v>
      </c>
      <c r="J1613" s="46">
        <v>20</v>
      </c>
      <c r="K1613" s="47">
        <v>44229</v>
      </c>
      <c r="L1613" s="46">
        <v>11063</v>
      </c>
      <c r="M1613" s="46">
        <v>20</v>
      </c>
    </row>
    <row r="1614" spans="2:13" ht="14.1" customHeight="1" x14ac:dyDescent="0.25">
      <c r="B1614" s="46" t="str">
        <f t="shared" si="25"/>
        <v>2101-6-312994</v>
      </c>
      <c r="C1614" s="47">
        <v>44200</v>
      </c>
      <c r="D1614" s="46">
        <v>6</v>
      </c>
      <c r="E1614" s="46">
        <v>4</v>
      </c>
      <c r="F1614" s="46">
        <v>312994</v>
      </c>
      <c r="G1614" s="48" t="s">
        <v>129</v>
      </c>
      <c r="H1614" s="47">
        <v>44214</v>
      </c>
      <c r="I1614" s="46">
        <v>51239</v>
      </c>
      <c r="J1614" s="46">
        <v>4</v>
      </c>
      <c r="K1614" s="47">
        <v>44229</v>
      </c>
      <c r="L1614" s="46">
        <v>11054</v>
      </c>
      <c r="M1614" s="46">
        <v>2</v>
      </c>
    </row>
    <row r="1615" spans="2:13" ht="14.1" customHeight="1" x14ac:dyDescent="0.25">
      <c r="B1615" s="46" t="str">
        <f t="shared" si="25"/>
        <v>2101-6-310867</v>
      </c>
      <c r="C1615" s="47">
        <v>44200</v>
      </c>
      <c r="D1615" s="46">
        <v>6</v>
      </c>
      <c r="E1615" s="46">
        <v>30</v>
      </c>
      <c r="F1615" s="46">
        <v>310867</v>
      </c>
      <c r="G1615" s="48" t="s">
        <v>96</v>
      </c>
      <c r="H1615" s="47">
        <v>44214</v>
      </c>
      <c r="I1615" s="46">
        <v>51243</v>
      </c>
      <c r="J1615" s="46">
        <v>30</v>
      </c>
      <c r="K1615" s="47">
        <v>44229</v>
      </c>
      <c r="L1615" s="46">
        <v>11063</v>
      </c>
      <c r="M1615" s="46">
        <v>30</v>
      </c>
    </row>
    <row r="1616" spans="2:13" ht="14.1" customHeight="1" x14ac:dyDescent="0.25">
      <c r="B1616" s="46" t="str">
        <f t="shared" si="25"/>
        <v>2101-6-201460</v>
      </c>
      <c r="C1616" s="47">
        <v>44200</v>
      </c>
      <c r="D1616" s="46">
        <v>6</v>
      </c>
      <c r="E1616" s="46">
        <v>30</v>
      </c>
      <c r="F1616" s="46">
        <v>201460</v>
      </c>
      <c r="G1616" s="48" t="s">
        <v>298</v>
      </c>
      <c r="H1616" s="47">
        <v>44214</v>
      </c>
      <c r="I1616" s="46">
        <v>51229</v>
      </c>
      <c r="J1616" s="46">
        <v>30</v>
      </c>
      <c r="K1616" s="47">
        <v>44225</v>
      </c>
      <c r="L1616" s="46">
        <v>11041</v>
      </c>
      <c r="M1616" s="46">
        <v>30</v>
      </c>
    </row>
    <row r="1617" spans="2:13" ht="14.1" customHeight="1" x14ac:dyDescent="0.25">
      <c r="B1617" s="46" t="str">
        <f t="shared" si="25"/>
        <v>2101-6-303222</v>
      </c>
      <c r="C1617" s="47">
        <v>44200</v>
      </c>
      <c r="D1617" s="46">
        <v>6</v>
      </c>
      <c r="E1617" s="46">
        <v>6</v>
      </c>
      <c r="F1617" s="46">
        <v>303222</v>
      </c>
      <c r="G1617" s="48" t="s">
        <v>1117</v>
      </c>
      <c r="H1617" s="47">
        <v>44214</v>
      </c>
      <c r="I1617" s="46">
        <v>51239</v>
      </c>
      <c r="J1617" s="46">
        <v>6</v>
      </c>
      <c r="K1617" s="47">
        <v>44229</v>
      </c>
      <c r="L1617" s="46">
        <v>11054</v>
      </c>
      <c r="M1617" s="46">
        <v>6</v>
      </c>
    </row>
    <row r="1618" spans="2:13" ht="14.1" customHeight="1" x14ac:dyDescent="0.25">
      <c r="B1618" s="46" t="str">
        <f t="shared" si="25"/>
        <v>2101-6-303224</v>
      </c>
      <c r="C1618" s="47">
        <v>44200</v>
      </c>
      <c r="D1618" s="46">
        <v>6</v>
      </c>
      <c r="E1618" s="46">
        <v>4</v>
      </c>
      <c r="F1618" s="46">
        <v>303224</v>
      </c>
      <c r="G1618" s="48" t="s">
        <v>1160</v>
      </c>
      <c r="H1618" s="47">
        <v>44214</v>
      </c>
      <c r="I1618" s="46">
        <v>51239</v>
      </c>
      <c r="J1618" s="46">
        <v>4</v>
      </c>
      <c r="K1618" s="47">
        <v>44229</v>
      </c>
      <c r="L1618" s="46">
        <v>11054</v>
      </c>
      <c r="M1618" s="46">
        <v>4</v>
      </c>
    </row>
    <row r="1619" spans="2:13" ht="14.1" customHeight="1" x14ac:dyDescent="0.25">
      <c r="B1619" s="46" t="str">
        <f t="shared" si="25"/>
        <v>2101-6-309017</v>
      </c>
      <c r="C1619" s="47">
        <v>44200</v>
      </c>
      <c r="D1619" s="46">
        <v>6</v>
      </c>
      <c r="E1619" s="46">
        <v>10</v>
      </c>
      <c r="F1619" s="46">
        <v>309017</v>
      </c>
      <c r="G1619" s="48" t="s">
        <v>413</v>
      </c>
      <c r="H1619" s="47">
        <v>44214</v>
      </c>
      <c r="I1619" s="46">
        <v>51229</v>
      </c>
      <c r="J1619" s="46">
        <v>10</v>
      </c>
      <c r="K1619" s="47">
        <v>44225</v>
      </c>
      <c r="L1619" s="46">
        <v>11041</v>
      </c>
      <c r="M1619" s="46">
        <v>10</v>
      </c>
    </row>
    <row r="1620" spans="2:13" ht="14.1" customHeight="1" x14ac:dyDescent="0.25">
      <c r="B1620" s="46" t="str">
        <f t="shared" si="25"/>
        <v>2101-6-303223</v>
      </c>
      <c r="C1620" s="47">
        <v>44200</v>
      </c>
      <c r="D1620" s="46">
        <v>6</v>
      </c>
      <c r="E1620" s="46">
        <v>6</v>
      </c>
      <c r="F1620" s="46">
        <v>303223</v>
      </c>
      <c r="G1620" s="48" t="s">
        <v>130</v>
      </c>
      <c r="H1620" s="47">
        <v>44214</v>
      </c>
      <c r="I1620" s="46">
        <v>51239</v>
      </c>
      <c r="J1620" s="46">
        <v>6</v>
      </c>
      <c r="K1620" s="47">
        <v>44229</v>
      </c>
      <c r="L1620" s="46">
        <v>11054</v>
      </c>
      <c r="M1620" s="46">
        <v>6</v>
      </c>
    </row>
    <row r="1621" spans="2:13" ht="14.1" customHeight="1" x14ac:dyDescent="0.25">
      <c r="B1621" s="46" t="str">
        <f t="shared" si="25"/>
        <v>2101-7-203978</v>
      </c>
      <c r="C1621" s="47">
        <v>44200</v>
      </c>
      <c r="D1621" s="46">
        <v>7</v>
      </c>
      <c r="E1621" s="46">
        <v>6</v>
      </c>
      <c r="F1621" s="46">
        <v>203978</v>
      </c>
      <c r="G1621" s="48" t="s">
        <v>1164</v>
      </c>
      <c r="H1621" s="47">
        <v>44214</v>
      </c>
      <c r="I1621" s="46">
        <v>51245</v>
      </c>
      <c r="J1621" s="46">
        <v>6</v>
      </c>
      <c r="K1621" s="47">
        <v>44231</v>
      </c>
      <c r="L1621" s="46">
        <v>11109</v>
      </c>
      <c r="M1621" s="46">
        <v>6</v>
      </c>
    </row>
    <row r="1622" spans="2:13" ht="14.1" customHeight="1" x14ac:dyDescent="0.25">
      <c r="B1622" s="46" t="str">
        <f t="shared" si="25"/>
        <v>2101-7-203976</v>
      </c>
      <c r="C1622" s="47">
        <v>44200</v>
      </c>
      <c r="D1622" s="46">
        <v>7</v>
      </c>
      <c r="E1622" s="46">
        <v>6</v>
      </c>
      <c r="F1622" s="46">
        <v>203976</v>
      </c>
      <c r="G1622" s="48" t="s">
        <v>1162</v>
      </c>
      <c r="H1622" s="47">
        <v>44214</v>
      </c>
      <c r="I1622" s="46">
        <v>51245</v>
      </c>
      <c r="J1622" s="46">
        <v>6</v>
      </c>
      <c r="K1622" s="47">
        <v>44231</v>
      </c>
      <c r="L1622" s="46">
        <v>11109</v>
      </c>
      <c r="M1622" s="46">
        <v>6</v>
      </c>
    </row>
    <row r="1623" spans="2:13" ht="14.1" customHeight="1" x14ac:dyDescent="0.25">
      <c r="B1623" s="46" t="str">
        <f t="shared" si="25"/>
        <v>2101-7-200271</v>
      </c>
      <c r="C1623" s="47">
        <v>44200</v>
      </c>
      <c r="D1623" s="46">
        <v>7</v>
      </c>
      <c r="E1623" s="46">
        <v>220</v>
      </c>
      <c r="F1623" s="46">
        <v>200271</v>
      </c>
      <c r="G1623" s="48" t="s">
        <v>241</v>
      </c>
      <c r="H1623" s="47">
        <v>44208</v>
      </c>
      <c r="I1623" s="46">
        <v>51185</v>
      </c>
      <c r="J1623" s="46">
        <v>220</v>
      </c>
      <c r="K1623" s="47">
        <v>44210</v>
      </c>
      <c r="L1623" s="46">
        <v>10893</v>
      </c>
      <c r="M1623" s="46">
        <v>220</v>
      </c>
    </row>
    <row r="1624" spans="2:13" ht="14.1" customHeight="1" x14ac:dyDescent="0.25">
      <c r="B1624" s="46" t="str">
        <f t="shared" si="25"/>
        <v>2101-7-206105</v>
      </c>
      <c r="C1624" s="47">
        <v>44200</v>
      </c>
      <c r="D1624" s="46">
        <v>7</v>
      </c>
      <c r="E1624" s="46">
        <v>6</v>
      </c>
      <c r="F1624" s="46">
        <v>206105</v>
      </c>
      <c r="G1624" s="48" t="s">
        <v>1161</v>
      </c>
      <c r="H1624" s="47">
        <v>44214</v>
      </c>
      <c r="I1624" s="46">
        <v>51245</v>
      </c>
      <c r="J1624" s="46">
        <v>6</v>
      </c>
      <c r="K1624" s="47">
        <v>44231</v>
      </c>
      <c r="L1624" s="46">
        <v>11109</v>
      </c>
      <c r="M1624" s="46">
        <v>6</v>
      </c>
    </row>
    <row r="1625" spans="2:13" ht="14.1" customHeight="1" x14ac:dyDescent="0.25">
      <c r="B1625" s="46" t="str">
        <f t="shared" si="25"/>
        <v>2101-7-203977</v>
      </c>
      <c r="C1625" s="47">
        <v>44200</v>
      </c>
      <c r="D1625" s="46">
        <v>7</v>
      </c>
      <c r="E1625" s="46">
        <v>6</v>
      </c>
      <c r="F1625" s="46">
        <v>203977</v>
      </c>
      <c r="G1625" s="48" t="s">
        <v>1163</v>
      </c>
      <c r="H1625" s="47">
        <v>44214</v>
      </c>
      <c r="I1625" s="46">
        <v>51245</v>
      </c>
      <c r="J1625" s="46">
        <v>6</v>
      </c>
      <c r="K1625" s="47">
        <v>44231</v>
      </c>
      <c r="L1625" s="46">
        <v>11109</v>
      </c>
      <c r="M1625" s="46">
        <v>6</v>
      </c>
    </row>
    <row r="1626" spans="2:13" ht="14.1" customHeight="1" x14ac:dyDescent="0.25">
      <c r="B1626" s="46" t="str">
        <f t="shared" si="25"/>
        <v>2101-8-309368</v>
      </c>
      <c r="C1626" s="47">
        <v>44200</v>
      </c>
      <c r="D1626" s="46">
        <v>8</v>
      </c>
      <c r="E1626" s="46">
        <v>10</v>
      </c>
      <c r="F1626" s="46">
        <v>309368</v>
      </c>
      <c r="G1626" s="48" t="s">
        <v>398</v>
      </c>
      <c r="H1626" s="47">
        <v>44231</v>
      </c>
      <c r="I1626" s="46">
        <v>51477</v>
      </c>
      <c r="J1626" s="46">
        <v>10</v>
      </c>
      <c r="K1626" s="47">
        <v>44243</v>
      </c>
      <c r="L1626" s="46">
        <v>11199</v>
      </c>
      <c r="M1626" s="46">
        <v>10</v>
      </c>
    </row>
    <row r="1627" spans="2:13" ht="14.1" customHeight="1" x14ac:dyDescent="0.25">
      <c r="B1627" s="46" t="str">
        <f t="shared" si="25"/>
        <v>2101-8-205175</v>
      </c>
      <c r="C1627" s="47">
        <v>44200</v>
      </c>
      <c r="D1627" s="46">
        <v>8</v>
      </c>
      <c r="E1627" s="46">
        <v>40</v>
      </c>
      <c r="F1627" s="46">
        <v>205175</v>
      </c>
      <c r="G1627" s="50" t="s">
        <v>208</v>
      </c>
      <c r="H1627" s="47">
        <v>44231</v>
      </c>
      <c r="I1627" s="46">
        <v>51477</v>
      </c>
      <c r="J1627" s="46">
        <v>40</v>
      </c>
      <c r="K1627" s="47">
        <v>44243</v>
      </c>
      <c r="L1627" s="46">
        <v>11199</v>
      </c>
      <c r="M1627" s="46">
        <v>40</v>
      </c>
    </row>
    <row r="1628" spans="2:13" ht="14.1" customHeight="1" x14ac:dyDescent="0.25">
      <c r="B1628" s="46" t="str">
        <f t="shared" si="25"/>
        <v>2101-8-200878</v>
      </c>
      <c r="C1628" s="47">
        <v>44200</v>
      </c>
      <c r="D1628" s="46">
        <v>8</v>
      </c>
      <c r="E1628" s="46">
        <v>6</v>
      </c>
      <c r="F1628" s="46">
        <v>200878</v>
      </c>
      <c r="G1628" s="48" t="s">
        <v>1165</v>
      </c>
      <c r="H1628" s="47">
        <v>44231</v>
      </c>
      <c r="I1628" s="46">
        <v>51477</v>
      </c>
      <c r="J1628" s="46">
        <v>6</v>
      </c>
      <c r="K1628" s="47">
        <v>44243</v>
      </c>
      <c r="L1628" s="46">
        <v>11199</v>
      </c>
      <c r="M1628" s="46">
        <v>6</v>
      </c>
    </row>
    <row r="1629" spans="2:13" ht="14.1" customHeight="1" x14ac:dyDescent="0.25">
      <c r="B1629" s="46" t="str">
        <f t="shared" si="25"/>
        <v>2101-8-306107</v>
      </c>
      <c r="C1629" s="47">
        <v>44200</v>
      </c>
      <c r="D1629" s="46">
        <v>8</v>
      </c>
      <c r="E1629" s="46">
        <v>4</v>
      </c>
      <c r="F1629" s="46">
        <v>306107</v>
      </c>
      <c r="G1629" s="50" t="s">
        <v>111</v>
      </c>
      <c r="H1629" s="47">
        <v>44231</v>
      </c>
      <c r="I1629" s="46">
        <v>51474</v>
      </c>
      <c r="J1629" s="46">
        <v>4</v>
      </c>
      <c r="K1629" s="47">
        <v>44252</v>
      </c>
      <c r="L1629" s="46">
        <v>11340</v>
      </c>
      <c r="M1629" s="46">
        <v>4</v>
      </c>
    </row>
    <row r="1630" spans="2:13" ht="14.1" customHeight="1" x14ac:dyDescent="0.25">
      <c r="B1630" s="46" t="str">
        <f t="shared" si="25"/>
        <v>2101-8-306624</v>
      </c>
      <c r="C1630" s="47">
        <v>44200</v>
      </c>
      <c r="D1630" s="46">
        <v>8</v>
      </c>
      <c r="E1630" s="46">
        <v>10</v>
      </c>
      <c r="F1630" s="46">
        <v>306624</v>
      </c>
      <c r="G1630" s="50" t="s">
        <v>1166</v>
      </c>
      <c r="H1630" s="47">
        <v>44231</v>
      </c>
      <c r="I1630" s="46">
        <v>51477</v>
      </c>
      <c r="J1630" s="46">
        <v>10</v>
      </c>
      <c r="K1630" s="47">
        <v>44243</v>
      </c>
      <c r="L1630" s="46">
        <v>11199</v>
      </c>
      <c r="M1630" s="46">
        <v>10</v>
      </c>
    </row>
    <row r="1631" spans="2:13" ht="14.1" customHeight="1" x14ac:dyDescent="0.25">
      <c r="B1631" s="46" t="str">
        <f t="shared" si="25"/>
        <v>2101-8-200123</v>
      </c>
      <c r="C1631" s="47">
        <v>44200</v>
      </c>
      <c r="D1631" s="46">
        <v>8</v>
      </c>
      <c r="E1631" s="46">
        <v>20</v>
      </c>
      <c r="F1631" s="46">
        <v>200123</v>
      </c>
      <c r="G1631" s="48" t="s">
        <v>41</v>
      </c>
      <c r="H1631" s="47">
        <v>44231</v>
      </c>
      <c r="I1631" s="46">
        <v>51477</v>
      </c>
      <c r="J1631" s="46">
        <v>20</v>
      </c>
      <c r="K1631" s="47">
        <v>44243</v>
      </c>
      <c r="L1631" s="46">
        <v>11199</v>
      </c>
      <c r="M1631" s="46">
        <v>20</v>
      </c>
    </row>
    <row r="1632" spans="2:13" ht="14.1" customHeight="1" x14ac:dyDescent="0.25">
      <c r="B1632" s="46" t="str">
        <f t="shared" si="25"/>
        <v>2101-8-311952</v>
      </c>
      <c r="C1632" s="47">
        <v>44200</v>
      </c>
      <c r="D1632" s="46">
        <v>8</v>
      </c>
      <c r="E1632" s="46">
        <v>4</v>
      </c>
      <c r="F1632" s="46">
        <v>311952</v>
      </c>
      <c r="G1632" s="48" t="s">
        <v>1167</v>
      </c>
      <c r="H1632" s="47">
        <v>44231</v>
      </c>
      <c r="I1632" s="46">
        <v>51474</v>
      </c>
      <c r="J1632" s="46">
        <v>4</v>
      </c>
      <c r="K1632" s="47">
        <v>44252</v>
      </c>
      <c r="L1632" s="46">
        <v>11340</v>
      </c>
      <c r="M1632" s="46">
        <v>4</v>
      </c>
    </row>
    <row r="1633" spans="2:13" ht="14.1" customHeight="1" x14ac:dyDescent="0.25">
      <c r="B1633" s="46" t="str">
        <f t="shared" si="25"/>
        <v>2101-9-206168</v>
      </c>
      <c r="C1633" s="47">
        <v>44200</v>
      </c>
      <c r="D1633" s="46">
        <v>9</v>
      </c>
      <c r="E1633" s="46">
        <v>6</v>
      </c>
      <c r="F1633" s="46">
        <v>206168</v>
      </c>
      <c r="G1633" s="48" t="s">
        <v>1121</v>
      </c>
      <c r="H1633" s="47">
        <v>44214</v>
      </c>
      <c r="I1633" s="46">
        <v>51241</v>
      </c>
      <c r="J1633" s="46">
        <v>6</v>
      </c>
      <c r="K1633" s="47">
        <v>44225</v>
      </c>
      <c r="L1633" s="46">
        <v>11046</v>
      </c>
      <c r="M1633" s="46">
        <v>6</v>
      </c>
    </row>
    <row r="1634" spans="2:13" ht="14.1" customHeight="1" x14ac:dyDescent="0.25">
      <c r="B1634" s="46" t="str">
        <f t="shared" si="25"/>
        <v>2101-9-202478</v>
      </c>
      <c r="C1634" s="47">
        <v>44200</v>
      </c>
      <c r="D1634" s="46">
        <v>9</v>
      </c>
      <c r="E1634" s="46">
        <v>6</v>
      </c>
      <c r="F1634" s="46">
        <v>202478</v>
      </c>
      <c r="G1634" s="48" t="s">
        <v>1122</v>
      </c>
      <c r="H1634" s="47">
        <v>44214</v>
      </c>
      <c r="I1634" s="46">
        <v>51241</v>
      </c>
      <c r="J1634" s="46">
        <v>6</v>
      </c>
      <c r="L1634" s="46">
        <v>0</v>
      </c>
      <c r="M1634" s="46">
        <v>0</v>
      </c>
    </row>
    <row r="1635" spans="2:13" ht="14.1" customHeight="1" x14ac:dyDescent="0.25">
      <c r="B1635" s="46" t="str">
        <f t="shared" si="25"/>
        <v>2101-9-202477</v>
      </c>
      <c r="C1635" s="47">
        <v>44200</v>
      </c>
      <c r="D1635" s="46">
        <v>9</v>
      </c>
      <c r="E1635" s="46">
        <v>4</v>
      </c>
      <c r="F1635" s="46">
        <v>202477</v>
      </c>
      <c r="G1635" s="48" t="s">
        <v>1120</v>
      </c>
      <c r="H1635" s="47">
        <v>44214</v>
      </c>
      <c r="I1635" s="46">
        <v>51241</v>
      </c>
      <c r="J1635" s="46">
        <v>4</v>
      </c>
      <c r="K1635" s="47">
        <v>44225</v>
      </c>
      <c r="L1635" s="46">
        <v>11046</v>
      </c>
      <c r="M1635" s="46">
        <v>4</v>
      </c>
    </row>
    <row r="1636" spans="2:13" ht="14.1" customHeight="1" x14ac:dyDescent="0.25">
      <c r="B1636" s="46" t="str">
        <f t="shared" si="25"/>
        <v>2101-10-105016</v>
      </c>
      <c r="C1636" s="47">
        <v>44200</v>
      </c>
      <c r="D1636" s="46">
        <v>10</v>
      </c>
      <c r="E1636" s="46">
        <v>10</v>
      </c>
      <c r="F1636" s="46">
        <v>105016</v>
      </c>
      <c r="G1636" s="48" t="s">
        <v>124</v>
      </c>
      <c r="H1636" s="47">
        <v>44214</v>
      </c>
      <c r="I1636" s="46">
        <v>51242</v>
      </c>
      <c r="J1636" s="46">
        <v>10</v>
      </c>
      <c r="K1636" s="47">
        <v>44236</v>
      </c>
      <c r="L1636" s="46">
        <v>11146</v>
      </c>
      <c r="M1636" s="46">
        <v>6</v>
      </c>
    </row>
    <row r="1637" spans="2:13" ht="14.1" customHeight="1" x14ac:dyDescent="0.25">
      <c r="B1637" s="46" t="str">
        <f t="shared" si="25"/>
        <v>2101-10-305119</v>
      </c>
      <c r="C1637" s="47">
        <v>44200</v>
      </c>
      <c r="D1637" s="46">
        <v>10</v>
      </c>
      <c r="E1637" s="46">
        <v>5</v>
      </c>
      <c r="F1637" s="46">
        <v>305119</v>
      </c>
      <c r="G1637" s="48" t="s">
        <v>195</v>
      </c>
      <c r="H1637" s="47">
        <v>44214</v>
      </c>
      <c r="I1637" s="46">
        <v>51242</v>
      </c>
      <c r="J1637" s="46">
        <v>5</v>
      </c>
      <c r="K1637" s="47">
        <v>44236</v>
      </c>
      <c r="L1637" s="46">
        <v>11146</v>
      </c>
      <c r="M1637" s="46">
        <v>5</v>
      </c>
    </row>
    <row r="1638" spans="2:13" ht="14.1" customHeight="1" x14ac:dyDescent="0.25">
      <c r="B1638" s="46" t="str">
        <f t="shared" si="25"/>
        <v>2101-10-204563</v>
      </c>
      <c r="C1638" s="47">
        <v>44200</v>
      </c>
      <c r="D1638" s="46">
        <v>10</v>
      </c>
      <c r="E1638" s="46">
        <v>5</v>
      </c>
      <c r="F1638" s="46">
        <v>204563</v>
      </c>
      <c r="G1638" s="48" t="s">
        <v>1168</v>
      </c>
      <c r="H1638" s="47">
        <v>44214</v>
      </c>
      <c r="I1638" s="46">
        <v>51242</v>
      </c>
      <c r="J1638" s="46">
        <v>5</v>
      </c>
      <c r="K1638" s="47">
        <v>44236</v>
      </c>
      <c r="L1638" s="46">
        <v>11146</v>
      </c>
      <c r="M1638" s="46">
        <v>5</v>
      </c>
    </row>
    <row r="1639" spans="2:13" ht="14.1" customHeight="1" x14ac:dyDescent="0.25">
      <c r="B1639" s="46" t="str">
        <f t="shared" si="25"/>
        <v>2101-10-316401</v>
      </c>
      <c r="C1639" s="47">
        <v>44200</v>
      </c>
      <c r="D1639" s="46">
        <v>10</v>
      </c>
      <c r="E1639" s="46">
        <v>4</v>
      </c>
      <c r="F1639" s="46">
        <v>316401</v>
      </c>
      <c r="G1639" s="48" t="s">
        <v>309</v>
      </c>
      <c r="H1639" s="47">
        <v>44214</v>
      </c>
      <c r="I1639" s="46">
        <v>51242</v>
      </c>
      <c r="J1639" s="46">
        <v>4</v>
      </c>
      <c r="K1639" s="47">
        <v>44236</v>
      </c>
      <c r="L1639" s="46">
        <v>11146</v>
      </c>
      <c r="M1639" s="46">
        <v>4</v>
      </c>
    </row>
    <row r="1640" spans="2:13" ht="14.1" customHeight="1" x14ac:dyDescent="0.25">
      <c r="B1640" s="46" t="str">
        <f t="shared" si="25"/>
        <v>2101-11-303872</v>
      </c>
      <c r="C1640" s="47">
        <v>44200</v>
      </c>
      <c r="D1640" s="46">
        <v>11</v>
      </c>
      <c r="E1640" s="46">
        <v>10</v>
      </c>
      <c r="F1640" s="46">
        <v>303872</v>
      </c>
      <c r="G1640" s="48" t="s">
        <v>115</v>
      </c>
      <c r="H1640" s="47">
        <v>44215</v>
      </c>
      <c r="I1640" s="46">
        <v>51250</v>
      </c>
      <c r="J1640" s="46">
        <v>10</v>
      </c>
      <c r="K1640" s="47">
        <v>44218</v>
      </c>
      <c r="L1640" s="46">
        <v>10982</v>
      </c>
      <c r="M1640" s="46">
        <v>10</v>
      </c>
    </row>
    <row r="1641" spans="2:13" ht="14.1" customHeight="1" x14ac:dyDescent="0.25">
      <c r="B1641" s="46" t="str">
        <f t="shared" si="25"/>
        <v>2101-12-319725</v>
      </c>
      <c r="C1641" s="47">
        <v>44200</v>
      </c>
      <c r="D1641" s="46">
        <v>12</v>
      </c>
      <c r="E1641" s="46">
        <v>1</v>
      </c>
      <c r="F1641" s="46">
        <v>319725</v>
      </c>
      <c r="G1641" s="48" t="s">
        <v>1118</v>
      </c>
      <c r="H1641" s="47">
        <v>44209</v>
      </c>
      <c r="I1641" s="46">
        <v>51200</v>
      </c>
      <c r="J1641" s="46">
        <v>1</v>
      </c>
      <c r="K1641" s="47">
        <v>44222</v>
      </c>
      <c r="L1641" s="46">
        <v>11004</v>
      </c>
      <c r="M1641" s="46">
        <v>1</v>
      </c>
    </row>
    <row r="1642" spans="2:13" ht="14.1" customHeight="1" x14ac:dyDescent="0.25">
      <c r="B1642" s="46" t="str">
        <f t="shared" si="25"/>
        <v>2101-14-200421</v>
      </c>
      <c r="C1642" s="47">
        <v>44200</v>
      </c>
      <c r="D1642" s="46">
        <v>14</v>
      </c>
      <c r="E1642" s="46">
        <v>6</v>
      </c>
      <c r="F1642" s="46">
        <v>200421</v>
      </c>
      <c r="G1642" s="50" t="s">
        <v>1145</v>
      </c>
      <c r="H1642" s="47">
        <v>44203</v>
      </c>
      <c r="I1642" s="46">
        <v>51112</v>
      </c>
      <c r="J1642" s="46">
        <v>6</v>
      </c>
      <c r="K1642" s="47">
        <v>44204</v>
      </c>
      <c r="L1642" s="46">
        <v>10831</v>
      </c>
      <c r="M1642" s="46">
        <v>6</v>
      </c>
    </row>
    <row r="1643" spans="2:13" ht="14.1" customHeight="1" x14ac:dyDescent="0.25">
      <c r="B1643" s="46" t="str">
        <f t="shared" si="25"/>
        <v>2101-15-305761</v>
      </c>
      <c r="C1643" s="47">
        <v>44200</v>
      </c>
      <c r="D1643" s="46">
        <v>15</v>
      </c>
      <c r="E1643" s="46">
        <v>200</v>
      </c>
      <c r="F1643" s="46">
        <v>305761</v>
      </c>
      <c r="G1643" s="48" t="s">
        <v>700</v>
      </c>
      <c r="I1643" s="46">
        <v>0</v>
      </c>
      <c r="J1643" s="46">
        <v>0</v>
      </c>
      <c r="L1643" s="46">
        <v>0</v>
      </c>
      <c r="M1643" s="46">
        <v>0</v>
      </c>
    </row>
    <row r="1644" spans="2:13" ht="14.1" customHeight="1" x14ac:dyDescent="0.25">
      <c r="B1644" s="46" t="str">
        <f t="shared" si="25"/>
        <v>2101-15-314338</v>
      </c>
      <c r="C1644" s="47">
        <v>44200</v>
      </c>
      <c r="D1644" s="46">
        <v>15</v>
      </c>
      <c r="E1644" s="46">
        <v>20</v>
      </c>
      <c r="F1644" s="46">
        <v>314338</v>
      </c>
      <c r="G1644" s="48" t="s">
        <v>852</v>
      </c>
      <c r="I1644" s="46">
        <v>0</v>
      </c>
      <c r="J1644" s="46">
        <v>0</v>
      </c>
      <c r="L1644" s="46">
        <v>0</v>
      </c>
      <c r="M1644" s="46">
        <v>0</v>
      </c>
    </row>
    <row r="1645" spans="2:13" ht="14.1" customHeight="1" x14ac:dyDescent="0.25">
      <c r="B1645" s="46" t="str">
        <f t="shared" si="25"/>
        <v>2101-16-206336</v>
      </c>
      <c r="C1645" s="47">
        <v>44200</v>
      </c>
      <c r="D1645" s="46">
        <v>16</v>
      </c>
      <c r="E1645" s="46">
        <v>1</v>
      </c>
      <c r="F1645" s="46">
        <v>206336</v>
      </c>
      <c r="G1645" s="48" t="s">
        <v>1782</v>
      </c>
      <c r="I1645" s="46">
        <v>0</v>
      </c>
      <c r="J1645" s="46">
        <v>0</v>
      </c>
      <c r="L1645" s="46">
        <v>0</v>
      </c>
      <c r="M1645" s="46">
        <v>0</v>
      </c>
    </row>
    <row r="1646" spans="2:13" ht="14.1" customHeight="1" x14ac:dyDescent="0.25">
      <c r="B1646" s="46" t="str">
        <f t="shared" si="25"/>
        <v>2101-16-300908</v>
      </c>
      <c r="C1646" s="47">
        <v>44200</v>
      </c>
      <c r="D1646" s="46">
        <v>16</v>
      </c>
      <c r="E1646" s="46">
        <v>4</v>
      </c>
      <c r="F1646" s="46">
        <v>300908</v>
      </c>
      <c r="G1646" s="48" t="s">
        <v>1169</v>
      </c>
      <c r="I1646" s="46">
        <v>0</v>
      </c>
      <c r="J1646" s="46">
        <v>0</v>
      </c>
      <c r="L1646" s="46">
        <v>0</v>
      </c>
      <c r="M1646" s="46">
        <v>0</v>
      </c>
    </row>
    <row r="1647" spans="2:13" ht="14.1" customHeight="1" x14ac:dyDescent="0.25">
      <c r="B1647" s="46" t="str">
        <f t="shared" si="25"/>
        <v>2101-16-205343</v>
      </c>
      <c r="C1647" s="47">
        <v>44200</v>
      </c>
      <c r="D1647" s="46">
        <v>16</v>
      </c>
      <c r="E1647" s="46">
        <v>1</v>
      </c>
      <c r="F1647" s="46">
        <v>205343</v>
      </c>
      <c r="G1647" s="48" t="s">
        <v>558</v>
      </c>
      <c r="I1647" s="46">
        <v>0</v>
      </c>
      <c r="J1647" s="46">
        <v>0</v>
      </c>
      <c r="L1647" s="46">
        <v>0</v>
      </c>
      <c r="M1647" s="46">
        <v>0</v>
      </c>
    </row>
    <row r="1648" spans="2:13" ht="14.1" customHeight="1" x14ac:dyDescent="0.25">
      <c r="B1648" s="46" t="str">
        <f t="shared" si="25"/>
        <v>2101-17-106357</v>
      </c>
      <c r="C1648" s="47">
        <v>44200</v>
      </c>
      <c r="D1648" s="46">
        <v>17</v>
      </c>
      <c r="E1648" s="46">
        <v>1</v>
      </c>
      <c r="F1648" s="46">
        <v>106357</v>
      </c>
      <c r="G1648" s="48" t="s">
        <v>1170</v>
      </c>
      <c r="I1648" s="46">
        <v>0</v>
      </c>
      <c r="J1648" s="46">
        <v>0</v>
      </c>
      <c r="L1648" s="46">
        <v>0</v>
      </c>
      <c r="M1648" s="46">
        <v>0</v>
      </c>
    </row>
    <row r="1649" spans="2:13" ht="14.1" customHeight="1" x14ac:dyDescent="0.25">
      <c r="B1649" s="46" t="str">
        <f t="shared" si="25"/>
        <v>2101-18-106244</v>
      </c>
      <c r="C1649" s="47">
        <v>44200</v>
      </c>
      <c r="D1649" s="46">
        <v>18</v>
      </c>
      <c r="E1649" s="46">
        <v>4</v>
      </c>
      <c r="F1649" s="46">
        <v>106244</v>
      </c>
      <c r="G1649" s="48" t="s">
        <v>291</v>
      </c>
      <c r="H1649" s="47">
        <v>44200</v>
      </c>
      <c r="I1649" s="46">
        <v>51134</v>
      </c>
      <c r="J1649" s="46">
        <v>4</v>
      </c>
      <c r="K1649" s="47">
        <v>44202</v>
      </c>
      <c r="L1649" s="46">
        <v>10816</v>
      </c>
      <c r="M1649" s="46">
        <v>4</v>
      </c>
    </row>
    <row r="1650" spans="2:13" ht="14.1" customHeight="1" x14ac:dyDescent="0.25">
      <c r="B1650" s="46" t="str">
        <f t="shared" si="25"/>
        <v>2101-21-204166</v>
      </c>
      <c r="C1650" s="47">
        <v>44201</v>
      </c>
      <c r="D1650" s="46">
        <v>21</v>
      </c>
      <c r="E1650" s="46">
        <v>1</v>
      </c>
      <c r="F1650" s="46">
        <v>204166</v>
      </c>
      <c r="G1650" s="48" t="s">
        <v>1171</v>
      </c>
      <c r="I1650" s="46">
        <v>0</v>
      </c>
      <c r="J1650" s="46">
        <v>0</v>
      </c>
      <c r="L1650" s="46">
        <v>0</v>
      </c>
      <c r="M1650" s="46">
        <v>0</v>
      </c>
    </row>
    <row r="1651" spans="2:13" ht="14.1" customHeight="1" x14ac:dyDescent="0.25">
      <c r="B1651" s="46" t="str">
        <f t="shared" si="25"/>
        <v>2101-21-301139</v>
      </c>
      <c r="C1651" s="47">
        <v>44201</v>
      </c>
      <c r="D1651" s="46">
        <v>21</v>
      </c>
      <c r="E1651" s="46">
        <v>1</v>
      </c>
      <c r="F1651" s="46">
        <v>301139</v>
      </c>
      <c r="G1651" s="48" t="s">
        <v>1172</v>
      </c>
      <c r="I1651" s="46">
        <v>0</v>
      </c>
      <c r="J1651" s="46">
        <v>0</v>
      </c>
      <c r="L1651" s="46">
        <v>0</v>
      </c>
      <c r="M1651" s="46">
        <v>0</v>
      </c>
    </row>
    <row r="1652" spans="2:13" ht="14.1" customHeight="1" x14ac:dyDescent="0.25">
      <c r="B1652" s="46" t="str">
        <f t="shared" si="25"/>
        <v>2101-22-200751</v>
      </c>
      <c r="C1652" s="47">
        <v>44201</v>
      </c>
      <c r="D1652" s="46">
        <v>22</v>
      </c>
      <c r="E1652" s="46">
        <v>30000</v>
      </c>
      <c r="F1652" s="46">
        <v>200751</v>
      </c>
      <c r="G1652" s="48" t="s">
        <v>151</v>
      </c>
      <c r="H1652" s="47">
        <v>44214</v>
      </c>
      <c r="I1652" s="46">
        <v>51326</v>
      </c>
      <c r="J1652" s="46">
        <v>10000</v>
      </c>
      <c r="K1652" s="47">
        <v>44207</v>
      </c>
      <c r="L1652" s="46">
        <v>10840</v>
      </c>
      <c r="M1652" s="46">
        <v>10000</v>
      </c>
    </row>
    <row r="1653" spans="2:13" ht="14.1" customHeight="1" x14ac:dyDescent="0.25">
      <c r="B1653" s="46" t="str">
        <f t="shared" si="25"/>
        <v>2101-22-200751</v>
      </c>
      <c r="C1653" s="47">
        <v>44201</v>
      </c>
      <c r="D1653" s="46">
        <v>22</v>
      </c>
      <c r="E1653" s="46">
        <v>30000</v>
      </c>
      <c r="F1653" s="46">
        <v>200751</v>
      </c>
      <c r="G1653" s="48" t="s">
        <v>151</v>
      </c>
      <c r="H1653" s="47">
        <v>44214</v>
      </c>
      <c r="I1653" s="46">
        <v>51326</v>
      </c>
      <c r="J1653" s="46">
        <v>10000</v>
      </c>
      <c r="K1653" s="47">
        <v>44207</v>
      </c>
      <c r="L1653" s="46">
        <v>10839</v>
      </c>
      <c r="M1653" s="46">
        <v>10000</v>
      </c>
    </row>
    <row r="1654" spans="2:13" ht="14.1" customHeight="1" x14ac:dyDescent="0.25">
      <c r="B1654" s="46" t="str">
        <f t="shared" si="25"/>
        <v>2101-22-200751</v>
      </c>
      <c r="C1654" s="47">
        <v>44201</v>
      </c>
      <c r="D1654" s="46">
        <v>22</v>
      </c>
      <c r="E1654" s="46">
        <v>30000</v>
      </c>
      <c r="F1654" s="46">
        <v>200751</v>
      </c>
      <c r="G1654" s="48" t="s">
        <v>151</v>
      </c>
      <c r="H1654" s="47">
        <v>44214</v>
      </c>
      <c r="I1654" s="46">
        <v>51326</v>
      </c>
      <c r="J1654" s="46">
        <v>10000</v>
      </c>
      <c r="K1654" s="47">
        <v>44208</v>
      </c>
      <c r="L1654" s="46">
        <v>10852</v>
      </c>
      <c r="M1654" s="46">
        <v>10000</v>
      </c>
    </row>
    <row r="1655" spans="2:13" ht="14.1" customHeight="1" x14ac:dyDescent="0.25">
      <c r="B1655" s="46" t="str">
        <f t="shared" si="25"/>
        <v>2101-22-200751</v>
      </c>
      <c r="C1655" s="47">
        <v>44201</v>
      </c>
      <c r="D1655" s="46">
        <v>22</v>
      </c>
      <c r="E1655" s="46">
        <v>30000</v>
      </c>
      <c r="F1655" s="46">
        <v>200751</v>
      </c>
      <c r="G1655" s="48" t="s">
        <v>151</v>
      </c>
      <c r="H1655" s="47">
        <v>44215</v>
      </c>
      <c r="I1655" s="46">
        <v>51330</v>
      </c>
      <c r="J1655" s="46">
        <v>10000</v>
      </c>
      <c r="K1655" s="47">
        <v>44207</v>
      </c>
      <c r="L1655" s="46">
        <v>10840</v>
      </c>
      <c r="M1655" s="46">
        <v>10000</v>
      </c>
    </row>
    <row r="1656" spans="2:13" ht="14.1" customHeight="1" x14ac:dyDescent="0.25">
      <c r="B1656" s="46" t="str">
        <f t="shared" si="25"/>
        <v>2101-22-200751</v>
      </c>
      <c r="C1656" s="47">
        <v>44201</v>
      </c>
      <c r="D1656" s="46">
        <v>22</v>
      </c>
      <c r="E1656" s="46">
        <v>30000</v>
      </c>
      <c r="F1656" s="46">
        <v>200751</v>
      </c>
      <c r="G1656" s="48" t="s">
        <v>151</v>
      </c>
      <c r="H1656" s="47">
        <v>44215</v>
      </c>
      <c r="I1656" s="46">
        <v>51330</v>
      </c>
      <c r="J1656" s="46">
        <v>10000</v>
      </c>
      <c r="K1656" s="47">
        <v>44207</v>
      </c>
      <c r="L1656" s="46">
        <v>10839</v>
      </c>
      <c r="M1656" s="46">
        <v>10000</v>
      </c>
    </row>
    <row r="1657" spans="2:13" ht="14.1" customHeight="1" x14ac:dyDescent="0.25">
      <c r="B1657" s="46" t="str">
        <f t="shared" si="25"/>
        <v>2101-22-200751</v>
      </c>
      <c r="C1657" s="47">
        <v>44201</v>
      </c>
      <c r="D1657" s="46">
        <v>22</v>
      </c>
      <c r="E1657" s="46">
        <v>30000</v>
      </c>
      <c r="F1657" s="46">
        <v>200751</v>
      </c>
      <c r="G1657" s="48" t="s">
        <v>151</v>
      </c>
      <c r="H1657" s="47">
        <v>44215</v>
      </c>
      <c r="I1657" s="46">
        <v>51330</v>
      </c>
      <c r="J1657" s="46">
        <v>10000</v>
      </c>
      <c r="K1657" s="47">
        <v>44208</v>
      </c>
      <c r="L1657" s="46">
        <v>10852</v>
      </c>
      <c r="M1657" s="46">
        <v>10000</v>
      </c>
    </row>
    <row r="1658" spans="2:13" ht="14.1" customHeight="1" x14ac:dyDescent="0.25">
      <c r="B1658" s="46" t="str">
        <f t="shared" si="25"/>
        <v>2101-22-200751</v>
      </c>
      <c r="C1658" s="47">
        <v>44201</v>
      </c>
      <c r="D1658" s="46">
        <v>22</v>
      </c>
      <c r="E1658" s="46">
        <v>30000</v>
      </c>
      <c r="F1658" s="46">
        <v>200751</v>
      </c>
      <c r="G1658" s="48" t="s">
        <v>151</v>
      </c>
      <c r="H1658" s="47">
        <v>44217</v>
      </c>
      <c r="I1658" s="46">
        <v>51328</v>
      </c>
      <c r="J1658" s="46">
        <v>10000</v>
      </c>
      <c r="K1658" s="47">
        <v>44207</v>
      </c>
      <c r="L1658" s="46">
        <v>10840</v>
      </c>
      <c r="M1658" s="46">
        <v>10000</v>
      </c>
    </row>
    <row r="1659" spans="2:13" ht="14.1" customHeight="1" x14ac:dyDescent="0.25">
      <c r="B1659" s="46" t="str">
        <f t="shared" si="25"/>
        <v>2101-22-200751</v>
      </c>
      <c r="C1659" s="47">
        <v>44201</v>
      </c>
      <c r="D1659" s="46">
        <v>22</v>
      </c>
      <c r="E1659" s="46">
        <v>30000</v>
      </c>
      <c r="F1659" s="46">
        <v>200751</v>
      </c>
      <c r="G1659" s="48" t="s">
        <v>151</v>
      </c>
      <c r="H1659" s="47">
        <v>44217</v>
      </c>
      <c r="I1659" s="46">
        <v>51328</v>
      </c>
      <c r="J1659" s="46">
        <v>10000</v>
      </c>
      <c r="K1659" s="47">
        <v>44207</v>
      </c>
      <c r="L1659" s="46">
        <v>10839</v>
      </c>
      <c r="M1659" s="46">
        <v>10000</v>
      </c>
    </row>
    <row r="1660" spans="2:13" ht="14.1" customHeight="1" x14ac:dyDescent="0.25">
      <c r="B1660" s="46" t="str">
        <f t="shared" si="25"/>
        <v>2101-22-200751</v>
      </c>
      <c r="C1660" s="47">
        <v>44201</v>
      </c>
      <c r="D1660" s="46">
        <v>22</v>
      </c>
      <c r="E1660" s="46">
        <v>30000</v>
      </c>
      <c r="F1660" s="46">
        <v>200751</v>
      </c>
      <c r="G1660" s="48" t="s">
        <v>151</v>
      </c>
      <c r="H1660" s="47">
        <v>44217</v>
      </c>
      <c r="I1660" s="46">
        <v>51328</v>
      </c>
      <c r="J1660" s="46">
        <v>10000</v>
      </c>
      <c r="K1660" s="47">
        <v>44208</v>
      </c>
      <c r="L1660" s="46">
        <v>10852</v>
      </c>
      <c r="M1660" s="46">
        <v>10000</v>
      </c>
    </row>
    <row r="1661" spans="2:13" ht="14.1" customHeight="1" x14ac:dyDescent="0.25">
      <c r="B1661" s="46" t="str">
        <f t="shared" si="25"/>
        <v>2101-23-320583</v>
      </c>
      <c r="C1661" s="47">
        <v>44201</v>
      </c>
      <c r="D1661" s="46">
        <v>23</v>
      </c>
      <c r="E1661" s="46">
        <v>2</v>
      </c>
      <c r="F1661" s="46">
        <v>320583</v>
      </c>
      <c r="G1661" s="48" t="s">
        <v>1190</v>
      </c>
      <c r="H1661" s="47">
        <v>44203</v>
      </c>
      <c r="I1661" s="46">
        <v>51111</v>
      </c>
      <c r="J1661" s="46">
        <v>2</v>
      </c>
      <c r="K1661" s="47">
        <v>44231</v>
      </c>
      <c r="L1661" s="46">
        <v>11103</v>
      </c>
      <c r="M1661" s="46">
        <v>2</v>
      </c>
    </row>
    <row r="1662" spans="2:13" ht="14.1" customHeight="1" x14ac:dyDescent="0.25">
      <c r="B1662" s="46" t="str">
        <f t="shared" si="25"/>
        <v>2101-23-320566</v>
      </c>
      <c r="C1662" s="47">
        <v>44201</v>
      </c>
      <c r="D1662" s="46">
        <v>23</v>
      </c>
      <c r="E1662" s="46">
        <v>4</v>
      </c>
      <c r="F1662" s="46">
        <v>320566</v>
      </c>
      <c r="G1662" s="48" t="s">
        <v>1173</v>
      </c>
      <c r="H1662" s="47">
        <v>44203</v>
      </c>
      <c r="I1662" s="46">
        <v>51111</v>
      </c>
      <c r="J1662" s="46">
        <v>4</v>
      </c>
      <c r="K1662" s="47">
        <v>44231</v>
      </c>
      <c r="L1662" s="46">
        <v>11103</v>
      </c>
      <c r="M1662" s="46">
        <v>4</v>
      </c>
    </row>
    <row r="1663" spans="2:13" ht="14.1" customHeight="1" x14ac:dyDescent="0.25">
      <c r="B1663" s="46" t="str">
        <f t="shared" si="25"/>
        <v>2101-23-320570</v>
      </c>
      <c r="C1663" s="47">
        <v>44201</v>
      </c>
      <c r="D1663" s="46">
        <v>23</v>
      </c>
      <c r="E1663" s="46">
        <v>1</v>
      </c>
      <c r="F1663" s="46">
        <v>320570</v>
      </c>
      <c r="G1663" s="48" t="s">
        <v>1177</v>
      </c>
      <c r="H1663" s="47">
        <v>44203</v>
      </c>
      <c r="I1663" s="46">
        <v>51111</v>
      </c>
      <c r="J1663" s="46">
        <v>1</v>
      </c>
      <c r="K1663" s="47">
        <v>44231</v>
      </c>
      <c r="L1663" s="46">
        <v>11103</v>
      </c>
      <c r="M1663" s="46">
        <v>1</v>
      </c>
    </row>
    <row r="1664" spans="2:13" ht="14.1" customHeight="1" x14ac:dyDescent="0.25">
      <c r="B1664" s="46" t="str">
        <f t="shared" si="25"/>
        <v>2101-23-320581</v>
      </c>
      <c r="C1664" s="47">
        <v>44201</v>
      </c>
      <c r="D1664" s="46">
        <v>23</v>
      </c>
      <c r="E1664" s="46">
        <v>1</v>
      </c>
      <c r="F1664" s="46">
        <v>320581</v>
      </c>
      <c r="G1664" s="48" t="s">
        <v>1188</v>
      </c>
      <c r="H1664" s="47">
        <v>44203</v>
      </c>
      <c r="I1664" s="46">
        <v>51111</v>
      </c>
      <c r="J1664" s="46">
        <v>1</v>
      </c>
      <c r="K1664" s="47">
        <v>44231</v>
      </c>
      <c r="L1664" s="46">
        <v>11103</v>
      </c>
      <c r="M1664" s="46">
        <v>1</v>
      </c>
    </row>
    <row r="1665" spans="2:13" ht="14.1" customHeight="1" x14ac:dyDescent="0.25">
      <c r="B1665" s="46" t="str">
        <f t="shared" si="25"/>
        <v>2101-23-320584</v>
      </c>
      <c r="C1665" s="47">
        <v>44201</v>
      </c>
      <c r="D1665" s="46">
        <v>23</v>
      </c>
      <c r="E1665" s="46">
        <v>1</v>
      </c>
      <c r="F1665" s="46">
        <v>320584</v>
      </c>
      <c r="G1665" s="48" t="s">
        <v>1191</v>
      </c>
      <c r="H1665" s="47">
        <v>44203</v>
      </c>
      <c r="I1665" s="46">
        <v>51111</v>
      </c>
      <c r="J1665" s="46">
        <v>1</v>
      </c>
      <c r="K1665" s="47">
        <v>44231</v>
      </c>
      <c r="L1665" s="46">
        <v>11103</v>
      </c>
      <c r="M1665" s="46">
        <v>1</v>
      </c>
    </row>
    <row r="1666" spans="2:13" ht="14.1" customHeight="1" x14ac:dyDescent="0.25">
      <c r="B1666" s="46" t="str">
        <f t="shared" si="25"/>
        <v>2101-23-320567</v>
      </c>
      <c r="C1666" s="47">
        <v>44201</v>
      </c>
      <c r="D1666" s="46">
        <v>23</v>
      </c>
      <c r="E1666" s="46">
        <v>1</v>
      </c>
      <c r="F1666" s="46">
        <v>320567</v>
      </c>
      <c r="G1666" s="48" t="s">
        <v>1174</v>
      </c>
      <c r="H1666" s="47">
        <v>44203</v>
      </c>
      <c r="I1666" s="46">
        <v>51111</v>
      </c>
      <c r="J1666" s="46">
        <v>1</v>
      </c>
      <c r="K1666" s="47">
        <v>44231</v>
      </c>
      <c r="L1666" s="46">
        <v>11103</v>
      </c>
      <c r="M1666" s="46">
        <v>1</v>
      </c>
    </row>
    <row r="1667" spans="2:13" ht="14.1" customHeight="1" x14ac:dyDescent="0.25">
      <c r="B1667" s="46" t="str">
        <f t="shared" si="25"/>
        <v>2101-23-320577</v>
      </c>
      <c r="C1667" s="47">
        <v>44201</v>
      </c>
      <c r="D1667" s="46">
        <v>23</v>
      </c>
      <c r="E1667" s="46">
        <v>1</v>
      </c>
      <c r="F1667" s="46">
        <v>320577</v>
      </c>
      <c r="G1667" s="48" t="s">
        <v>1184</v>
      </c>
      <c r="H1667" s="47">
        <v>44203</v>
      </c>
      <c r="I1667" s="46">
        <v>51111</v>
      </c>
      <c r="J1667" s="46">
        <v>1</v>
      </c>
      <c r="K1667" s="47">
        <v>44231</v>
      </c>
      <c r="L1667" s="46">
        <v>11103</v>
      </c>
      <c r="M1667" s="46">
        <v>1</v>
      </c>
    </row>
    <row r="1668" spans="2:13" ht="14.1" customHeight="1" x14ac:dyDescent="0.25">
      <c r="B1668" s="46" t="str">
        <f t="shared" si="25"/>
        <v>2101-23-320575</v>
      </c>
      <c r="C1668" s="47">
        <v>44201</v>
      </c>
      <c r="D1668" s="46">
        <v>23</v>
      </c>
      <c r="E1668" s="46">
        <v>2</v>
      </c>
      <c r="F1668" s="46">
        <v>320575</v>
      </c>
      <c r="G1668" s="48" t="s">
        <v>1182</v>
      </c>
      <c r="H1668" s="47">
        <v>44203</v>
      </c>
      <c r="I1668" s="46">
        <v>51111</v>
      </c>
      <c r="J1668" s="46">
        <v>2</v>
      </c>
      <c r="K1668" s="47">
        <v>44231</v>
      </c>
      <c r="L1668" s="46">
        <v>11103</v>
      </c>
      <c r="M1668" s="46">
        <v>2</v>
      </c>
    </row>
    <row r="1669" spans="2:13" ht="14.1" customHeight="1" x14ac:dyDescent="0.25">
      <c r="B1669" s="46" t="str">
        <f t="shared" si="25"/>
        <v>2101-23-320580</v>
      </c>
      <c r="C1669" s="47">
        <v>44201</v>
      </c>
      <c r="D1669" s="46">
        <v>23</v>
      </c>
      <c r="E1669" s="46">
        <v>2</v>
      </c>
      <c r="F1669" s="46">
        <v>320580</v>
      </c>
      <c r="G1669" s="48" t="s">
        <v>1187</v>
      </c>
      <c r="H1669" s="47">
        <v>44203</v>
      </c>
      <c r="I1669" s="46">
        <v>51111</v>
      </c>
      <c r="J1669" s="46">
        <v>2</v>
      </c>
      <c r="K1669" s="47">
        <v>44231</v>
      </c>
      <c r="L1669" s="46">
        <v>11103</v>
      </c>
      <c r="M1669" s="46">
        <v>2</v>
      </c>
    </row>
    <row r="1670" spans="2:13" ht="14.1" customHeight="1" x14ac:dyDescent="0.25">
      <c r="B1670" s="46" t="str">
        <f t="shared" si="25"/>
        <v>2101-23-320572</v>
      </c>
      <c r="C1670" s="47">
        <v>44201</v>
      </c>
      <c r="D1670" s="46">
        <v>23</v>
      </c>
      <c r="E1670" s="46">
        <v>1</v>
      </c>
      <c r="F1670" s="46">
        <v>320572</v>
      </c>
      <c r="G1670" s="48" t="s">
        <v>1179</v>
      </c>
      <c r="H1670" s="47">
        <v>44203</v>
      </c>
      <c r="I1670" s="46">
        <v>51111</v>
      </c>
      <c r="J1670" s="46">
        <v>1</v>
      </c>
      <c r="K1670" s="47">
        <v>44231</v>
      </c>
      <c r="L1670" s="46">
        <v>11103</v>
      </c>
      <c r="M1670" s="46">
        <v>1</v>
      </c>
    </row>
    <row r="1671" spans="2:13" ht="14.1" customHeight="1" x14ac:dyDescent="0.25">
      <c r="B1671" s="46" t="str">
        <f t="shared" si="25"/>
        <v>2101-23-320576</v>
      </c>
      <c r="C1671" s="47">
        <v>44201</v>
      </c>
      <c r="D1671" s="46">
        <v>23</v>
      </c>
      <c r="E1671" s="46">
        <v>3</v>
      </c>
      <c r="F1671" s="46">
        <v>320576</v>
      </c>
      <c r="G1671" s="48" t="s">
        <v>1183</v>
      </c>
      <c r="H1671" s="47">
        <v>44203</v>
      </c>
      <c r="I1671" s="46">
        <v>51111</v>
      </c>
      <c r="J1671" s="46">
        <v>3</v>
      </c>
      <c r="K1671" s="47">
        <v>44231</v>
      </c>
      <c r="L1671" s="46">
        <v>11103</v>
      </c>
      <c r="M1671" s="46">
        <v>3</v>
      </c>
    </row>
    <row r="1672" spans="2:13" ht="14.1" customHeight="1" x14ac:dyDescent="0.25">
      <c r="B1672" s="46" t="str">
        <f t="shared" si="25"/>
        <v>2101-23-320582</v>
      </c>
      <c r="C1672" s="47">
        <v>44201</v>
      </c>
      <c r="D1672" s="46">
        <v>23</v>
      </c>
      <c r="E1672" s="46">
        <v>1</v>
      </c>
      <c r="F1672" s="46">
        <v>320582</v>
      </c>
      <c r="G1672" s="48" t="s">
        <v>1189</v>
      </c>
      <c r="H1672" s="47">
        <v>44203</v>
      </c>
      <c r="I1672" s="46">
        <v>51111</v>
      </c>
      <c r="J1672" s="46">
        <v>1</v>
      </c>
      <c r="K1672" s="47">
        <v>44231</v>
      </c>
      <c r="L1672" s="46">
        <v>11103</v>
      </c>
      <c r="M1672" s="46">
        <v>1</v>
      </c>
    </row>
    <row r="1673" spans="2:13" ht="14.1" customHeight="1" x14ac:dyDescent="0.25">
      <c r="B1673" s="46" t="str">
        <f t="shared" si="25"/>
        <v>2101-23-320574</v>
      </c>
      <c r="C1673" s="47">
        <v>44201</v>
      </c>
      <c r="D1673" s="46">
        <v>23</v>
      </c>
      <c r="E1673" s="46">
        <v>3</v>
      </c>
      <c r="F1673" s="46">
        <v>320574</v>
      </c>
      <c r="G1673" s="48" t="s">
        <v>1181</v>
      </c>
      <c r="H1673" s="47">
        <v>44203</v>
      </c>
      <c r="I1673" s="46">
        <v>51111</v>
      </c>
      <c r="J1673" s="46">
        <v>3</v>
      </c>
      <c r="K1673" s="47">
        <v>44231</v>
      </c>
      <c r="L1673" s="46">
        <v>11103</v>
      </c>
      <c r="M1673" s="46">
        <v>3</v>
      </c>
    </row>
    <row r="1674" spans="2:13" ht="14.1" customHeight="1" x14ac:dyDescent="0.25">
      <c r="B1674" s="46" t="str">
        <f t="shared" si="25"/>
        <v>2101-23-320573</v>
      </c>
      <c r="C1674" s="47">
        <v>44201</v>
      </c>
      <c r="D1674" s="46">
        <v>23</v>
      </c>
      <c r="E1674" s="46">
        <v>2</v>
      </c>
      <c r="F1674" s="46">
        <v>320573</v>
      </c>
      <c r="G1674" s="48" t="s">
        <v>1180</v>
      </c>
      <c r="H1674" s="47">
        <v>44203</v>
      </c>
      <c r="I1674" s="46">
        <v>51111</v>
      </c>
      <c r="J1674" s="46">
        <v>2</v>
      </c>
      <c r="K1674" s="47">
        <v>44231</v>
      </c>
      <c r="L1674" s="46">
        <v>11103</v>
      </c>
      <c r="M1674" s="46">
        <v>2</v>
      </c>
    </row>
    <row r="1675" spans="2:13" ht="14.1" customHeight="1" x14ac:dyDescent="0.25">
      <c r="B1675" s="46" t="str">
        <f t="shared" si="25"/>
        <v>2101-23-320578</v>
      </c>
      <c r="C1675" s="47">
        <v>44201</v>
      </c>
      <c r="D1675" s="46">
        <v>23</v>
      </c>
      <c r="E1675" s="46">
        <v>1</v>
      </c>
      <c r="F1675" s="46">
        <v>320578</v>
      </c>
      <c r="G1675" s="48" t="s">
        <v>1185</v>
      </c>
      <c r="H1675" s="47">
        <v>44203</v>
      </c>
      <c r="I1675" s="46">
        <v>51111</v>
      </c>
      <c r="J1675" s="46">
        <v>1</v>
      </c>
      <c r="K1675" s="47">
        <v>44231</v>
      </c>
      <c r="L1675" s="46">
        <v>11103</v>
      </c>
      <c r="M1675" s="46">
        <v>1</v>
      </c>
    </row>
    <row r="1676" spans="2:13" ht="14.1" customHeight="1" x14ac:dyDescent="0.25">
      <c r="B1676" s="46" t="str">
        <f t="shared" ref="B1676:B1739" si="26">TEXT(C1676,"yy") &amp; TEXT(C1676,"mm") &amp;"-"&amp;(D1676) &amp;"-"&amp;(F1676)</f>
        <v>2101-23-320568</v>
      </c>
      <c r="C1676" s="47">
        <v>44201</v>
      </c>
      <c r="D1676" s="46">
        <v>23</v>
      </c>
      <c r="E1676" s="46">
        <v>1</v>
      </c>
      <c r="F1676" s="46">
        <v>320568</v>
      </c>
      <c r="G1676" s="48" t="s">
        <v>1175</v>
      </c>
      <c r="H1676" s="47">
        <v>44203</v>
      </c>
      <c r="I1676" s="46">
        <v>51111</v>
      </c>
      <c r="J1676" s="46">
        <v>1</v>
      </c>
      <c r="K1676" s="47">
        <v>44231</v>
      </c>
      <c r="L1676" s="46">
        <v>11103</v>
      </c>
      <c r="M1676" s="46">
        <v>1</v>
      </c>
    </row>
    <row r="1677" spans="2:13" ht="14.1" customHeight="1" x14ac:dyDescent="0.25">
      <c r="B1677" s="46" t="str">
        <f t="shared" si="26"/>
        <v>2101-23-320579</v>
      </c>
      <c r="C1677" s="47">
        <v>44201</v>
      </c>
      <c r="D1677" s="46">
        <v>23</v>
      </c>
      <c r="E1677" s="46">
        <v>1</v>
      </c>
      <c r="F1677" s="46">
        <v>320579</v>
      </c>
      <c r="G1677" s="48" t="s">
        <v>1186</v>
      </c>
      <c r="H1677" s="47">
        <v>44203</v>
      </c>
      <c r="I1677" s="46">
        <v>51111</v>
      </c>
      <c r="J1677" s="46">
        <v>1</v>
      </c>
      <c r="K1677" s="47">
        <v>44231</v>
      </c>
      <c r="L1677" s="46">
        <v>11103</v>
      </c>
      <c r="M1677" s="46">
        <v>1</v>
      </c>
    </row>
    <row r="1678" spans="2:13" ht="14.1" customHeight="1" x14ac:dyDescent="0.25">
      <c r="B1678" s="46" t="str">
        <f t="shared" si="26"/>
        <v>2101-23-320569</v>
      </c>
      <c r="C1678" s="47">
        <v>44201</v>
      </c>
      <c r="D1678" s="46">
        <v>23</v>
      </c>
      <c r="E1678" s="46">
        <v>1</v>
      </c>
      <c r="F1678" s="46">
        <v>320569</v>
      </c>
      <c r="G1678" s="48" t="s">
        <v>1176</v>
      </c>
      <c r="H1678" s="47">
        <v>44203</v>
      </c>
      <c r="I1678" s="46">
        <v>51111</v>
      </c>
      <c r="J1678" s="46">
        <v>1</v>
      </c>
      <c r="K1678" s="47">
        <v>44231</v>
      </c>
      <c r="L1678" s="46">
        <v>11103</v>
      </c>
      <c r="M1678" s="46">
        <v>1</v>
      </c>
    </row>
    <row r="1679" spans="2:13" ht="14.1" customHeight="1" x14ac:dyDescent="0.25">
      <c r="B1679" s="46" t="str">
        <f t="shared" si="26"/>
        <v>2101-23-320571</v>
      </c>
      <c r="C1679" s="47">
        <v>44201</v>
      </c>
      <c r="D1679" s="46">
        <v>23</v>
      </c>
      <c r="E1679" s="46">
        <v>1</v>
      </c>
      <c r="F1679" s="46">
        <v>320571</v>
      </c>
      <c r="G1679" s="48" t="s">
        <v>1178</v>
      </c>
      <c r="H1679" s="47">
        <v>44203</v>
      </c>
      <c r="I1679" s="46">
        <v>51111</v>
      </c>
      <c r="J1679" s="46">
        <v>1</v>
      </c>
      <c r="K1679" s="47">
        <v>44231</v>
      </c>
      <c r="L1679" s="46">
        <v>11103</v>
      </c>
      <c r="M1679" s="46">
        <v>1</v>
      </c>
    </row>
    <row r="1680" spans="2:13" ht="14.1" customHeight="1" x14ac:dyDescent="0.25">
      <c r="B1680" s="46" t="str">
        <f t="shared" si="26"/>
        <v>2101-24-205958</v>
      </c>
      <c r="C1680" s="47">
        <v>44201</v>
      </c>
      <c r="D1680" s="46">
        <v>24</v>
      </c>
      <c r="E1680" s="46">
        <v>2</v>
      </c>
      <c r="F1680" s="46">
        <v>205958</v>
      </c>
      <c r="G1680" s="48" t="s">
        <v>122</v>
      </c>
      <c r="I1680" s="46">
        <v>0</v>
      </c>
      <c r="J1680" s="46">
        <v>0</v>
      </c>
      <c r="L1680" s="46">
        <v>0</v>
      </c>
      <c r="M1680" s="46">
        <v>0</v>
      </c>
    </row>
    <row r="1681" spans="2:13" ht="14.1" customHeight="1" x14ac:dyDescent="0.25">
      <c r="B1681" s="46" t="str">
        <f t="shared" si="26"/>
        <v>2101-24-310223</v>
      </c>
      <c r="C1681" s="47">
        <v>44201</v>
      </c>
      <c r="D1681" s="46">
        <v>24</v>
      </c>
      <c r="E1681" s="46">
        <v>6</v>
      </c>
      <c r="F1681" s="46">
        <v>310223</v>
      </c>
      <c r="G1681" s="48" t="s">
        <v>1193</v>
      </c>
      <c r="I1681" s="46">
        <v>0</v>
      </c>
      <c r="J1681" s="46">
        <v>0</v>
      </c>
      <c r="L1681" s="46">
        <v>0</v>
      </c>
      <c r="M1681" s="46">
        <v>0</v>
      </c>
    </row>
    <row r="1682" spans="2:13" ht="14.1" customHeight="1" x14ac:dyDescent="0.25">
      <c r="B1682" s="46" t="str">
        <f t="shared" si="26"/>
        <v>2101-24-312981</v>
      </c>
      <c r="C1682" s="47">
        <v>44201</v>
      </c>
      <c r="D1682" s="46">
        <v>24</v>
      </c>
      <c r="E1682" s="46">
        <v>4</v>
      </c>
      <c r="F1682" s="46">
        <v>312981</v>
      </c>
      <c r="G1682" s="48" t="s">
        <v>1192</v>
      </c>
      <c r="I1682" s="46">
        <v>0</v>
      </c>
      <c r="J1682" s="46">
        <v>0</v>
      </c>
      <c r="L1682" s="46">
        <v>0</v>
      </c>
      <c r="M1682" s="46">
        <v>0</v>
      </c>
    </row>
    <row r="1683" spans="2:13" ht="14.1" customHeight="1" x14ac:dyDescent="0.25">
      <c r="B1683" s="46" t="str">
        <f t="shared" si="26"/>
        <v>2101-24-306465</v>
      </c>
      <c r="C1683" s="47">
        <v>44201</v>
      </c>
      <c r="D1683" s="46">
        <v>24</v>
      </c>
      <c r="E1683" s="46">
        <v>3</v>
      </c>
      <c r="F1683" s="46">
        <v>306465</v>
      </c>
      <c r="G1683" s="48" t="s">
        <v>1194</v>
      </c>
      <c r="I1683" s="46">
        <v>0</v>
      </c>
      <c r="J1683" s="46">
        <v>0</v>
      </c>
      <c r="L1683" s="46">
        <v>0</v>
      </c>
      <c r="M1683" s="46">
        <v>0</v>
      </c>
    </row>
    <row r="1684" spans="2:13" ht="14.1" customHeight="1" x14ac:dyDescent="0.25">
      <c r="B1684" s="46" t="str">
        <f t="shared" si="26"/>
        <v>2101-24-301877</v>
      </c>
      <c r="C1684" s="47">
        <v>44201</v>
      </c>
      <c r="D1684" s="46">
        <v>24</v>
      </c>
      <c r="E1684" s="46">
        <v>6</v>
      </c>
      <c r="F1684" s="46">
        <v>301877</v>
      </c>
      <c r="G1684" s="48" t="s">
        <v>1195</v>
      </c>
      <c r="I1684" s="46">
        <v>0</v>
      </c>
      <c r="J1684" s="46">
        <v>0</v>
      </c>
      <c r="L1684" s="46">
        <v>0</v>
      </c>
      <c r="M1684" s="46">
        <v>0</v>
      </c>
    </row>
    <row r="1685" spans="2:13" ht="14.1" customHeight="1" x14ac:dyDescent="0.25">
      <c r="B1685" s="46" t="str">
        <f t="shared" si="26"/>
        <v>2101-25-300460</v>
      </c>
      <c r="C1685" s="47">
        <v>44201</v>
      </c>
      <c r="D1685" s="46">
        <v>25</v>
      </c>
      <c r="E1685" s="46">
        <v>3</v>
      </c>
      <c r="F1685" s="46">
        <v>300460</v>
      </c>
      <c r="G1685" s="48" t="s">
        <v>600</v>
      </c>
      <c r="H1685" s="47">
        <v>44217</v>
      </c>
      <c r="I1685" s="46">
        <v>51299</v>
      </c>
      <c r="J1685" s="46">
        <v>3</v>
      </c>
      <c r="K1685" s="47">
        <v>44222</v>
      </c>
      <c r="L1685" s="46">
        <v>11002</v>
      </c>
      <c r="M1685" s="46">
        <v>3</v>
      </c>
    </row>
    <row r="1686" spans="2:13" ht="14.1" customHeight="1" x14ac:dyDescent="0.25">
      <c r="B1686" s="46" t="str">
        <f t="shared" si="26"/>
        <v>2101-25-303499</v>
      </c>
      <c r="C1686" s="47">
        <v>44201</v>
      </c>
      <c r="D1686" s="46">
        <v>25</v>
      </c>
      <c r="E1686" s="46">
        <v>1</v>
      </c>
      <c r="F1686" s="46">
        <v>303499</v>
      </c>
      <c r="G1686" s="48" t="s">
        <v>1196</v>
      </c>
      <c r="H1686" s="47">
        <v>44217</v>
      </c>
      <c r="I1686" s="46">
        <v>51299</v>
      </c>
      <c r="J1686" s="46">
        <v>1</v>
      </c>
      <c r="K1686" s="47">
        <v>44222</v>
      </c>
      <c r="L1686" s="46">
        <v>11002</v>
      </c>
      <c r="M1686" s="46">
        <v>1</v>
      </c>
    </row>
    <row r="1687" spans="2:13" ht="14.1" customHeight="1" x14ac:dyDescent="0.25">
      <c r="B1687" s="46" t="str">
        <f t="shared" si="26"/>
        <v>2101-25-304731</v>
      </c>
      <c r="C1687" s="47">
        <v>44201</v>
      </c>
      <c r="D1687" s="46">
        <v>25</v>
      </c>
      <c r="E1687" s="46">
        <v>1</v>
      </c>
      <c r="F1687" s="46">
        <v>304731</v>
      </c>
      <c r="G1687" s="48" t="s">
        <v>1197</v>
      </c>
      <c r="H1687" s="47">
        <v>44217</v>
      </c>
      <c r="I1687" s="46">
        <v>51299</v>
      </c>
      <c r="J1687" s="46">
        <v>1</v>
      </c>
      <c r="K1687" s="47">
        <v>44222</v>
      </c>
      <c r="L1687" s="46">
        <v>11002</v>
      </c>
      <c r="M1687" s="46">
        <v>1</v>
      </c>
    </row>
    <row r="1688" spans="2:13" ht="14.1" customHeight="1" x14ac:dyDescent="0.25">
      <c r="B1688" s="46" t="str">
        <f t="shared" si="26"/>
        <v>2101-26-105055</v>
      </c>
      <c r="C1688" s="47">
        <v>44201</v>
      </c>
      <c r="D1688" s="46">
        <v>26</v>
      </c>
      <c r="E1688" s="46">
        <v>8</v>
      </c>
      <c r="F1688" s="46">
        <v>105055</v>
      </c>
      <c r="G1688" s="48" t="s">
        <v>1722</v>
      </c>
      <c r="H1688" s="47">
        <v>44214</v>
      </c>
      <c r="I1688" s="46">
        <v>51225</v>
      </c>
      <c r="J1688" s="46">
        <v>8</v>
      </c>
      <c r="K1688" s="47">
        <v>44231</v>
      </c>
      <c r="L1688" s="46">
        <v>11111</v>
      </c>
      <c r="M1688" s="46">
        <v>8</v>
      </c>
    </row>
    <row r="1689" spans="2:13" ht="14.1" customHeight="1" x14ac:dyDescent="0.25">
      <c r="B1689" s="46" t="str">
        <f t="shared" si="26"/>
        <v>2101-26-205834</v>
      </c>
      <c r="C1689" s="47">
        <v>44201</v>
      </c>
      <c r="D1689" s="46">
        <v>26</v>
      </c>
      <c r="E1689" s="46">
        <v>4</v>
      </c>
      <c r="F1689" s="46">
        <v>205834</v>
      </c>
      <c r="G1689" s="48" t="s">
        <v>1198</v>
      </c>
      <c r="H1689" s="47">
        <v>44214</v>
      </c>
      <c r="I1689" s="46">
        <v>51227</v>
      </c>
      <c r="J1689" s="46">
        <v>4</v>
      </c>
      <c r="K1689" s="47">
        <v>44246</v>
      </c>
      <c r="L1689" s="46">
        <v>11267</v>
      </c>
      <c r="M1689" s="46">
        <v>3</v>
      </c>
    </row>
    <row r="1690" spans="2:13" ht="14.1" customHeight="1" x14ac:dyDescent="0.25">
      <c r="B1690" s="46" t="str">
        <f t="shared" si="26"/>
        <v>2101-26-205834</v>
      </c>
      <c r="C1690" s="47">
        <v>44201</v>
      </c>
      <c r="D1690" s="46">
        <v>26</v>
      </c>
      <c r="E1690" s="46">
        <v>4</v>
      </c>
      <c r="F1690" s="46">
        <v>205834</v>
      </c>
      <c r="G1690" s="48" t="s">
        <v>1198</v>
      </c>
      <c r="H1690" s="47">
        <v>44214</v>
      </c>
      <c r="I1690" s="46">
        <v>51227</v>
      </c>
      <c r="J1690" s="46">
        <v>4</v>
      </c>
      <c r="K1690" s="47">
        <v>44249</v>
      </c>
      <c r="L1690" s="46">
        <v>11275</v>
      </c>
      <c r="M1690" s="46">
        <v>1</v>
      </c>
    </row>
    <row r="1691" spans="2:13" ht="14.1" customHeight="1" x14ac:dyDescent="0.25">
      <c r="B1691" s="46" t="str">
        <f t="shared" si="26"/>
        <v>2101-26-320037</v>
      </c>
      <c r="C1691" s="47">
        <v>44201</v>
      </c>
      <c r="D1691" s="46">
        <v>26</v>
      </c>
      <c r="E1691" s="46">
        <v>6</v>
      </c>
      <c r="F1691" s="46">
        <v>320037</v>
      </c>
      <c r="G1691" s="48" t="s">
        <v>1201</v>
      </c>
      <c r="H1691" s="47">
        <v>44214</v>
      </c>
      <c r="I1691" s="46">
        <v>51226</v>
      </c>
      <c r="J1691" s="46">
        <v>6</v>
      </c>
      <c r="K1691" s="47">
        <v>44239</v>
      </c>
      <c r="L1691" s="46">
        <v>11185</v>
      </c>
      <c r="M1691" s="46">
        <v>6</v>
      </c>
    </row>
    <row r="1692" spans="2:13" ht="14.1" customHeight="1" x14ac:dyDescent="0.25">
      <c r="B1692" s="46" t="str">
        <f t="shared" si="26"/>
        <v>2101-26-308071</v>
      </c>
      <c r="C1692" s="47">
        <v>44201</v>
      </c>
      <c r="D1692" s="46">
        <v>26</v>
      </c>
      <c r="E1692" s="46">
        <v>3</v>
      </c>
      <c r="F1692" s="46">
        <v>308071</v>
      </c>
      <c r="G1692" s="48" t="s">
        <v>1200</v>
      </c>
      <c r="H1692" s="47">
        <v>44214</v>
      </c>
      <c r="I1692" s="46">
        <v>51227</v>
      </c>
      <c r="J1692" s="46">
        <v>3</v>
      </c>
      <c r="K1692" s="47">
        <v>44246</v>
      </c>
      <c r="L1692" s="46">
        <v>11267</v>
      </c>
      <c r="M1692" s="46">
        <v>3</v>
      </c>
    </row>
    <row r="1693" spans="2:13" ht="14.1" customHeight="1" x14ac:dyDescent="0.25">
      <c r="B1693" s="46" t="str">
        <f t="shared" si="26"/>
        <v>2101-26-313137</v>
      </c>
      <c r="C1693" s="47">
        <v>44201</v>
      </c>
      <c r="D1693" s="46">
        <v>26</v>
      </c>
      <c r="E1693" s="46">
        <v>24</v>
      </c>
      <c r="F1693" s="46">
        <v>313137</v>
      </c>
      <c r="G1693" s="48" t="s">
        <v>1202</v>
      </c>
      <c r="H1693" s="47">
        <v>44214</v>
      </c>
      <c r="I1693" s="46">
        <v>51225</v>
      </c>
      <c r="J1693" s="46">
        <v>24</v>
      </c>
      <c r="K1693" s="47">
        <v>44231</v>
      </c>
      <c r="L1693" s="46">
        <v>11111</v>
      </c>
      <c r="M1693" s="46">
        <v>24</v>
      </c>
    </row>
    <row r="1694" spans="2:13" ht="14.1" customHeight="1" x14ac:dyDescent="0.25">
      <c r="B1694" s="46" t="str">
        <f t="shared" si="26"/>
        <v>2101-26-318939</v>
      </c>
      <c r="C1694" s="47">
        <v>44201</v>
      </c>
      <c r="D1694" s="46">
        <v>26</v>
      </c>
      <c r="E1694" s="46">
        <v>2</v>
      </c>
      <c r="F1694" s="46">
        <v>318939</v>
      </c>
      <c r="G1694" s="48" t="s">
        <v>1199</v>
      </c>
      <c r="H1694" s="47">
        <v>44214</v>
      </c>
      <c r="I1694" s="46">
        <v>51227</v>
      </c>
      <c r="J1694" s="46">
        <v>2</v>
      </c>
      <c r="K1694" s="47">
        <v>44246</v>
      </c>
      <c r="L1694" s="46">
        <v>11267</v>
      </c>
      <c r="M1694" s="46">
        <v>2</v>
      </c>
    </row>
    <row r="1695" spans="2:13" ht="14.1" customHeight="1" x14ac:dyDescent="0.25">
      <c r="B1695" s="46" t="str">
        <f t="shared" si="26"/>
        <v>2101-26-319722</v>
      </c>
      <c r="C1695" s="47">
        <v>44201</v>
      </c>
      <c r="D1695" s="46">
        <v>26</v>
      </c>
      <c r="E1695" s="46">
        <v>24</v>
      </c>
      <c r="F1695" s="46">
        <v>319722</v>
      </c>
      <c r="G1695" s="48" t="s">
        <v>1203</v>
      </c>
      <c r="H1695" s="47">
        <v>44214</v>
      </c>
      <c r="I1695" s="46">
        <v>51225</v>
      </c>
      <c r="J1695" s="46">
        <v>24</v>
      </c>
      <c r="K1695" s="47">
        <v>44231</v>
      </c>
      <c r="L1695" s="46">
        <v>11111</v>
      </c>
      <c r="M1695" s="46">
        <v>24</v>
      </c>
    </row>
    <row r="1696" spans="2:13" ht="14.1" customHeight="1" x14ac:dyDescent="0.25">
      <c r="B1696" s="46" t="str">
        <f t="shared" si="26"/>
        <v>2101-26-320589</v>
      </c>
      <c r="C1696" s="47">
        <v>44201</v>
      </c>
      <c r="D1696" s="46">
        <v>26</v>
      </c>
      <c r="E1696" s="46">
        <v>24</v>
      </c>
      <c r="F1696" s="46">
        <v>320589</v>
      </c>
      <c r="G1696" s="48" t="s">
        <v>1204</v>
      </c>
      <c r="H1696" s="47">
        <v>44214</v>
      </c>
      <c r="I1696" s="46">
        <v>51227</v>
      </c>
      <c r="J1696" s="46">
        <v>24</v>
      </c>
      <c r="K1696" s="47">
        <v>44246</v>
      </c>
      <c r="L1696" s="46">
        <v>11267</v>
      </c>
      <c r="M1696" s="46">
        <v>24</v>
      </c>
    </row>
    <row r="1697" spans="2:13" ht="14.1" customHeight="1" x14ac:dyDescent="0.25">
      <c r="B1697" s="46" t="str">
        <f t="shared" si="26"/>
        <v>2101-26-320590</v>
      </c>
      <c r="C1697" s="47">
        <v>44201</v>
      </c>
      <c r="D1697" s="46">
        <v>26</v>
      </c>
      <c r="E1697" s="46">
        <v>36</v>
      </c>
      <c r="F1697" s="46">
        <v>320590</v>
      </c>
      <c r="G1697" s="48" t="s">
        <v>1205</v>
      </c>
      <c r="H1697" s="47">
        <v>44214</v>
      </c>
      <c r="I1697" s="46">
        <v>51226</v>
      </c>
      <c r="J1697" s="46">
        <v>36</v>
      </c>
      <c r="K1697" s="47">
        <v>44239</v>
      </c>
      <c r="L1697" s="46">
        <v>11185</v>
      </c>
      <c r="M1697" s="46">
        <v>36</v>
      </c>
    </row>
    <row r="1698" spans="2:13" ht="14.1" customHeight="1" x14ac:dyDescent="0.25">
      <c r="B1698" s="46" t="str">
        <f t="shared" si="26"/>
        <v>2101-27-303016</v>
      </c>
      <c r="C1698" s="47">
        <v>44201</v>
      </c>
      <c r="D1698" s="46">
        <v>27</v>
      </c>
      <c r="E1698" s="46">
        <v>6</v>
      </c>
      <c r="F1698" s="46">
        <v>303016</v>
      </c>
      <c r="G1698" s="48" t="s">
        <v>1206</v>
      </c>
      <c r="H1698" s="47">
        <v>44214</v>
      </c>
      <c r="I1698" s="46">
        <v>51240</v>
      </c>
      <c r="J1698" s="46">
        <v>6</v>
      </c>
      <c r="K1698" s="47">
        <v>44225</v>
      </c>
      <c r="L1698" s="46">
        <v>11043</v>
      </c>
      <c r="M1698" s="46">
        <v>6</v>
      </c>
    </row>
    <row r="1699" spans="2:13" ht="14.1" customHeight="1" x14ac:dyDescent="0.25">
      <c r="B1699" s="46" t="str">
        <f t="shared" si="26"/>
        <v>2101-28-320416</v>
      </c>
      <c r="C1699" s="47">
        <v>44201</v>
      </c>
      <c r="D1699" s="46">
        <v>28</v>
      </c>
      <c r="E1699" s="46">
        <v>38</v>
      </c>
      <c r="F1699" s="46">
        <v>320416</v>
      </c>
      <c r="G1699" s="48" t="s">
        <v>1063</v>
      </c>
      <c r="H1699" s="47">
        <v>44216</v>
      </c>
      <c r="I1699" s="46">
        <v>51266</v>
      </c>
      <c r="J1699" s="46">
        <v>38</v>
      </c>
      <c r="K1699" s="47">
        <v>44221</v>
      </c>
      <c r="L1699" s="46">
        <v>10992</v>
      </c>
      <c r="M1699" s="46">
        <v>38</v>
      </c>
    </row>
    <row r="1700" spans="2:13" ht="14.1" customHeight="1" x14ac:dyDescent="0.25">
      <c r="B1700" s="46" t="str">
        <f t="shared" si="26"/>
        <v>2101-29-320049</v>
      </c>
      <c r="C1700" s="47">
        <v>44201</v>
      </c>
      <c r="D1700" s="46">
        <v>29</v>
      </c>
      <c r="E1700" s="46">
        <v>400</v>
      </c>
      <c r="F1700" s="46">
        <v>320049</v>
      </c>
      <c r="G1700" s="48" t="s">
        <v>394</v>
      </c>
      <c r="H1700" s="47">
        <v>44203</v>
      </c>
      <c r="I1700" s="46">
        <v>51114</v>
      </c>
      <c r="J1700" s="46">
        <v>400</v>
      </c>
      <c r="K1700" s="47">
        <v>44204</v>
      </c>
      <c r="L1700" s="46">
        <v>10834</v>
      </c>
      <c r="M1700" s="46">
        <v>400</v>
      </c>
    </row>
    <row r="1701" spans="2:13" ht="14.1" customHeight="1" x14ac:dyDescent="0.25">
      <c r="B1701" s="46" t="str">
        <f t="shared" si="26"/>
        <v>2101-30-310148</v>
      </c>
      <c r="C1701" s="47">
        <v>44201</v>
      </c>
      <c r="D1701" s="46">
        <v>30</v>
      </c>
      <c r="E1701" s="46">
        <v>20000</v>
      </c>
      <c r="F1701" s="46">
        <v>310148</v>
      </c>
      <c r="G1701" s="48" t="s">
        <v>1207</v>
      </c>
      <c r="H1701" s="47">
        <v>44214</v>
      </c>
      <c r="I1701" s="46">
        <v>51230</v>
      </c>
      <c r="J1701" s="46">
        <v>20000</v>
      </c>
      <c r="K1701" s="47">
        <v>44238</v>
      </c>
      <c r="L1701" s="46">
        <v>11165</v>
      </c>
      <c r="M1701" s="46">
        <v>5000</v>
      </c>
    </row>
    <row r="1702" spans="2:13" ht="14.1" customHeight="1" x14ac:dyDescent="0.25">
      <c r="B1702" s="46" t="str">
        <f t="shared" si="26"/>
        <v>2101-30-310148</v>
      </c>
      <c r="C1702" s="47">
        <v>44201</v>
      </c>
      <c r="D1702" s="46">
        <v>30</v>
      </c>
      <c r="E1702" s="46">
        <v>20000</v>
      </c>
      <c r="F1702" s="46">
        <v>310148</v>
      </c>
      <c r="G1702" s="48" t="s">
        <v>1207</v>
      </c>
      <c r="H1702" s="47">
        <v>44214</v>
      </c>
      <c r="I1702" s="46">
        <v>51230</v>
      </c>
      <c r="J1702" s="46">
        <v>20000</v>
      </c>
      <c r="K1702" s="47">
        <v>44253</v>
      </c>
      <c r="L1702" s="46">
        <v>11360</v>
      </c>
      <c r="M1702" s="46">
        <v>5000</v>
      </c>
    </row>
    <row r="1703" spans="2:13" ht="14.1" customHeight="1" x14ac:dyDescent="0.25">
      <c r="B1703" s="46" t="str">
        <f t="shared" si="26"/>
        <v>2101-31-320588</v>
      </c>
      <c r="C1703" s="47">
        <v>44201</v>
      </c>
      <c r="D1703" s="46">
        <v>31</v>
      </c>
      <c r="E1703" s="46">
        <v>10</v>
      </c>
      <c r="F1703" s="46">
        <v>320588</v>
      </c>
      <c r="G1703" s="48" t="s">
        <v>1211</v>
      </c>
      <c r="H1703" s="47">
        <v>44214</v>
      </c>
      <c r="I1703" s="46">
        <v>51224</v>
      </c>
      <c r="J1703" s="46">
        <v>10</v>
      </c>
      <c r="L1703" s="46">
        <v>0</v>
      </c>
      <c r="M1703" s="46">
        <v>0</v>
      </c>
    </row>
    <row r="1704" spans="2:13" ht="14.1" customHeight="1" x14ac:dyDescent="0.25">
      <c r="B1704" s="46" t="str">
        <f t="shared" si="26"/>
        <v>2101-31-316334</v>
      </c>
      <c r="C1704" s="47">
        <v>44201</v>
      </c>
      <c r="D1704" s="46">
        <v>31</v>
      </c>
      <c r="E1704" s="46">
        <v>10</v>
      </c>
      <c r="F1704" s="46">
        <v>316334</v>
      </c>
      <c r="G1704" s="48" t="s">
        <v>891</v>
      </c>
      <c r="H1704" s="47">
        <v>44214</v>
      </c>
      <c r="I1704" s="46">
        <v>51222</v>
      </c>
      <c r="J1704" s="46">
        <v>10</v>
      </c>
      <c r="K1704" s="47">
        <v>44257</v>
      </c>
      <c r="L1704" s="46">
        <v>11373</v>
      </c>
      <c r="M1704" s="46">
        <v>10</v>
      </c>
    </row>
    <row r="1705" spans="2:13" ht="14.1" customHeight="1" x14ac:dyDescent="0.25">
      <c r="B1705" s="46" t="str">
        <f t="shared" si="26"/>
        <v>2101-31-314721</v>
      </c>
      <c r="C1705" s="47">
        <v>44201</v>
      </c>
      <c r="D1705" s="46">
        <v>31</v>
      </c>
      <c r="E1705" s="46">
        <v>10</v>
      </c>
      <c r="F1705" s="46">
        <v>314721</v>
      </c>
      <c r="G1705" s="48" t="s">
        <v>1212</v>
      </c>
      <c r="H1705" s="47">
        <v>44214</v>
      </c>
      <c r="I1705" s="46">
        <v>51222</v>
      </c>
      <c r="J1705" s="46">
        <v>10</v>
      </c>
      <c r="K1705" s="47">
        <v>44257</v>
      </c>
      <c r="L1705" s="46">
        <v>11373</v>
      </c>
      <c r="M1705" s="46">
        <v>10</v>
      </c>
    </row>
    <row r="1706" spans="2:13" ht="14.1" customHeight="1" x14ac:dyDescent="0.25">
      <c r="B1706" s="46" t="str">
        <f t="shared" si="26"/>
        <v>2101-31-311201</v>
      </c>
      <c r="C1706" s="47">
        <v>44201</v>
      </c>
      <c r="D1706" s="46">
        <v>31</v>
      </c>
      <c r="E1706" s="46">
        <v>100</v>
      </c>
      <c r="F1706" s="46">
        <v>311201</v>
      </c>
      <c r="G1706" s="48" t="s">
        <v>1213</v>
      </c>
      <c r="H1706" s="47">
        <v>44214</v>
      </c>
      <c r="I1706" s="46">
        <v>51224</v>
      </c>
      <c r="J1706" s="46">
        <v>100</v>
      </c>
      <c r="K1706" s="47">
        <v>44246</v>
      </c>
      <c r="L1706" s="46">
        <v>11266</v>
      </c>
      <c r="M1706" s="46">
        <v>100</v>
      </c>
    </row>
    <row r="1707" spans="2:13" ht="14.1" customHeight="1" x14ac:dyDescent="0.25">
      <c r="B1707" s="46" t="str">
        <f t="shared" si="26"/>
        <v>2101-31-320585</v>
      </c>
      <c r="C1707" s="47">
        <v>44201</v>
      </c>
      <c r="D1707" s="46">
        <v>31</v>
      </c>
      <c r="E1707" s="46">
        <v>24</v>
      </c>
      <c r="F1707" s="46">
        <v>320585</v>
      </c>
      <c r="G1707" s="48" t="s">
        <v>1208</v>
      </c>
      <c r="H1707" s="47">
        <v>44214</v>
      </c>
      <c r="I1707" s="46">
        <v>51224</v>
      </c>
      <c r="J1707" s="46">
        <v>24</v>
      </c>
      <c r="K1707" s="47">
        <v>44246</v>
      </c>
      <c r="L1707" s="46">
        <v>11266</v>
      </c>
      <c r="M1707" s="46">
        <v>24</v>
      </c>
    </row>
    <row r="1708" spans="2:13" ht="14.1" customHeight="1" x14ac:dyDescent="0.25">
      <c r="B1708" s="46" t="str">
        <f t="shared" si="26"/>
        <v>2101-31-320587</v>
      </c>
      <c r="C1708" s="47">
        <v>44201</v>
      </c>
      <c r="D1708" s="46">
        <v>31</v>
      </c>
      <c r="E1708" s="46">
        <v>16</v>
      </c>
      <c r="F1708" s="46">
        <v>320587</v>
      </c>
      <c r="G1708" s="48" t="s">
        <v>1210</v>
      </c>
      <c r="H1708" s="47">
        <v>44214</v>
      </c>
      <c r="I1708" s="46">
        <v>51224</v>
      </c>
      <c r="J1708" s="46">
        <v>16</v>
      </c>
      <c r="K1708" s="47">
        <v>44246</v>
      </c>
      <c r="L1708" s="46">
        <v>11266</v>
      </c>
      <c r="M1708" s="46">
        <v>16</v>
      </c>
    </row>
    <row r="1709" spans="2:13" ht="14.1" customHeight="1" x14ac:dyDescent="0.25">
      <c r="B1709" s="46" t="str">
        <f t="shared" si="26"/>
        <v>2101-31-320586</v>
      </c>
      <c r="C1709" s="47">
        <v>44201</v>
      </c>
      <c r="D1709" s="46">
        <v>31</v>
      </c>
      <c r="E1709" s="46">
        <v>1</v>
      </c>
      <c r="F1709" s="46">
        <v>320586</v>
      </c>
      <c r="G1709" s="48" t="s">
        <v>1209</v>
      </c>
      <c r="H1709" s="47">
        <v>44214</v>
      </c>
      <c r="I1709" s="46">
        <v>51224</v>
      </c>
      <c r="J1709" s="46">
        <v>1</v>
      </c>
      <c r="K1709" s="47">
        <v>44246</v>
      </c>
      <c r="L1709" s="46">
        <v>11266</v>
      </c>
      <c r="M1709" s="46">
        <v>1</v>
      </c>
    </row>
    <row r="1710" spans="2:13" ht="14.1" customHeight="1" x14ac:dyDescent="0.25">
      <c r="B1710" s="46" t="str">
        <f t="shared" si="26"/>
        <v>2101-36-320593</v>
      </c>
      <c r="C1710" s="47">
        <v>44202</v>
      </c>
      <c r="D1710" s="46">
        <v>36</v>
      </c>
      <c r="E1710" s="46">
        <v>1</v>
      </c>
      <c r="F1710" s="46">
        <v>320593</v>
      </c>
      <c r="G1710" s="48" t="s">
        <v>1242</v>
      </c>
      <c r="H1710" s="47">
        <v>44203</v>
      </c>
      <c r="I1710" s="46">
        <v>51103</v>
      </c>
      <c r="J1710" s="46">
        <v>1</v>
      </c>
      <c r="K1710" s="47">
        <v>44204</v>
      </c>
      <c r="L1710" s="46">
        <v>10835</v>
      </c>
      <c r="M1710" s="46">
        <v>1</v>
      </c>
    </row>
    <row r="1711" spans="2:13" ht="14.1" customHeight="1" x14ac:dyDescent="0.25">
      <c r="B1711" s="46" t="str">
        <f t="shared" si="26"/>
        <v>2101-36-320592</v>
      </c>
      <c r="C1711" s="47">
        <v>44202</v>
      </c>
      <c r="D1711" s="46">
        <v>36</v>
      </c>
      <c r="E1711" s="46">
        <v>1</v>
      </c>
      <c r="F1711" s="46">
        <v>320592</v>
      </c>
      <c r="G1711" s="48" t="s">
        <v>1754</v>
      </c>
      <c r="H1711" s="47">
        <v>44203</v>
      </c>
      <c r="I1711" s="46">
        <v>51103</v>
      </c>
      <c r="J1711" s="46">
        <v>1</v>
      </c>
      <c r="K1711" s="47">
        <v>44204</v>
      </c>
      <c r="L1711" s="46">
        <v>10835</v>
      </c>
      <c r="M1711" s="46">
        <v>1</v>
      </c>
    </row>
    <row r="1712" spans="2:13" ht="14.1" customHeight="1" x14ac:dyDescent="0.25">
      <c r="B1712" s="46" t="str">
        <f t="shared" si="26"/>
        <v>2101-40-203593</v>
      </c>
      <c r="C1712" s="47">
        <v>44202</v>
      </c>
      <c r="D1712" s="46">
        <v>40</v>
      </c>
      <c r="E1712" s="46">
        <v>22000</v>
      </c>
      <c r="F1712" s="46">
        <v>203593</v>
      </c>
      <c r="G1712" s="48" t="s">
        <v>211</v>
      </c>
      <c r="H1712" s="47">
        <v>44202</v>
      </c>
      <c r="I1712" s="46">
        <v>51153</v>
      </c>
      <c r="J1712" s="46">
        <v>22000</v>
      </c>
      <c r="K1712" s="47">
        <v>44202</v>
      </c>
      <c r="L1712" s="46">
        <v>10819</v>
      </c>
      <c r="M1712" s="46">
        <v>22000</v>
      </c>
    </row>
    <row r="1713" spans="2:13" ht="14.1" customHeight="1" x14ac:dyDescent="0.25">
      <c r="B1713" s="46" t="str">
        <f t="shared" si="26"/>
        <v>2101-42-203593</v>
      </c>
      <c r="C1713" s="47">
        <v>44202</v>
      </c>
      <c r="D1713" s="46">
        <v>42</v>
      </c>
      <c r="E1713" s="46">
        <v>3000</v>
      </c>
      <c r="F1713" s="46">
        <v>203593</v>
      </c>
      <c r="G1713" s="48" t="s">
        <v>211</v>
      </c>
      <c r="H1713" s="47">
        <v>44201</v>
      </c>
      <c r="I1713" s="46">
        <v>51149</v>
      </c>
      <c r="J1713" s="46">
        <v>3000</v>
      </c>
      <c r="K1713" s="47">
        <v>44202</v>
      </c>
      <c r="L1713" s="46">
        <v>10821</v>
      </c>
      <c r="M1713" s="46">
        <v>3000</v>
      </c>
    </row>
    <row r="1714" spans="2:13" ht="14.1" customHeight="1" x14ac:dyDescent="0.25">
      <c r="B1714" s="46" t="str">
        <f t="shared" si="26"/>
        <v>2101-45-106477</v>
      </c>
      <c r="C1714" s="47">
        <v>44203</v>
      </c>
      <c r="D1714" s="46">
        <v>45</v>
      </c>
      <c r="E1714" s="46">
        <v>1</v>
      </c>
      <c r="F1714" s="46">
        <v>106477</v>
      </c>
      <c r="G1714" s="48" t="s">
        <v>463</v>
      </c>
      <c r="H1714" s="47">
        <v>44203</v>
      </c>
      <c r="I1714" s="46">
        <v>51113</v>
      </c>
      <c r="J1714" s="46">
        <v>1</v>
      </c>
      <c r="K1714" s="47">
        <v>44236</v>
      </c>
      <c r="L1714" s="46">
        <v>11142</v>
      </c>
      <c r="M1714" s="46">
        <v>1</v>
      </c>
    </row>
    <row r="1715" spans="2:13" ht="14.1" customHeight="1" x14ac:dyDescent="0.25">
      <c r="B1715" s="46" t="str">
        <f t="shared" si="26"/>
        <v>2101-45-317383</v>
      </c>
      <c r="C1715" s="47">
        <v>44203</v>
      </c>
      <c r="D1715" s="46">
        <v>45</v>
      </c>
      <c r="E1715" s="46">
        <v>1</v>
      </c>
      <c r="F1715" s="46">
        <v>317383</v>
      </c>
      <c r="G1715" s="48" t="s">
        <v>1243</v>
      </c>
      <c r="H1715" s="47">
        <v>44203</v>
      </c>
      <c r="I1715" s="46">
        <v>51113</v>
      </c>
      <c r="J1715" s="46">
        <v>1</v>
      </c>
      <c r="K1715" s="47">
        <v>44236</v>
      </c>
      <c r="L1715" s="46">
        <v>11142</v>
      </c>
      <c r="M1715" s="46">
        <v>1</v>
      </c>
    </row>
    <row r="1716" spans="2:13" ht="14.1" customHeight="1" x14ac:dyDescent="0.25">
      <c r="B1716" s="46" t="str">
        <f t="shared" si="26"/>
        <v>2101-45-205845</v>
      </c>
      <c r="C1716" s="47">
        <v>44203</v>
      </c>
      <c r="D1716" s="46">
        <v>45</v>
      </c>
      <c r="E1716" s="46">
        <v>1</v>
      </c>
      <c r="F1716" s="46">
        <v>205845</v>
      </c>
      <c r="G1716" s="48" t="s">
        <v>1244</v>
      </c>
      <c r="H1716" s="47">
        <v>44203</v>
      </c>
      <c r="I1716" s="46">
        <v>51113</v>
      </c>
      <c r="J1716" s="46">
        <v>1</v>
      </c>
      <c r="K1716" s="47">
        <v>44236</v>
      </c>
      <c r="L1716" s="46">
        <v>11142</v>
      </c>
      <c r="M1716" s="46">
        <v>1</v>
      </c>
    </row>
    <row r="1717" spans="2:13" ht="14.1" customHeight="1" x14ac:dyDescent="0.25">
      <c r="B1717" s="46" t="str">
        <f t="shared" si="26"/>
        <v>2101-45-106476</v>
      </c>
      <c r="C1717" s="47">
        <v>44203</v>
      </c>
      <c r="D1717" s="46">
        <v>45</v>
      </c>
      <c r="E1717" s="46">
        <v>1</v>
      </c>
      <c r="F1717" s="46">
        <v>106476</v>
      </c>
      <c r="G1717" s="48" t="s">
        <v>462</v>
      </c>
      <c r="H1717" s="47">
        <v>44203</v>
      </c>
      <c r="I1717" s="46">
        <v>51113</v>
      </c>
      <c r="J1717" s="46">
        <v>1</v>
      </c>
      <c r="K1717" s="47">
        <v>44236</v>
      </c>
      <c r="L1717" s="46">
        <v>11142</v>
      </c>
      <c r="M1717" s="46">
        <v>1</v>
      </c>
    </row>
    <row r="1718" spans="2:13" ht="14.1" customHeight="1" x14ac:dyDescent="0.25">
      <c r="B1718" s="46" t="str">
        <f t="shared" si="26"/>
        <v>2101-46-300281</v>
      </c>
      <c r="C1718" s="47">
        <v>44203</v>
      </c>
      <c r="D1718" s="46">
        <v>46</v>
      </c>
      <c r="E1718" s="46">
        <v>1</v>
      </c>
      <c r="F1718" s="46">
        <v>300281</v>
      </c>
      <c r="G1718" s="48" t="s">
        <v>1245</v>
      </c>
      <c r="H1718" s="47">
        <v>44200</v>
      </c>
      <c r="I1718" s="46">
        <v>51137</v>
      </c>
      <c r="J1718" s="46">
        <v>1</v>
      </c>
      <c r="K1718" s="47">
        <v>44203</v>
      </c>
      <c r="L1718" s="46">
        <v>10826</v>
      </c>
      <c r="M1718" s="46">
        <v>1</v>
      </c>
    </row>
    <row r="1719" spans="2:13" ht="14.1" customHeight="1" x14ac:dyDescent="0.25">
      <c r="B1719" s="46" t="str">
        <f t="shared" si="26"/>
        <v>2101-46-100679</v>
      </c>
      <c r="C1719" s="47">
        <v>44203</v>
      </c>
      <c r="D1719" s="46">
        <v>46</v>
      </c>
      <c r="E1719" s="46">
        <v>1</v>
      </c>
      <c r="F1719" s="46">
        <v>100679</v>
      </c>
      <c r="G1719" s="48" t="s">
        <v>1247</v>
      </c>
      <c r="H1719" s="47">
        <v>44200</v>
      </c>
      <c r="I1719" s="46">
        <v>51137</v>
      </c>
      <c r="J1719" s="46">
        <v>1</v>
      </c>
      <c r="K1719" s="47">
        <v>44203</v>
      </c>
      <c r="L1719" s="46">
        <v>10826</v>
      </c>
      <c r="M1719" s="46">
        <v>1</v>
      </c>
    </row>
    <row r="1720" spans="2:13" ht="14.1" customHeight="1" x14ac:dyDescent="0.25">
      <c r="B1720" s="46" t="str">
        <f t="shared" si="26"/>
        <v>2101-46-204604</v>
      </c>
      <c r="C1720" s="47">
        <v>44203</v>
      </c>
      <c r="D1720" s="46">
        <v>46</v>
      </c>
      <c r="E1720" s="46">
        <v>1</v>
      </c>
      <c r="F1720" s="46">
        <v>204604</v>
      </c>
      <c r="G1720" s="48" t="s">
        <v>1248</v>
      </c>
      <c r="H1720" s="47">
        <v>44200</v>
      </c>
      <c r="I1720" s="46">
        <v>51137</v>
      </c>
      <c r="J1720" s="46">
        <v>1</v>
      </c>
      <c r="K1720" s="47">
        <v>44203</v>
      </c>
      <c r="L1720" s="46">
        <v>10826</v>
      </c>
      <c r="M1720" s="46">
        <v>1</v>
      </c>
    </row>
    <row r="1721" spans="2:13" ht="14.1" customHeight="1" x14ac:dyDescent="0.25">
      <c r="B1721" s="46" t="str">
        <f t="shared" si="26"/>
        <v>2101-46-205093</v>
      </c>
      <c r="C1721" s="47">
        <v>44203</v>
      </c>
      <c r="D1721" s="46">
        <v>46</v>
      </c>
      <c r="E1721" s="46">
        <v>2</v>
      </c>
      <c r="F1721" s="46">
        <v>205093</v>
      </c>
      <c r="G1721" s="48" t="s">
        <v>1246</v>
      </c>
      <c r="H1721" s="47">
        <v>44200</v>
      </c>
      <c r="I1721" s="46">
        <v>51137</v>
      </c>
      <c r="J1721" s="46">
        <v>2</v>
      </c>
      <c r="K1721" s="47">
        <v>44203</v>
      </c>
      <c r="L1721" s="46">
        <v>10826</v>
      </c>
      <c r="M1721" s="46">
        <v>2</v>
      </c>
    </row>
    <row r="1722" spans="2:13" ht="14.1" customHeight="1" x14ac:dyDescent="0.25">
      <c r="B1722" s="46" t="str">
        <f t="shared" si="26"/>
        <v>2101-46-206067</v>
      </c>
      <c r="C1722" s="47">
        <v>44203</v>
      </c>
      <c r="D1722" s="46">
        <v>46</v>
      </c>
      <c r="E1722" s="46">
        <v>2</v>
      </c>
      <c r="F1722" s="46">
        <v>206067</v>
      </c>
      <c r="G1722" s="48" t="s">
        <v>1249</v>
      </c>
      <c r="H1722" s="47">
        <v>44200</v>
      </c>
      <c r="I1722" s="46">
        <v>51137</v>
      </c>
      <c r="J1722" s="46">
        <v>2</v>
      </c>
      <c r="K1722" s="47">
        <v>44203</v>
      </c>
      <c r="L1722" s="46">
        <v>10826</v>
      </c>
      <c r="M1722" s="46">
        <v>2</v>
      </c>
    </row>
    <row r="1723" spans="2:13" ht="14.1" customHeight="1" x14ac:dyDescent="0.25">
      <c r="B1723" s="46" t="str">
        <f t="shared" si="26"/>
        <v>2101-47-314857</v>
      </c>
      <c r="C1723" s="47">
        <v>44203</v>
      </c>
      <c r="D1723" s="46">
        <v>47</v>
      </c>
      <c r="E1723" s="46">
        <v>2</v>
      </c>
      <c r="F1723" s="46">
        <v>314857</v>
      </c>
      <c r="G1723" s="48" t="s">
        <v>1129</v>
      </c>
      <c r="H1723" s="47">
        <v>44200</v>
      </c>
      <c r="I1723" s="46">
        <v>51136</v>
      </c>
      <c r="J1723" s="46">
        <v>2</v>
      </c>
      <c r="K1723" s="47">
        <v>44203</v>
      </c>
      <c r="L1723" s="46">
        <v>10825</v>
      </c>
      <c r="M1723" s="46">
        <v>2</v>
      </c>
    </row>
    <row r="1724" spans="2:13" ht="14.1" customHeight="1" x14ac:dyDescent="0.25">
      <c r="B1724" s="46" t="str">
        <f t="shared" si="26"/>
        <v>2101-48-314857</v>
      </c>
      <c r="C1724" s="47">
        <v>44203</v>
      </c>
      <c r="D1724" s="46">
        <v>48</v>
      </c>
      <c r="E1724" s="46">
        <v>2</v>
      </c>
      <c r="F1724" s="46">
        <v>314857</v>
      </c>
      <c r="G1724" s="48" t="s">
        <v>1129</v>
      </c>
      <c r="H1724" s="47">
        <v>44200</v>
      </c>
      <c r="I1724" s="46">
        <v>51135</v>
      </c>
      <c r="J1724" s="46">
        <v>2</v>
      </c>
      <c r="K1724" s="47">
        <v>44203</v>
      </c>
      <c r="L1724" s="46">
        <v>10824</v>
      </c>
      <c r="M1724" s="46">
        <v>2</v>
      </c>
    </row>
    <row r="1725" spans="2:13" ht="14.1" customHeight="1" x14ac:dyDescent="0.25">
      <c r="B1725" s="46" t="str">
        <f t="shared" si="26"/>
        <v>2101-49-308979</v>
      </c>
      <c r="C1725" s="47">
        <v>44203</v>
      </c>
      <c r="D1725" s="46">
        <v>49</v>
      </c>
      <c r="E1725" s="46">
        <v>4</v>
      </c>
      <c r="F1725" s="46">
        <v>308979</v>
      </c>
      <c r="G1725" s="48" t="s">
        <v>1250</v>
      </c>
      <c r="H1725" s="47">
        <v>44208</v>
      </c>
      <c r="I1725" s="46">
        <v>51187</v>
      </c>
      <c r="J1725" s="46">
        <v>4</v>
      </c>
      <c r="K1725" s="47">
        <v>44210</v>
      </c>
      <c r="L1725" s="46">
        <v>10899</v>
      </c>
      <c r="M1725" s="46">
        <v>4</v>
      </c>
    </row>
    <row r="1726" spans="2:13" ht="14.1" customHeight="1" x14ac:dyDescent="0.25">
      <c r="B1726" s="46" t="str">
        <f t="shared" si="26"/>
        <v>2101-49-206664</v>
      </c>
      <c r="C1726" s="47">
        <v>44203</v>
      </c>
      <c r="D1726" s="46">
        <v>49</v>
      </c>
      <c r="E1726" s="46">
        <v>4</v>
      </c>
      <c r="F1726" s="46">
        <v>206664</v>
      </c>
      <c r="G1726" s="48" t="s">
        <v>1251</v>
      </c>
      <c r="H1726" s="47">
        <v>44208</v>
      </c>
      <c r="I1726" s="46">
        <v>51187</v>
      </c>
      <c r="J1726" s="46">
        <v>4</v>
      </c>
      <c r="K1726" s="47">
        <v>44210</v>
      </c>
      <c r="L1726" s="46">
        <v>10899</v>
      </c>
      <c r="M1726" s="46">
        <v>4</v>
      </c>
    </row>
    <row r="1727" spans="2:13" ht="14.1" customHeight="1" x14ac:dyDescent="0.25">
      <c r="B1727" s="46" t="str">
        <f t="shared" si="26"/>
        <v>2101-49-320122</v>
      </c>
      <c r="C1727" s="47">
        <v>44203</v>
      </c>
      <c r="D1727" s="46">
        <v>49</v>
      </c>
      <c r="E1727" s="46">
        <v>4</v>
      </c>
      <c r="F1727" s="46">
        <v>320122</v>
      </c>
      <c r="G1727" s="48" t="s">
        <v>948</v>
      </c>
      <c r="H1727" s="47">
        <v>44208</v>
      </c>
      <c r="I1727" s="46">
        <v>51187</v>
      </c>
      <c r="J1727" s="46">
        <v>4</v>
      </c>
      <c r="K1727" s="47">
        <v>44210</v>
      </c>
      <c r="L1727" s="46">
        <v>10899</v>
      </c>
      <c r="M1727" s="46">
        <v>4</v>
      </c>
    </row>
    <row r="1728" spans="2:13" ht="14.1" customHeight="1" x14ac:dyDescent="0.25">
      <c r="B1728" s="46" t="str">
        <f t="shared" si="26"/>
        <v>2101-49-312095</v>
      </c>
      <c r="C1728" s="47">
        <v>44203</v>
      </c>
      <c r="D1728" s="46">
        <v>49</v>
      </c>
      <c r="E1728" s="46">
        <v>2</v>
      </c>
      <c r="F1728" s="46">
        <v>312095</v>
      </c>
      <c r="G1728" s="48" t="s">
        <v>797</v>
      </c>
      <c r="H1728" s="47">
        <v>44208</v>
      </c>
      <c r="I1728" s="46">
        <v>51187</v>
      </c>
      <c r="J1728" s="46">
        <v>2</v>
      </c>
      <c r="K1728" s="47">
        <v>44210</v>
      </c>
      <c r="L1728" s="46">
        <v>10899</v>
      </c>
      <c r="M1728" s="46">
        <v>2</v>
      </c>
    </row>
    <row r="1729" spans="2:13" ht="14.1" customHeight="1" x14ac:dyDescent="0.25">
      <c r="B1729" s="46" t="str">
        <f t="shared" si="26"/>
        <v>2101-49-312508</v>
      </c>
      <c r="C1729" s="47">
        <v>44203</v>
      </c>
      <c r="D1729" s="46">
        <v>49</v>
      </c>
      <c r="E1729" s="46">
        <v>2</v>
      </c>
      <c r="F1729" s="46">
        <v>312508</v>
      </c>
      <c r="G1729" s="48" t="s">
        <v>313</v>
      </c>
      <c r="H1729" s="47">
        <v>44208</v>
      </c>
      <c r="I1729" s="46">
        <v>51187</v>
      </c>
      <c r="J1729" s="46">
        <v>2</v>
      </c>
      <c r="K1729" s="47">
        <v>44210</v>
      </c>
      <c r="L1729" s="46">
        <v>10899</v>
      </c>
      <c r="M1729" s="46">
        <v>2</v>
      </c>
    </row>
    <row r="1730" spans="2:13" ht="14.1" customHeight="1" x14ac:dyDescent="0.25">
      <c r="B1730" s="46" t="str">
        <f t="shared" si="26"/>
        <v>2101-49-309723</v>
      </c>
      <c r="C1730" s="47">
        <v>44203</v>
      </c>
      <c r="D1730" s="46">
        <v>49</v>
      </c>
      <c r="E1730" s="46">
        <v>4</v>
      </c>
      <c r="F1730" s="46">
        <v>309723</v>
      </c>
      <c r="G1730" s="48" t="s">
        <v>760</v>
      </c>
      <c r="H1730" s="47">
        <v>44208</v>
      </c>
      <c r="I1730" s="46">
        <v>51187</v>
      </c>
      <c r="J1730" s="46">
        <v>4</v>
      </c>
      <c r="K1730" s="47">
        <v>44210</v>
      </c>
      <c r="L1730" s="46">
        <v>10899</v>
      </c>
      <c r="M1730" s="46">
        <v>4</v>
      </c>
    </row>
    <row r="1731" spans="2:13" ht="14.1" customHeight="1" x14ac:dyDescent="0.25">
      <c r="B1731" s="46" t="str">
        <f t="shared" si="26"/>
        <v>2101-49-304488</v>
      </c>
      <c r="C1731" s="47">
        <v>44203</v>
      </c>
      <c r="D1731" s="46">
        <v>49</v>
      </c>
      <c r="E1731" s="46">
        <v>4</v>
      </c>
      <c r="F1731" s="46">
        <v>304488</v>
      </c>
      <c r="G1731" s="48" t="s">
        <v>673</v>
      </c>
      <c r="H1731" s="47">
        <v>44208</v>
      </c>
      <c r="I1731" s="46">
        <v>51187</v>
      </c>
      <c r="J1731" s="46">
        <v>4</v>
      </c>
      <c r="K1731" s="47">
        <v>44210</v>
      </c>
      <c r="L1731" s="46">
        <v>10899</v>
      </c>
      <c r="M1731" s="46">
        <v>4</v>
      </c>
    </row>
    <row r="1732" spans="2:13" ht="14.1" customHeight="1" x14ac:dyDescent="0.25">
      <c r="B1732" s="46" t="str">
        <f t="shared" si="26"/>
        <v>2101-49-106205</v>
      </c>
      <c r="C1732" s="47">
        <v>44203</v>
      </c>
      <c r="D1732" s="46">
        <v>49</v>
      </c>
      <c r="E1732" s="46">
        <v>4</v>
      </c>
      <c r="F1732" s="46">
        <v>106205</v>
      </c>
      <c r="G1732" s="48" t="s">
        <v>454</v>
      </c>
      <c r="H1732" s="47">
        <v>44208</v>
      </c>
      <c r="I1732" s="46">
        <v>51187</v>
      </c>
      <c r="J1732" s="46">
        <v>4</v>
      </c>
      <c r="K1732" s="47">
        <v>44210</v>
      </c>
      <c r="L1732" s="46">
        <v>10899</v>
      </c>
      <c r="M1732" s="46">
        <v>4</v>
      </c>
    </row>
    <row r="1733" spans="2:13" ht="14.1" customHeight="1" x14ac:dyDescent="0.25">
      <c r="B1733" s="46" t="str">
        <f t="shared" si="26"/>
        <v>2101-50-308979</v>
      </c>
      <c r="C1733" s="47">
        <v>44203</v>
      </c>
      <c r="D1733" s="46">
        <v>50</v>
      </c>
      <c r="E1733" s="46">
        <v>4</v>
      </c>
      <c r="F1733" s="46">
        <v>308979</v>
      </c>
      <c r="G1733" s="48" t="s">
        <v>1250</v>
      </c>
      <c r="H1733" s="47">
        <v>44208</v>
      </c>
      <c r="I1733" s="46">
        <v>51186</v>
      </c>
      <c r="J1733" s="46">
        <v>4</v>
      </c>
      <c r="K1733" s="47">
        <v>44210</v>
      </c>
      <c r="L1733" s="46">
        <v>10891</v>
      </c>
      <c r="M1733" s="46">
        <v>4</v>
      </c>
    </row>
    <row r="1734" spans="2:13" ht="14.1" customHeight="1" x14ac:dyDescent="0.25">
      <c r="B1734" s="46" t="str">
        <f t="shared" si="26"/>
        <v>2101-50-205343</v>
      </c>
      <c r="C1734" s="47">
        <v>44203</v>
      </c>
      <c r="D1734" s="46">
        <v>50</v>
      </c>
      <c r="E1734" s="46">
        <v>1</v>
      </c>
      <c r="F1734" s="46">
        <v>205343</v>
      </c>
      <c r="G1734" s="48" t="s">
        <v>558</v>
      </c>
      <c r="H1734" s="47">
        <v>44208</v>
      </c>
      <c r="I1734" s="46">
        <v>51186</v>
      </c>
      <c r="J1734" s="46">
        <v>1</v>
      </c>
      <c r="K1734" s="47">
        <v>44210</v>
      </c>
      <c r="L1734" s="46">
        <v>10891</v>
      </c>
      <c r="M1734" s="46">
        <v>1</v>
      </c>
    </row>
    <row r="1735" spans="2:13" ht="14.1" customHeight="1" x14ac:dyDescent="0.25">
      <c r="B1735" s="46" t="str">
        <f t="shared" si="26"/>
        <v>2101-53-319359</v>
      </c>
      <c r="C1735" s="47">
        <v>44203</v>
      </c>
      <c r="D1735" s="46">
        <v>53</v>
      </c>
      <c r="E1735" s="46">
        <v>10000</v>
      </c>
      <c r="F1735" s="46">
        <v>319359</v>
      </c>
      <c r="G1735" s="48" t="s">
        <v>210</v>
      </c>
      <c r="H1735" s="47">
        <v>44218</v>
      </c>
      <c r="I1735" s="46">
        <v>51336</v>
      </c>
      <c r="J1735" s="46">
        <v>10000</v>
      </c>
      <c r="K1735" s="47">
        <v>44210</v>
      </c>
      <c r="L1735" s="46">
        <v>10896</v>
      </c>
      <c r="M1735" s="46">
        <v>10000</v>
      </c>
    </row>
    <row r="1736" spans="2:13" ht="14.1" customHeight="1" x14ac:dyDescent="0.25">
      <c r="B1736" s="46" t="str">
        <f t="shared" si="26"/>
        <v>2101-54-316612</v>
      </c>
      <c r="C1736" s="47">
        <v>44203</v>
      </c>
      <c r="D1736" s="46">
        <v>54</v>
      </c>
      <c r="E1736" s="46">
        <v>500</v>
      </c>
      <c r="F1736" s="46">
        <v>316612</v>
      </c>
      <c r="G1736" s="48" t="s">
        <v>126</v>
      </c>
      <c r="H1736" s="47">
        <v>44207</v>
      </c>
      <c r="I1736" s="46">
        <v>51144</v>
      </c>
      <c r="J1736" s="46">
        <v>500</v>
      </c>
      <c r="K1736" s="47">
        <v>44208</v>
      </c>
      <c r="L1736" s="46">
        <v>10854</v>
      </c>
      <c r="M1736" s="46">
        <v>500</v>
      </c>
    </row>
    <row r="1737" spans="2:13" ht="14.1" customHeight="1" x14ac:dyDescent="0.25">
      <c r="B1737" s="46" t="str">
        <f t="shared" si="26"/>
        <v>2101-55-319359</v>
      </c>
      <c r="C1737" s="47">
        <v>44203</v>
      </c>
      <c r="D1737" s="46">
        <v>55</v>
      </c>
      <c r="E1737" s="46">
        <v>10000</v>
      </c>
      <c r="F1737" s="46">
        <v>319359</v>
      </c>
      <c r="G1737" s="48" t="s">
        <v>210</v>
      </c>
      <c r="H1737" s="47">
        <v>44210</v>
      </c>
      <c r="I1737" s="46">
        <v>51334</v>
      </c>
      <c r="J1737" s="46">
        <v>10000</v>
      </c>
      <c r="K1737" s="47">
        <v>44207</v>
      </c>
      <c r="L1737" s="46">
        <v>10851</v>
      </c>
      <c r="M1737" s="46">
        <v>10000</v>
      </c>
    </row>
    <row r="1738" spans="2:13" ht="14.1" customHeight="1" x14ac:dyDescent="0.25">
      <c r="B1738" s="46" t="str">
        <f t="shared" si="26"/>
        <v>2101-56-312620</v>
      </c>
      <c r="C1738" s="47">
        <v>44204</v>
      </c>
      <c r="D1738" s="46">
        <v>56</v>
      </c>
      <c r="E1738" s="46">
        <v>6</v>
      </c>
      <c r="F1738" s="46">
        <v>312620</v>
      </c>
      <c r="G1738" s="48" t="s">
        <v>1252</v>
      </c>
      <c r="I1738" s="46">
        <v>0</v>
      </c>
      <c r="J1738" s="46">
        <v>0</v>
      </c>
      <c r="L1738" s="46">
        <v>0</v>
      </c>
      <c r="M1738" s="46">
        <v>0</v>
      </c>
    </row>
    <row r="1739" spans="2:13" ht="14.1" customHeight="1" x14ac:dyDescent="0.25">
      <c r="B1739" s="46" t="str">
        <f t="shared" si="26"/>
        <v>2101-57-301139</v>
      </c>
      <c r="C1739" s="47">
        <v>44204</v>
      </c>
      <c r="D1739" s="46">
        <v>57</v>
      </c>
      <c r="E1739" s="46">
        <v>1</v>
      </c>
      <c r="F1739" s="46">
        <v>301139</v>
      </c>
      <c r="G1739" s="48" t="s">
        <v>1172</v>
      </c>
      <c r="I1739" s="46">
        <v>0</v>
      </c>
      <c r="J1739" s="46">
        <v>0</v>
      </c>
      <c r="L1739" s="46">
        <v>0</v>
      </c>
      <c r="M1739" s="46">
        <v>0</v>
      </c>
    </row>
    <row r="1740" spans="2:13" ht="14.1" customHeight="1" x14ac:dyDescent="0.25">
      <c r="B1740" s="46" t="str">
        <f t="shared" ref="B1740:B1803" si="27">TEXT(C1740,"yy") &amp; TEXT(C1740,"mm") &amp;"-"&amp;(D1740) &amp;"-"&amp;(F1740)</f>
        <v>2101-57-310799</v>
      </c>
      <c r="C1740" s="47">
        <v>44204</v>
      </c>
      <c r="D1740" s="46">
        <v>57</v>
      </c>
      <c r="E1740" s="46">
        <v>2</v>
      </c>
      <c r="F1740" s="46">
        <v>310799</v>
      </c>
      <c r="G1740" s="48" t="s">
        <v>1253</v>
      </c>
      <c r="I1740" s="46">
        <v>0</v>
      </c>
      <c r="J1740" s="46">
        <v>0</v>
      </c>
      <c r="L1740" s="46">
        <v>0</v>
      </c>
      <c r="M1740" s="46">
        <v>0</v>
      </c>
    </row>
    <row r="1741" spans="2:13" ht="14.1" customHeight="1" x14ac:dyDescent="0.25">
      <c r="B1741" s="46" t="str">
        <f t="shared" si="27"/>
        <v>2101-58-320049</v>
      </c>
      <c r="C1741" s="47">
        <v>44204</v>
      </c>
      <c r="D1741" s="46">
        <v>58</v>
      </c>
      <c r="E1741" s="46">
        <v>400</v>
      </c>
      <c r="F1741" s="46">
        <v>320049</v>
      </c>
      <c r="G1741" s="48" t="s">
        <v>394</v>
      </c>
      <c r="H1741" s="47">
        <v>44211</v>
      </c>
      <c r="I1741" s="46">
        <v>51220</v>
      </c>
      <c r="J1741" s="46">
        <v>400</v>
      </c>
      <c r="K1741" s="47">
        <v>44216</v>
      </c>
      <c r="L1741" s="46">
        <v>10954</v>
      </c>
      <c r="M1741" s="46">
        <v>400</v>
      </c>
    </row>
    <row r="1742" spans="2:13" ht="14.1" customHeight="1" x14ac:dyDescent="0.25">
      <c r="B1742" s="46" t="str">
        <f t="shared" si="27"/>
        <v>2101-59-308508</v>
      </c>
      <c r="C1742" s="47">
        <v>44204</v>
      </c>
      <c r="D1742" s="46">
        <v>59</v>
      </c>
      <c r="E1742" s="46">
        <v>2</v>
      </c>
      <c r="F1742" s="46">
        <v>308508</v>
      </c>
      <c r="G1742" s="48" t="s">
        <v>1255</v>
      </c>
      <c r="H1742" s="47">
        <v>44204</v>
      </c>
      <c r="I1742" s="46">
        <v>51121</v>
      </c>
      <c r="J1742" s="46">
        <v>2</v>
      </c>
      <c r="K1742" s="47">
        <v>44207</v>
      </c>
      <c r="L1742" s="46">
        <v>10850</v>
      </c>
      <c r="M1742" s="46">
        <v>2</v>
      </c>
    </row>
    <row r="1743" spans="2:13" ht="14.1" customHeight="1" x14ac:dyDescent="0.25">
      <c r="B1743" s="46" t="str">
        <f t="shared" si="27"/>
        <v>2101-59-107097</v>
      </c>
      <c r="C1743" s="47">
        <v>44204</v>
      </c>
      <c r="D1743" s="46">
        <v>59</v>
      </c>
      <c r="E1743" s="46">
        <v>4</v>
      </c>
      <c r="F1743" s="46">
        <v>107097</v>
      </c>
      <c r="G1743" s="48" t="s">
        <v>1256</v>
      </c>
      <c r="H1743" s="47">
        <v>44204</v>
      </c>
      <c r="I1743" s="46">
        <v>51122</v>
      </c>
      <c r="J1743" s="46">
        <v>4</v>
      </c>
      <c r="K1743" s="47">
        <v>44271</v>
      </c>
      <c r="L1743" s="46">
        <v>11537</v>
      </c>
      <c r="M1743" s="46">
        <v>4</v>
      </c>
    </row>
    <row r="1744" spans="2:13" ht="14.1" customHeight="1" x14ac:dyDescent="0.25">
      <c r="B1744" s="46" t="str">
        <f t="shared" si="27"/>
        <v>2101-59-201642</v>
      </c>
      <c r="C1744" s="47">
        <v>44204</v>
      </c>
      <c r="D1744" s="46">
        <v>59</v>
      </c>
      <c r="E1744" s="46">
        <v>6</v>
      </c>
      <c r="F1744" s="46">
        <v>201642</v>
      </c>
      <c r="G1744" s="48" t="s">
        <v>1254</v>
      </c>
      <c r="H1744" s="47">
        <v>44204</v>
      </c>
      <c r="I1744" s="46">
        <v>51129</v>
      </c>
      <c r="J1744" s="46">
        <v>6</v>
      </c>
      <c r="K1744" s="47">
        <v>44207</v>
      </c>
      <c r="L1744" s="46">
        <v>10850</v>
      </c>
      <c r="M1744" s="46">
        <v>6</v>
      </c>
    </row>
    <row r="1745" spans="2:13" ht="14.1" customHeight="1" x14ac:dyDescent="0.25">
      <c r="B1745" s="46" t="str">
        <f t="shared" si="27"/>
        <v>2101-60-317119</v>
      </c>
      <c r="C1745" s="47">
        <v>44204</v>
      </c>
      <c r="D1745" s="46">
        <v>60</v>
      </c>
      <c r="E1745" s="46">
        <v>60</v>
      </c>
      <c r="F1745" s="46">
        <v>317119</v>
      </c>
      <c r="G1745" s="48" t="s">
        <v>1257</v>
      </c>
      <c r="H1745" s="47">
        <v>44231</v>
      </c>
      <c r="I1745" s="46">
        <v>51479</v>
      </c>
      <c r="J1745" s="46">
        <v>60</v>
      </c>
      <c r="K1745" s="47">
        <v>44265</v>
      </c>
      <c r="L1745" s="46">
        <v>11455</v>
      </c>
      <c r="M1745" s="46">
        <v>60</v>
      </c>
    </row>
    <row r="1746" spans="2:13" ht="14.1" customHeight="1" x14ac:dyDescent="0.25">
      <c r="B1746" s="46" t="str">
        <f t="shared" si="27"/>
        <v>2101-60-200267</v>
      </c>
      <c r="C1746" s="47">
        <v>44204</v>
      </c>
      <c r="D1746" s="46">
        <v>60</v>
      </c>
      <c r="E1746" s="46">
        <v>6</v>
      </c>
      <c r="F1746" s="46">
        <v>200267</v>
      </c>
      <c r="G1746" s="48" t="s">
        <v>1053</v>
      </c>
      <c r="H1746" s="47">
        <v>44210</v>
      </c>
      <c r="I1746" s="46">
        <v>51202</v>
      </c>
      <c r="J1746" s="46">
        <v>6</v>
      </c>
      <c r="K1746" s="47">
        <v>44211</v>
      </c>
      <c r="L1746" s="46">
        <v>10903</v>
      </c>
      <c r="M1746" s="46">
        <v>6</v>
      </c>
    </row>
    <row r="1747" spans="2:13" ht="14.1" customHeight="1" x14ac:dyDescent="0.25">
      <c r="B1747" s="46" t="str">
        <f t="shared" si="27"/>
        <v>2101-60-312720</v>
      </c>
      <c r="C1747" s="47">
        <v>44204</v>
      </c>
      <c r="D1747" s="46">
        <v>60</v>
      </c>
      <c r="E1747" s="46">
        <v>45</v>
      </c>
      <c r="F1747" s="46">
        <v>312720</v>
      </c>
      <c r="G1747" s="48" t="s">
        <v>296</v>
      </c>
      <c r="H1747" s="47">
        <v>44210</v>
      </c>
      <c r="I1747" s="46">
        <v>51202</v>
      </c>
      <c r="J1747" s="46">
        <v>45</v>
      </c>
      <c r="K1747" s="47">
        <v>44211</v>
      </c>
      <c r="L1747" s="46">
        <v>10903</v>
      </c>
      <c r="M1747" s="46">
        <v>45</v>
      </c>
    </row>
    <row r="1748" spans="2:13" ht="14.1" customHeight="1" x14ac:dyDescent="0.25">
      <c r="B1748" s="46" t="str">
        <f t="shared" si="27"/>
        <v>2101-60-313224</v>
      </c>
      <c r="C1748" s="47">
        <v>44204</v>
      </c>
      <c r="D1748" s="46">
        <v>60</v>
      </c>
      <c r="E1748" s="46">
        <v>15</v>
      </c>
      <c r="F1748" s="46">
        <v>313224</v>
      </c>
      <c r="G1748" s="48" t="s">
        <v>1258</v>
      </c>
      <c r="H1748" s="47">
        <v>44210</v>
      </c>
      <c r="I1748" s="46">
        <v>51202</v>
      </c>
      <c r="J1748" s="46">
        <v>15</v>
      </c>
      <c r="K1748" s="47">
        <v>44211</v>
      </c>
      <c r="L1748" s="46">
        <v>10901</v>
      </c>
      <c r="M1748" s="46">
        <v>12</v>
      </c>
    </row>
    <row r="1749" spans="2:13" ht="14.1" customHeight="1" x14ac:dyDescent="0.25">
      <c r="B1749" s="46" t="str">
        <f t="shared" si="27"/>
        <v>2101-60-319115</v>
      </c>
      <c r="C1749" s="47">
        <v>44204</v>
      </c>
      <c r="D1749" s="46">
        <v>60</v>
      </c>
      <c r="E1749" s="46">
        <v>24</v>
      </c>
      <c r="F1749" s="46">
        <v>319115</v>
      </c>
      <c r="G1749" s="48" t="s">
        <v>1259</v>
      </c>
      <c r="H1749" s="47">
        <v>44231</v>
      </c>
      <c r="I1749" s="46">
        <v>51479</v>
      </c>
      <c r="J1749" s="46">
        <v>24</v>
      </c>
      <c r="K1749" s="47">
        <v>44265</v>
      </c>
      <c r="L1749" s="46">
        <v>11455</v>
      </c>
      <c r="M1749" s="46">
        <v>24</v>
      </c>
    </row>
    <row r="1750" spans="2:13" ht="14.1" customHeight="1" x14ac:dyDescent="0.25">
      <c r="B1750" s="46" t="str">
        <f t="shared" si="27"/>
        <v>2101-61-203593</v>
      </c>
      <c r="C1750" s="47">
        <v>44204</v>
      </c>
      <c r="D1750" s="46">
        <v>61</v>
      </c>
      <c r="E1750" s="46">
        <v>12500</v>
      </c>
      <c r="F1750" s="46">
        <v>203593</v>
      </c>
      <c r="G1750" s="48" t="s">
        <v>211</v>
      </c>
      <c r="H1750" s="47">
        <v>44203</v>
      </c>
      <c r="I1750" s="46">
        <v>51154</v>
      </c>
      <c r="J1750" s="46">
        <v>12500</v>
      </c>
      <c r="K1750" s="47">
        <v>44204</v>
      </c>
      <c r="L1750" s="46">
        <v>10832</v>
      </c>
      <c r="M1750" s="46">
        <v>12500</v>
      </c>
    </row>
    <row r="1751" spans="2:13" ht="14.1" customHeight="1" x14ac:dyDescent="0.25">
      <c r="B1751" s="46" t="str">
        <f t="shared" si="27"/>
        <v>2101-62-309185</v>
      </c>
      <c r="C1751" s="47">
        <v>44204</v>
      </c>
      <c r="D1751" s="46">
        <v>62</v>
      </c>
      <c r="E1751" s="46">
        <v>8</v>
      </c>
      <c r="F1751" s="46">
        <v>309185</v>
      </c>
      <c r="G1751" s="50" t="s">
        <v>1260</v>
      </c>
      <c r="H1751" s="47">
        <v>44210</v>
      </c>
      <c r="I1751" s="46">
        <v>51205</v>
      </c>
      <c r="J1751" s="46">
        <v>8</v>
      </c>
      <c r="K1751" s="47">
        <v>44222</v>
      </c>
      <c r="L1751" s="46">
        <v>11001</v>
      </c>
      <c r="M1751" s="46">
        <v>8</v>
      </c>
    </row>
    <row r="1752" spans="2:13" ht="14.1" customHeight="1" x14ac:dyDescent="0.25">
      <c r="B1752" s="46" t="str">
        <f t="shared" si="27"/>
        <v>2101-62-204203</v>
      </c>
      <c r="C1752" s="47">
        <v>44204</v>
      </c>
      <c r="D1752" s="46">
        <v>62</v>
      </c>
      <c r="E1752" s="46">
        <v>6</v>
      </c>
      <c r="F1752" s="46">
        <v>204203</v>
      </c>
      <c r="G1752" s="48" t="s">
        <v>1261</v>
      </c>
      <c r="H1752" s="47">
        <v>44210</v>
      </c>
      <c r="I1752" s="46">
        <v>51205</v>
      </c>
      <c r="J1752" s="46">
        <v>6</v>
      </c>
      <c r="K1752" s="47">
        <v>44222</v>
      </c>
      <c r="L1752" s="46">
        <v>11001</v>
      </c>
      <c r="M1752" s="46">
        <v>6</v>
      </c>
    </row>
    <row r="1753" spans="2:13" ht="14.1" customHeight="1" x14ac:dyDescent="0.25">
      <c r="B1753" s="46" t="str">
        <f t="shared" si="27"/>
        <v>2101-62-302456</v>
      </c>
      <c r="C1753" s="47">
        <v>44204</v>
      </c>
      <c r="D1753" s="46">
        <v>62</v>
      </c>
      <c r="E1753" s="46">
        <v>6</v>
      </c>
      <c r="F1753" s="46">
        <v>302456</v>
      </c>
      <c r="G1753" s="50" t="s">
        <v>641</v>
      </c>
      <c r="H1753" s="47">
        <v>44210</v>
      </c>
      <c r="I1753" s="46">
        <v>51205</v>
      </c>
      <c r="J1753" s="46">
        <v>6</v>
      </c>
      <c r="K1753" s="47">
        <v>44222</v>
      </c>
      <c r="L1753" s="46">
        <v>11001</v>
      </c>
      <c r="M1753" s="46">
        <v>6</v>
      </c>
    </row>
    <row r="1754" spans="2:13" ht="14.1" customHeight="1" x14ac:dyDescent="0.25">
      <c r="B1754" s="46" t="str">
        <f t="shared" si="27"/>
        <v>2101-64-309953</v>
      </c>
      <c r="C1754" s="47">
        <v>44204</v>
      </c>
      <c r="D1754" s="46">
        <v>64</v>
      </c>
      <c r="E1754" s="46">
        <v>4</v>
      </c>
      <c r="F1754" s="46">
        <v>309953</v>
      </c>
      <c r="G1754" s="48" t="s">
        <v>1267</v>
      </c>
      <c r="H1754" s="47">
        <v>44224</v>
      </c>
      <c r="I1754" s="46">
        <v>51432</v>
      </c>
      <c r="J1754" s="46">
        <v>4</v>
      </c>
      <c r="K1754" s="47">
        <v>44239</v>
      </c>
      <c r="L1754" s="46">
        <v>11189</v>
      </c>
      <c r="M1754" s="46">
        <v>4</v>
      </c>
    </row>
    <row r="1755" spans="2:13" ht="14.1" customHeight="1" x14ac:dyDescent="0.25">
      <c r="B1755" s="46" t="str">
        <f t="shared" si="27"/>
        <v>2101-64-320616</v>
      </c>
      <c r="C1755" s="47">
        <v>44204</v>
      </c>
      <c r="D1755" s="46">
        <v>64</v>
      </c>
      <c r="E1755" s="46">
        <v>2</v>
      </c>
      <c r="F1755" s="46">
        <v>320616</v>
      </c>
      <c r="G1755" s="50" t="s">
        <v>1266</v>
      </c>
      <c r="H1755" s="47">
        <v>44224</v>
      </c>
      <c r="I1755" s="46">
        <v>51433</v>
      </c>
      <c r="J1755" s="46">
        <v>2</v>
      </c>
      <c r="K1755" s="47">
        <v>44229</v>
      </c>
      <c r="L1755" s="46">
        <v>11065</v>
      </c>
      <c r="M1755" s="46">
        <v>2</v>
      </c>
    </row>
    <row r="1756" spans="2:13" ht="14.1" customHeight="1" x14ac:dyDescent="0.25">
      <c r="B1756" s="46" t="str">
        <f t="shared" si="27"/>
        <v>2101-64-320087</v>
      </c>
      <c r="C1756" s="47">
        <v>44204</v>
      </c>
      <c r="D1756" s="46">
        <v>64</v>
      </c>
      <c r="E1756" s="46">
        <v>2</v>
      </c>
      <c r="F1756" s="46">
        <v>320087</v>
      </c>
      <c r="G1756" s="48" t="s">
        <v>414</v>
      </c>
      <c r="H1756" s="47">
        <v>44224</v>
      </c>
      <c r="I1756" s="46">
        <v>51433</v>
      </c>
      <c r="J1756" s="46">
        <v>2</v>
      </c>
      <c r="L1756" s="46">
        <v>0</v>
      </c>
      <c r="M1756" s="46">
        <v>0</v>
      </c>
    </row>
    <row r="1757" spans="2:13" ht="14.1" customHeight="1" x14ac:dyDescent="0.25">
      <c r="B1757" s="46" t="str">
        <f t="shared" si="27"/>
        <v>2101-64-200421</v>
      </c>
      <c r="C1757" s="47">
        <v>44204</v>
      </c>
      <c r="D1757" s="46">
        <v>64</v>
      </c>
      <c r="E1757" s="46">
        <v>4</v>
      </c>
      <c r="F1757" s="46">
        <v>200421</v>
      </c>
      <c r="G1757" s="50" t="s">
        <v>1145</v>
      </c>
      <c r="H1757" s="47">
        <v>44228</v>
      </c>
      <c r="I1757" s="46">
        <v>51434</v>
      </c>
      <c r="J1757" s="46">
        <v>4</v>
      </c>
      <c r="K1757" s="47">
        <v>44230</v>
      </c>
      <c r="L1757" s="46">
        <v>11086</v>
      </c>
      <c r="M1757" s="46">
        <v>4</v>
      </c>
    </row>
    <row r="1758" spans="2:13" ht="14.1" customHeight="1" x14ac:dyDescent="0.25">
      <c r="B1758" s="46" t="str">
        <f t="shared" si="27"/>
        <v>2101-64-320614</v>
      </c>
      <c r="C1758" s="47">
        <v>44204</v>
      </c>
      <c r="D1758" s="46">
        <v>64</v>
      </c>
      <c r="E1758" s="46">
        <v>2</v>
      </c>
      <c r="F1758" s="46">
        <v>320614</v>
      </c>
      <c r="G1758" s="48" t="s">
        <v>1264</v>
      </c>
      <c r="I1758" s="46">
        <v>0</v>
      </c>
      <c r="J1758" s="46">
        <v>0</v>
      </c>
      <c r="L1758" s="46">
        <v>0</v>
      </c>
      <c r="M1758" s="46">
        <v>0</v>
      </c>
    </row>
    <row r="1759" spans="2:13" ht="14.1" customHeight="1" x14ac:dyDescent="0.25">
      <c r="B1759" s="46" t="str">
        <f t="shared" si="27"/>
        <v>2101-64-320612</v>
      </c>
      <c r="C1759" s="47">
        <v>44204</v>
      </c>
      <c r="D1759" s="46">
        <v>64</v>
      </c>
      <c r="E1759" s="46">
        <v>2</v>
      </c>
      <c r="F1759" s="46">
        <v>320612</v>
      </c>
      <c r="G1759" s="48" t="s">
        <v>1262</v>
      </c>
      <c r="H1759" s="47">
        <v>44224</v>
      </c>
      <c r="I1759" s="46">
        <v>51433</v>
      </c>
      <c r="J1759" s="46">
        <v>2</v>
      </c>
      <c r="K1759" s="47">
        <v>44229</v>
      </c>
      <c r="L1759" s="46">
        <v>11064</v>
      </c>
      <c r="M1759" s="46">
        <v>2</v>
      </c>
    </row>
    <row r="1760" spans="2:13" ht="14.1" customHeight="1" x14ac:dyDescent="0.25">
      <c r="B1760" s="46" t="str">
        <f t="shared" si="27"/>
        <v>2101-64-320613</v>
      </c>
      <c r="C1760" s="47">
        <v>44204</v>
      </c>
      <c r="D1760" s="46">
        <v>64</v>
      </c>
      <c r="E1760" s="46">
        <v>2</v>
      </c>
      <c r="F1760" s="46">
        <v>320613</v>
      </c>
      <c r="G1760" s="48" t="s">
        <v>1263</v>
      </c>
      <c r="H1760" s="47">
        <v>44224</v>
      </c>
      <c r="I1760" s="46">
        <v>51433</v>
      </c>
      <c r="J1760" s="46">
        <v>2</v>
      </c>
      <c r="K1760" s="47">
        <v>44229</v>
      </c>
      <c r="L1760" s="46">
        <v>11064</v>
      </c>
      <c r="M1760" s="46">
        <v>1</v>
      </c>
    </row>
    <row r="1761" spans="2:13" ht="14.1" customHeight="1" x14ac:dyDescent="0.25">
      <c r="B1761" s="46" t="str">
        <f t="shared" si="27"/>
        <v>2101-64-320613</v>
      </c>
      <c r="C1761" s="47">
        <v>44204</v>
      </c>
      <c r="D1761" s="46">
        <v>64</v>
      </c>
      <c r="E1761" s="46">
        <v>2</v>
      </c>
      <c r="F1761" s="46">
        <v>320613</v>
      </c>
      <c r="G1761" s="50" t="s">
        <v>1263</v>
      </c>
      <c r="H1761" s="47">
        <v>44224</v>
      </c>
      <c r="I1761" s="46">
        <v>51433</v>
      </c>
      <c r="J1761" s="46">
        <v>2</v>
      </c>
      <c r="K1761" s="47">
        <v>44229</v>
      </c>
      <c r="L1761" s="46">
        <v>11065</v>
      </c>
      <c r="M1761" s="46">
        <v>1</v>
      </c>
    </row>
    <row r="1762" spans="2:13" ht="14.1" customHeight="1" x14ac:dyDescent="0.25">
      <c r="B1762" s="46" t="str">
        <f t="shared" si="27"/>
        <v>2101-64-320615</v>
      </c>
      <c r="C1762" s="47">
        <v>44204</v>
      </c>
      <c r="D1762" s="46">
        <v>64</v>
      </c>
      <c r="E1762" s="46">
        <v>2</v>
      </c>
      <c r="F1762" s="46">
        <v>320615</v>
      </c>
      <c r="G1762" s="50" t="s">
        <v>1265</v>
      </c>
      <c r="H1762" s="47">
        <v>44224</v>
      </c>
      <c r="I1762" s="46">
        <v>51433</v>
      </c>
      <c r="J1762" s="46">
        <v>2</v>
      </c>
      <c r="K1762" s="47">
        <v>44229</v>
      </c>
      <c r="L1762" s="46">
        <v>11065</v>
      </c>
      <c r="M1762" s="46">
        <v>2</v>
      </c>
    </row>
    <row r="1763" spans="2:13" ht="14.1" customHeight="1" x14ac:dyDescent="0.25">
      <c r="B1763" s="46" t="str">
        <f t="shared" si="27"/>
        <v>2101-65-320592</v>
      </c>
      <c r="C1763" s="47">
        <v>44204</v>
      </c>
      <c r="D1763" s="46">
        <v>65</v>
      </c>
      <c r="E1763" s="46">
        <v>1</v>
      </c>
      <c r="F1763" s="46">
        <v>320592</v>
      </c>
      <c r="G1763" s="48" t="s">
        <v>1754</v>
      </c>
      <c r="H1763" s="47">
        <v>44223</v>
      </c>
      <c r="I1763" s="46">
        <v>51405</v>
      </c>
      <c r="J1763" s="46">
        <v>1</v>
      </c>
      <c r="K1763" s="47">
        <v>44204</v>
      </c>
      <c r="L1763" s="46">
        <v>10836</v>
      </c>
      <c r="M1763" s="46">
        <v>1</v>
      </c>
    </row>
    <row r="1764" spans="2:13" ht="14.1" customHeight="1" x14ac:dyDescent="0.25">
      <c r="B1764" s="46" t="str">
        <f t="shared" si="27"/>
        <v>2101-65-312864</v>
      </c>
      <c r="C1764" s="47">
        <v>44204</v>
      </c>
      <c r="D1764" s="46">
        <v>65</v>
      </c>
      <c r="E1764" s="46">
        <v>3</v>
      </c>
      <c r="F1764" s="46">
        <v>312864</v>
      </c>
      <c r="G1764" s="48" t="s">
        <v>1507</v>
      </c>
      <c r="H1764" s="47">
        <v>44223</v>
      </c>
      <c r="I1764" s="46">
        <v>51405</v>
      </c>
      <c r="J1764" s="46">
        <v>3</v>
      </c>
      <c r="K1764" s="47">
        <v>44204</v>
      </c>
      <c r="L1764" s="46">
        <v>10836</v>
      </c>
      <c r="M1764" s="46">
        <v>3</v>
      </c>
    </row>
    <row r="1765" spans="2:13" ht="14.1" customHeight="1" x14ac:dyDescent="0.25">
      <c r="B1765" s="46" t="str">
        <f t="shared" si="27"/>
        <v>2101-66-203547</v>
      </c>
      <c r="C1765" s="47">
        <v>44204</v>
      </c>
      <c r="D1765" s="46">
        <v>66</v>
      </c>
      <c r="E1765" s="46">
        <v>40</v>
      </c>
      <c r="F1765" s="46">
        <v>203547</v>
      </c>
      <c r="G1765" s="48" t="s">
        <v>303</v>
      </c>
      <c r="H1765" s="47">
        <v>44211</v>
      </c>
      <c r="I1765" s="46">
        <v>51212</v>
      </c>
      <c r="J1765" s="46">
        <v>40</v>
      </c>
      <c r="K1765" s="47">
        <v>44215</v>
      </c>
      <c r="L1765" s="46">
        <v>10948</v>
      </c>
      <c r="M1765" s="46">
        <v>40</v>
      </c>
    </row>
    <row r="1766" spans="2:13" ht="14.1" customHeight="1" x14ac:dyDescent="0.25">
      <c r="B1766" s="46" t="str">
        <f t="shared" si="27"/>
        <v>2101-67-102033</v>
      </c>
      <c r="C1766" s="47">
        <v>44204</v>
      </c>
      <c r="D1766" s="46">
        <v>67</v>
      </c>
      <c r="E1766" s="46">
        <v>1</v>
      </c>
      <c r="F1766" s="46">
        <v>102033</v>
      </c>
      <c r="G1766" s="48" t="s">
        <v>421</v>
      </c>
      <c r="H1766" s="47">
        <v>44208</v>
      </c>
      <c r="I1766" s="46">
        <v>51184</v>
      </c>
      <c r="J1766" s="46">
        <v>1</v>
      </c>
      <c r="L1766" s="46">
        <v>0</v>
      </c>
      <c r="M1766" s="46">
        <v>0</v>
      </c>
    </row>
    <row r="1767" spans="2:13" ht="14.1" customHeight="1" x14ac:dyDescent="0.25">
      <c r="B1767" s="46" t="str">
        <f t="shared" si="27"/>
        <v>2101-67-106973</v>
      </c>
      <c r="C1767" s="47">
        <v>44204</v>
      </c>
      <c r="D1767" s="46">
        <v>67</v>
      </c>
      <c r="E1767" s="46">
        <v>1</v>
      </c>
      <c r="F1767" s="46">
        <v>106973</v>
      </c>
      <c r="G1767" s="48" t="s">
        <v>1268</v>
      </c>
      <c r="H1767" s="47">
        <v>44208</v>
      </c>
      <c r="I1767" s="46">
        <v>51184</v>
      </c>
      <c r="J1767" s="46">
        <v>1</v>
      </c>
      <c r="L1767" s="46">
        <v>0</v>
      </c>
      <c r="M1767" s="46">
        <v>0</v>
      </c>
    </row>
    <row r="1768" spans="2:13" ht="14.1" customHeight="1" x14ac:dyDescent="0.25">
      <c r="B1768" s="46" t="str">
        <f t="shared" si="27"/>
        <v>2101-70-300312</v>
      </c>
      <c r="C1768" s="47">
        <v>44207</v>
      </c>
      <c r="D1768" s="46">
        <v>70</v>
      </c>
      <c r="E1768" s="46">
        <v>1000</v>
      </c>
      <c r="F1768" s="46">
        <v>300312</v>
      </c>
      <c r="G1768" s="48" t="s">
        <v>186</v>
      </c>
      <c r="H1768" s="47">
        <v>44223</v>
      </c>
      <c r="I1768" s="46">
        <v>51395</v>
      </c>
      <c r="J1768" s="46">
        <v>1000</v>
      </c>
      <c r="K1768" s="47">
        <v>44207</v>
      </c>
      <c r="L1768" s="46">
        <v>10842</v>
      </c>
      <c r="M1768" s="46">
        <v>1000</v>
      </c>
    </row>
    <row r="1769" spans="2:13" ht="14.1" customHeight="1" x14ac:dyDescent="0.25">
      <c r="B1769" s="46" t="str">
        <f t="shared" si="27"/>
        <v>2101-74-314883</v>
      </c>
      <c r="C1769" s="47">
        <v>44207</v>
      </c>
      <c r="D1769" s="46">
        <v>74</v>
      </c>
      <c r="E1769" s="46">
        <v>4</v>
      </c>
      <c r="F1769" s="46">
        <v>314883</v>
      </c>
      <c r="G1769" s="48" t="s">
        <v>1331</v>
      </c>
      <c r="I1769" s="46">
        <v>0</v>
      </c>
      <c r="J1769" s="46">
        <v>0</v>
      </c>
      <c r="L1769" s="46">
        <v>0</v>
      </c>
      <c r="M1769" s="46">
        <v>0</v>
      </c>
    </row>
    <row r="1770" spans="2:13" ht="14.1" customHeight="1" x14ac:dyDescent="0.25">
      <c r="B1770" s="46" t="str">
        <f t="shared" si="27"/>
        <v>2101-74-100226</v>
      </c>
      <c r="C1770" s="47">
        <v>44207</v>
      </c>
      <c r="D1770" s="46">
        <v>74</v>
      </c>
      <c r="E1770" s="46">
        <v>4</v>
      </c>
      <c r="F1770" s="46">
        <v>100226</v>
      </c>
      <c r="G1770" s="48" t="s">
        <v>1332</v>
      </c>
      <c r="H1770" s="47">
        <v>44230</v>
      </c>
      <c r="I1770" s="46">
        <v>51460</v>
      </c>
      <c r="J1770" s="46">
        <v>4</v>
      </c>
      <c r="K1770" s="47">
        <v>44231</v>
      </c>
      <c r="L1770" s="46">
        <v>11108</v>
      </c>
      <c r="M1770" s="46">
        <v>4</v>
      </c>
    </row>
    <row r="1771" spans="2:13" ht="14.1" customHeight="1" x14ac:dyDescent="0.25">
      <c r="B1771" s="46" t="str">
        <f t="shared" si="27"/>
        <v>2101-74-304230</v>
      </c>
      <c r="C1771" s="47">
        <v>44207</v>
      </c>
      <c r="D1771" s="46">
        <v>74</v>
      </c>
      <c r="E1771" s="46">
        <v>4</v>
      </c>
      <c r="F1771" s="46">
        <v>304230</v>
      </c>
      <c r="G1771" s="48" t="s">
        <v>1333</v>
      </c>
      <c r="I1771" s="46">
        <v>0</v>
      </c>
      <c r="J1771" s="46">
        <v>0</v>
      </c>
      <c r="L1771" s="46">
        <v>0</v>
      </c>
      <c r="M1771" s="46">
        <v>0</v>
      </c>
    </row>
    <row r="1772" spans="2:13" ht="14.1" customHeight="1" x14ac:dyDescent="0.25">
      <c r="B1772" s="46" t="str">
        <f t="shared" si="27"/>
        <v>2101-75-313918</v>
      </c>
      <c r="C1772" s="47">
        <v>44207</v>
      </c>
      <c r="D1772" s="46">
        <v>75</v>
      </c>
      <c r="E1772" s="46">
        <v>6</v>
      </c>
      <c r="F1772" s="46">
        <v>313918</v>
      </c>
      <c r="G1772" s="48" t="s">
        <v>1336</v>
      </c>
      <c r="H1772" s="47">
        <v>44215</v>
      </c>
      <c r="I1772" s="46">
        <v>51258</v>
      </c>
      <c r="J1772" s="46">
        <v>6</v>
      </c>
      <c r="L1772" s="46">
        <v>0</v>
      </c>
      <c r="M1772" s="46">
        <v>0</v>
      </c>
    </row>
    <row r="1773" spans="2:13" ht="14.1" customHeight="1" x14ac:dyDescent="0.25">
      <c r="B1773" s="46" t="str">
        <f t="shared" si="27"/>
        <v>2101-75-307031</v>
      </c>
      <c r="C1773" s="47">
        <v>44207</v>
      </c>
      <c r="D1773" s="46">
        <v>75</v>
      </c>
      <c r="E1773" s="46">
        <v>6</v>
      </c>
      <c r="F1773" s="46">
        <v>307031</v>
      </c>
      <c r="G1773" s="48" t="s">
        <v>263</v>
      </c>
      <c r="H1773" s="47">
        <v>44215</v>
      </c>
      <c r="I1773" s="46">
        <v>51254</v>
      </c>
      <c r="J1773" s="46">
        <v>6</v>
      </c>
      <c r="K1773" s="47">
        <v>44217</v>
      </c>
      <c r="L1773" s="46">
        <v>10980</v>
      </c>
      <c r="M1773" s="46">
        <v>5</v>
      </c>
    </row>
    <row r="1774" spans="2:13" ht="14.1" customHeight="1" x14ac:dyDescent="0.25">
      <c r="B1774" s="46" t="str">
        <f t="shared" si="27"/>
        <v>2101-75-307031</v>
      </c>
      <c r="C1774" s="47">
        <v>44207</v>
      </c>
      <c r="D1774" s="46">
        <v>75</v>
      </c>
      <c r="E1774" s="46">
        <v>6</v>
      </c>
      <c r="F1774" s="46">
        <v>307031</v>
      </c>
      <c r="G1774" s="48" t="s">
        <v>263</v>
      </c>
      <c r="H1774" s="47">
        <v>44215</v>
      </c>
      <c r="I1774" s="46">
        <v>51254</v>
      </c>
      <c r="J1774" s="46">
        <v>6</v>
      </c>
      <c r="K1774" s="47">
        <v>44217</v>
      </c>
      <c r="L1774" s="46">
        <v>10979</v>
      </c>
      <c r="M1774" s="46">
        <v>1</v>
      </c>
    </row>
    <row r="1775" spans="2:13" ht="14.1" customHeight="1" x14ac:dyDescent="0.25">
      <c r="B1775" s="46" t="str">
        <f t="shared" si="27"/>
        <v>2101-75-308201</v>
      </c>
      <c r="C1775" s="47">
        <v>44207</v>
      </c>
      <c r="D1775" s="46">
        <v>75</v>
      </c>
      <c r="E1775" s="46">
        <v>6</v>
      </c>
      <c r="F1775" s="46">
        <v>308201</v>
      </c>
      <c r="G1775" s="48" t="s">
        <v>1338</v>
      </c>
      <c r="H1775" s="47">
        <v>44215</v>
      </c>
      <c r="I1775" s="46">
        <v>51254</v>
      </c>
      <c r="J1775" s="46">
        <v>6</v>
      </c>
      <c r="K1775" s="47">
        <v>44217</v>
      </c>
      <c r="L1775" s="46">
        <v>10980</v>
      </c>
      <c r="M1775" s="46">
        <v>6</v>
      </c>
    </row>
    <row r="1776" spans="2:13" ht="14.1" customHeight="1" x14ac:dyDescent="0.25">
      <c r="B1776" s="46" t="str">
        <f t="shared" si="27"/>
        <v>2101-75-317853</v>
      </c>
      <c r="C1776" s="47">
        <v>44207</v>
      </c>
      <c r="D1776" s="46">
        <v>75</v>
      </c>
      <c r="E1776" s="46">
        <v>6</v>
      </c>
      <c r="F1776" s="46">
        <v>317853</v>
      </c>
      <c r="G1776" s="48" t="s">
        <v>1334</v>
      </c>
      <c r="H1776" s="47">
        <v>44215</v>
      </c>
      <c r="I1776" s="46">
        <v>51254</v>
      </c>
      <c r="J1776" s="46">
        <v>6</v>
      </c>
      <c r="K1776" s="47">
        <v>44217</v>
      </c>
      <c r="L1776" s="46">
        <v>10980</v>
      </c>
      <c r="M1776" s="46">
        <v>6</v>
      </c>
    </row>
    <row r="1777" spans="2:13" ht="14.1" customHeight="1" x14ac:dyDescent="0.25">
      <c r="B1777" s="46" t="str">
        <f t="shared" si="27"/>
        <v>2101-75-203780</v>
      </c>
      <c r="C1777" s="47">
        <v>44207</v>
      </c>
      <c r="D1777" s="46">
        <v>75</v>
      </c>
      <c r="E1777" s="46">
        <v>6</v>
      </c>
      <c r="F1777" s="46">
        <v>203780</v>
      </c>
      <c r="G1777" s="48" t="s">
        <v>1335</v>
      </c>
      <c r="H1777" s="47">
        <v>44215</v>
      </c>
      <c r="I1777" s="46">
        <v>51256</v>
      </c>
      <c r="J1777" s="46">
        <v>6</v>
      </c>
      <c r="K1777" s="47">
        <v>44217</v>
      </c>
      <c r="L1777" s="46">
        <v>10968</v>
      </c>
      <c r="M1777" s="46">
        <v>6</v>
      </c>
    </row>
    <row r="1778" spans="2:13" ht="14.1" customHeight="1" x14ac:dyDescent="0.25">
      <c r="B1778" s="46" t="str">
        <f t="shared" si="27"/>
        <v>2101-75-205645</v>
      </c>
      <c r="C1778" s="47">
        <v>44207</v>
      </c>
      <c r="D1778" s="46">
        <v>75</v>
      </c>
      <c r="E1778" s="46">
        <v>6</v>
      </c>
      <c r="F1778" s="46">
        <v>205645</v>
      </c>
      <c r="G1778" s="48" t="s">
        <v>85</v>
      </c>
      <c r="H1778" s="47">
        <v>44215</v>
      </c>
      <c r="I1778" s="46">
        <v>51254</v>
      </c>
      <c r="J1778" s="46">
        <v>6</v>
      </c>
      <c r="K1778" s="47">
        <v>44217</v>
      </c>
      <c r="L1778" s="46">
        <v>10980</v>
      </c>
      <c r="M1778" s="46">
        <v>6</v>
      </c>
    </row>
    <row r="1779" spans="2:13" ht="14.1" customHeight="1" x14ac:dyDescent="0.25">
      <c r="B1779" s="46" t="str">
        <f t="shared" si="27"/>
        <v>2101-75-303947</v>
      </c>
      <c r="C1779" s="47">
        <v>44207</v>
      </c>
      <c r="D1779" s="46">
        <v>75</v>
      </c>
      <c r="E1779" s="46">
        <v>6</v>
      </c>
      <c r="F1779" s="46">
        <v>303947</v>
      </c>
      <c r="G1779" s="48" t="s">
        <v>203</v>
      </c>
      <c r="H1779" s="47">
        <v>44215</v>
      </c>
      <c r="I1779" s="46">
        <v>51256</v>
      </c>
      <c r="J1779" s="46">
        <v>6</v>
      </c>
      <c r="K1779" s="47">
        <v>44217</v>
      </c>
      <c r="L1779" s="46">
        <v>10968</v>
      </c>
      <c r="M1779" s="46">
        <v>6</v>
      </c>
    </row>
    <row r="1780" spans="2:13" ht="14.1" customHeight="1" x14ac:dyDescent="0.25">
      <c r="B1780" s="46" t="str">
        <f t="shared" si="27"/>
        <v>2101-75-301083</v>
      </c>
      <c r="C1780" s="47">
        <v>44207</v>
      </c>
      <c r="D1780" s="46">
        <v>75</v>
      </c>
      <c r="E1780" s="46">
        <v>12</v>
      </c>
      <c r="F1780" s="46">
        <v>301083</v>
      </c>
      <c r="G1780" s="48" t="s">
        <v>1339</v>
      </c>
      <c r="H1780" s="47">
        <v>44215</v>
      </c>
      <c r="I1780" s="46">
        <v>51258</v>
      </c>
      <c r="J1780" s="46">
        <v>12</v>
      </c>
      <c r="K1780" s="47">
        <v>44229</v>
      </c>
      <c r="L1780" s="46">
        <v>11068</v>
      </c>
      <c r="M1780" s="46">
        <v>12</v>
      </c>
    </row>
    <row r="1781" spans="2:13" ht="14.1" customHeight="1" x14ac:dyDescent="0.25">
      <c r="B1781" s="46" t="str">
        <f t="shared" si="27"/>
        <v>2101-75-205958</v>
      </c>
      <c r="C1781" s="47">
        <v>44207</v>
      </c>
      <c r="D1781" s="46">
        <v>75</v>
      </c>
      <c r="E1781" s="46">
        <v>4</v>
      </c>
      <c r="F1781" s="46">
        <v>205958</v>
      </c>
      <c r="G1781" s="48" t="s">
        <v>122</v>
      </c>
      <c r="H1781" s="47">
        <v>44215</v>
      </c>
      <c r="I1781" s="46">
        <v>51254</v>
      </c>
      <c r="J1781" s="46">
        <v>4</v>
      </c>
      <c r="K1781" s="47">
        <v>44217</v>
      </c>
      <c r="L1781" s="46">
        <v>10980</v>
      </c>
      <c r="M1781" s="46">
        <v>4</v>
      </c>
    </row>
    <row r="1782" spans="2:13" ht="14.1" customHeight="1" x14ac:dyDescent="0.25">
      <c r="B1782" s="46" t="str">
        <f t="shared" si="27"/>
        <v>2101-75-308890</v>
      </c>
      <c r="C1782" s="47">
        <v>44207</v>
      </c>
      <c r="D1782" s="46">
        <v>75</v>
      </c>
      <c r="E1782" s="46">
        <v>3</v>
      </c>
      <c r="F1782" s="46">
        <v>308890</v>
      </c>
      <c r="G1782" s="48" t="s">
        <v>52</v>
      </c>
      <c r="H1782" s="47">
        <v>44215</v>
      </c>
      <c r="I1782" s="46">
        <v>51254</v>
      </c>
      <c r="J1782" s="46">
        <v>3</v>
      </c>
      <c r="K1782" s="47">
        <v>44217</v>
      </c>
      <c r="L1782" s="46">
        <v>10980</v>
      </c>
      <c r="M1782" s="46">
        <v>3</v>
      </c>
    </row>
    <row r="1783" spans="2:13" ht="14.1" customHeight="1" x14ac:dyDescent="0.25">
      <c r="B1783" s="46" t="str">
        <f t="shared" si="27"/>
        <v>2101-75-300334</v>
      </c>
      <c r="C1783" s="47">
        <v>44207</v>
      </c>
      <c r="D1783" s="46">
        <v>75</v>
      </c>
      <c r="E1783" s="46">
        <v>4</v>
      </c>
      <c r="F1783" s="46">
        <v>300334</v>
      </c>
      <c r="G1783" s="48" t="s">
        <v>46</v>
      </c>
      <c r="H1783" s="47">
        <v>44215</v>
      </c>
      <c r="I1783" s="46">
        <v>51254</v>
      </c>
      <c r="J1783" s="46">
        <v>4</v>
      </c>
      <c r="K1783" s="47">
        <v>44217</v>
      </c>
      <c r="L1783" s="46">
        <v>10980</v>
      </c>
      <c r="M1783" s="46">
        <v>4</v>
      </c>
    </row>
    <row r="1784" spans="2:13" ht="14.1" customHeight="1" x14ac:dyDescent="0.25">
      <c r="B1784" s="46" t="str">
        <f t="shared" si="27"/>
        <v>2101-75-205033</v>
      </c>
      <c r="C1784" s="47">
        <v>44207</v>
      </c>
      <c r="D1784" s="46">
        <v>75</v>
      </c>
      <c r="E1784" s="46">
        <v>6</v>
      </c>
      <c r="F1784" s="46">
        <v>205033</v>
      </c>
      <c r="G1784" s="48" t="s">
        <v>1337</v>
      </c>
      <c r="H1784" s="47">
        <v>44215</v>
      </c>
      <c r="I1784" s="46">
        <v>51259</v>
      </c>
      <c r="J1784" s="46">
        <v>6</v>
      </c>
      <c r="K1784" s="47">
        <v>44217</v>
      </c>
      <c r="L1784" s="46">
        <v>10969</v>
      </c>
      <c r="M1784" s="46">
        <v>6</v>
      </c>
    </row>
    <row r="1785" spans="2:13" ht="14.1" customHeight="1" x14ac:dyDescent="0.25">
      <c r="B1785" s="46" t="str">
        <f t="shared" si="27"/>
        <v>2101-78-200275</v>
      </c>
      <c r="C1785" s="47">
        <v>44207</v>
      </c>
      <c r="D1785" s="46">
        <v>78</v>
      </c>
      <c r="E1785" s="46">
        <v>48</v>
      </c>
      <c r="F1785" s="46">
        <v>200275</v>
      </c>
      <c r="G1785" s="48" t="s">
        <v>193</v>
      </c>
      <c r="H1785" s="47">
        <v>44208</v>
      </c>
      <c r="I1785" s="46">
        <v>51197</v>
      </c>
      <c r="J1785" s="46">
        <v>48</v>
      </c>
      <c r="K1785" s="47">
        <v>44215</v>
      </c>
      <c r="L1785" s="46">
        <v>10945</v>
      </c>
      <c r="M1785" s="46">
        <v>48</v>
      </c>
    </row>
    <row r="1786" spans="2:13" ht="14.1" customHeight="1" x14ac:dyDescent="0.25">
      <c r="B1786" s="46" t="str">
        <f t="shared" si="27"/>
        <v>2101-79-319688</v>
      </c>
      <c r="C1786" s="47">
        <v>44207</v>
      </c>
      <c r="D1786" s="46">
        <v>79</v>
      </c>
      <c r="E1786" s="46">
        <v>2000</v>
      </c>
      <c r="F1786" s="46">
        <v>319688</v>
      </c>
      <c r="G1786" s="48" t="s">
        <v>281</v>
      </c>
      <c r="H1786" s="47">
        <v>44208</v>
      </c>
      <c r="I1786" s="46">
        <v>51198</v>
      </c>
      <c r="J1786" s="46">
        <v>2000</v>
      </c>
      <c r="K1786" s="47">
        <v>44210</v>
      </c>
      <c r="L1786" s="46">
        <v>10895</v>
      </c>
      <c r="M1786" s="46">
        <v>2000</v>
      </c>
    </row>
    <row r="1787" spans="2:13" ht="14.1" customHeight="1" x14ac:dyDescent="0.25">
      <c r="B1787" s="46" t="str">
        <f t="shared" si="27"/>
        <v>2101-80-316612</v>
      </c>
      <c r="C1787" s="47">
        <v>44207</v>
      </c>
      <c r="D1787" s="46">
        <v>80</v>
      </c>
      <c r="E1787" s="46">
        <v>1000</v>
      </c>
      <c r="F1787" s="46">
        <v>316612</v>
      </c>
      <c r="G1787" s="48" t="s">
        <v>126</v>
      </c>
      <c r="H1787" s="47">
        <v>44208</v>
      </c>
      <c r="I1787" s="46">
        <v>51195</v>
      </c>
      <c r="J1787" s="46">
        <v>1000</v>
      </c>
      <c r="K1787" s="47">
        <v>44210</v>
      </c>
      <c r="L1787" s="46">
        <v>10886</v>
      </c>
      <c r="M1787" s="46">
        <v>1000</v>
      </c>
    </row>
    <row r="1788" spans="2:13" ht="14.1" customHeight="1" x14ac:dyDescent="0.25">
      <c r="B1788" s="46" t="str">
        <f t="shared" si="27"/>
        <v>2101-81-314245</v>
      </c>
      <c r="C1788" s="47">
        <v>44208</v>
      </c>
      <c r="D1788" s="46">
        <v>81</v>
      </c>
      <c r="E1788" s="46">
        <v>2</v>
      </c>
      <c r="F1788" s="46">
        <v>314245</v>
      </c>
      <c r="G1788" s="48" t="s">
        <v>1341</v>
      </c>
      <c r="H1788" s="47">
        <v>44215</v>
      </c>
      <c r="I1788" s="46">
        <v>51253</v>
      </c>
      <c r="J1788" s="46">
        <v>2</v>
      </c>
      <c r="K1788" s="47">
        <v>44218</v>
      </c>
      <c r="L1788" s="46">
        <v>10983</v>
      </c>
      <c r="M1788" s="46">
        <v>2</v>
      </c>
    </row>
    <row r="1789" spans="2:13" ht="14.1" customHeight="1" x14ac:dyDescent="0.25">
      <c r="B1789" s="46" t="str">
        <f t="shared" si="27"/>
        <v>2101-81-204787</v>
      </c>
      <c r="C1789" s="47">
        <v>44208</v>
      </c>
      <c r="D1789" s="46">
        <v>81</v>
      </c>
      <c r="E1789" s="46">
        <v>1</v>
      </c>
      <c r="F1789" s="46">
        <v>204787</v>
      </c>
      <c r="G1789" s="48" t="s">
        <v>1343</v>
      </c>
      <c r="H1789" s="47">
        <v>44215</v>
      </c>
      <c r="I1789" s="46">
        <v>51253</v>
      </c>
      <c r="J1789" s="46">
        <v>1</v>
      </c>
      <c r="K1789" s="47">
        <v>44218</v>
      </c>
      <c r="L1789" s="46">
        <v>10983</v>
      </c>
      <c r="M1789" s="46">
        <v>1</v>
      </c>
    </row>
    <row r="1790" spans="2:13" ht="14.1" customHeight="1" x14ac:dyDescent="0.25">
      <c r="B1790" s="46" t="str">
        <f t="shared" si="27"/>
        <v>2101-81-311271</v>
      </c>
      <c r="C1790" s="47">
        <v>44208</v>
      </c>
      <c r="D1790" s="46">
        <v>81</v>
      </c>
      <c r="E1790" s="46">
        <v>2</v>
      </c>
      <c r="F1790" s="46">
        <v>311271</v>
      </c>
      <c r="G1790" s="50" t="s">
        <v>789</v>
      </c>
      <c r="H1790" s="47">
        <v>44215</v>
      </c>
      <c r="I1790" s="46">
        <v>51253</v>
      </c>
      <c r="J1790" s="46">
        <v>2</v>
      </c>
      <c r="K1790" s="47">
        <v>44218</v>
      </c>
      <c r="L1790" s="46">
        <v>10983</v>
      </c>
      <c r="M1790" s="46">
        <v>2</v>
      </c>
    </row>
    <row r="1791" spans="2:13" ht="14.1" customHeight="1" x14ac:dyDescent="0.25">
      <c r="B1791" s="46" t="str">
        <f t="shared" si="27"/>
        <v>2101-81-301154</v>
      </c>
      <c r="C1791" s="47">
        <v>44208</v>
      </c>
      <c r="D1791" s="46">
        <v>81</v>
      </c>
      <c r="E1791" s="46">
        <v>7</v>
      </c>
      <c r="F1791" s="46">
        <v>301154</v>
      </c>
      <c r="G1791" s="48" t="s">
        <v>1344</v>
      </c>
      <c r="H1791" s="47">
        <v>44215</v>
      </c>
      <c r="I1791" s="46">
        <v>51253</v>
      </c>
      <c r="J1791" s="46">
        <v>7</v>
      </c>
      <c r="K1791" s="47">
        <v>44218</v>
      </c>
      <c r="L1791" s="46">
        <v>10983</v>
      </c>
      <c r="M1791" s="46">
        <v>7</v>
      </c>
    </row>
    <row r="1792" spans="2:13" ht="14.1" customHeight="1" x14ac:dyDescent="0.25">
      <c r="B1792" s="46" t="str">
        <f t="shared" si="27"/>
        <v>2101-81-107206</v>
      </c>
      <c r="C1792" s="47">
        <v>44208</v>
      </c>
      <c r="D1792" s="46">
        <v>81</v>
      </c>
      <c r="E1792" s="46">
        <v>2</v>
      </c>
      <c r="F1792" s="46">
        <v>107206</v>
      </c>
      <c r="G1792" s="48" t="s">
        <v>1342</v>
      </c>
      <c r="H1792" s="47">
        <v>44215</v>
      </c>
      <c r="I1792" s="46">
        <v>51253</v>
      </c>
      <c r="J1792" s="46">
        <v>2</v>
      </c>
      <c r="K1792" s="47">
        <v>44218</v>
      </c>
      <c r="L1792" s="46">
        <v>10983</v>
      </c>
      <c r="M1792" s="46">
        <v>2</v>
      </c>
    </row>
    <row r="1793" spans="2:13" ht="14.1" customHeight="1" x14ac:dyDescent="0.25">
      <c r="B1793" s="46" t="str">
        <f t="shared" si="27"/>
        <v>2101-81-205483</v>
      </c>
      <c r="C1793" s="47">
        <v>44208</v>
      </c>
      <c r="D1793" s="46">
        <v>81</v>
      </c>
      <c r="E1793" s="46">
        <v>2</v>
      </c>
      <c r="F1793" s="46">
        <v>205483</v>
      </c>
      <c r="G1793" s="48" t="s">
        <v>1228</v>
      </c>
      <c r="H1793" s="47">
        <v>44215</v>
      </c>
      <c r="I1793" s="46">
        <v>51253</v>
      </c>
      <c r="J1793" s="46">
        <v>2</v>
      </c>
      <c r="K1793" s="47">
        <v>44218</v>
      </c>
      <c r="L1793" s="46">
        <v>10983</v>
      </c>
      <c r="M1793" s="46">
        <v>2</v>
      </c>
    </row>
    <row r="1794" spans="2:13" ht="14.1" customHeight="1" x14ac:dyDescent="0.25">
      <c r="B1794" s="46" t="str">
        <f t="shared" si="27"/>
        <v>2101-81-314560</v>
      </c>
      <c r="C1794" s="47">
        <v>44208</v>
      </c>
      <c r="D1794" s="46">
        <v>81</v>
      </c>
      <c r="E1794" s="46">
        <v>4</v>
      </c>
      <c r="F1794" s="46">
        <v>314560</v>
      </c>
      <c r="G1794" s="48" t="s">
        <v>1340</v>
      </c>
      <c r="H1794" s="47">
        <v>44215</v>
      </c>
      <c r="I1794" s="46">
        <v>51253</v>
      </c>
      <c r="J1794" s="46">
        <v>4</v>
      </c>
      <c r="K1794" s="47">
        <v>44218</v>
      </c>
      <c r="L1794" s="46">
        <v>10983</v>
      </c>
      <c r="M1794" s="46">
        <v>4</v>
      </c>
    </row>
    <row r="1795" spans="2:13" ht="14.1" customHeight="1" x14ac:dyDescent="0.25">
      <c r="B1795" s="46" t="str">
        <f t="shared" si="27"/>
        <v>2101-81-311338</v>
      </c>
      <c r="C1795" s="47">
        <v>44208</v>
      </c>
      <c r="D1795" s="46">
        <v>81</v>
      </c>
      <c r="E1795" s="46">
        <v>3</v>
      </c>
      <c r="F1795" s="46">
        <v>311338</v>
      </c>
      <c r="G1795" s="48" t="s">
        <v>1345</v>
      </c>
      <c r="H1795" s="47">
        <v>44215</v>
      </c>
      <c r="I1795" s="46">
        <v>51253</v>
      </c>
      <c r="J1795" s="46">
        <v>3</v>
      </c>
      <c r="K1795" s="47">
        <v>44218</v>
      </c>
      <c r="L1795" s="46">
        <v>10983</v>
      </c>
      <c r="M1795" s="46">
        <v>3</v>
      </c>
    </row>
    <row r="1796" spans="2:13" ht="14.1" customHeight="1" x14ac:dyDescent="0.25">
      <c r="B1796" s="46" t="str">
        <f t="shared" si="27"/>
        <v>2101-81-311900</v>
      </c>
      <c r="C1796" s="47">
        <v>44208</v>
      </c>
      <c r="D1796" s="46">
        <v>81</v>
      </c>
      <c r="E1796" s="46">
        <v>1</v>
      </c>
      <c r="F1796" s="46">
        <v>311900</v>
      </c>
      <c r="G1796" s="48" t="s">
        <v>1233</v>
      </c>
      <c r="H1796" s="47">
        <v>44215</v>
      </c>
      <c r="I1796" s="46">
        <v>51253</v>
      </c>
      <c r="J1796" s="46">
        <v>1</v>
      </c>
      <c r="K1796" s="47">
        <v>44218</v>
      </c>
      <c r="L1796" s="46">
        <v>10983</v>
      </c>
      <c r="M1796" s="46">
        <v>1</v>
      </c>
    </row>
    <row r="1797" spans="2:13" ht="14.1" customHeight="1" x14ac:dyDescent="0.25">
      <c r="B1797" s="46" t="str">
        <f t="shared" si="27"/>
        <v>2101-82-307031</v>
      </c>
      <c r="C1797" s="47">
        <v>44208</v>
      </c>
      <c r="D1797" s="46">
        <v>82</v>
      </c>
      <c r="E1797" s="46">
        <v>2</v>
      </c>
      <c r="F1797" s="46">
        <v>307031</v>
      </c>
      <c r="G1797" s="48" t="s">
        <v>263</v>
      </c>
      <c r="I1797" s="46">
        <v>0</v>
      </c>
      <c r="J1797" s="46">
        <v>0</v>
      </c>
      <c r="L1797" s="46">
        <v>0</v>
      </c>
      <c r="M1797" s="46">
        <v>0</v>
      </c>
    </row>
    <row r="1798" spans="2:13" ht="14.1" customHeight="1" x14ac:dyDescent="0.25">
      <c r="B1798" s="46" t="str">
        <f t="shared" si="27"/>
        <v>2101-82-301163</v>
      </c>
      <c r="C1798" s="47">
        <v>44208</v>
      </c>
      <c r="D1798" s="46">
        <v>82</v>
      </c>
      <c r="E1798" s="46">
        <v>6</v>
      </c>
      <c r="F1798" s="46">
        <v>301163</v>
      </c>
      <c r="G1798" s="48" t="s">
        <v>85</v>
      </c>
      <c r="I1798" s="46">
        <v>0</v>
      </c>
      <c r="J1798" s="46">
        <v>0</v>
      </c>
      <c r="L1798" s="46">
        <v>0</v>
      </c>
      <c r="M1798" s="46">
        <v>0</v>
      </c>
    </row>
    <row r="1799" spans="2:13" ht="14.1" customHeight="1" x14ac:dyDescent="0.25">
      <c r="B1799" s="46" t="str">
        <f t="shared" si="27"/>
        <v>2101-82-301856</v>
      </c>
      <c r="C1799" s="47">
        <v>44208</v>
      </c>
      <c r="D1799" s="46">
        <v>82</v>
      </c>
      <c r="E1799" s="46">
        <v>8</v>
      </c>
      <c r="F1799" s="46">
        <v>301856</v>
      </c>
      <c r="G1799" s="48" t="s">
        <v>1347</v>
      </c>
      <c r="I1799" s="46">
        <v>0</v>
      </c>
      <c r="J1799" s="46">
        <v>0</v>
      </c>
      <c r="L1799" s="46">
        <v>0</v>
      </c>
      <c r="M1799" s="46">
        <v>0</v>
      </c>
    </row>
    <row r="1800" spans="2:13" ht="14.1" customHeight="1" x14ac:dyDescent="0.25">
      <c r="B1800" s="46" t="str">
        <f t="shared" si="27"/>
        <v>2101-82-300334</v>
      </c>
      <c r="C1800" s="47">
        <v>44208</v>
      </c>
      <c r="D1800" s="46">
        <v>82</v>
      </c>
      <c r="E1800" s="46">
        <v>6</v>
      </c>
      <c r="F1800" s="46">
        <v>300334</v>
      </c>
      <c r="G1800" s="48" t="s">
        <v>46</v>
      </c>
      <c r="I1800" s="46">
        <v>0</v>
      </c>
      <c r="J1800" s="46">
        <v>0</v>
      </c>
      <c r="L1800" s="46">
        <v>0</v>
      </c>
      <c r="M1800" s="46">
        <v>0</v>
      </c>
    </row>
    <row r="1801" spans="2:13" ht="14.1" customHeight="1" x14ac:dyDescent="0.25">
      <c r="B1801" s="46" t="str">
        <f t="shared" si="27"/>
        <v>2101-82-203010</v>
      </c>
      <c r="C1801" s="47">
        <v>44208</v>
      </c>
      <c r="D1801" s="46">
        <v>82</v>
      </c>
      <c r="E1801" s="46">
        <v>2</v>
      </c>
      <c r="F1801" s="46">
        <v>203010</v>
      </c>
      <c r="G1801" s="48" t="s">
        <v>502</v>
      </c>
      <c r="I1801" s="46">
        <v>0</v>
      </c>
      <c r="J1801" s="46">
        <v>0</v>
      </c>
      <c r="L1801" s="46">
        <v>0</v>
      </c>
      <c r="M1801" s="46">
        <v>0</v>
      </c>
    </row>
    <row r="1802" spans="2:13" ht="14.1" customHeight="1" x14ac:dyDescent="0.25">
      <c r="B1802" s="46" t="str">
        <f t="shared" si="27"/>
        <v>2101-82-306625</v>
      </c>
      <c r="C1802" s="47">
        <v>44208</v>
      </c>
      <c r="D1802" s="46">
        <v>82</v>
      </c>
      <c r="E1802" s="46">
        <v>2</v>
      </c>
      <c r="F1802" s="46">
        <v>306625</v>
      </c>
      <c r="G1802" s="48" t="s">
        <v>1346</v>
      </c>
      <c r="I1802" s="46">
        <v>0</v>
      </c>
      <c r="J1802" s="46">
        <v>0</v>
      </c>
      <c r="L1802" s="46">
        <v>0</v>
      </c>
      <c r="M1802" s="46">
        <v>0</v>
      </c>
    </row>
    <row r="1803" spans="2:13" ht="14.1" customHeight="1" x14ac:dyDescent="0.25">
      <c r="B1803" s="46" t="str">
        <f t="shared" si="27"/>
        <v>2101-83-315665</v>
      </c>
      <c r="C1803" s="47">
        <v>44208</v>
      </c>
      <c r="D1803" s="46">
        <v>83</v>
      </c>
      <c r="E1803" s="46">
        <v>10</v>
      </c>
      <c r="F1803" s="46">
        <v>315665</v>
      </c>
      <c r="G1803" s="48" t="s">
        <v>116</v>
      </c>
      <c r="H1803" s="47">
        <v>44249</v>
      </c>
      <c r="I1803" s="46">
        <v>51793</v>
      </c>
      <c r="J1803" s="46">
        <v>10</v>
      </c>
      <c r="K1803" s="47">
        <v>44244</v>
      </c>
      <c r="L1803" s="46">
        <v>11228</v>
      </c>
      <c r="M1803" s="46">
        <v>10</v>
      </c>
    </row>
    <row r="1804" spans="2:13" ht="14.1" customHeight="1" x14ac:dyDescent="0.25">
      <c r="B1804" s="46" t="str">
        <f t="shared" ref="B1804:B1867" si="28">TEXT(C1804,"yy") &amp; TEXT(C1804,"mm") &amp;"-"&amp;(D1804) &amp;"-"&amp;(F1804)</f>
        <v>2101-83-315665</v>
      </c>
      <c r="C1804" s="47">
        <v>44208</v>
      </c>
      <c r="D1804" s="46">
        <v>83</v>
      </c>
      <c r="E1804" s="46">
        <v>100</v>
      </c>
      <c r="F1804" s="46">
        <v>315665</v>
      </c>
      <c r="G1804" s="48" t="s">
        <v>116</v>
      </c>
      <c r="H1804" s="47">
        <v>44218</v>
      </c>
      <c r="I1804" s="46">
        <v>51316</v>
      </c>
      <c r="J1804" s="46">
        <v>100</v>
      </c>
      <c r="K1804" s="47">
        <v>44221</v>
      </c>
      <c r="L1804" s="46">
        <v>10985</v>
      </c>
      <c r="M1804" s="46">
        <v>28</v>
      </c>
    </row>
    <row r="1805" spans="2:13" ht="14.1" customHeight="1" x14ac:dyDescent="0.25">
      <c r="B1805" s="46" t="str">
        <f t="shared" si="28"/>
        <v>2101-83-315665</v>
      </c>
      <c r="C1805" s="47">
        <v>44208</v>
      </c>
      <c r="D1805" s="46">
        <v>83</v>
      </c>
      <c r="E1805" s="46">
        <v>100</v>
      </c>
      <c r="F1805" s="46">
        <v>315665</v>
      </c>
      <c r="G1805" s="48" t="s">
        <v>116</v>
      </c>
      <c r="H1805" s="47">
        <v>44218</v>
      </c>
      <c r="I1805" s="46">
        <v>51316</v>
      </c>
      <c r="J1805" s="46">
        <v>100</v>
      </c>
      <c r="K1805" s="47">
        <v>44223</v>
      </c>
      <c r="L1805" s="46">
        <v>11020</v>
      </c>
      <c r="M1805" s="46">
        <v>28</v>
      </c>
    </row>
    <row r="1806" spans="2:13" ht="14.1" customHeight="1" x14ac:dyDescent="0.25">
      <c r="B1806" s="46" t="str">
        <f t="shared" si="28"/>
        <v>2101-83-315665</v>
      </c>
      <c r="C1806" s="47">
        <v>44208</v>
      </c>
      <c r="D1806" s="46">
        <v>83</v>
      </c>
      <c r="E1806" s="46">
        <v>100</v>
      </c>
      <c r="F1806" s="46">
        <v>315665</v>
      </c>
      <c r="G1806" s="48" t="s">
        <v>116</v>
      </c>
      <c r="H1806" s="47">
        <v>44218</v>
      </c>
      <c r="I1806" s="46">
        <v>51316</v>
      </c>
      <c r="J1806" s="46">
        <v>100</v>
      </c>
      <c r="K1806" s="47">
        <v>44224</v>
      </c>
      <c r="L1806" s="46">
        <v>11038</v>
      </c>
      <c r="M1806" s="46">
        <v>10</v>
      </c>
    </row>
    <row r="1807" spans="2:13" ht="14.1" customHeight="1" x14ac:dyDescent="0.25">
      <c r="B1807" s="46" t="str">
        <f t="shared" si="28"/>
        <v>2101-83-315665</v>
      </c>
      <c r="C1807" s="47">
        <v>44208</v>
      </c>
      <c r="D1807" s="46">
        <v>83</v>
      </c>
      <c r="E1807" s="46">
        <v>100</v>
      </c>
      <c r="F1807" s="46">
        <v>315665</v>
      </c>
      <c r="G1807" s="48" t="s">
        <v>116</v>
      </c>
      <c r="H1807" s="47">
        <v>44218</v>
      </c>
      <c r="I1807" s="46">
        <v>51316</v>
      </c>
      <c r="J1807" s="46">
        <v>100</v>
      </c>
      <c r="K1807" s="47">
        <v>44244</v>
      </c>
      <c r="L1807" s="46">
        <v>11228</v>
      </c>
      <c r="M1807" s="46">
        <v>34</v>
      </c>
    </row>
    <row r="1808" spans="2:13" ht="14.1" customHeight="1" x14ac:dyDescent="0.25">
      <c r="B1808" s="46" t="str">
        <f t="shared" si="28"/>
        <v>2101-84-200271</v>
      </c>
      <c r="C1808" s="47">
        <v>44208</v>
      </c>
      <c r="D1808" s="46">
        <v>84</v>
      </c>
      <c r="E1808" s="46">
        <v>220</v>
      </c>
      <c r="F1808" s="46">
        <v>200271</v>
      </c>
      <c r="G1808" s="48" t="s">
        <v>241</v>
      </c>
      <c r="H1808" s="47">
        <v>44223</v>
      </c>
      <c r="I1808" s="46">
        <v>51402</v>
      </c>
      <c r="J1808" s="46">
        <v>220</v>
      </c>
      <c r="K1808" s="47">
        <v>44231</v>
      </c>
      <c r="L1808" s="46">
        <v>11110</v>
      </c>
      <c r="M1808" s="46">
        <v>220</v>
      </c>
    </row>
    <row r="1809" spans="2:13" ht="14.1" customHeight="1" x14ac:dyDescent="0.25">
      <c r="B1809" s="46" t="str">
        <f t="shared" si="28"/>
        <v>2101-85-200402</v>
      </c>
      <c r="C1809" s="47">
        <v>44208</v>
      </c>
      <c r="D1809" s="46">
        <v>85</v>
      </c>
      <c r="E1809" s="46">
        <v>20</v>
      </c>
      <c r="F1809" s="46">
        <v>200402</v>
      </c>
      <c r="G1809" s="48" t="s">
        <v>1225</v>
      </c>
      <c r="H1809" s="47">
        <v>44231</v>
      </c>
      <c r="I1809" s="46">
        <v>51481</v>
      </c>
      <c r="J1809" s="46">
        <v>20</v>
      </c>
      <c r="K1809" s="47">
        <v>44239</v>
      </c>
      <c r="L1809" s="46">
        <v>11181</v>
      </c>
      <c r="M1809" s="46">
        <v>20</v>
      </c>
    </row>
    <row r="1810" spans="2:13" ht="14.1" customHeight="1" x14ac:dyDescent="0.25">
      <c r="B1810" s="46" t="str">
        <f t="shared" si="28"/>
        <v>2101-85-200210</v>
      </c>
      <c r="C1810" s="47">
        <v>44208</v>
      </c>
      <c r="D1810" s="46">
        <v>85</v>
      </c>
      <c r="E1810" s="46">
        <v>15</v>
      </c>
      <c r="F1810" s="46">
        <v>200210</v>
      </c>
      <c r="G1810" s="48" t="s">
        <v>227</v>
      </c>
      <c r="H1810" s="47">
        <v>44231</v>
      </c>
      <c r="I1810" s="46">
        <v>51481</v>
      </c>
      <c r="J1810" s="46">
        <v>15</v>
      </c>
      <c r="K1810" s="47">
        <v>44239</v>
      </c>
      <c r="L1810" s="46">
        <v>11181</v>
      </c>
      <c r="M1810" s="46">
        <v>15</v>
      </c>
    </row>
    <row r="1811" spans="2:13" ht="14.1" customHeight="1" x14ac:dyDescent="0.25">
      <c r="B1811" s="46" t="str">
        <f t="shared" si="28"/>
        <v>2101-85-306238</v>
      </c>
      <c r="C1811" s="47">
        <v>44208</v>
      </c>
      <c r="D1811" s="46">
        <v>85</v>
      </c>
      <c r="E1811" s="46">
        <v>20</v>
      </c>
      <c r="F1811" s="46">
        <v>306238</v>
      </c>
      <c r="G1811" s="48" t="s">
        <v>350</v>
      </c>
      <c r="H1811" s="47">
        <v>44231</v>
      </c>
      <c r="I1811" s="46">
        <v>51481</v>
      </c>
      <c r="J1811" s="46">
        <v>20</v>
      </c>
      <c r="K1811" s="47">
        <v>44239</v>
      </c>
      <c r="L1811" s="46">
        <v>11181</v>
      </c>
      <c r="M1811" s="46">
        <v>20</v>
      </c>
    </row>
    <row r="1812" spans="2:13" ht="14.1" customHeight="1" x14ac:dyDescent="0.25">
      <c r="B1812" s="46" t="str">
        <f t="shared" si="28"/>
        <v>2101-85-200154</v>
      </c>
      <c r="C1812" s="47">
        <v>44208</v>
      </c>
      <c r="D1812" s="46">
        <v>85</v>
      </c>
      <c r="E1812" s="46">
        <v>20</v>
      </c>
      <c r="F1812" s="46">
        <v>200154</v>
      </c>
      <c r="G1812" s="48" t="s">
        <v>98</v>
      </c>
      <c r="H1812" s="47">
        <v>44231</v>
      </c>
      <c r="I1812" s="46">
        <v>51481</v>
      </c>
      <c r="J1812" s="46">
        <v>20</v>
      </c>
      <c r="K1812" s="47">
        <v>44239</v>
      </c>
      <c r="L1812" s="46">
        <v>11181</v>
      </c>
      <c r="M1812" s="46">
        <v>20</v>
      </c>
    </row>
    <row r="1813" spans="2:13" ht="14.1" customHeight="1" x14ac:dyDescent="0.25">
      <c r="B1813" s="46" t="str">
        <f t="shared" si="28"/>
        <v>2101-85-200867</v>
      </c>
      <c r="C1813" s="47">
        <v>44208</v>
      </c>
      <c r="D1813" s="46">
        <v>85</v>
      </c>
      <c r="E1813" s="46">
        <v>20</v>
      </c>
      <c r="F1813" s="46">
        <v>200867</v>
      </c>
      <c r="G1813" s="48" t="s">
        <v>199</v>
      </c>
      <c r="H1813" s="47">
        <v>44231</v>
      </c>
      <c r="I1813" s="46">
        <v>51482</v>
      </c>
      <c r="J1813" s="46">
        <v>20</v>
      </c>
      <c r="K1813" s="47">
        <v>44237</v>
      </c>
      <c r="L1813" s="46">
        <v>11154</v>
      </c>
      <c r="M1813" s="46">
        <v>20</v>
      </c>
    </row>
    <row r="1814" spans="2:13" ht="14.1" customHeight="1" x14ac:dyDescent="0.25">
      <c r="B1814" s="46" t="str">
        <f t="shared" si="28"/>
        <v>2101-85-200209</v>
      </c>
      <c r="C1814" s="47">
        <v>44208</v>
      </c>
      <c r="D1814" s="46">
        <v>85</v>
      </c>
      <c r="E1814" s="46">
        <v>30</v>
      </c>
      <c r="F1814" s="46">
        <v>200209</v>
      </c>
      <c r="G1814" s="48" t="s">
        <v>228</v>
      </c>
      <c r="H1814" s="47">
        <v>44231</v>
      </c>
      <c r="I1814" s="46">
        <v>51481</v>
      </c>
      <c r="J1814" s="46">
        <v>30</v>
      </c>
      <c r="K1814" s="47">
        <v>44239</v>
      </c>
      <c r="L1814" s="46">
        <v>11181</v>
      </c>
      <c r="M1814" s="46">
        <v>30</v>
      </c>
    </row>
    <row r="1815" spans="2:13" ht="14.1" customHeight="1" x14ac:dyDescent="0.25">
      <c r="B1815" s="46" t="str">
        <f t="shared" si="28"/>
        <v>2101-86-102033</v>
      </c>
      <c r="C1815" s="47">
        <v>44208</v>
      </c>
      <c r="D1815" s="46">
        <v>86</v>
      </c>
      <c r="E1815" s="46">
        <v>3</v>
      </c>
      <c r="F1815" s="46">
        <v>102033</v>
      </c>
      <c r="G1815" s="48" t="s">
        <v>421</v>
      </c>
      <c r="H1815" s="47">
        <v>44214</v>
      </c>
      <c r="I1815" s="46">
        <v>51237</v>
      </c>
      <c r="J1815" s="46">
        <v>3</v>
      </c>
      <c r="K1815" s="47">
        <v>44215</v>
      </c>
      <c r="L1815" s="46">
        <v>10951</v>
      </c>
      <c r="M1815" s="46">
        <v>3</v>
      </c>
    </row>
    <row r="1816" spans="2:13" ht="14.1" customHeight="1" x14ac:dyDescent="0.25">
      <c r="B1816" s="46" t="str">
        <f t="shared" si="28"/>
        <v>2101-86-206222</v>
      </c>
      <c r="C1816" s="47">
        <v>44208</v>
      </c>
      <c r="D1816" s="46">
        <v>86</v>
      </c>
      <c r="E1816" s="46">
        <v>1</v>
      </c>
      <c r="F1816" s="46">
        <v>206222</v>
      </c>
      <c r="G1816" s="48" t="s">
        <v>1349</v>
      </c>
      <c r="H1816" s="47">
        <v>44214</v>
      </c>
      <c r="I1816" s="46">
        <v>51238</v>
      </c>
      <c r="J1816" s="46">
        <v>1</v>
      </c>
      <c r="K1816" s="47">
        <v>44216</v>
      </c>
      <c r="L1816" s="46">
        <v>10956</v>
      </c>
      <c r="M1816" s="46">
        <v>1</v>
      </c>
    </row>
    <row r="1817" spans="2:13" ht="14.1" customHeight="1" x14ac:dyDescent="0.25">
      <c r="B1817" s="46" t="str">
        <f t="shared" si="28"/>
        <v>2101-86-206441</v>
      </c>
      <c r="C1817" s="47">
        <v>44208</v>
      </c>
      <c r="D1817" s="46">
        <v>86</v>
      </c>
      <c r="E1817" s="46">
        <v>1</v>
      </c>
      <c r="F1817" s="46">
        <v>206441</v>
      </c>
      <c r="G1817" s="48" t="s">
        <v>1223</v>
      </c>
      <c r="H1817" s="47">
        <v>44214</v>
      </c>
      <c r="I1817" s="46">
        <v>51238</v>
      </c>
      <c r="J1817" s="46">
        <v>1</v>
      </c>
      <c r="L1817" s="46">
        <v>0</v>
      </c>
      <c r="M1817" s="46">
        <v>0</v>
      </c>
    </row>
    <row r="1818" spans="2:13" ht="14.1" customHeight="1" x14ac:dyDescent="0.25">
      <c r="B1818" s="46" t="str">
        <f t="shared" si="28"/>
        <v>2101-86-105708</v>
      </c>
      <c r="C1818" s="47">
        <v>44208</v>
      </c>
      <c r="D1818" s="46">
        <v>86</v>
      </c>
      <c r="E1818" s="46">
        <v>5</v>
      </c>
      <c r="F1818" s="46">
        <v>105708</v>
      </c>
      <c r="G1818" s="48" t="s">
        <v>1348</v>
      </c>
      <c r="H1818" s="47">
        <v>44214</v>
      </c>
      <c r="I1818" s="46">
        <v>51236</v>
      </c>
      <c r="J1818" s="46">
        <v>5</v>
      </c>
      <c r="K1818" s="47">
        <v>44229</v>
      </c>
      <c r="L1818" s="46">
        <v>11076</v>
      </c>
      <c r="M1818" s="46">
        <v>5</v>
      </c>
    </row>
    <row r="1819" spans="2:13" ht="14.1" customHeight="1" x14ac:dyDescent="0.25">
      <c r="B1819" s="46" t="str">
        <f t="shared" si="28"/>
        <v>2101-86-317937</v>
      </c>
      <c r="C1819" s="47">
        <v>44208</v>
      </c>
      <c r="D1819" s="46">
        <v>86</v>
      </c>
      <c r="E1819" s="46">
        <v>2</v>
      </c>
      <c r="F1819" s="46">
        <v>317937</v>
      </c>
      <c r="G1819" s="48" t="s">
        <v>915</v>
      </c>
      <c r="H1819" s="47">
        <v>44214</v>
      </c>
      <c r="I1819" s="46">
        <v>51238</v>
      </c>
      <c r="J1819" s="46">
        <v>2</v>
      </c>
      <c r="K1819" s="47">
        <v>44216</v>
      </c>
      <c r="L1819" s="46">
        <v>10956</v>
      </c>
      <c r="M1819" s="46">
        <v>2</v>
      </c>
    </row>
    <row r="1820" spans="2:13" ht="14.1" customHeight="1" x14ac:dyDescent="0.25">
      <c r="B1820" s="46" t="str">
        <f t="shared" si="28"/>
        <v>2101-86-201642</v>
      </c>
      <c r="C1820" s="47">
        <v>44208</v>
      </c>
      <c r="D1820" s="46">
        <v>86</v>
      </c>
      <c r="E1820" s="46">
        <v>4</v>
      </c>
      <c r="F1820" s="46">
        <v>201642</v>
      </c>
      <c r="G1820" s="48" t="s">
        <v>1254</v>
      </c>
      <c r="H1820" s="47">
        <v>44214</v>
      </c>
      <c r="I1820" s="46">
        <v>51237</v>
      </c>
      <c r="J1820" s="46">
        <v>4</v>
      </c>
      <c r="K1820" s="47">
        <v>44215</v>
      </c>
      <c r="L1820" s="46">
        <v>10951</v>
      </c>
      <c r="M1820" s="46">
        <v>2</v>
      </c>
    </row>
    <row r="1821" spans="2:13" ht="14.1" customHeight="1" x14ac:dyDescent="0.25">
      <c r="B1821" s="46" t="str">
        <f t="shared" si="28"/>
        <v>2101-86-201642</v>
      </c>
      <c r="C1821" s="47">
        <v>44208</v>
      </c>
      <c r="D1821" s="46">
        <v>86</v>
      </c>
      <c r="E1821" s="46">
        <v>4</v>
      </c>
      <c r="F1821" s="46">
        <v>201642</v>
      </c>
      <c r="G1821" s="48" t="s">
        <v>1254</v>
      </c>
      <c r="H1821" s="47">
        <v>44214</v>
      </c>
      <c r="I1821" s="46">
        <v>51237</v>
      </c>
      <c r="J1821" s="46">
        <v>4</v>
      </c>
      <c r="K1821" s="47">
        <v>44232</v>
      </c>
      <c r="L1821" s="46">
        <v>11118</v>
      </c>
      <c r="M1821" s="46">
        <v>2</v>
      </c>
    </row>
    <row r="1822" spans="2:13" ht="14.1" customHeight="1" x14ac:dyDescent="0.25">
      <c r="B1822" s="46" t="str">
        <f t="shared" si="28"/>
        <v>2101-86-319646</v>
      </c>
      <c r="C1822" s="47">
        <v>44208</v>
      </c>
      <c r="D1822" s="46">
        <v>86</v>
      </c>
      <c r="E1822" s="46">
        <v>1</v>
      </c>
      <c r="F1822" s="46">
        <v>319646</v>
      </c>
      <c r="G1822" s="48" t="s">
        <v>1645</v>
      </c>
      <c r="H1822" s="47">
        <v>44214</v>
      </c>
      <c r="I1822" s="46">
        <v>51234</v>
      </c>
      <c r="J1822" s="46">
        <v>1</v>
      </c>
      <c r="K1822" s="47">
        <v>44230</v>
      </c>
      <c r="L1822" s="46">
        <v>11088</v>
      </c>
      <c r="M1822" s="46">
        <v>1</v>
      </c>
    </row>
    <row r="1823" spans="2:13" ht="14.1" customHeight="1" x14ac:dyDescent="0.25">
      <c r="B1823" s="46" t="str">
        <f t="shared" si="28"/>
        <v>2101-86-105843</v>
      </c>
      <c r="C1823" s="47">
        <v>44208</v>
      </c>
      <c r="D1823" s="46">
        <v>86</v>
      </c>
      <c r="E1823" s="46">
        <v>2</v>
      </c>
      <c r="F1823" s="46">
        <v>105843</v>
      </c>
      <c r="G1823" s="48" t="s">
        <v>1352</v>
      </c>
      <c r="H1823" s="47">
        <v>44214</v>
      </c>
      <c r="I1823" s="46">
        <v>51237</v>
      </c>
      <c r="J1823" s="46">
        <v>2</v>
      </c>
      <c r="L1823" s="46">
        <v>0</v>
      </c>
      <c r="M1823" s="46">
        <v>0</v>
      </c>
    </row>
    <row r="1824" spans="2:13" ht="14.1" customHeight="1" x14ac:dyDescent="0.25">
      <c r="B1824" s="46" t="str">
        <f t="shared" si="28"/>
        <v>2101-86-204042</v>
      </c>
      <c r="C1824" s="47">
        <v>44208</v>
      </c>
      <c r="D1824" s="46">
        <v>86</v>
      </c>
      <c r="E1824" s="46">
        <v>4</v>
      </c>
      <c r="F1824" s="46">
        <v>204042</v>
      </c>
      <c r="G1824" s="48" t="s">
        <v>1351</v>
      </c>
      <c r="H1824" s="47">
        <v>44214</v>
      </c>
      <c r="I1824" s="46">
        <v>51237</v>
      </c>
      <c r="J1824" s="46">
        <v>4</v>
      </c>
      <c r="K1824" s="47">
        <v>44215</v>
      </c>
      <c r="L1824" s="46">
        <v>10951</v>
      </c>
      <c r="M1824" s="46">
        <v>4</v>
      </c>
    </row>
    <row r="1825" spans="2:13" ht="14.1" customHeight="1" x14ac:dyDescent="0.25">
      <c r="B1825" s="46" t="str">
        <f t="shared" si="28"/>
        <v>2101-86-107097</v>
      </c>
      <c r="C1825" s="47">
        <v>44208</v>
      </c>
      <c r="D1825" s="46">
        <v>86</v>
      </c>
      <c r="E1825" s="46">
        <v>4</v>
      </c>
      <c r="F1825" s="46">
        <v>107097</v>
      </c>
      <c r="G1825" s="48" t="s">
        <v>1256</v>
      </c>
      <c r="H1825" s="47">
        <v>44214</v>
      </c>
      <c r="I1825" s="46">
        <v>51237</v>
      </c>
      <c r="J1825" s="46">
        <v>4</v>
      </c>
      <c r="K1825" s="47">
        <v>44215</v>
      </c>
      <c r="L1825" s="46">
        <v>10951</v>
      </c>
      <c r="M1825" s="46">
        <v>4</v>
      </c>
    </row>
    <row r="1826" spans="2:13" ht="14.1" customHeight="1" x14ac:dyDescent="0.25">
      <c r="B1826" s="46" t="str">
        <f t="shared" si="28"/>
        <v>2101-86-301163</v>
      </c>
      <c r="C1826" s="47">
        <v>44208</v>
      </c>
      <c r="D1826" s="46">
        <v>86</v>
      </c>
      <c r="E1826" s="46">
        <v>1</v>
      </c>
      <c r="F1826" s="46">
        <v>301163</v>
      </c>
      <c r="G1826" s="48" t="s">
        <v>85</v>
      </c>
      <c r="H1826" s="47">
        <v>44214</v>
      </c>
      <c r="I1826" s="46">
        <v>51238</v>
      </c>
      <c r="J1826" s="46">
        <v>1</v>
      </c>
      <c r="K1826" s="47">
        <v>44216</v>
      </c>
      <c r="L1826" s="46">
        <v>10956</v>
      </c>
      <c r="M1826" s="46">
        <v>1</v>
      </c>
    </row>
    <row r="1827" spans="2:13" ht="14.1" customHeight="1" x14ac:dyDescent="0.25">
      <c r="B1827" s="46" t="str">
        <f t="shared" si="28"/>
        <v>2101-86-309618</v>
      </c>
      <c r="C1827" s="47">
        <v>44208</v>
      </c>
      <c r="D1827" s="46">
        <v>86</v>
      </c>
      <c r="E1827" s="46">
        <v>1</v>
      </c>
      <c r="F1827" s="46">
        <v>309618</v>
      </c>
      <c r="G1827" s="48" t="s">
        <v>1350</v>
      </c>
      <c r="H1827" s="47">
        <v>44214</v>
      </c>
      <c r="I1827" s="46">
        <v>51238</v>
      </c>
      <c r="J1827" s="46">
        <v>1</v>
      </c>
      <c r="K1827" s="47">
        <v>44216</v>
      </c>
      <c r="L1827" s="46">
        <v>10956</v>
      </c>
      <c r="M1827" s="46">
        <v>1</v>
      </c>
    </row>
    <row r="1828" spans="2:13" ht="14.1" customHeight="1" x14ac:dyDescent="0.25">
      <c r="B1828" s="46" t="str">
        <f t="shared" si="28"/>
        <v>2101-86-200894</v>
      </c>
      <c r="C1828" s="47">
        <v>44208</v>
      </c>
      <c r="D1828" s="46">
        <v>86</v>
      </c>
      <c r="E1828" s="46">
        <v>20</v>
      </c>
      <c r="F1828" s="46">
        <v>200894</v>
      </c>
      <c r="G1828" s="48" t="s">
        <v>56</v>
      </c>
      <c r="H1828" s="47">
        <v>44214</v>
      </c>
      <c r="I1828" s="46">
        <v>51235</v>
      </c>
      <c r="J1828" s="46">
        <v>20</v>
      </c>
      <c r="K1828" s="47">
        <v>44216</v>
      </c>
      <c r="L1828" s="46">
        <v>10955</v>
      </c>
      <c r="M1828" s="46">
        <v>20</v>
      </c>
    </row>
    <row r="1829" spans="2:13" ht="14.1" customHeight="1" x14ac:dyDescent="0.25">
      <c r="B1829" s="46" t="str">
        <f t="shared" si="28"/>
        <v>2101-86-105872</v>
      </c>
      <c r="C1829" s="47">
        <v>44208</v>
      </c>
      <c r="D1829" s="46">
        <v>86</v>
      </c>
      <c r="E1829" s="46">
        <v>8</v>
      </c>
      <c r="F1829" s="46">
        <v>105872</v>
      </c>
      <c r="G1829" s="48" t="s">
        <v>257</v>
      </c>
      <c r="H1829" s="47">
        <v>44214</v>
      </c>
      <c r="I1829" s="46">
        <v>51237</v>
      </c>
      <c r="J1829" s="46">
        <v>8</v>
      </c>
      <c r="L1829" s="46">
        <v>0</v>
      </c>
      <c r="M1829" s="46">
        <v>0</v>
      </c>
    </row>
    <row r="1830" spans="2:13" ht="14.1" customHeight="1" x14ac:dyDescent="0.25">
      <c r="B1830" s="46" t="str">
        <f t="shared" si="28"/>
        <v>2101-87-200667</v>
      </c>
      <c r="C1830" s="47">
        <v>44208</v>
      </c>
      <c r="D1830" s="46">
        <v>87</v>
      </c>
      <c r="E1830" s="46">
        <v>6</v>
      </c>
      <c r="F1830" s="46">
        <v>200667</v>
      </c>
      <c r="G1830" s="48" t="s">
        <v>492</v>
      </c>
      <c r="H1830" s="47">
        <v>44209</v>
      </c>
      <c r="I1830" s="46">
        <v>51297</v>
      </c>
      <c r="J1830" s="46">
        <v>6</v>
      </c>
      <c r="K1830" s="47">
        <v>44208</v>
      </c>
      <c r="L1830" s="46">
        <v>10858</v>
      </c>
      <c r="M1830" s="46">
        <v>6</v>
      </c>
    </row>
    <row r="1831" spans="2:13" ht="14.1" customHeight="1" x14ac:dyDescent="0.25">
      <c r="B1831" s="46" t="str">
        <f t="shared" si="28"/>
        <v>2101-92-107059</v>
      </c>
      <c r="C1831" s="47">
        <v>44208</v>
      </c>
      <c r="D1831" s="46">
        <v>92</v>
      </c>
      <c r="E1831" s="46">
        <v>4</v>
      </c>
      <c r="F1831" s="46">
        <v>107059</v>
      </c>
      <c r="G1831" s="48" t="s">
        <v>1353</v>
      </c>
      <c r="H1831" s="47">
        <v>44231</v>
      </c>
      <c r="I1831" s="46">
        <v>51489</v>
      </c>
      <c r="J1831" s="46">
        <v>4</v>
      </c>
      <c r="K1831" s="47">
        <v>44243</v>
      </c>
      <c r="L1831" s="46">
        <v>11212</v>
      </c>
      <c r="M1831" s="46">
        <v>4</v>
      </c>
    </row>
    <row r="1832" spans="2:13" ht="14.1" customHeight="1" x14ac:dyDescent="0.25">
      <c r="B1832" s="46" t="str">
        <f t="shared" si="28"/>
        <v>2101-97-301151</v>
      </c>
      <c r="C1832" s="47">
        <v>44208</v>
      </c>
      <c r="D1832" s="46">
        <v>97</v>
      </c>
      <c r="E1832" s="46">
        <v>3</v>
      </c>
      <c r="F1832" s="46">
        <v>301151</v>
      </c>
      <c r="G1832" s="48" t="s">
        <v>1354</v>
      </c>
      <c r="H1832" s="47">
        <v>44211</v>
      </c>
      <c r="I1832" s="46">
        <v>51216</v>
      </c>
      <c r="J1832" s="46">
        <v>3</v>
      </c>
      <c r="K1832" s="47">
        <v>44224</v>
      </c>
      <c r="L1832" s="46">
        <v>11033</v>
      </c>
      <c r="M1832" s="46">
        <v>3</v>
      </c>
    </row>
    <row r="1833" spans="2:13" ht="14.1" customHeight="1" x14ac:dyDescent="0.25">
      <c r="B1833" s="46" t="str">
        <f t="shared" si="28"/>
        <v>2101-97-206399</v>
      </c>
      <c r="C1833" s="47">
        <v>44208</v>
      </c>
      <c r="D1833" s="46">
        <v>97</v>
      </c>
      <c r="E1833" s="46">
        <v>1</v>
      </c>
      <c r="F1833" s="46">
        <v>206399</v>
      </c>
      <c r="G1833" s="48" t="s">
        <v>1359</v>
      </c>
      <c r="H1833" s="47">
        <v>44211</v>
      </c>
      <c r="I1833" s="46">
        <v>51216</v>
      </c>
      <c r="J1833" s="46">
        <v>1</v>
      </c>
      <c r="K1833" s="47">
        <v>44224</v>
      </c>
      <c r="L1833" s="46">
        <v>11033</v>
      </c>
      <c r="M1833" s="46">
        <v>1</v>
      </c>
    </row>
    <row r="1834" spans="2:13" ht="14.1" customHeight="1" x14ac:dyDescent="0.25">
      <c r="B1834" s="46" t="str">
        <f t="shared" si="28"/>
        <v>2101-97-105654</v>
      </c>
      <c r="C1834" s="47">
        <v>44208</v>
      </c>
      <c r="D1834" s="46">
        <v>97</v>
      </c>
      <c r="E1834" s="46">
        <v>8</v>
      </c>
      <c r="F1834" s="46">
        <v>105654</v>
      </c>
      <c r="G1834" s="48" t="s">
        <v>1355</v>
      </c>
      <c r="H1834" s="47">
        <v>44211</v>
      </c>
      <c r="I1834" s="46">
        <v>51216</v>
      </c>
      <c r="J1834" s="46">
        <v>8</v>
      </c>
      <c r="K1834" s="47">
        <v>44224</v>
      </c>
      <c r="L1834" s="46">
        <v>11033</v>
      </c>
      <c r="M1834" s="46">
        <v>8</v>
      </c>
    </row>
    <row r="1835" spans="2:13" ht="14.1" customHeight="1" x14ac:dyDescent="0.25">
      <c r="B1835" s="46" t="str">
        <f t="shared" si="28"/>
        <v>2101-97-107051</v>
      </c>
      <c r="C1835" s="47">
        <v>44208</v>
      </c>
      <c r="D1835" s="46">
        <v>97</v>
      </c>
      <c r="E1835" s="46">
        <v>1</v>
      </c>
      <c r="F1835" s="46">
        <v>107051</v>
      </c>
      <c r="G1835" s="48" t="s">
        <v>1361</v>
      </c>
      <c r="H1835" s="47">
        <v>44211</v>
      </c>
      <c r="I1835" s="46">
        <v>51216</v>
      </c>
      <c r="J1835" s="46">
        <v>1</v>
      </c>
      <c r="K1835" s="47">
        <v>44224</v>
      </c>
      <c r="L1835" s="46">
        <v>11033</v>
      </c>
      <c r="M1835" s="46">
        <v>1</v>
      </c>
    </row>
    <row r="1836" spans="2:13" ht="14.1" customHeight="1" x14ac:dyDescent="0.25">
      <c r="B1836" s="46" t="str">
        <f t="shared" si="28"/>
        <v>2101-97-300503</v>
      </c>
      <c r="C1836" s="47">
        <v>44208</v>
      </c>
      <c r="D1836" s="46">
        <v>97</v>
      </c>
      <c r="E1836" s="46">
        <v>1</v>
      </c>
      <c r="F1836" s="46">
        <v>300503</v>
      </c>
      <c r="G1836" s="48" t="s">
        <v>1360</v>
      </c>
      <c r="H1836" s="47">
        <v>44211</v>
      </c>
      <c r="I1836" s="46">
        <v>51216</v>
      </c>
      <c r="J1836" s="46">
        <v>1</v>
      </c>
      <c r="K1836" s="47">
        <v>44224</v>
      </c>
      <c r="L1836" s="46">
        <v>11033</v>
      </c>
      <c r="M1836" s="46">
        <v>1</v>
      </c>
    </row>
    <row r="1837" spans="2:13" ht="14.1" customHeight="1" x14ac:dyDescent="0.25">
      <c r="B1837" s="46" t="str">
        <f t="shared" si="28"/>
        <v>2101-97-320124</v>
      </c>
      <c r="C1837" s="47">
        <v>44208</v>
      </c>
      <c r="D1837" s="46">
        <v>97</v>
      </c>
      <c r="E1837" s="46">
        <v>2</v>
      </c>
      <c r="F1837" s="46">
        <v>320124</v>
      </c>
      <c r="G1837" s="48" t="s">
        <v>946</v>
      </c>
      <c r="H1837" s="47">
        <v>44211</v>
      </c>
      <c r="I1837" s="46">
        <v>51216</v>
      </c>
      <c r="J1837" s="46">
        <v>2</v>
      </c>
      <c r="K1837" s="47">
        <v>44224</v>
      </c>
      <c r="L1837" s="46">
        <v>11033</v>
      </c>
      <c r="M1837" s="46">
        <v>1</v>
      </c>
    </row>
    <row r="1838" spans="2:13" ht="14.1" customHeight="1" x14ac:dyDescent="0.25">
      <c r="B1838" s="46" t="str">
        <f t="shared" si="28"/>
        <v>2101-97-312508</v>
      </c>
      <c r="C1838" s="47">
        <v>44208</v>
      </c>
      <c r="D1838" s="46">
        <v>97</v>
      </c>
      <c r="E1838" s="46">
        <v>2</v>
      </c>
      <c r="F1838" s="46">
        <v>312508</v>
      </c>
      <c r="G1838" s="48" t="s">
        <v>313</v>
      </c>
      <c r="H1838" s="47">
        <v>44211</v>
      </c>
      <c r="I1838" s="46">
        <v>51216</v>
      </c>
      <c r="J1838" s="46">
        <v>2</v>
      </c>
      <c r="K1838" s="47">
        <v>44224</v>
      </c>
      <c r="L1838" s="46">
        <v>11033</v>
      </c>
      <c r="M1838" s="46">
        <v>2</v>
      </c>
    </row>
    <row r="1839" spans="2:13" ht="14.1" customHeight="1" x14ac:dyDescent="0.25">
      <c r="B1839" s="46" t="str">
        <f t="shared" si="28"/>
        <v>2101-97-314977</v>
      </c>
      <c r="C1839" s="47">
        <v>44208</v>
      </c>
      <c r="D1839" s="46">
        <v>97</v>
      </c>
      <c r="E1839" s="46">
        <v>1</v>
      </c>
      <c r="F1839" s="46">
        <v>314977</v>
      </c>
      <c r="G1839" s="48" t="s">
        <v>863</v>
      </c>
      <c r="H1839" s="47">
        <v>44211</v>
      </c>
      <c r="I1839" s="46">
        <v>51216</v>
      </c>
      <c r="J1839" s="46">
        <v>1</v>
      </c>
      <c r="K1839" s="47">
        <v>44224</v>
      </c>
      <c r="L1839" s="46">
        <v>11033</v>
      </c>
      <c r="M1839" s="46">
        <v>1</v>
      </c>
    </row>
    <row r="1840" spans="2:13" ht="14.1" customHeight="1" x14ac:dyDescent="0.25">
      <c r="B1840" s="46" t="str">
        <f t="shared" si="28"/>
        <v>2101-97-204842</v>
      </c>
      <c r="C1840" s="47">
        <v>44208</v>
      </c>
      <c r="D1840" s="46">
        <v>97</v>
      </c>
      <c r="E1840" s="46">
        <v>2</v>
      </c>
      <c r="F1840" s="46">
        <v>204842</v>
      </c>
      <c r="G1840" s="48" t="s">
        <v>546</v>
      </c>
      <c r="H1840" s="47">
        <v>44211</v>
      </c>
      <c r="I1840" s="46">
        <v>51216</v>
      </c>
      <c r="J1840" s="46">
        <v>2</v>
      </c>
      <c r="K1840" s="47">
        <v>44224</v>
      </c>
      <c r="L1840" s="46">
        <v>11033</v>
      </c>
      <c r="M1840" s="46">
        <v>2</v>
      </c>
    </row>
    <row r="1841" spans="2:13" ht="14.1" customHeight="1" x14ac:dyDescent="0.25">
      <c r="B1841" s="46" t="str">
        <f t="shared" si="28"/>
        <v>2101-97-105561</v>
      </c>
      <c r="C1841" s="47">
        <v>44208</v>
      </c>
      <c r="D1841" s="46">
        <v>97</v>
      </c>
      <c r="E1841" s="46">
        <v>2</v>
      </c>
      <c r="F1841" s="46">
        <v>105561</v>
      </c>
      <c r="G1841" s="48" t="s">
        <v>177</v>
      </c>
      <c r="H1841" s="47">
        <v>44211</v>
      </c>
      <c r="I1841" s="46">
        <v>51216</v>
      </c>
      <c r="J1841" s="46">
        <v>2</v>
      </c>
      <c r="K1841" s="47">
        <v>44224</v>
      </c>
      <c r="L1841" s="46">
        <v>11033</v>
      </c>
      <c r="M1841" s="46">
        <v>2</v>
      </c>
    </row>
    <row r="1842" spans="2:13" ht="14.1" customHeight="1" x14ac:dyDescent="0.25">
      <c r="B1842" s="46" t="str">
        <f t="shared" si="28"/>
        <v>2101-97-309589</v>
      </c>
      <c r="C1842" s="47">
        <v>44208</v>
      </c>
      <c r="D1842" s="46">
        <v>97</v>
      </c>
      <c r="E1842" s="46">
        <v>4</v>
      </c>
      <c r="F1842" s="46">
        <v>309589</v>
      </c>
      <c r="G1842" s="48" t="s">
        <v>1093</v>
      </c>
      <c r="H1842" s="47">
        <v>44211</v>
      </c>
      <c r="I1842" s="46">
        <v>51216</v>
      </c>
      <c r="J1842" s="46">
        <v>4</v>
      </c>
      <c r="K1842" s="47">
        <v>44224</v>
      </c>
      <c r="L1842" s="46">
        <v>11033</v>
      </c>
      <c r="M1842" s="46">
        <v>4</v>
      </c>
    </row>
    <row r="1843" spans="2:13" ht="14.1" customHeight="1" x14ac:dyDescent="0.25">
      <c r="B1843" s="46" t="str">
        <f t="shared" si="28"/>
        <v>2101-97-313971</v>
      </c>
      <c r="C1843" s="47">
        <v>44208</v>
      </c>
      <c r="D1843" s="46">
        <v>97</v>
      </c>
      <c r="E1843" s="46">
        <v>1</v>
      </c>
      <c r="F1843" s="46">
        <v>313971</v>
      </c>
      <c r="G1843" s="48" t="s">
        <v>1357</v>
      </c>
      <c r="H1843" s="47">
        <v>44211</v>
      </c>
      <c r="I1843" s="46">
        <v>51216</v>
      </c>
      <c r="J1843" s="46">
        <v>1</v>
      </c>
      <c r="K1843" s="47">
        <v>44224</v>
      </c>
      <c r="L1843" s="46">
        <v>11033</v>
      </c>
      <c r="M1843" s="46">
        <v>1</v>
      </c>
    </row>
    <row r="1844" spans="2:13" ht="14.1" customHeight="1" x14ac:dyDescent="0.25">
      <c r="B1844" s="46" t="str">
        <f t="shared" si="28"/>
        <v>2101-97-309021</v>
      </c>
      <c r="C1844" s="47">
        <v>44208</v>
      </c>
      <c r="D1844" s="46">
        <v>97</v>
      </c>
      <c r="E1844" s="46">
        <v>2</v>
      </c>
      <c r="F1844" s="46">
        <v>309021</v>
      </c>
      <c r="G1844" s="50" t="s">
        <v>1356</v>
      </c>
      <c r="H1844" s="47">
        <v>44211</v>
      </c>
      <c r="I1844" s="46">
        <v>51216</v>
      </c>
      <c r="J1844" s="46">
        <v>2</v>
      </c>
      <c r="K1844" s="47">
        <v>44224</v>
      </c>
      <c r="L1844" s="46">
        <v>11033</v>
      </c>
      <c r="M1844" s="46">
        <v>2</v>
      </c>
    </row>
    <row r="1845" spans="2:13" ht="14.1" customHeight="1" x14ac:dyDescent="0.25">
      <c r="B1845" s="46" t="str">
        <f t="shared" si="28"/>
        <v>2101-97-313502</v>
      </c>
      <c r="C1845" s="47">
        <v>44208</v>
      </c>
      <c r="D1845" s="46">
        <v>97</v>
      </c>
      <c r="E1845" s="46">
        <v>1</v>
      </c>
      <c r="F1845" s="46">
        <v>313502</v>
      </c>
      <c r="G1845" s="48" t="s">
        <v>835</v>
      </c>
      <c r="H1845" s="47">
        <v>44211</v>
      </c>
      <c r="I1845" s="46">
        <v>51216</v>
      </c>
      <c r="J1845" s="46">
        <v>1</v>
      </c>
      <c r="K1845" s="47">
        <v>44224</v>
      </c>
      <c r="L1845" s="46">
        <v>11033</v>
      </c>
      <c r="M1845" s="46">
        <v>1</v>
      </c>
    </row>
    <row r="1846" spans="2:13" ht="14.1" customHeight="1" x14ac:dyDescent="0.25">
      <c r="B1846" s="46" t="str">
        <f t="shared" si="28"/>
        <v>2101-97-307985</v>
      </c>
      <c r="C1846" s="47">
        <v>44208</v>
      </c>
      <c r="D1846" s="46">
        <v>97</v>
      </c>
      <c r="E1846" s="46">
        <v>5</v>
      </c>
      <c r="F1846" s="46">
        <v>307985</v>
      </c>
      <c r="G1846" s="48" t="s">
        <v>735</v>
      </c>
      <c r="H1846" s="47">
        <v>44211</v>
      </c>
      <c r="I1846" s="46">
        <v>51216</v>
      </c>
      <c r="J1846" s="46">
        <v>5</v>
      </c>
      <c r="K1846" s="47">
        <v>44224</v>
      </c>
      <c r="L1846" s="46">
        <v>11033</v>
      </c>
      <c r="M1846" s="46">
        <v>5</v>
      </c>
    </row>
    <row r="1847" spans="2:13" ht="14.1" customHeight="1" x14ac:dyDescent="0.25">
      <c r="B1847" s="46" t="str">
        <f t="shared" si="28"/>
        <v>2101-97-106393</v>
      </c>
      <c r="C1847" s="47">
        <v>44208</v>
      </c>
      <c r="D1847" s="46">
        <v>97</v>
      </c>
      <c r="E1847" s="46">
        <v>2</v>
      </c>
      <c r="F1847" s="46">
        <v>106393</v>
      </c>
      <c r="G1847" s="48" t="s">
        <v>1358</v>
      </c>
      <c r="H1847" s="47">
        <v>44211</v>
      </c>
      <c r="I1847" s="46">
        <v>51216</v>
      </c>
      <c r="J1847" s="46">
        <v>2</v>
      </c>
      <c r="K1847" s="47">
        <v>44224</v>
      </c>
      <c r="L1847" s="46">
        <v>11033</v>
      </c>
      <c r="M1847" s="46">
        <v>1</v>
      </c>
    </row>
    <row r="1848" spans="2:13" ht="14.1" customHeight="1" x14ac:dyDescent="0.25">
      <c r="B1848" s="46" t="str">
        <f t="shared" si="28"/>
        <v>2101-99-309214</v>
      </c>
      <c r="C1848" s="47">
        <v>44208</v>
      </c>
      <c r="D1848" s="46">
        <v>99</v>
      </c>
      <c r="E1848" s="46">
        <v>3</v>
      </c>
      <c r="F1848" s="46">
        <v>309214</v>
      </c>
      <c r="G1848" s="48" t="s">
        <v>1362</v>
      </c>
      <c r="H1848" s="47">
        <v>44211</v>
      </c>
      <c r="I1848" s="46">
        <v>51217</v>
      </c>
      <c r="J1848" s="46">
        <v>3</v>
      </c>
      <c r="K1848" s="47">
        <v>44224</v>
      </c>
      <c r="L1848" s="46">
        <v>11034</v>
      </c>
      <c r="M1848" s="46">
        <v>3</v>
      </c>
    </row>
    <row r="1849" spans="2:13" ht="14.1" customHeight="1" x14ac:dyDescent="0.25">
      <c r="B1849" s="46" t="str">
        <f t="shared" si="28"/>
        <v>2101-99-314977</v>
      </c>
      <c r="C1849" s="47">
        <v>44208</v>
      </c>
      <c r="D1849" s="46">
        <v>99</v>
      </c>
      <c r="E1849" s="46">
        <v>3</v>
      </c>
      <c r="F1849" s="46">
        <v>314977</v>
      </c>
      <c r="G1849" s="48" t="s">
        <v>863</v>
      </c>
      <c r="H1849" s="47">
        <v>44211</v>
      </c>
      <c r="I1849" s="46">
        <v>51217</v>
      </c>
      <c r="J1849" s="46">
        <v>3</v>
      </c>
      <c r="K1849" s="47">
        <v>44224</v>
      </c>
      <c r="L1849" s="46">
        <v>11034</v>
      </c>
      <c r="M1849" s="46">
        <v>3</v>
      </c>
    </row>
    <row r="1850" spans="2:13" ht="14.1" customHeight="1" x14ac:dyDescent="0.25">
      <c r="B1850" s="46" t="str">
        <f t="shared" si="28"/>
        <v>2101-99-106723</v>
      </c>
      <c r="C1850" s="47">
        <v>44208</v>
      </c>
      <c r="D1850" s="46">
        <v>99</v>
      </c>
      <c r="E1850" s="46">
        <v>1</v>
      </c>
      <c r="F1850" s="46">
        <v>106723</v>
      </c>
      <c r="G1850" s="48" t="s">
        <v>1367</v>
      </c>
      <c r="H1850" s="47">
        <v>44211</v>
      </c>
      <c r="I1850" s="46">
        <v>51217</v>
      </c>
      <c r="J1850" s="46">
        <v>1</v>
      </c>
      <c r="K1850" s="47">
        <v>44224</v>
      </c>
      <c r="L1850" s="46">
        <v>11034</v>
      </c>
      <c r="M1850" s="46">
        <v>1</v>
      </c>
    </row>
    <row r="1851" spans="2:13" ht="14.1" customHeight="1" x14ac:dyDescent="0.25">
      <c r="B1851" s="46" t="str">
        <f t="shared" si="28"/>
        <v>2101-99-206275</v>
      </c>
      <c r="C1851" s="47">
        <v>44208</v>
      </c>
      <c r="D1851" s="46">
        <v>99</v>
      </c>
      <c r="E1851" s="46">
        <v>4</v>
      </c>
      <c r="F1851" s="46">
        <v>206275</v>
      </c>
      <c r="G1851" s="48" t="s">
        <v>1372</v>
      </c>
      <c r="H1851" s="47">
        <v>44211</v>
      </c>
      <c r="I1851" s="46">
        <v>51217</v>
      </c>
      <c r="J1851" s="46">
        <v>4</v>
      </c>
      <c r="K1851" s="47">
        <v>44224</v>
      </c>
      <c r="L1851" s="46">
        <v>11034</v>
      </c>
      <c r="M1851" s="46">
        <v>4</v>
      </c>
    </row>
    <row r="1852" spans="2:13" ht="14.1" customHeight="1" x14ac:dyDescent="0.25">
      <c r="B1852" s="46" t="str">
        <f t="shared" si="28"/>
        <v>2101-99-318770</v>
      </c>
      <c r="C1852" s="47">
        <v>44208</v>
      </c>
      <c r="D1852" s="46">
        <v>99</v>
      </c>
      <c r="E1852" s="46">
        <v>1</v>
      </c>
      <c r="F1852" s="46">
        <v>318770</v>
      </c>
      <c r="G1852" s="48" t="s">
        <v>1366</v>
      </c>
      <c r="H1852" s="47">
        <v>44211</v>
      </c>
      <c r="I1852" s="46">
        <v>51217</v>
      </c>
      <c r="J1852" s="46">
        <v>1</v>
      </c>
      <c r="K1852" s="47">
        <v>44224</v>
      </c>
      <c r="L1852" s="46">
        <v>11034</v>
      </c>
      <c r="M1852" s="46">
        <v>1</v>
      </c>
    </row>
    <row r="1853" spans="2:13" ht="14.1" customHeight="1" x14ac:dyDescent="0.25">
      <c r="B1853" s="46" t="str">
        <f t="shared" si="28"/>
        <v>2101-99-312085</v>
      </c>
      <c r="C1853" s="47">
        <v>44208</v>
      </c>
      <c r="D1853" s="46">
        <v>99</v>
      </c>
      <c r="E1853" s="46">
        <v>1</v>
      </c>
      <c r="F1853" s="46">
        <v>312085</v>
      </c>
      <c r="G1853" s="48" t="s">
        <v>1365</v>
      </c>
      <c r="H1853" s="47">
        <v>44211</v>
      </c>
      <c r="I1853" s="46">
        <v>51217</v>
      </c>
      <c r="J1853" s="46">
        <v>1</v>
      </c>
      <c r="K1853" s="47">
        <v>44224</v>
      </c>
      <c r="L1853" s="46">
        <v>11034</v>
      </c>
      <c r="M1853" s="46">
        <v>1</v>
      </c>
    </row>
    <row r="1854" spans="2:13" ht="14.1" customHeight="1" x14ac:dyDescent="0.25">
      <c r="B1854" s="46" t="str">
        <f t="shared" si="28"/>
        <v>2101-99-313288</v>
      </c>
      <c r="C1854" s="47">
        <v>44208</v>
      </c>
      <c r="D1854" s="46">
        <v>99</v>
      </c>
      <c r="E1854" s="46">
        <v>2</v>
      </c>
      <c r="F1854" s="46">
        <v>313288</v>
      </c>
      <c r="G1854" s="48" t="s">
        <v>1371</v>
      </c>
      <c r="H1854" s="47">
        <v>44211</v>
      </c>
      <c r="I1854" s="46">
        <v>51217</v>
      </c>
      <c r="J1854" s="46">
        <v>2</v>
      </c>
      <c r="K1854" s="47">
        <v>44224</v>
      </c>
      <c r="L1854" s="46">
        <v>11034</v>
      </c>
      <c r="M1854" s="46">
        <v>2</v>
      </c>
    </row>
    <row r="1855" spans="2:13" ht="14.1" customHeight="1" x14ac:dyDescent="0.25">
      <c r="B1855" s="46" t="str">
        <f t="shared" si="28"/>
        <v>2101-99-309589</v>
      </c>
      <c r="C1855" s="47">
        <v>44208</v>
      </c>
      <c r="D1855" s="46">
        <v>99</v>
      </c>
      <c r="E1855" s="46">
        <v>2</v>
      </c>
      <c r="F1855" s="46">
        <v>309589</v>
      </c>
      <c r="G1855" s="48" t="s">
        <v>1093</v>
      </c>
      <c r="H1855" s="47">
        <v>44211</v>
      </c>
      <c r="I1855" s="46">
        <v>51217</v>
      </c>
      <c r="J1855" s="46">
        <v>2</v>
      </c>
      <c r="K1855" s="47">
        <v>44224</v>
      </c>
      <c r="L1855" s="46">
        <v>11034</v>
      </c>
      <c r="M1855" s="46">
        <v>2</v>
      </c>
    </row>
    <row r="1856" spans="2:13" ht="14.1" customHeight="1" x14ac:dyDescent="0.25">
      <c r="B1856" s="46" t="str">
        <f t="shared" si="28"/>
        <v>2101-99-301024</v>
      </c>
      <c r="C1856" s="47">
        <v>44208</v>
      </c>
      <c r="D1856" s="46">
        <v>99</v>
      </c>
      <c r="E1856" s="46">
        <v>2</v>
      </c>
      <c r="F1856" s="46">
        <v>301024</v>
      </c>
      <c r="G1856" s="48" t="s">
        <v>1363</v>
      </c>
      <c r="H1856" s="47">
        <v>44211</v>
      </c>
      <c r="I1856" s="46">
        <v>51217</v>
      </c>
      <c r="J1856" s="46">
        <v>2</v>
      </c>
      <c r="K1856" s="47">
        <v>44224</v>
      </c>
      <c r="L1856" s="46">
        <v>11034</v>
      </c>
      <c r="M1856" s="46">
        <v>2</v>
      </c>
    </row>
    <row r="1857" spans="2:13" ht="14.1" customHeight="1" x14ac:dyDescent="0.25">
      <c r="B1857" s="46" t="str">
        <f t="shared" si="28"/>
        <v>2101-99-106474</v>
      </c>
      <c r="C1857" s="47">
        <v>44208</v>
      </c>
      <c r="D1857" s="46">
        <v>99</v>
      </c>
      <c r="E1857" s="46">
        <v>2</v>
      </c>
      <c r="F1857" s="46">
        <v>106474</v>
      </c>
      <c r="G1857" s="48" t="s">
        <v>393</v>
      </c>
      <c r="H1857" s="47">
        <v>44211</v>
      </c>
      <c r="I1857" s="46">
        <v>51217</v>
      </c>
      <c r="J1857" s="46">
        <v>2</v>
      </c>
      <c r="K1857" s="47">
        <v>44224</v>
      </c>
      <c r="L1857" s="46">
        <v>11034</v>
      </c>
      <c r="M1857" s="46">
        <v>2</v>
      </c>
    </row>
    <row r="1858" spans="2:13" ht="14.1" customHeight="1" x14ac:dyDescent="0.25">
      <c r="B1858" s="46" t="str">
        <f t="shared" si="28"/>
        <v>2101-99-302516</v>
      </c>
      <c r="C1858" s="47">
        <v>44208</v>
      </c>
      <c r="D1858" s="46">
        <v>99</v>
      </c>
      <c r="E1858" s="46">
        <v>2</v>
      </c>
      <c r="F1858" s="46">
        <v>302516</v>
      </c>
      <c r="G1858" s="48" t="s">
        <v>1370</v>
      </c>
      <c r="H1858" s="47">
        <v>44211</v>
      </c>
      <c r="I1858" s="46">
        <v>51217</v>
      </c>
      <c r="J1858" s="46">
        <v>2</v>
      </c>
      <c r="K1858" s="47">
        <v>44224</v>
      </c>
      <c r="L1858" s="46">
        <v>11034</v>
      </c>
      <c r="M1858" s="46">
        <v>2</v>
      </c>
    </row>
    <row r="1859" spans="2:13" ht="14.1" customHeight="1" x14ac:dyDescent="0.25">
      <c r="B1859" s="46" t="str">
        <f t="shared" si="28"/>
        <v>2101-99-205541</v>
      </c>
      <c r="C1859" s="47">
        <v>44208</v>
      </c>
      <c r="D1859" s="46">
        <v>99</v>
      </c>
      <c r="E1859" s="46">
        <v>2</v>
      </c>
      <c r="F1859" s="46">
        <v>205541</v>
      </c>
      <c r="G1859" s="48" t="s">
        <v>1369</v>
      </c>
      <c r="H1859" s="47">
        <v>44211</v>
      </c>
      <c r="I1859" s="46">
        <v>51217</v>
      </c>
      <c r="J1859" s="46">
        <v>2</v>
      </c>
      <c r="K1859" s="47">
        <v>44224</v>
      </c>
      <c r="L1859" s="46">
        <v>11034</v>
      </c>
      <c r="M1859" s="46">
        <v>2</v>
      </c>
    </row>
    <row r="1860" spans="2:13" ht="14.1" customHeight="1" x14ac:dyDescent="0.25">
      <c r="B1860" s="46" t="str">
        <f t="shared" si="28"/>
        <v>2101-99-107016</v>
      </c>
      <c r="C1860" s="47">
        <v>44208</v>
      </c>
      <c r="D1860" s="46">
        <v>99</v>
      </c>
      <c r="E1860" s="46">
        <v>3</v>
      </c>
      <c r="F1860" s="46">
        <v>107016</v>
      </c>
      <c r="G1860" s="48" t="s">
        <v>479</v>
      </c>
      <c r="H1860" s="47">
        <v>44211</v>
      </c>
      <c r="I1860" s="46">
        <v>51217</v>
      </c>
      <c r="J1860" s="46">
        <v>3</v>
      </c>
      <c r="K1860" s="47">
        <v>44224</v>
      </c>
      <c r="L1860" s="46">
        <v>11034</v>
      </c>
      <c r="M1860" s="46">
        <v>3</v>
      </c>
    </row>
    <row r="1861" spans="2:13" ht="14.1" customHeight="1" x14ac:dyDescent="0.25">
      <c r="B1861" s="46" t="str">
        <f t="shared" si="28"/>
        <v>2101-99-106321</v>
      </c>
      <c r="C1861" s="47">
        <v>44208</v>
      </c>
      <c r="D1861" s="46">
        <v>99</v>
      </c>
      <c r="E1861" s="46">
        <v>1</v>
      </c>
      <c r="F1861" s="46">
        <v>106321</v>
      </c>
      <c r="G1861" s="48" t="s">
        <v>1368</v>
      </c>
      <c r="H1861" s="47">
        <v>44211</v>
      </c>
      <c r="I1861" s="46">
        <v>51217</v>
      </c>
      <c r="J1861" s="46">
        <v>1</v>
      </c>
      <c r="K1861" s="47">
        <v>44224</v>
      </c>
      <c r="L1861" s="46">
        <v>11034</v>
      </c>
      <c r="M1861" s="46">
        <v>1</v>
      </c>
    </row>
    <row r="1862" spans="2:13" ht="14.1" customHeight="1" x14ac:dyDescent="0.25">
      <c r="B1862" s="46" t="str">
        <f t="shared" si="28"/>
        <v>2101-99-313435</v>
      </c>
      <c r="C1862" s="47">
        <v>44208</v>
      </c>
      <c r="D1862" s="46">
        <v>99</v>
      </c>
      <c r="E1862" s="46">
        <v>1</v>
      </c>
      <c r="F1862" s="46">
        <v>313435</v>
      </c>
      <c r="G1862" s="48" t="s">
        <v>1237</v>
      </c>
      <c r="H1862" s="47">
        <v>44211</v>
      </c>
      <c r="I1862" s="46">
        <v>51217</v>
      </c>
      <c r="J1862" s="46">
        <v>1</v>
      </c>
      <c r="K1862" s="47">
        <v>44224</v>
      </c>
      <c r="L1862" s="46">
        <v>11034</v>
      </c>
      <c r="M1862" s="46">
        <v>1</v>
      </c>
    </row>
    <row r="1863" spans="2:13" ht="14.1" customHeight="1" x14ac:dyDescent="0.25">
      <c r="B1863" s="46" t="str">
        <f t="shared" si="28"/>
        <v>2101-99-204462</v>
      </c>
      <c r="C1863" s="47">
        <v>44208</v>
      </c>
      <c r="D1863" s="46">
        <v>99</v>
      </c>
      <c r="E1863" s="46">
        <v>2</v>
      </c>
      <c r="F1863" s="46">
        <v>204462</v>
      </c>
      <c r="G1863" s="48" t="s">
        <v>1364</v>
      </c>
      <c r="H1863" s="47">
        <v>44211</v>
      </c>
      <c r="I1863" s="46">
        <v>51217</v>
      </c>
      <c r="J1863" s="46">
        <v>2</v>
      </c>
      <c r="K1863" s="47">
        <v>44224</v>
      </c>
      <c r="L1863" s="46">
        <v>11034</v>
      </c>
      <c r="M1863" s="46">
        <v>2</v>
      </c>
    </row>
    <row r="1864" spans="2:13" ht="14.1" customHeight="1" x14ac:dyDescent="0.25">
      <c r="B1864" s="46" t="str">
        <f t="shared" si="28"/>
        <v>2101-99-204698</v>
      </c>
      <c r="C1864" s="47">
        <v>44208</v>
      </c>
      <c r="D1864" s="46">
        <v>99</v>
      </c>
      <c r="E1864" s="46">
        <v>1</v>
      </c>
      <c r="F1864" s="46">
        <v>204698</v>
      </c>
      <c r="G1864" s="48" t="s">
        <v>542</v>
      </c>
      <c r="H1864" s="47">
        <v>44211</v>
      </c>
      <c r="I1864" s="46">
        <v>51217</v>
      </c>
      <c r="J1864" s="46">
        <v>1</v>
      </c>
      <c r="K1864" s="47">
        <v>44224</v>
      </c>
      <c r="L1864" s="46">
        <v>11034</v>
      </c>
      <c r="M1864" s="46">
        <v>1</v>
      </c>
    </row>
    <row r="1865" spans="2:13" ht="14.1" customHeight="1" x14ac:dyDescent="0.25">
      <c r="B1865" s="46" t="str">
        <f t="shared" si="28"/>
        <v>2101-100-320617</v>
      </c>
      <c r="C1865" s="47">
        <v>44208</v>
      </c>
      <c r="D1865" s="46">
        <v>100</v>
      </c>
      <c r="E1865" s="46">
        <v>1</v>
      </c>
      <c r="F1865" s="46">
        <v>320617</v>
      </c>
      <c r="G1865" s="48" t="s">
        <v>1468</v>
      </c>
      <c r="H1865" s="47">
        <v>44218</v>
      </c>
      <c r="I1865" s="46">
        <v>51339</v>
      </c>
      <c r="J1865" s="46">
        <v>1</v>
      </c>
      <c r="K1865" s="47">
        <v>44208</v>
      </c>
      <c r="L1865" s="46">
        <v>10869</v>
      </c>
      <c r="M1865" s="46">
        <v>1</v>
      </c>
    </row>
    <row r="1866" spans="2:13" ht="14.1" customHeight="1" x14ac:dyDescent="0.25">
      <c r="B1866" s="46" t="str">
        <f t="shared" si="28"/>
        <v>2101-100-320618</v>
      </c>
      <c r="C1866" s="47">
        <v>44208</v>
      </c>
      <c r="D1866" s="46">
        <v>100</v>
      </c>
      <c r="E1866" s="46">
        <v>1</v>
      </c>
      <c r="F1866" s="46">
        <v>320618</v>
      </c>
      <c r="G1866" s="48" t="s">
        <v>1469</v>
      </c>
      <c r="H1866" s="47">
        <v>44218</v>
      </c>
      <c r="I1866" s="46">
        <v>51339</v>
      </c>
      <c r="J1866" s="46">
        <v>1</v>
      </c>
      <c r="K1866" s="47">
        <v>44208</v>
      </c>
      <c r="L1866" s="46">
        <v>10869</v>
      </c>
      <c r="M1866" s="46">
        <v>1</v>
      </c>
    </row>
    <row r="1867" spans="2:13" ht="14.1" customHeight="1" x14ac:dyDescent="0.25">
      <c r="B1867" s="46" t="str">
        <f t="shared" si="28"/>
        <v>2101-103-313280</v>
      </c>
      <c r="C1867" s="47">
        <v>44209</v>
      </c>
      <c r="D1867" s="46">
        <v>103</v>
      </c>
      <c r="E1867" s="46">
        <v>8</v>
      </c>
      <c r="F1867" s="46">
        <v>313280</v>
      </c>
      <c r="G1867" s="48" t="s">
        <v>1374</v>
      </c>
      <c r="H1867" s="47">
        <v>44217</v>
      </c>
      <c r="I1867" s="46">
        <v>51278</v>
      </c>
      <c r="J1867" s="46">
        <v>8</v>
      </c>
      <c r="L1867" s="46">
        <v>0</v>
      </c>
      <c r="M1867" s="46">
        <v>0</v>
      </c>
    </row>
    <row r="1868" spans="2:13" ht="14.1" customHeight="1" x14ac:dyDescent="0.25">
      <c r="B1868" s="46" t="str">
        <f t="shared" ref="B1868:B1931" si="29">TEXT(C1868,"yy") &amp; TEXT(C1868,"mm") &amp;"-"&amp;(D1868) &amp;"-"&amp;(F1868)</f>
        <v>2101-103-204192</v>
      </c>
      <c r="C1868" s="47">
        <v>44209</v>
      </c>
      <c r="D1868" s="46">
        <v>103</v>
      </c>
      <c r="E1868" s="46">
        <v>600</v>
      </c>
      <c r="F1868" s="46">
        <v>204192</v>
      </c>
      <c r="G1868" s="48" t="s">
        <v>59</v>
      </c>
      <c r="H1868" s="47">
        <v>44217</v>
      </c>
      <c r="I1868" s="46">
        <v>51278</v>
      </c>
      <c r="J1868" s="46">
        <v>600</v>
      </c>
      <c r="L1868" s="46">
        <v>0</v>
      </c>
      <c r="M1868" s="46">
        <v>0</v>
      </c>
    </row>
    <row r="1869" spans="2:13" ht="14.1" customHeight="1" x14ac:dyDescent="0.25">
      <c r="B1869" s="46" t="str">
        <f t="shared" si="29"/>
        <v>2101-103-204416</v>
      </c>
      <c r="C1869" s="47">
        <v>44209</v>
      </c>
      <c r="D1869" s="46">
        <v>103</v>
      </c>
      <c r="E1869" s="46">
        <v>30</v>
      </c>
      <c r="F1869" s="46">
        <v>204416</v>
      </c>
      <c r="G1869" s="48" t="s">
        <v>322</v>
      </c>
      <c r="H1869" s="47">
        <v>44217</v>
      </c>
      <c r="I1869" s="46">
        <v>51278</v>
      </c>
      <c r="J1869" s="46">
        <v>30</v>
      </c>
      <c r="L1869" s="46">
        <v>0</v>
      </c>
      <c r="M1869" s="46">
        <v>0</v>
      </c>
    </row>
    <row r="1870" spans="2:13" ht="14.1" customHeight="1" x14ac:dyDescent="0.25">
      <c r="B1870" s="46" t="str">
        <f t="shared" si="29"/>
        <v>2101-103-301985</v>
      </c>
      <c r="C1870" s="47">
        <v>44209</v>
      </c>
      <c r="D1870" s="46">
        <v>103</v>
      </c>
      <c r="E1870" s="46">
        <v>20</v>
      </c>
      <c r="F1870" s="46">
        <v>301985</v>
      </c>
      <c r="G1870" s="48" t="s">
        <v>629</v>
      </c>
      <c r="H1870" s="47">
        <v>44217</v>
      </c>
      <c r="I1870" s="46">
        <v>51278</v>
      </c>
      <c r="J1870" s="46">
        <v>20</v>
      </c>
      <c r="L1870" s="46">
        <v>0</v>
      </c>
      <c r="M1870" s="46">
        <v>0</v>
      </c>
    </row>
    <row r="1871" spans="2:13" ht="14.1" customHeight="1" x14ac:dyDescent="0.25">
      <c r="B1871" s="46" t="str">
        <f t="shared" si="29"/>
        <v>2101-103-307717</v>
      </c>
      <c r="C1871" s="47">
        <v>44209</v>
      </c>
      <c r="D1871" s="46">
        <v>103</v>
      </c>
      <c r="E1871" s="46">
        <v>10</v>
      </c>
      <c r="F1871" s="46">
        <v>307717</v>
      </c>
      <c r="G1871" s="48" t="s">
        <v>731</v>
      </c>
      <c r="H1871" s="47">
        <v>44217</v>
      </c>
      <c r="I1871" s="46">
        <v>51278</v>
      </c>
      <c r="J1871" s="46">
        <v>10</v>
      </c>
      <c r="L1871" s="46">
        <v>0</v>
      </c>
      <c r="M1871" s="46">
        <v>0</v>
      </c>
    </row>
    <row r="1872" spans="2:13" ht="14.1" customHeight="1" x14ac:dyDescent="0.25">
      <c r="B1872" s="46" t="str">
        <f t="shared" si="29"/>
        <v>2101-103-106405</v>
      </c>
      <c r="C1872" s="47">
        <v>44209</v>
      </c>
      <c r="D1872" s="46">
        <v>103</v>
      </c>
      <c r="E1872" s="46">
        <v>5</v>
      </c>
      <c r="F1872" s="46">
        <v>106405</v>
      </c>
      <c r="G1872" s="48" t="s">
        <v>1377</v>
      </c>
      <c r="H1872" s="47">
        <v>44218</v>
      </c>
      <c r="I1872" s="46">
        <v>51315</v>
      </c>
      <c r="J1872" s="46">
        <v>5</v>
      </c>
      <c r="L1872" s="46">
        <v>0</v>
      </c>
      <c r="M1872" s="46">
        <v>0</v>
      </c>
    </row>
    <row r="1873" spans="2:13" ht="14.1" customHeight="1" x14ac:dyDescent="0.25">
      <c r="B1873" s="46" t="str">
        <f t="shared" si="29"/>
        <v>2101-103-320636</v>
      </c>
      <c r="C1873" s="47">
        <v>44209</v>
      </c>
      <c r="D1873" s="46">
        <v>103</v>
      </c>
      <c r="E1873" s="46">
        <v>15</v>
      </c>
      <c r="F1873" s="46">
        <v>320636</v>
      </c>
      <c r="G1873" s="48" t="s">
        <v>1407</v>
      </c>
      <c r="H1873" s="47">
        <v>44217</v>
      </c>
      <c r="I1873" s="46">
        <v>51298</v>
      </c>
      <c r="J1873" s="46">
        <v>15</v>
      </c>
      <c r="L1873" s="46">
        <v>0</v>
      </c>
      <c r="M1873" s="46">
        <v>0</v>
      </c>
    </row>
    <row r="1874" spans="2:13" ht="14.1" customHeight="1" x14ac:dyDescent="0.25">
      <c r="B1874" s="46" t="str">
        <f t="shared" si="29"/>
        <v>2101-103-320646</v>
      </c>
      <c r="C1874" s="47">
        <v>44209</v>
      </c>
      <c r="D1874" s="46">
        <v>103</v>
      </c>
      <c r="E1874" s="46">
        <v>1</v>
      </c>
      <c r="F1874" s="46">
        <v>320646</v>
      </c>
      <c r="G1874" s="48" t="s">
        <v>1417</v>
      </c>
      <c r="H1874" s="47">
        <v>44217</v>
      </c>
      <c r="I1874" s="46">
        <v>51280</v>
      </c>
      <c r="J1874" s="46">
        <v>1</v>
      </c>
      <c r="L1874" s="46">
        <v>0</v>
      </c>
      <c r="M1874" s="46">
        <v>0</v>
      </c>
    </row>
    <row r="1875" spans="2:13" ht="14.1" customHeight="1" x14ac:dyDescent="0.25">
      <c r="B1875" s="46" t="str">
        <f t="shared" si="29"/>
        <v>2101-103-205181</v>
      </c>
      <c r="C1875" s="47">
        <v>44209</v>
      </c>
      <c r="D1875" s="46">
        <v>103</v>
      </c>
      <c r="E1875" s="46">
        <v>30</v>
      </c>
      <c r="F1875" s="46">
        <v>205181</v>
      </c>
      <c r="G1875" s="48" t="s">
        <v>1383</v>
      </c>
      <c r="H1875" s="47">
        <v>44217</v>
      </c>
      <c r="I1875" s="46">
        <v>51278</v>
      </c>
      <c r="J1875" s="46">
        <v>30</v>
      </c>
      <c r="L1875" s="46">
        <v>0</v>
      </c>
      <c r="M1875" s="46">
        <v>0</v>
      </c>
    </row>
    <row r="1876" spans="2:13" ht="14.1" customHeight="1" x14ac:dyDescent="0.25">
      <c r="B1876" s="46" t="str">
        <f t="shared" si="29"/>
        <v>2101-103-300933</v>
      </c>
      <c r="C1876" s="47">
        <v>44209</v>
      </c>
      <c r="D1876" s="46">
        <v>103</v>
      </c>
      <c r="E1876" s="46">
        <v>20</v>
      </c>
      <c r="F1876" s="46">
        <v>300933</v>
      </c>
      <c r="G1876" s="48" t="s">
        <v>60</v>
      </c>
      <c r="H1876" s="47">
        <v>44217</v>
      </c>
      <c r="I1876" s="46">
        <v>51278</v>
      </c>
      <c r="J1876" s="46">
        <v>20</v>
      </c>
      <c r="L1876" s="46">
        <v>0</v>
      </c>
      <c r="M1876" s="46">
        <v>0</v>
      </c>
    </row>
    <row r="1877" spans="2:13" ht="14.1" customHeight="1" x14ac:dyDescent="0.25">
      <c r="B1877" s="46" t="str">
        <f t="shared" si="29"/>
        <v>2101-103-309883</v>
      </c>
      <c r="C1877" s="47">
        <v>44209</v>
      </c>
      <c r="D1877" s="46">
        <v>103</v>
      </c>
      <c r="E1877" s="46">
        <v>800</v>
      </c>
      <c r="F1877" s="46">
        <v>309883</v>
      </c>
      <c r="G1877" s="48" t="s">
        <v>40</v>
      </c>
      <c r="H1877" s="47">
        <v>44217</v>
      </c>
      <c r="I1877" s="46">
        <v>51280</v>
      </c>
      <c r="J1877" s="46">
        <v>800</v>
      </c>
      <c r="L1877" s="46">
        <v>0</v>
      </c>
      <c r="M1877" s="46">
        <v>0</v>
      </c>
    </row>
    <row r="1878" spans="2:13" ht="14.1" customHeight="1" x14ac:dyDescent="0.25">
      <c r="B1878" s="46" t="str">
        <f t="shared" si="29"/>
        <v>2101-103-203229</v>
      </c>
      <c r="C1878" s="47">
        <v>44209</v>
      </c>
      <c r="D1878" s="46">
        <v>103</v>
      </c>
      <c r="E1878" s="46">
        <v>30</v>
      </c>
      <c r="F1878" s="46">
        <v>203229</v>
      </c>
      <c r="G1878" s="48" t="s">
        <v>505</v>
      </c>
      <c r="H1878" s="47">
        <v>44217</v>
      </c>
      <c r="I1878" s="46">
        <v>51278</v>
      </c>
      <c r="J1878" s="46">
        <v>30</v>
      </c>
      <c r="L1878" s="46">
        <v>0</v>
      </c>
      <c r="M1878" s="46">
        <v>0</v>
      </c>
    </row>
    <row r="1879" spans="2:13" ht="14.1" customHeight="1" x14ac:dyDescent="0.25">
      <c r="B1879" s="46" t="str">
        <f t="shared" si="29"/>
        <v>2101-103-320627</v>
      </c>
      <c r="C1879" s="47">
        <v>44209</v>
      </c>
      <c r="D1879" s="46">
        <v>103</v>
      </c>
      <c r="E1879" s="46">
        <v>20</v>
      </c>
      <c r="F1879" s="46">
        <v>320627</v>
      </c>
      <c r="G1879" s="48" t="s">
        <v>1398</v>
      </c>
      <c r="H1879" s="47">
        <v>44217</v>
      </c>
      <c r="I1879" s="46">
        <v>51278</v>
      </c>
      <c r="J1879" s="46">
        <v>20</v>
      </c>
      <c r="L1879" s="46">
        <v>0</v>
      </c>
      <c r="M1879" s="46">
        <v>0</v>
      </c>
    </row>
    <row r="1880" spans="2:13" ht="14.1" customHeight="1" x14ac:dyDescent="0.25">
      <c r="B1880" s="46" t="str">
        <f t="shared" si="29"/>
        <v>2101-103-320640</v>
      </c>
      <c r="C1880" s="47">
        <v>44209</v>
      </c>
      <c r="D1880" s="46">
        <v>103</v>
      </c>
      <c r="E1880" s="46">
        <v>12</v>
      </c>
      <c r="F1880" s="46">
        <v>320640</v>
      </c>
      <c r="G1880" s="48" t="s">
        <v>1411</v>
      </c>
      <c r="H1880" s="47">
        <v>44217</v>
      </c>
      <c r="I1880" s="46">
        <v>51298</v>
      </c>
      <c r="J1880" s="46">
        <v>12</v>
      </c>
      <c r="L1880" s="46">
        <v>0</v>
      </c>
      <c r="M1880" s="46">
        <v>0</v>
      </c>
    </row>
    <row r="1881" spans="2:13" ht="14.1" customHeight="1" x14ac:dyDescent="0.25">
      <c r="B1881" s="46" t="str">
        <f t="shared" si="29"/>
        <v>2101-103-320641</v>
      </c>
      <c r="C1881" s="47">
        <v>44209</v>
      </c>
      <c r="D1881" s="46">
        <v>103</v>
      </c>
      <c r="E1881" s="46">
        <v>3</v>
      </c>
      <c r="F1881" s="46">
        <v>320641</v>
      </c>
      <c r="G1881" s="48" t="s">
        <v>1412</v>
      </c>
      <c r="H1881" s="47">
        <v>44217</v>
      </c>
      <c r="I1881" s="46">
        <v>51298</v>
      </c>
      <c r="J1881" s="46">
        <v>3</v>
      </c>
      <c r="L1881" s="46">
        <v>0</v>
      </c>
      <c r="M1881" s="46">
        <v>0</v>
      </c>
    </row>
    <row r="1882" spans="2:13" ht="14.1" customHeight="1" x14ac:dyDescent="0.25">
      <c r="B1882" s="46" t="str">
        <f t="shared" si="29"/>
        <v>2101-103-317495</v>
      </c>
      <c r="C1882" s="47">
        <v>44209</v>
      </c>
      <c r="D1882" s="46">
        <v>103</v>
      </c>
      <c r="E1882" s="46">
        <v>8</v>
      </c>
      <c r="F1882" s="46">
        <v>317495</v>
      </c>
      <c r="G1882" s="48" t="s">
        <v>1373</v>
      </c>
      <c r="H1882" s="47">
        <v>44217</v>
      </c>
      <c r="I1882" s="46">
        <v>51278</v>
      </c>
      <c r="J1882" s="46">
        <v>8</v>
      </c>
      <c r="L1882" s="46">
        <v>0</v>
      </c>
      <c r="M1882" s="46">
        <v>0</v>
      </c>
    </row>
    <row r="1883" spans="2:13" ht="14.1" customHeight="1" x14ac:dyDescent="0.25">
      <c r="B1883" s="46" t="str">
        <f t="shared" si="29"/>
        <v>2101-103-106047</v>
      </c>
      <c r="C1883" s="47">
        <v>44209</v>
      </c>
      <c r="D1883" s="46">
        <v>103</v>
      </c>
      <c r="E1883" s="46">
        <v>200</v>
      </c>
      <c r="F1883" s="46">
        <v>106047</v>
      </c>
      <c r="G1883" s="48" t="s">
        <v>450</v>
      </c>
      <c r="H1883" s="47">
        <v>44217</v>
      </c>
      <c r="I1883" s="46">
        <v>51278</v>
      </c>
      <c r="J1883" s="46">
        <v>200</v>
      </c>
      <c r="L1883" s="46">
        <v>0</v>
      </c>
      <c r="M1883" s="46">
        <v>0</v>
      </c>
    </row>
    <row r="1884" spans="2:13" ht="14.1" customHeight="1" x14ac:dyDescent="0.25">
      <c r="B1884" s="46" t="str">
        <f t="shared" si="29"/>
        <v>2101-103-203982</v>
      </c>
      <c r="C1884" s="47">
        <v>44209</v>
      </c>
      <c r="D1884" s="46">
        <v>103</v>
      </c>
      <c r="E1884" s="46">
        <v>20</v>
      </c>
      <c r="F1884" s="46">
        <v>203982</v>
      </c>
      <c r="G1884" s="48" t="s">
        <v>522</v>
      </c>
      <c r="H1884" s="47">
        <v>44217</v>
      </c>
      <c r="I1884" s="46">
        <v>51278</v>
      </c>
      <c r="J1884" s="46">
        <v>20</v>
      </c>
      <c r="L1884" s="46">
        <v>0</v>
      </c>
      <c r="M1884" s="46">
        <v>0</v>
      </c>
    </row>
    <row r="1885" spans="2:13" ht="14.1" customHeight="1" x14ac:dyDescent="0.25">
      <c r="B1885" s="46" t="str">
        <f t="shared" si="29"/>
        <v>2101-103-204413</v>
      </c>
      <c r="C1885" s="47">
        <v>44209</v>
      </c>
      <c r="D1885" s="46">
        <v>103</v>
      </c>
      <c r="E1885" s="46">
        <v>30</v>
      </c>
      <c r="F1885" s="46">
        <v>204413</v>
      </c>
      <c r="G1885" s="48" t="s">
        <v>1382</v>
      </c>
      <c r="H1885" s="47">
        <v>44217</v>
      </c>
      <c r="I1885" s="46">
        <v>51278</v>
      </c>
      <c r="J1885" s="46">
        <v>30</v>
      </c>
      <c r="L1885" s="46">
        <v>0</v>
      </c>
      <c r="M1885" s="46">
        <v>0</v>
      </c>
    </row>
    <row r="1886" spans="2:13" ht="14.1" customHeight="1" x14ac:dyDescent="0.25">
      <c r="B1886" s="46" t="str">
        <f t="shared" si="29"/>
        <v>2101-103-320629</v>
      </c>
      <c r="C1886" s="47">
        <v>44209</v>
      </c>
      <c r="D1886" s="46">
        <v>103</v>
      </c>
      <c r="E1886" s="46">
        <v>3</v>
      </c>
      <c r="F1886" s="46">
        <v>320629</v>
      </c>
      <c r="G1886" s="48" t="s">
        <v>1400</v>
      </c>
      <c r="H1886" s="47">
        <v>44217</v>
      </c>
      <c r="I1886" s="46">
        <v>51280</v>
      </c>
      <c r="J1886" s="46">
        <v>3</v>
      </c>
      <c r="L1886" s="46">
        <v>0</v>
      </c>
      <c r="M1886" s="46">
        <v>0</v>
      </c>
    </row>
    <row r="1887" spans="2:13" ht="14.1" customHeight="1" x14ac:dyDescent="0.25">
      <c r="B1887" s="46" t="str">
        <f t="shared" si="29"/>
        <v>2101-103-302524</v>
      </c>
      <c r="C1887" s="47">
        <v>44209</v>
      </c>
      <c r="D1887" s="46">
        <v>103</v>
      </c>
      <c r="E1887" s="46">
        <v>20</v>
      </c>
      <c r="F1887" s="46">
        <v>302524</v>
      </c>
      <c r="G1887" s="48" t="s">
        <v>1385</v>
      </c>
      <c r="H1887" s="47">
        <v>44217</v>
      </c>
      <c r="I1887" s="46">
        <v>51278</v>
      </c>
      <c r="J1887" s="46">
        <v>20</v>
      </c>
      <c r="L1887" s="46">
        <v>0</v>
      </c>
      <c r="M1887" s="46">
        <v>0</v>
      </c>
    </row>
    <row r="1888" spans="2:13" ht="14.1" customHeight="1" x14ac:dyDescent="0.25">
      <c r="B1888" s="46" t="str">
        <f t="shared" si="29"/>
        <v>2101-103-203230</v>
      </c>
      <c r="C1888" s="47">
        <v>44209</v>
      </c>
      <c r="D1888" s="46">
        <v>103</v>
      </c>
      <c r="E1888" s="46">
        <v>30</v>
      </c>
      <c r="F1888" s="46">
        <v>203230</v>
      </c>
      <c r="G1888" s="48" t="s">
        <v>506</v>
      </c>
      <c r="H1888" s="47">
        <v>44217</v>
      </c>
      <c r="I1888" s="46">
        <v>51278</v>
      </c>
      <c r="J1888" s="46">
        <v>30</v>
      </c>
      <c r="L1888" s="46">
        <v>0</v>
      </c>
      <c r="M1888" s="46">
        <v>0</v>
      </c>
    </row>
    <row r="1889" spans="2:13" ht="14.1" customHeight="1" x14ac:dyDescent="0.25">
      <c r="B1889" s="46" t="str">
        <f t="shared" si="29"/>
        <v>2101-103-304264</v>
      </c>
      <c r="C1889" s="47">
        <v>44209</v>
      </c>
      <c r="D1889" s="46">
        <v>103</v>
      </c>
      <c r="E1889" s="46">
        <v>8</v>
      </c>
      <c r="F1889" s="46">
        <v>304264</v>
      </c>
      <c r="G1889" s="48" t="s">
        <v>100</v>
      </c>
      <c r="H1889" s="47">
        <v>44217</v>
      </c>
      <c r="I1889" s="46">
        <v>51278</v>
      </c>
      <c r="J1889" s="46">
        <v>8</v>
      </c>
      <c r="L1889" s="46">
        <v>0</v>
      </c>
      <c r="M1889" s="46">
        <v>0</v>
      </c>
    </row>
    <row r="1890" spans="2:13" ht="14.1" customHeight="1" x14ac:dyDescent="0.25">
      <c r="B1890" s="46" t="str">
        <f t="shared" si="29"/>
        <v>2101-103-320631</v>
      </c>
      <c r="C1890" s="47">
        <v>44209</v>
      </c>
      <c r="D1890" s="46">
        <v>103</v>
      </c>
      <c r="E1890" s="46">
        <v>1</v>
      </c>
      <c r="F1890" s="46">
        <v>320631</v>
      </c>
      <c r="G1890" s="48" t="s">
        <v>1402</v>
      </c>
      <c r="H1890" s="47">
        <v>44217</v>
      </c>
      <c r="I1890" s="46">
        <v>51298</v>
      </c>
      <c r="J1890" s="46">
        <v>1</v>
      </c>
      <c r="L1890" s="46">
        <v>0</v>
      </c>
      <c r="M1890" s="46">
        <v>0</v>
      </c>
    </row>
    <row r="1891" spans="2:13" ht="14.1" customHeight="1" x14ac:dyDescent="0.25">
      <c r="B1891" s="46" t="str">
        <f t="shared" si="29"/>
        <v>2101-103-320639</v>
      </c>
      <c r="C1891" s="47">
        <v>44209</v>
      </c>
      <c r="D1891" s="46">
        <v>103</v>
      </c>
      <c r="E1891" s="46">
        <v>2</v>
      </c>
      <c r="F1891" s="46">
        <v>320639</v>
      </c>
      <c r="G1891" s="48" t="s">
        <v>1410</v>
      </c>
      <c r="H1891" s="47">
        <v>44217</v>
      </c>
      <c r="I1891" s="46">
        <v>51298</v>
      </c>
      <c r="J1891" s="46">
        <v>2</v>
      </c>
      <c r="L1891" s="46">
        <v>0</v>
      </c>
      <c r="M1891" s="46">
        <v>0</v>
      </c>
    </row>
    <row r="1892" spans="2:13" ht="14.1" customHeight="1" x14ac:dyDescent="0.25">
      <c r="B1892" s="46" t="str">
        <f t="shared" si="29"/>
        <v>2101-103-320645</v>
      </c>
      <c r="C1892" s="47">
        <v>44209</v>
      </c>
      <c r="D1892" s="46">
        <v>103</v>
      </c>
      <c r="E1892" s="46">
        <v>100</v>
      </c>
      <c r="F1892" s="46">
        <v>320645</v>
      </c>
      <c r="G1892" s="48" t="s">
        <v>1416</v>
      </c>
      <c r="H1892" s="47">
        <v>44217</v>
      </c>
      <c r="I1892" s="46">
        <v>51279</v>
      </c>
      <c r="J1892" s="46">
        <v>100</v>
      </c>
      <c r="L1892" s="46">
        <v>0</v>
      </c>
      <c r="M1892" s="46">
        <v>0</v>
      </c>
    </row>
    <row r="1893" spans="2:13" ht="14.1" customHeight="1" x14ac:dyDescent="0.25">
      <c r="B1893" s="46" t="str">
        <f t="shared" si="29"/>
        <v>2101-103-320630</v>
      </c>
      <c r="C1893" s="47">
        <v>44209</v>
      </c>
      <c r="D1893" s="46">
        <v>103</v>
      </c>
      <c r="E1893" s="46">
        <v>8</v>
      </c>
      <c r="F1893" s="46">
        <v>320630</v>
      </c>
      <c r="G1893" s="48" t="s">
        <v>1401</v>
      </c>
      <c r="H1893" s="47">
        <v>44217</v>
      </c>
      <c r="I1893" s="46">
        <v>51280</v>
      </c>
      <c r="J1893" s="46">
        <v>8</v>
      </c>
      <c r="L1893" s="46">
        <v>0</v>
      </c>
      <c r="M1893" s="46">
        <v>0</v>
      </c>
    </row>
    <row r="1894" spans="2:13" ht="14.1" customHeight="1" x14ac:dyDescent="0.25">
      <c r="B1894" s="46" t="str">
        <f t="shared" si="29"/>
        <v>2101-103-320634</v>
      </c>
      <c r="C1894" s="47">
        <v>44209</v>
      </c>
      <c r="D1894" s="46">
        <v>103</v>
      </c>
      <c r="E1894" s="46">
        <v>15</v>
      </c>
      <c r="F1894" s="46">
        <v>320634</v>
      </c>
      <c r="G1894" s="48" t="s">
        <v>1405</v>
      </c>
      <c r="H1894" s="47">
        <v>44217</v>
      </c>
      <c r="I1894" s="46">
        <v>51298</v>
      </c>
      <c r="J1894" s="46">
        <v>15</v>
      </c>
      <c r="L1894" s="46">
        <v>0</v>
      </c>
      <c r="M1894" s="46">
        <v>0</v>
      </c>
    </row>
    <row r="1895" spans="2:13" ht="14.1" customHeight="1" x14ac:dyDescent="0.25">
      <c r="B1895" s="46" t="str">
        <f t="shared" si="29"/>
        <v>2101-103-320644</v>
      </c>
      <c r="C1895" s="47">
        <v>44209</v>
      </c>
      <c r="D1895" s="46">
        <v>103</v>
      </c>
      <c r="E1895" s="46">
        <v>100</v>
      </c>
      <c r="F1895" s="46">
        <v>320644</v>
      </c>
      <c r="G1895" s="48" t="s">
        <v>1415</v>
      </c>
      <c r="H1895" s="47">
        <v>44217</v>
      </c>
      <c r="I1895" s="46">
        <v>51279</v>
      </c>
      <c r="J1895" s="46">
        <v>100</v>
      </c>
      <c r="L1895" s="46">
        <v>0</v>
      </c>
      <c r="M1895" s="46">
        <v>0</v>
      </c>
    </row>
    <row r="1896" spans="2:13" ht="14.1" customHeight="1" x14ac:dyDescent="0.25">
      <c r="B1896" s="46" t="str">
        <f t="shared" si="29"/>
        <v>2101-103-320650</v>
      </c>
      <c r="C1896" s="47">
        <v>44209</v>
      </c>
      <c r="D1896" s="46">
        <v>103</v>
      </c>
      <c r="E1896" s="46">
        <v>1</v>
      </c>
      <c r="F1896" s="46">
        <v>320650</v>
      </c>
      <c r="G1896" s="48" t="s">
        <v>1422</v>
      </c>
      <c r="H1896" s="47">
        <v>44217</v>
      </c>
      <c r="I1896" s="46">
        <v>51280</v>
      </c>
      <c r="J1896" s="46">
        <v>1</v>
      </c>
      <c r="L1896" s="46">
        <v>0</v>
      </c>
      <c r="M1896" s="46">
        <v>0</v>
      </c>
    </row>
    <row r="1897" spans="2:13" ht="14.1" customHeight="1" x14ac:dyDescent="0.25">
      <c r="B1897" s="46" t="str">
        <f t="shared" si="29"/>
        <v>2101-103-320651</v>
      </c>
      <c r="C1897" s="47">
        <v>44209</v>
      </c>
      <c r="D1897" s="46">
        <v>103</v>
      </c>
      <c r="E1897" s="46">
        <v>2</v>
      </c>
      <c r="F1897" s="46">
        <v>320651</v>
      </c>
      <c r="G1897" s="48" t="s">
        <v>1421</v>
      </c>
      <c r="H1897" s="47">
        <v>44217</v>
      </c>
      <c r="I1897" s="46">
        <v>51278</v>
      </c>
      <c r="J1897" s="46">
        <v>2</v>
      </c>
      <c r="L1897" s="46">
        <v>0</v>
      </c>
      <c r="M1897" s="46">
        <v>0</v>
      </c>
    </row>
    <row r="1898" spans="2:13" ht="14.1" customHeight="1" x14ac:dyDescent="0.25">
      <c r="B1898" s="46" t="str">
        <f t="shared" si="29"/>
        <v>2101-103-316037</v>
      </c>
      <c r="C1898" s="47">
        <v>44209</v>
      </c>
      <c r="D1898" s="46">
        <v>103</v>
      </c>
      <c r="E1898" s="46">
        <v>150</v>
      </c>
      <c r="F1898" s="46">
        <v>316037</v>
      </c>
      <c r="G1898" s="48" t="s">
        <v>1389</v>
      </c>
      <c r="H1898" s="47">
        <v>44217</v>
      </c>
      <c r="I1898" s="46">
        <v>51298</v>
      </c>
      <c r="J1898" s="46">
        <v>150</v>
      </c>
      <c r="L1898" s="46">
        <v>0</v>
      </c>
      <c r="M1898" s="46">
        <v>0</v>
      </c>
    </row>
    <row r="1899" spans="2:13" ht="14.1" customHeight="1" x14ac:dyDescent="0.25">
      <c r="B1899" s="46" t="str">
        <f t="shared" si="29"/>
        <v>2101-103-320649</v>
      </c>
      <c r="C1899" s="47">
        <v>44209</v>
      </c>
      <c r="D1899" s="46">
        <v>103</v>
      </c>
      <c r="E1899" s="46">
        <v>1</v>
      </c>
      <c r="F1899" s="46">
        <v>320649</v>
      </c>
      <c r="G1899" s="48" t="s">
        <v>1420</v>
      </c>
      <c r="H1899" s="47">
        <v>44217</v>
      </c>
      <c r="I1899" s="46">
        <v>51280</v>
      </c>
      <c r="J1899" s="46">
        <v>1</v>
      </c>
      <c r="L1899" s="46">
        <v>0</v>
      </c>
      <c r="M1899" s="46">
        <v>0</v>
      </c>
    </row>
    <row r="1900" spans="2:13" ht="14.1" customHeight="1" x14ac:dyDescent="0.25">
      <c r="B1900" s="46" t="str">
        <f t="shared" si="29"/>
        <v>2101-103-205091</v>
      </c>
      <c r="C1900" s="47">
        <v>44209</v>
      </c>
      <c r="D1900" s="46">
        <v>103</v>
      </c>
      <c r="E1900" s="46">
        <v>30</v>
      </c>
      <c r="F1900" s="46">
        <v>205091</v>
      </c>
      <c r="G1900" s="48" t="s">
        <v>552</v>
      </c>
      <c r="H1900" s="47">
        <v>44217</v>
      </c>
      <c r="I1900" s="46">
        <v>51278</v>
      </c>
      <c r="J1900" s="46">
        <v>30</v>
      </c>
      <c r="L1900" s="46">
        <v>0</v>
      </c>
      <c r="M1900" s="46">
        <v>0</v>
      </c>
    </row>
    <row r="1901" spans="2:13" ht="14.1" customHeight="1" x14ac:dyDescent="0.25">
      <c r="B1901" s="46" t="str">
        <f t="shared" si="29"/>
        <v>2101-103-320635</v>
      </c>
      <c r="C1901" s="47">
        <v>44209</v>
      </c>
      <c r="D1901" s="46">
        <v>103</v>
      </c>
      <c r="E1901" s="46">
        <v>15</v>
      </c>
      <c r="F1901" s="46">
        <v>320635</v>
      </c>
      <c r="G1901" s="48" t="s">
        <v>1406</v>
      </c>
      <c r="H1901" s="47">
        <v>44217</v>
      </c>
      <c r="I1901" s="46">
        <v>51298</v>
      </c>
      <c r="J1901" s="46">
        <v>15</v>
      </c>
      <c r="L1901" s="46">
        <v>0</v>
      </c>
      <c r="M1901" s="46">
        <v>0</v>
      </c>
    </row>
    <row r="1902" spans="2:13" ht="14.1" customHeight="1" x14ac:dyDescent="0.25">
      <c r="B1902" s="46" t="str">
        <f t="shared" si="29"/>
        <v>2101-103-320642</v>
      </c>
      <c r="C1902" s="47">
        <v>44209</v>
      </c>
      <c r="D1902" s="46">
        <v>103</v>
      </c>
      <c r="E1902" s="46">
        <v>12</v>
      </c>
      <c r="F1902" s="46">
        <v>320642</v>
      </c>
      <c r="G1902" s="48" t="s">
        <v>1413</v>
      </c>
      <c r="H1902" s="47">
        <v>44217</v>
      </c>
      <c r="I1902" s="46">
        <v>51298</v>
      </c>
      <c r="J1902" s="46">
        <v>12</v>
      </c>
      <c r="L1902" s="46">
        <v>0</v>
      </c>
      <c r="M1902" s="46">
        <v>0</v>
      </c>
    </row>
    <row r="1903" spans="2:13" ht="14.1" customHeight="1" x14ac:dyDescent="0.25">
      <c r="B1903" s="46" t="str">
        <f t="shared" si="29"/>
        <v>2101-103-320643</v>
      </c>
      <c r="C1903" s="47">
        <v>44209</v>
      </c>
      <c r="D1903" s="46">
        <v>103</v>
      </c>
      <c r="E1903" s="46">
        <v>16</v>
      </c>
      <c r="F1903" s="46">
        <v>320643</v>
      </c>
      <c r="G1903" s="48" t="s">
        <v>1414</v>
      </c>
      <c r="H1903" s="47">
        <v>44217</v>
      </c>
      <c r="I1903" s="46">
        <v>51298</v>
      </c>
      <c r="J1903" s="46">
        <v>16</v>
      </c>
      <c r="L1903" s="46">
        <v>0</v>
      </c>
      <c r="M1903" s="46">
        <v>0</v>
      </c>
    </row>
    <row r="1904" spans="2:13" ht="14.1" customHeight="1" x14ac:dyDescent="0.25">
      <c r="B1904" s="46" t="str">
        <f t="shared" si="29"/>
        <v>2101-103-320638</v>
      </c>
      <c r="C1904" s="47">
        <v>44209</v>
      </c>
      <c r="D1904" s="46">
        <v>103</v>
      </c>
      <c r="E1904" s="46">
        <v>4</v>
      </c>
      <c r="F1904" s="46">
        <v>320638</v>
      </c>
      <c r="G1904" s="48" t="s">
        <v>1409</v>
      </c>
      <c r="H1904" s="47">
        <v>44217</v>
      </c>
      <c r="I1904" s="46">
        <v>51298</v>
      </c>
      <c r="J1904" s="46">
        <v>4</v>
      </c>
      <c r="L1904" s="46">
        <v>0</v>
      </c>
      <c r="M1904" s="46">
        <v>0</v>
      </c>
    </row>
    <row r="1905" spans="2:13" ht="14.1" customHeight="1" x14ac:dyDescent="0.25">
      <c r="B1905" s="46" t="str">
        <f t="shared" si="29"/>
        <v>2101-103-320648</v>
      </c>
      <c r="C1905" s="47">
        <v>44209</v>
      </c>
      <c r="D1905" s="46">
        <v>103</v>
      </c>
      <c r="E1905" s="46">
        <v>1</v>
      </c>
      <c r="F1905" s="46">
        <v>320648</v>
      </c>
      <c r="G1905" s="48" t="s">
        <v>1419</v>
      </c>
      <c r="H1905" s="47">
        <v>44217</v>
      </c>
      <c r="I1905" s="46">
        <v>51280</v>
      </c>
      <c r="J1905" s="46">
        <v>1</v>
      </c>
      <c r="L1905" s="46">
        <v>0</v>
      </c>
      <c r="M1905" s="46">
        <v>0</v>
      </c>
    </row>
    <row r="1906" spans="2:13" ht="14.1" customHeight="1" x14ac:dyDescent="0.25">
      <c r="B1906" s="46" t="str">
        <f t="shared" si="29"/>
        <v>2101-103-300804</v>
      </c>
      <c r="C1906" s="47">
        <v>44209</v>
      </c>
      <c r="D1906" s="46">
        <v>103</v>
      </c>
      <c r="E1906" s="46">
        <v>150</v>
      </c>
      <c r="F1906" s="46">
        <v>300804</v>
      </c>
      <c r="G1906" s="48" t="s">
        <v>609</v>
      </c>
      <c r="H1906" s="47">
        <v>44217</v>
      </c>
      <c r="I1906" s="46">
        <v>51278</v>
      </c>
      <c r="J1906" s="46">
        <v>150</v>
      </c>
      <c r="L1906" s="46">
        <v>0</v>
      </c>
      <c r="M1906" s="46">
        <v>0</v>
      </c>
    </row>
    <row r="1907" spans="2:13" ht="14.1" customHeight="1" x14ac:dyDescent="0.25">
      <c r="B1907" s="46" t="str">
        <f t="shared" si="29"/>
        <v>2101-103-320384</v>
      </c>
      <c r="C1907" s="47">
        <v>44209</v>
      </c>
      <c r="D1907" s="46">
        <v>103</v>
      </c>
      <c r="E1907" s="46">
        <v>900</v>
      </c>
      <c r="F1907" s="46">
        <v>320384</v>
      </c>
      <c r="G1907" s="48" t="s">
        <v>1057</v>
      </c>
      <c r="H1907" s="47">
        <v>44217</v>
      </c>
      <c r="I1907" s="46">
        <v>51298</v>
      </c>
      <c r="J1907" s="46">
        <v>900</v>
      </c>
      <c r="L1907" s="46">
        <v>0</v>
      </c>
      <c r="M1907" s="46">
        <v>0</v>
      </c>
    </row>
    <row r="1908" spans="2:13" ht="14.1" customHeight="1" x14ac:dyDescent="0.25">
      <c r="B1908" s="46" t="str">
        <f t="shared" si="29"/>
        <v>2101-103-314260</v>
      </c>
      <c r="C1908" s="47">
        <v>44209</v>
      </c>
      <c r="D1908" s="46">
        <v>103</v>
      </c>
      <c r="E1908" s="46">
        <v>10</v>
      </c>
      <c r="F1908" s="46">
        <v>314260</v>
      </c>
      <c r="G1908" s="50" t="s">
        <v>1392</v>
      </c>
      <c r="H1908" s="47">
        <v>44217</v>
      </c>
      <c r="I1908" s="46">
        <v>51278</v>
      </c>
      <c r="J1908" s="46">
        <v>10</v>
      </c>
      <c r="L1908" s="46">
        <v>0</v>
      </c>
      <c r="M1908" s="46">
        <v>0</v>
      </c>
    </row>
    <row r="1909" spans="2:13" ht="14.1" customHeight="1" x14ac:dyDescent="0.25">
      <c r="B1909" s="46" t="str">
        <f t="shared" si="29"/>
        <v>2101-103-320647</v>
      </c>
      <c r="C1909" s="47">
        <v>44209</v>
      </c>
      <c r="D1909" s="46">
        <v>103</v>
      </c>
      <c r="E1909" s="46">
        <v>1</v>
      </c>
      <c r="F1909" s="46">
        <v>320647</v>
      </c>
      <c r="G1909" s="48" t="s">
        <v>1418</v>
      </c>
      <c r="H1909" s="47">
        <v>44217</v>
      </c>
      <c r="I1909" s="46">
        <v>51280</v>
      </c>
      <c r="J1909" s="46">
        <v>1</v>
      </c>
      <c r="L1909" s="46">
        <v>0</v>
      </c>
      <c r="M1909" s="46">
        <v>0</v>
      </c>
    </row>
    <row r="1910" spans="2:13" ht="14.1" customHeight="1" x14ac:dyDescent="0.25">
      <c r="B1910" s="46" t="str">
        <f t="shared" si="29"/>
        <v>2101-103-300331</v>
      </c>
      <c r="C1910" s="47">
        <v>44209</v>
      </c>
      <c r="D1910" s="46">
        <v>103</v>
      </c>
      <c r="E1910" s="46">
        <v>32</v>
      </c>
      <c r="F1910" s="46">
        <v>300331</v>
      </c>
      <c r="G1910" s="48" t="s">
        <v>293</v>
      </c>
      <c r="H1910" s="47">
        <v>44217</v>
      </c>
      <c r="I1910" s="46">
        <v>51283</v>
      </c>
      <c r="J1910" s="46">
        <v>32</v>
      </c>
      <c r="L1910" s="46">
        <v>0</v>
      </c>
      <c r="M1910" s="46">
        <v>0</v>
      </c>
    </row>
    <row r="1911" spans="2:13" ht="14.1" customHeight="1" x14ac:dyDescent="0.25">
      <c r="B1911" s="46" t="str">
        <f t="shared" si="29"/>
        <v>2101-103-202691</v>
      </c>
      <c r="C1911" s="47">
        <v>44209</v>
      </c>
      <c r="D1911" s="46">
        <v>103</v>
      </c>
      <c r="E1911" s="46">
        <v>40</v>
      </c>
      <c r="F1911" s="46">
        <v>202691</v>
      </c>
      <c r="G1911" s="50" t="s">
        <v>1387</v>
      </c>
      <c r="H1911" s="47">
        <v>44217</v>
      </c>
      <c r="I1911" s="46">
        <v>51278</v>
      </c>
      <c r="J1911" s="46">
        <v>40</v>
      </c>
      <c r="L1911" s="46">
        <v>0</v>
      </c>
      <c r="M1911" s="46">
        <v>0</v>
      </c>
    </row>
    <row r="1912" spans="2:13" ht="14.1" customHeight="1" x14ac:dyDescent="0.25">
      <c r="B1912" s="46" t="str">
        <f t="shared" si="29"/>
        <v>2101-103-306628</v>
      </c>
      <c r="C1912" s="47">
        <v>44209</v>
      </c>
      <c r="D1912" s="46">
        <v>103</v>
      </c>
      <c r="E1912" s="46">
        <v>140</v>
      </c>
      <c r="F1912" s="46">
        <v>306628</v>
      </c>
      <c r="G1912" s="48" t="s">
        <v>204</v>
      </c>
      <c r="H1912" s="47">
        <v>44217</v>
      </c>
      <c r="I1912" s="46">
        <v>51279</v>
      </c>
      <c r="J1912" s="46">
        <v>140</v>
      </c>
      <c r="L1912" s="46">
        <v>0</v>
      </c>
      <c r="M1912" s="46">
        <v>0</v>
      </c>
    </row>
    <row r="1913" spans="2:13" ht="14.1" customHeight="1" x14ac:dyDescent="0.25">
      <c r="B1913" s="46" t="str">
        <f t="shared" si="29"/>
        <v>2101-103-315961</v>
      </c>
      <c r="C1913" s="47">
        <v>44209</v>
      </c>
      <c r="D1913" s="46">
        <v>103</v>
      </c>
      <c r="E1913" s="46">
        <v>24</v>
      </c>
      <c r="F1913" s="46">
        <v>315961</v>
      </c>
      <c r="G1913" s="48" t="s">
        <v>1396</v>
      </c>
      <c r="H1913" s="47">
        <v>44217</v>
      </c>
      <c r="I1913" s="46">
        <v>51285</v>
      </c>
      <c r="J1913" s="46">
        <v>24</v>
      </c>
      <c r="L1913" s="46">
        <v>0</v>
      </c>
      <c r="M1913" s="46">
        <v>0</v>
      </c>
    </row>
    <row r="1914" spans="2:13" ht="14.1" customHeight="1" x14ac:dyDescent="0.25">
      <c r="B1914" s="46" t="str">
        <f t="shared" si="29"/>
        <v>2101-103-320637</v>
      </c>
      <c r="C1914" s="47">
        <v>44209</v>
      </c>
      <c r="D1914" s="46">
        <v>103</v>
      </c>
      <c r="E1914" s="46">
        <v>40</v>
      </c>
      <c r="F1914" s="46">
        <v>320637</v>
      </c>
      <c r="G1914" s="48" t="s">
        <v>1408</v>
      </c>
      <c r="H1914" s="47">
        <v>44217</v>
      </c>
      <c r="I1914" s="46">
        <v>51298</v>
      </c>
      <c r="J1914" s="46">
        <v>40</v>
      </c>
      <c r="L1914" s="46">
        <v>0</v>
      </c>
      <c r="M1914" s="46">
        <v>0</v>
      </c>
    </row>
    <row r="1915" spans="2:13" ht="14.1" customHeight="1" x14ac:dyDescent="0.25">
      <c r="B1915" s="46" t="str">
        <f t="shared" si="29"/>
        <v>2101-103-205957</v>
      </c>
      <c r="C1915" s="47">
        <v>44209</v>
      </c>
      <c r="D1915" s="46">
        <v>103</v>
      </c>
      <c r="E1915" s="46">
        <v>24</v>
      </c>
      <c r="F1915" s="46">
        <v>205957</v>
      </c>
      <c r="G1915" s="48" t="s">
        <v>43</v>
      </c>
      <c r="H1915" s="47">
        <v>44217</v>
      </c>
      <c r="I1915" s="46">
        <v>51283</v>
      </c>
      <c r="J1915" s="46">
        <v>24</v>
      </c>
      <c r="L1915" s="46">
        <v>0</v>
      </c>
      <c r="M1915" s="46">
        <v>0</v>
      </c>
    </row>
    <row r="1916" spans="2:13" ht="14.1" customHeight="1" x14ac:dyDescent="0.25">
      <c r="B1916" s="46" t="str">
        <f t="shared" si="29"/>
        <v>2101-103-301142</v>
      </c>
      <c r="C1916" s="47">
        <v>44209</v>
      </c>
      <c r="D1916" s="46">
        <v>103</v>
      </c>
      <c r="E1916" s="46">
        <v>30</v>
      </c>
      <c r="F1916" s="46">
        <v>301142</v>
      </c>
      <c r="G1916" s="48" t="s">
        <v>1381</v>
      </c>
      <c r="H1916" s="47">
        <v>44217</v>
      </c>
      <c r="I1916" s="46">
        <v>51278</v>
      </c>
      <c r="J1916" s="46">
        <v>30</v>
      </c>
      <c r="L1916" s="46">
        <v>0</v>
      </c>
      <c r="M1916" s="46">
        <v>0</v>
      </c>
    </row>
    <row r="1917" spans="2:13" ht="14.1" customHeight="1" x14ac:dyDescent="0.25">
      <c r="B1917" s="46" t="str">
        <f t="shared" si="29"/>
        <v>2101-103-301393</v>
      </c>
      <c r="C1917" s="47">
        <v>44209</v>
      </c>
      <c r="D1917" s="46">
        <v>103</v>
      </c>
      <c r="E1917" s="46">
        <v>15</v>
      </c>
      <c r="F1917" s="46">
        <v>301393</v>
      </c>
      <c r="G1917" s="48" t="s">
        <v>1386</v>
      </c>
      <c r="H1917" s="47">
        <v>44217</v>
      </c>
      <c r="I1917" s="46">
        <v>51278</v>
      </c>
      <c r="J1917" s="46">
        <v>15</v>
      </c>
      <c r="L1917" s="46">
        <v>0</v>
      </c>
      <c r="M1917" s="46">
        <v>0</v>
      </c>
    </row>
    <row r="1918" spans="2:13" ht="14.1" customHeight="1" x14ac:dyDescent="0.25">
      <c r="B1918" s="46" t="str">
        <f t="shared" si="29"/>
        <v>2101-103-314372</v>
      </c>
      <c r="C1918" s="47">
        <v>44209</v>
      </c>
      <c r="D1918" s="46">
        <v>103</v>
      </c>
      <c r="E1918" s="46">
        <v>60</v>
      </c>
      <c r="F1918" s="46">
        <v>314372</v>
      </c>
      <c r="G1918" s="48" t="s">
        <v>1375</v>
      </c>
      <c r="H1918" s="47">
        <v>44217</v>
      </c>
      <c r="I1918" s="46">
        <v>51280</v>
      </c>
      <c r="J1918" s="46">
        <v>60</v>
      </c>
      <c r="L1918" s="46">
        <v>0</v>
      </c>
      <c r="M1918" s="46">
        <v>0</v>
      </c>
    </row>
    <row r="1919" spans="2:13" ht="14.1" customHeight="1" x14ac:dyDescent="0.25">
      <c r="B1919" s="46" t="str">
        <f t="shared" si="29"/>
        <v>2101-103-203233</v>
      </c>
      <c r="C1919" s="47">
        <v>44209</v>
      </c>
      <c r="D1919" s="46">
        <v>103</v>
      </c>
      <c r="E1919" s="46">
        <v>10</v>
      </c>
      <c r="F1919" s="46">
        <v>203233</v>
      </c>
      <c r="G1919" s="48" t="s">
        <v>405</v>
      </c>
      <c r="H1919" s="47">
        <v>44217</v>
      </c>
      <c r="I1919" s="46">
        <v>51278</v>
      </c>
      <c r="J1919" s="46">
        <v>10</v>
      </c>
      <c r="L1919" s="46">
        <v>0</v>
      </c>
      <c r="M1919" s="46">
        <v>0</v>
      </c>
    </row>
    <row r="1920" spans="2:13" ht="14.1" customHeight="1" x14ac:dyDescent="0.25">
      <c r="B1920" s="46" t="str">
        <f t="shared" si="29"/>
        <v>2101-103-320628</v>
      </c>
      <c r="C1920" s="47">
        <v>44209</v>
      </c>
      <c r="D1920" s="46">
        <v>103</v>
      </c>
      <c r="E1920" s="46">
        <v>1</v>
      </c>
      <c r="F1920" s="46">
        <v>320628</v>
      </c>
      <c r="G1920" s="48" t="s">
        <v>1399</v>
      </c>
      <c r="H1920" s="47">
        <v>44217</v>
      </c>
      <c r="I1920" s="46">
        <v>51286</v>
      </c>
      <c r="J1920" s="46">
        <v>1</v>
      </c>
      <c r="L1920" s="46">
        <v>0</v>
      </c>
      <c r="M1920" s="46">
        <v>0</v>
      </c>
    </row>
    <row r="1921" spans="2:13" ht="14.1" customHeight="1" x14ac:dyDescent="0.25">
      <c r="B1921" s="46" t="str">
        <f t="shared" si="29"/>
        <v>2101-103-320633</v>
      </c>
      <c r="C1921" s="47">
        <v>44209</v>
      </c>
      <c r="D1921" s="46">
        <v>103</v>
      </c>
      <c r="E1921" s="46">
        <v>1</v>
      </c>
      <c r="F1921" s="46">
        <v>320633</v>
      </c>
      <c r="G1921" s="48" t="s">
        <v>1404</v>
      </c>
      <c r="H1921" s="47">
        <v>44217</v>
      </c>
      <c r="I1921" s="46">
        <v>51298</v>
      </c>
      <c r="J1921" s="46">
        <v>1</v>
      </c>
      <c r="L1921" s="46">
        <v>0</v>
      </c>
      <c r="M1921" s="46">
        <v>0</v>
      </c>
    </row>
    <row r="1922" spans="2:13" ht="14.1" customHeight="1" x14ac:dyDescent="0.25">
      <c r="B1922" s="46" t="str">
        <f t="shared" si="29"/>
        <v>2101-103-303904</v>
      </c>
      <c r="C1922" s="47">
        <v>44209</v>
      </c>
      <c r="D1922" s="46">
        <v>103</v>
      </c>
      <c r="E1922" s="46">
        <v>150</v>
      </c>
      <c r="F1922" s="46">
        <v>303904</v>
      </c>
      <c r="G1922" s="48" t="s">
        <v>1391</v>
      </c>
      <c r="H1922" s="47">
        <v>44217</v>
      </c>
      <c r="I1922" s="46">
        <v>51298</v>
      </c>
      <c r="J1922" s="46">
        <v>150</v>
      </c>
      <c r="L1922" s="46">
        <v>0</v>
      </c>
      <c r="M1922" s="46">
        <v>0</v>
      </c>
    </row>
    <row r="1923" spans="2:13" ht="14.1" customHeight="1" x14ac:dyDescent="0.25">
      <c r="B1923" s="46" t="str">
        <f t="shared" si="29"/>
        <v>2101-103-304035</v>
      </c>
      <c r="C1923" s="47">
        <v>44209</v>
      </c>
      <c r="D1923" s="46">
        <v>103</v>
      </c>
      <c r="E1923" s="46">
        <v>100</v>
      </c>
      <c r="F1923" s="46">
        <v>304035</v>
      </c>
      <c r="G1923" s="48" t="s">
        <v>280</v>
      </c>
      <c r="H1923" s="47">
        <v>44217</v>
      </c>
      <c r="I1923" s="46">
        <v>51279</v>
      </c>
      <c r="J1923" s="46">
        <v>100</v>
      </c>
      <c r="L1923" s="46">
        <v>0</v>
      </c>
      <c r="M1923" s="46">
        <v>0</v>
      </c>
    </row>
    <row r="1924" spans="2:13" ht="14.1" customHeight="1" x14ac:dyDescent="0.25">
      <c r="B1924" s="46" t="str">
        <f t="shared" si="29"/>
        <v>2101-103-307401</v>
      </c>
      <c r="C1924" s="47">
        <v>44209</v>
      </c>
      <c r="D1924" s="46">
        <v>103</v>
      </c>
      <c r="E1924" s="46">
        <v>15</v>
      </c>
      <c r="F1924" s="46">
        <v>307401</v>
      </c>
      <c r="G1924" s="48" t="s">
        <v>1393</v>
      </c>
      <c r="H1924" s="47">
        <v>44217</v>
      </c>
      <c r="I1924" s="46">
        <v>51298</v>
      </c>
      <c r="J1924" s="46">
        <v>15</v>
      </c>
      <c r="L1924" s="46">
        <v>0</v>
      </c>
      <c r="M1924" s="46">
        <v>0</v>
      </c>
    </row>
    <row r="1925" spans="2:13" ht="14.1" customHeight="1" x14ac:dyDescent="0.25">
      <c r="B1925" s="46" t="str">
        <f t="shared" si="29"/>
        <v>2101-103-203972</v>
      </c>
      <c r="C1925" s="47">
        <v>44209</v>
      </c>
      <c r="D1925" s="46">
        <v>103</v>
      </c>
      <c r="E1925" s="46">
        <v>15</v>
      </c>
      <c r="F1925" s="46">
        <v>203972</v>
      </c>
      <c r="G1925" s="48" t="s">
        <v>325</v>
      </c>
      <c r="H1925" s="47">
        <v>44217</v>
      </c>
      <c r="I1925" s="46">
        <v>51278</v>
      </c>
      <c r="J1925" s="46">
        <v>15</v>
      </c>
      <c r="L1925" s="46">
        <v>0</v>
      </c>
      <c r="M1925" s="46">
        <v>0</v>
      </c>
    </row>
    <row r="1926" spans="2:13" ht="14.1" customHeight="1" x14ac:dyDescent="0.25">
      <c r="B1926" s="46" t="str">
        <f t="shared" si="29"/>
        <v>2101-103-203980</v>
      </c>
      <c r="C1926" s="47">
        <v>44209</v>
      </c>
      <c r="D1926" s="46">
        <v>103</v>
      </c>
      <c r="E1926" s="46">
        <v>15</v>
      </c>
      <c r="F1926" s="46">
        <v>203980</v>
      </c>
      <c r="G1926" s="48" t="s">
        <v>1379</v>
      </c>
      <c r="H1926" s="47">
        <v>44217</v>
      </c>
      <c r="I1926" s="46">
        <v>51278</v>
      </c>
      <c r="J1926" s="46">
        <v>15</v>
      </c>
      <c r="L1926" s="46">
        <v>0</v>
      </c>
      <c r="M1926" s="46">
        <v>0</v>
      </c>
    </row>
    <row r="1927" spans="2:13" ht="14.1" customHeight="1" x14ac:dyDescent="0.25">
      <c r="B1927" s="46" t="str">
        <f t="shared" si="29"/>
        <v>2101-103-304917</v>
      </c>
      <c r="C1927" s="47">
        <v>44209</v>
      </c>
      <c r="D1927" s="46">
        <v>103</v>
      </c>
      <c r="E1927" s="46">
        <v>2</v>
      </c>
      <c r="F1927" s="46">
        <v>304917</v>
      </c>
      <c r="G1927" s="48" t="s">
        <v>1397</v>
      </c>
      <c r="H1927" s="47">
        <v>44217</v>
      </c>
      <c r="I1927" s="46">
        <v>51283</v>
      </c>
      <c r="J1927" s="46">
        <v>2</v>
      </c>
      <c r="L1927" s="46">
        <v>0</v>
      </c>
      <c r="M1927" s="46">
        <v>0</v>
      </c>
    </row>
    <row r="1928" spans="2:13" ht="14.1" customHeight="1" x14ac:dyDescent="0.25">
      <c r="B1928" s="46" t="str">
        <f t="shared" si="29"/>
        <v>2101-103-304271</v>
      </c>
      <c r="C1928" s="47">
        <v>44209</v>
      </c>
      <c r="D1928" s="46">
        <v>103</v>
      </c>
      <c r="E1928" s="46">
        <v>1000</v>
      </c>
      <c r="F1928" s="46">
        <v>304271</v>
      </c>
      <c r="G1928" s="48" t="s">
        <v>362</v>
      </c>
      <c r="H1928" s="47">
        <v>44217</v>
      </c>
      <c r="I1928" s="46">
        <v>51278</v>
      </c>
      <c r="J1928" s="46">
        <v>1000</v>
      </c>
      <c r="L1928" s="46">
        <v>0</v>
      </c>
      <c r="M1928" s="46">
        <v>0</v>
      </c>
    </row>
    <row r="1929" spans="2:13" ht="14.1" customHeight="1" x14ac:dyDescent="0.25">
      <c r="B1929" s="46" t="str">
        <f t="shared" si="29"/>
        <v>2101-103-308224</v>
      </c>
      <c r="C1929" s="47">
        <v>44209</v>
      </c>
      <c r="D1929" s="46">
        <v>103</v>
      </c>
      <c r="E1929" s="46">
        <v>1</v>
      </c>
      <c r="F1929" s="46">
        <v>308224</v>
      </c>
      <c r="G1929" s="48" t="s">
        <v>1376</v>
      </c>
      <c r="H1929" s="47">
        <v>44217</v>
      </c>
      <c r="I1929" s="46">
        <v>51280</v>
      </c>
      <c r="J1929" s="46">
        <v>1</v>
      </c>
      <c r="L1929" s="46">
        <v>0</v>
      </c>
      <c r="M1929" s="46">
        <v>0</v>
      </c>
    </row>
    <row r="1930" spans="2:13" ht="14.1" customHeight="1" x14ac:dyDescent="0.25">
      <c r="B1930" s="46" t="str">
        <f t="shared" si="29"/>
        <v>2101-103-300406</v>
      </c>
      <c r="C1930" s="47">
        <v>44209</v>
      </c>
      <c r="D1930" s="46">
        <v>103</v>
      </c>
      <c r="E1930" s="46">
        <v>15</v>
      </c>
      <c r="F1930" s="46">
        <v>300406</v>
      </c>
      <c r="G1930" s="48" t="s">
        <v>597</v>
      </c>
      <c r="H1930" s="47">
        <v>44217</v>
      </c>
      <c r="I1930" s="46">
        <v>51278</v>
      </c>
      <c r="J1930" s="46">
        <v>15</v>
      </c>
      <c r="L1930" s="46">
        <v>0</v>
      </c>
      <c r="M1930" s="46">
        <v>0</v>
      </c>
    </row>
    <row r="1931" spans="2:13" ht="14.1" customHeight="1" x14ac:dyDescent="0.25">
      <c r="B1931" s="46" t="str">
        <f t="shared" si="29"/>
        <v>2101-103-315745</v>
      </c>
      <c r="C1931" s="47">
        <v>44209</v>
      </c>
      <c r="D1931" s="46">
        <v>103</v>
      </c>
      <c r="E1931" s="46">
        <v>8</v>
      </c>
      <c r="F1931" s="46">
        <v>315745</v>
      </c>
      <c r="G1931" s="48" t="s">
        <v>277</v>
      </c>
      <c r="H1931" s="47">
        <v>44217</v>
      </c>
      <c r="I1931" s="46">
        <v>51278</v>
      </c>
      <c r="J1931" s="46">
        <v>8</v>
      </c>
      <c r="L1931" s="46">
        <v>0</v>
      </c>
      <c r="M1931" s="46">
        <v>0</v>
      </c>
    </row>
    <row r="1932" spans="2:13" ht="14.1" customHeight="1" x14ac:dyDescent="0.25">
      <c r="B1932" s="46" t="str">
        <f t="shared" ref="B1932:B1995" si="30">TEXT(C1932,"yy") &amp; TEXT(C1932,"mm") &amp;"-"&amp;(D1932) &amp;"-"&amp;(F1932)</f>
        <v>2101-103-320632</v>
      </c>
      <c r="C1932" s="47">
        <v>44209</v>
      </c>
      <c r="D1932" s="46">
        <v>103</v>
      </c>
      <c r="E1932" s="46">
        <v>1</v>
      </c>
      <c r="F1932" s="46">
        <v>320632</v>
      </c>
      <c r="G1932" s="48" t="s">
        <v>1403</v>
      </c>
      <c r="H1932" s="47">
        <v>44217</v>
      </c>
      <c r="I1932" s="46">
        <v>51298</v>
      </c>
      <c r="J1932" s="46">
        <v>1</v>
      </c>
      <c r="L1932" s="46">
        <v>0</v>
      </c>
      <c r="M1932" s="46">
        <v>0</v>
      </c>
    </row>
    <row r="1933" spans="2:13" ht="14.1" customHeight="1" x14ac:dyDescent="0.25">
      <c r="B1933" s="46" t="str">
        <f t="shared" si="30"/>
        <v>2101-103-305480</v>
      </c>
      <c r="C1933" s="47">
        <v>44209</v>
      </c>
      <c r="D1933" s="46">
        <v>103</v>
      </c>
      <c r="E1933" s="46">
        <v>10</v>
      </c>
      <c r="F1933" s="46">
        <v>305480</v>
      </c>
      <c r="G1933" s="48" t="s">
        <v>695</v>
      </c>
      <c r="H1933" s="47">
        <v>44217</v>
      </c>
      <c r="I1933" s="46">
        <v>51285</v>
      </c>
      <c r="J1933" s="46">
        <v>8</v>
      </c>
      <c r="L1933" s="46">
        <v>0</v>
      </c>
      <c r="M1933" s="46">
        <v>0</v>
      </c>
    </row>
    <row r="1934" spans="2:13" ht="14.1" customHeight="1" x14ac:dyDescent="0.25">
      <c r="B1934" s="46" t="str">
        <f t="shared" si="30"/>
        <v>2101-103-201027</v>
      </c>
      <c r="C1934" s="47">
        <v>44209</v>
      </c>
      <c r="D1934" s="46">
        <v>103</v>
      </c>
      <c r="E1934" s="46">
        <v>20</v>
      </c>
      <c r="F1934" s="46">
        <v>201027</v>
      </c>
      <c r="G1934" s="48" t="s">
        <v>1384</v>
      </c>
      <c r="H1934" s="47">
        <v>44217</v>
      </c>
      <c r="I1934" s="46">
        <v>51278</v>
      </c>
      <c r="J1934" s="46">
        <v>20</v>
      </c>
      <c r="L1934" s="46">
        <v>0</v>
      </c>
      <c r="M1934" s="46">
        <v>0</v>
      </c>
    </row>
    <row r="1935" spans="2:13" ht="14.1" customHeight="1" x14ac:dyDescent="0.25">
      <c r="B1935" s="46" t="str">
        <f t="shared" si="30"/>
        <v>2101-103-204410</v>
      </c>
      <c r="C1935" s="47">
        <v>44209</v>
      </c>
      <c r="D1935" s="46">
        <v>103</v>
      </c>
      <c r="E1935" s="46">
        <v>10</v>
      </c>
      <c r="F1935" s="46">
        <v>204410</v>
      </c>
      <c r="G1935" s="48" t="s">
        <v>537</v>
      </c>
      <c r="H1935" s="47">
        <v>44217</v>
      </c>
      <c r="I1935" s="46">
        <v>51278</v>
      </c>
      <c r="J1935" s="46">
        <v>10</v>
      </c>
      <c r="L1935" s="46">
        <v>0</v>
      </c>
      <c r="M1935" s="46">
        <v>0</v>
      </c>
    </row>
    <row r="1936" spans="2:13" ht="14.1" customHeight="1" x14ac:dyDescent="0.25">
      <c r="B1936" s="46" t="str">
        <f t="shared" si="30"/>
        <v>2101-103-204417</v>
      </c>
      <c r="C1936" s="47">
        <v>44209</v>
      </c>
      <c r="D1936" s="46">
        <v>103</v>
      </c>
      <c r="E1936" s="46">
        <v>15</v>
      </c>
      <c r="F1936" s="46">
        <v>204417</v>
      </c>
      <c r="G1936" s="48" t="s">
        <v>538</v>
      </c>
      <c r="H1936" s="47">
        <v>44217</v>
      </c>
      <c r="I1936" s="46">
        <v>51278</v>
      </c>
      <c r="J1936" s="46">
        <v>15</v>
      </c>
      <c r="L1936" s="46">
        <v>0</v>
      </c>
      <c r="M1936" s="46">
        <v>0</v>
      </c>
    </row>
    <row r="1937" spans="2:13" ht="14.1" customHeight="1" x14ac:dyDescent="0.25">
      <c r="B1937" s="46" t="str">
        <f t="shared" si="30"/>
        <v>2101-103-319489</v>
      </c>
      <c r="C1937" s="47">
        <v>44209</v>
      </c>
      <c r="D1937" s="46">
        <v>103</v>
      </c>
      <c r="E1937" s="46">
        <v>200</v>
      </c>
      <c r="F1937" s="46">
        <v>319489</v>
      </c>
      <c r="G1937" s="48" t="s">
        <v>1390</v>
      </c>
      <c r="H1937" s="47">
        <v>44217</v>
      </c>
      <c r="I1937" s="46">
        <v>51278</v>
      </c>
      <c r="J1937" s="46">
        <v>200</v>
      </c>
      <c r="L1937" s="46">
        <v>0</v>
      </c>
      <c r="M1937" s="46">
        <v>0</v>
      </c>
    </row>
    <row r="1938" spans="2:13" ht="14.1" customHeight="1" x14ac:dyDescent="0.25">
      <c r="B1938" s="46" t="str">
        <f t="shared" si="30"/>
        <v>2101-103-308111</v>
      </c>
      <c r="C1938" s="47">
        <v>44209</v>
      </c>
      <c r="D1938" s="46">
        <v>103</v>
      </c>
      <c r="E1938" s="46">
        <v>100</v>
      </c>
      <c r="F1938" s="46">
        <v>308111</v>
      </c>
      <c r="G1938" s="48" t="s">
        <v>1394</v>
      </c>
      <c r="H1938" s="47">
        <v>44217</v>
      </c>
      <c r="I1938" s="46">
        <v>51298</v>
      </c>
      <c r="J1938" s="46">
        <v>100</v>
      </c>
      <c r="L1938" s="46">
        <v>0</v>
      </c>
      <c r="M1938" s="46">
        <v>0</v>
      </c>
    </row>
    <row r="1939" spans="2:13" ht="14.1" customHeight="1" x14ac:dyDescent="0.25">
      <c r="B1939" s="46" t="str">
        <f t="shared" si="30"/>
        <v>2101-103-201048</v>
      </c>
      <c r="C1939" s="47">
        <v>44209</v>
      </c>
      <c r="D1939" s="46">
        <v>103</v>
      </c>
      <c r="E1939" s="46">
        <v>20</v>
      </c>
      <c r="F1939" s="46">
        <v>201048</v>
      </c>
      <c r="G1939" s="48" t="s">
        <v>1380</v>
      </c>
      <c r="H1939" s="47">
        <v>44217</v>
      </c>
      <c r="I1939" s="46">
        <v>51278</v>
      </c>
      <c r="J1939" s="46">
        <v>20</v>
      </c>
      <c r="L1939" s="46">
        <v>0</v>
      </c>
      <c r="M1939" s="46">
        <v>0</v>
      </c>
    </row>
    <row r="1940" spans="2:13" ht="14.1" customHeight="1" x14ac:dyDescent="0.25">
      <c r="B1940" s="46" t="str">
        <f t="shared" si="30"/>
        <v>2101-103-202692</v>
      </c>
      <c r="C1940" s="47">
        <v>44209</v>
      </c>
      <c r="D1940" s="46">
        <v>103</v>
      </c>
      <c r="E1940" s="46">
        <v>30</v>
      </c>
      <c r="F1940" s="46">
        <v>202692</v>
      </c>
      <c r="G1940" s="48" t="s">
        <v>1388</v>
      </c>
      <c r="H1940" s="47">
        <v>44217</v>
      </c>
      <c r="I1940" s="46">
        <v>51278</v>
      </c>
      <c r="J1940" s="46">
        <v>30</v>
      </c>
      <c r="L1940" s="46">
        <v>0</v>
      </c>
      <c r="M1940" s="46">
        <v>0</v>
      </c>
    </row>
    <row r="1941" spans="2:13" ht="14.1" customHeight="1" x14ac:dyDescent="0.25">
      <c r="B1941" s="46" t="str">
        <f t="shared" si="30"/>
        <v>2101-103-202694</v>
      </c>
      <c r="C1941" s="47">
        <v>44209</v>
      </c>
      <c r="D1941" s="46">
        <v>103</v>
      </c>
      <c r="E1941" s="46">
        <v>20</v>
      </c>
      <c r="F1941" s="46">
        <v>202694</v>
      </c>
      <c r="G1941" s="48" t="s">
        <v>407</v>
      </c>
      <c r="H1941" s="47">
        <v>44217</v>
      </c>
      <c r="I1941" s="46">
        <v>51278</v>
      </c>
      <c r="J1941" s="46">
        <v>20</v>
      </c>
      <c r="L1941" s="46">
        <v>0</v>
      </c>
      <c r="M1941" s="46">
        <v>0</v>
      </c>
    </row>
    <row r="1942" spans="2:13" ht="14.1" customHeight="1" x14ac:dyDescent="0.25">
      <c r="B1942" s="46" t="str">
        <f t="shared" si="30"/>
        <v>2101-103-307014</v>
      </c>
      <c r="C1942" s="47">
        <v>44209</v>
      </c>
      <c r="D1942" s="46">
        <v>103</v>
      </c>
      <c r="E1942" s="46">
        <v>300</v>
      </c>
      <c r="F1942" s="46">
        <v>307014</v>
      </c>
      <c r="G1942" s="48" t="s">
        <v>364</v>
      </c>
      <c r="H1942" s="47">
        <v>44217</v>
      </c>
      <c r="I1942" s="46">
        <v>51278</v>
      </c>
      <c r="J1942" s="46">
        <v>300</v>
      </c>
      <c r="L1942" s="46">
        <v>0</v>
      </c>
      <c r="M1942" s="46">
        <v>0</v>
      </c>
    </row>
    <row r="1943" spans="2:13" ht="14.1" customHeight="1" x14ac:dyDescent="0.25">
      <c r="B1943" s="46" t="str">
        <f t="shared" si="30"/>
        <v>2101-103-300915</v>
      </c>
      <c r="C1943" s="47">
        <v>44209</v>
      </c>
      <c r="D1943" s="46">
        <v>103</v>
      </c>
      <c r="E1943" s="46">
        <v>15</v>
      </c>
      <c r="F1943" s="46">
        <v>300915</v>
      </c>
      <c r="G1943" s="48" t="s">
        <v>1378</v>
      </c>
      <c r="H1943" s="47">
        <v>44217</v>
      </c>
      <c r="I1943" s="46">
        <v>51278</v>
      </c>
      <c r="J1943" s="46">
        <v>15</v>
      </c>
      <c r="L1943" s="46">
        <v>0</v>
      </c>
      <c r="M1943" s="46">
        <v>0</v>
      </c>
    </row>
    <row r="1944" spans="2:13" ht="14.1" customHeight="1" x14ac:dyDescent="0.25">
      <c r="B1944" s="46" t="str">
        <f t="shared" si="30"/>
        <v>2101-103-305148</v>
      </c>
      <c r="C1944" s="47">
        <v>44209</v>
      </c>
      <c r="D1944" s="46">
        <v>103</v>
      </c>
      <c r="E1944" s="46">
        <v>100</v>
      </c>
      <c r="F1944" s="46">
        <v>305148</v>
      </c>
      <c r="G1944" s="48" t="s">
        <v>1395</v>
      </c>
      <c r="H1944" s="47">
        <v>44217</v>
      </c>
      <c r="I1944" s="46">
        <v>51298</v>
      </c>
      <c r="J1944" s="46">
        <v>100</v>
      </c>
      <c r="L1944" s="46">
        <v>0</v>
      </c>
      <c r="M1944" s="46">
        <v>0</v>
      </c>
    </row>
    <row r="1945" spans="2:13" ht="14.1" customHeight="1" x14ac:dyDescent="0.25">
      <c r="B1945" s="46" t="str">
        <f t="shared" si="30"/>
        <v>2101-104-312095</v>
      </c>
      <c r="C1945" s="47">
        <v>44209</v>
      </c>
      <c r="D1945" s="46">
        <v>104</v>
      </c>
      <c r="E1945" s="46">
        <v>2</v>
      </c>
      <c r="F1945" s="46">
        <v>312095</v>
      </c>
      <c r="G1945" s="48" t="s">
        <v>797</v>
      </c>
      <c r="H1945" s="47">
        <v>44211</v>
      </c>
      <c r="I1945" s="46">
        <v>51210</v>
      </c>
      <c r="J1945" s="46">
        <v>2</v>
      </c>
      <c r="K1945" s="47">
        <v>44235</v>
      </c>
      <c r="L1945" s="46">
        <v>11130</v>
      </c>
      <c r="M1945" s="46">
        <v>2</v>
      </c>
    </row>
    <row r="1946" spans="2:13" ht="14.1" customHeight="1" x14ac:dyDescent="0.25">
      <c r="B1946" s="46" t="str">
        <f t="shared" si="30"/>
        <v>2101-104-309589</v>
      </c>
      <c r="C1946" s="47">
        <v>44209</v>
      </c>
      <c r="D1946" s="46">
        <v>104</v>
      </c>
      <c r="E1946" s="46">
        <v>4</v>
      </c>
      <c r="F1946" s="46">
        <v>309589</v>
      </c>
      <c r="G1946" s="48" t="s">
        <v>1093</v>
      </c>
      <c r="H1946" s="47">
        <v>44211</v>
      </c>
      <c r="I1946" s="46">
        <v>51210</v>
      </c>
      <c r="J1946" s="46">
        <v>4</v>
      </c>
      <c r="K1946" s="47">
        <v>44235</v>
      </c>
      <c r="L1946" s="46">
        <v>11130</v>
      </c>
      <c r="M1946" s="46">
        <v>4</v>
      </c>
    </row>
    <row r="1947" spans="2:13" ht="14.1" customHeight="1" x14ac:dyDescent="0.25">
      <c r="B1947" s="46" t="str">
        <f t="shared" si="30"/>
        <v>2101-105-312033</v>
      </c>
      <c r="C1947" s="47">
        <v>44209</v>
      </c>
      <c r="D1947" s="46">
        <v>105</v>
      </c>
      <c r="E1947" s="46">
        <v>100</v>
      </c>
      <c r="F1947" s="46">
        <v>312033</v>
      </c>
      <c r="G1947" s="48" t="s">
        <v>1423</v>
      </c>
      <c r="H1947" s="47">
        <v>44216</v>
      </c>
      <c r="I1947" s="46">
        <v>51266</v>
      </c>
      <c r="J1947" s="46">
        <v>100</v>
      </c>
      <c r="K1947" s="47">
        <v>44221</v>
      </c>
      <c r="L1947" s="46">
        <v>10993</v>
      </c>
      <c r="M1947" s="46">
        <v>100</v>
      </c>
    </row>
    <row r="1948" spans="2:13" ht="14.1" customHeight="1" x14ac:dyDescent="0.25">
      <c r="B1948" s="46" t="str">
        <f t="shared" si="30"/>
        <v>2101-106-312095</v>
      </c>
      <c r="C1948" s="47">
        <v>44209</v>
      </c>
      <c r="D1948" s="46">
        <v>106</v>
      </c>
      <c r="E1948" s="46">
        <v>2</v>
      </c>
      <c r="F1948" s="46">
        <v>312095</v>
      </c>
      <c r="G1948" s="48" t="s">
        <v>797</v>
      </c>
      <c r="H1948" s="47">
        <v>44211</v>
      </c>
      <c r="I1948" s="46">
        <v>51209</v>
      </c>
      <c r="J1948" s="46">
        <v>2</v>
      </c>
      <c r="K1948" s="47">
        <v>44271</v>
      </c>
      <c r="L1948" s="46">
        <v>11538</v>
      </c>
      <c r="M1948" s="46">
        <v>2</v>
      </c>
    </row>
    <row r="1949" spans="2:13" ht="14.1" customHeight="1" x14ac:dyDescent="0.25">
      <c r="B1949" s="46" t="str">
        <f t="shared" si="30"/>
        <v>2101-106-313888</v>
      </c>
      <c r="C1949" s="47">
        <v>44209</v>
      </c>
      <c r="D1949" s="46">
        <v>106</v>
      </c>
      <c r="E1949" s="46">
        <v>1</v>
      </c>
      <c r="F1949" s="46">
        <v>313888</v>
      </c>
      <c r="G1949" s="48" t="s">
        <v>1424</v>
      </c>
      <c r="H1949" s="47">
        <v>44211</v>
      </c>
      <c r="I1949" s="46">
        <v>51209</v>
      </c>
      <c r="J1949" s="46">
        <v>1</v>
      </c>
      <c r="K1949" s="47">
        <v>44271</v>
      </c>
      <c r="L1949" s="46">
        <v>11538</v>
      </c>
      <c r="M1949" s="46">
        <v>1</v>
      </c>
    </row>
    <row r="1950" spans="2:13" ht="14.1" customHeight="1" x14ac:dyDescent="0.25">
      <c r="B1950" s="46" t="str">
        <f t="shared" si="30"/>
        <v>2101-106-320121</v>
      </c>
      <c r="C1950" s="47">
        <v>44209</v>
      </c>
      <c r="D1950" s="46">
        <v>106</v>
      </c>
      <c r="E1950" s="46">
        <v>4</v>
      </c>
      <c r="F1950" s="46">
        <v>320121</v>
      </c>
      <c r="G1950" s="48" t="s">
        <v>947</v>
      </c>
      <c r="H1950" s="47">
        <v>44211</v>
      </c>
      <c r="I1950" s="46">
        <v>51209</v>
      </c>
      <c r="J1950" s="46">
        <v>4</v>
      </c>
      <c r="K1950" s="47">
        <v>44271</v>
      </c>
      <c r="L1950" s="46">
        <v>11538</v>
      </c>
      <c r="M1950" s="46">
        <v>4</v>
      </c>
    </row>
    <row r="1951" spans="2:13" ht="14.1" customHeight="1" x14ac:dyDescent="0.25">
      <c r="B1951" s="46" t="str">
        <f t="shared" si="30"/>
        <v>2101-106-312508</v>
      </c>
      <c r="C1951" s="47">
        <v>44209</v>
      </c>
      <c r="D1951" s="46">
        <v>106</v>
      </c>
      <c r="E1951" s="46">
        <v>2</v>
      </c>
      <c r="F1951" s="46">
        <v>312508</v>
      </c>
      <c r="G1951" s="48" t="s">
        <v>313</v>
      </c>
      <c r="H1951" s="47">
        <v>44211</v>
      </c>
      <c r="I1951" s="46">
        <v>51209</v>
      </c>
      <c r="J1951" s="46">
        <v>2</v>
      </c>
      <c r="K1951" s="47">
        <v>44271</v>
      </c>
      <c r="L1951" s="46">
        <v>11538</v>
      </c>
      <c r="M1951" s="46">
        <v>2</v>
      </c>
    </row>
    <row r="1952" spans="2:13" ht="14.1" customHeight="1" x14ac:dyDescent="0.25">
      <c r="B1952" s="46" t="str">
        <f t="shared" si="30"/>
        <v>2101-107-318014</v>
      </c>
      <c r="C1952" s="47">
        <v>44209</v>
      </c>
      <c r="D1952" s="46">
        <v>107</v>
      </c>
      <c r="E1952" s="46">
        <v>10</v>
      </c>
      <c r="F1952" s="46">
        <v>318014</v>
      </c>
      <c r="G1952" s="48" t="s">
        <v>1239</v>
      </c>
      <c r="H1952" s="47">
        <v>44223</v>
      </c>
      <c r="I1952" s="46">
        <v>51392</v>
      </c>
      <c r="J1952" s="46">
        <v>5</v>
      </c>
      <c r="K1952" s="47">
        <v>44229</v>
      </c>
      <c r="L1952" s="46">
        <v>11055</v>
      </c>
      <c r="M1952" s="46">
        <v>5</v>
      </c>
    </row>
    <row r="1953" spans="2:13" ht="14.1" customHeight="1" x14ac:dyDescent="0.25">
      <c r="B1953" s="46" t="str">
        <f t="shared" si="30"/>
        <v>2101-107-319982</v>
      </c>
      <c r="C1953" s="47">
        <v>44209</v>
      </c>
      <c r="D1953" s="46">
        <v>107</v>
      </c>
      <c r="E1953" s="46">
        <v>10</v>
      </c>
      <c r="F1953" s="46">
        <v>319982</v>
      </c>
      <c r="G1953" s="50" t="s">
        <v>1159</v>
      </c>
      <c r="H1953" s="47">
        <v>44223</v>
      </c>
      <c r="I1953" s="46">
        <v>51392</v>
      </c>
      <c r="J1953" s="46">
        <v>5</v>
      </c>
      <c r="K1953" s="47">
        <v>44229</v>
      </c>
      <c r="L1953" s="46">
        <v>11061</v>
      </c>
      <c r="M1953" s="46">
        <v>5</v>
      </c>
    </row>
    <row r="1954" spans="2:13" ht="14.1" customHeight="1" x14ac:dyDescent="0.25">
      <c r="B1954" s="46" t="str">
        <f t="shared" si="30"/>
        <v>2101-108-320654</v>
      </c>
      <c r="C1954" s="47">
        <v>44209</v>
      </c>
      <c r="D1954" s="46">
        <v>108</v>
      </c>
      <c r="E1954" s="46">
        <v>3</v>
      </c>
      <c r="F1954" s="46">
        <v>320654</v>
      </c>
      <c r="G1954" s="48" t="s">
        <v>1429</v>
      </c>
      <c r="H1954" s="47">
        <v>44216</v>
      </c>
      <c r="I1954" s="46">
        <v>51274</v>
      </c>
      <c r="J1954" s="46">
        <v>3</v>
      </c>
      <c r="K1954" s="47">
        <v>44223</v>
      </c>
      <c r="L1954" s="46">
        <v>11021</v>
      </c>
      <c r="M1954" s="46">
        <v>3</v>
      </c>
    </row>
    <row r="1955" spans="2:13" ht="14.1" customHeight="1" x14ac:dyDescent="0.25">
      <c r="B1955" s="46" t="str">
        <f t="shared" si="30"/>
        <v>2101-108-204290</v>
      </c>
      <c r="C1955" s="47">
        <v>44209</v>
      </c>
      <c r="D1955" s="46">
        <v>108</v>
      </c>
      <c r="E1955" s="46">
        <v>1</v>
      </c>
      <c r="F1955" s="46">
        <v>204290</v>
      </c>
      <c r="G1955" s="48" t="s">
        <v>1426</v>
      </c>
      <c r="H1955" s="47">
        <v>44216</v>
      </c>
      <c r="I1955" s="46">
        <v>51271</v>
      </c>
      <c r="J1955" s="46">
        <v>1</v>
      </c>
      <c r="L1955" s="46">
        <v>0</v>
      </c>
      <c r="M1955" s="46">
        <v>0</v>
      </c>
    </row>
    <row r="1956" spans="2:13" ht="14.1" customHeight="1" x14ac:dyDescent="0.25">
      <c r="B1956" s="46" t="str">
        <f t="shared" si="30"/>
        <v>2101-108-313034</v>
      </c>
      <c r="C1956" s="47">
        <v>44209</v>
      </c>
      <c r="D1956" s="46">
        <v>108</v>
      </c>
      <c r="E1956" s="46">
        <v>4</v>
      </c>
      <c r="F1956" s="46">
        <v>313034</v>
      </c>
      <c r="G1956" s="48" t="s">
        <v>1425</v>
      </c>
      <c r="H1956" s="47">
        <v>44216</v>
      </c>
      <c r="I1956" s="46">
        <v>51269</v>
      </c>
      <c r="J1956" s="46">
        <v>4</v>
      </c>
      <c r="K1956" s="47">
        <v>44224</v>
      </c>
      <c r="L1956" s="46">
        <v>11026</v>
      </c>
      <c r="M1956" s="46">
        <v>4</v>
      </c>
    </row>
    <row r="1957" spans="2:13" ht="14.1" customHeight="1" x14ac:dyDescent="0.25">
      <c r="B1957" s="46" t="str">
        <f t="shared" si="30"/>
        <v>2101-108-320652</v>
      </c>
      <c r="C1957" s="47">
        <v>44209</v>
      </c>
      <c r="D1957" s="46">
        <v>108</v>
      </c>
      <c r="E1957" s="46">
        <v>4</v>
      </c>
      <c r="F1957" s="46">
        <v>320652</v>
      </c>
      <c r="G1957" s="48" t="s">
        <v>1427</v>
      </c>
      <c r="H1957" s="47">
        <v>44216</v>
      </c>
      <c r="I1957" s="46">
        <v>51274</v>
      </c>
      <c r="J1957" s="46">
        <v>4</v>
      </c>
      <c r="K1957" s="47">
        <v>44221</v>
      </c>
      <c r="L1957" s="46">
        <v>10994</v>
      </c>
      <c r="M1957" s="46">
        <v>4</v>
      </c>
    </row>
    <row r="1958" spans="2:13" ht="14.1" customHeight="1" x14ac:dyDescent="0.25">
      <c r="B1958" s="46" t="str">
        <f t="shared" si="30"/>
        <v>2101-108-320653</v>
      </c>
      <c r="C1958" s="47">
        <v>44209</v>
      </c>
      <c r="D1958" s="46">
        <v>108</v>
      </c>
      <c r="E1958" s="46">
        <v>4</v>
      </c>
      <c r="F1958" s="46">
        <v>320653</v>
      </c>
      <c r="G1958" s="48" t="s">
        <v>1428</v>
      </c>
      <c r="H1958" s="47">
        <v>44216</v>
      </c>
      <c r="I1958" s="46">
        <v>51274</v>
      </c>
      <c r="J1958" s="46">
        <v>4</v>
      </c>
      <c r="K1958" s="47">
        <v>44221</v>
      </c>
      <c r="L1958" s="46">
        <v>10994</v>
      </c>
      <c r="M1958" s="46">
        <v>4</v>
      </c>
    </row>
    <row r="1959" spans="2:13" ht="14.1" customHeight="1" x14ac:dyDescent="0.25">
      <c r="B1959" s="46" t="str">
        <f t="shared" si="30"/>
        <v>2101-108-320655</v>
      </c>
      <c r="C1959" s="47">
        <v>44209</v>
      </c>
      <c r="D1959" s="46">
        <v>108</v>
      </c>
      <c r="E1959" s="46">
        <v>6</v>
      </c>
      <c r="F1959" s="46">
        <v>320655</v>
      </c>
      <c r="G1959" s="48" t="s">
        <v>1430</v>
      </c>
      <c r="H1959" s="47">
        <v>44216</v>
      </c>
      <c r="I1959" s="46">
        <v>51274</v>
      </c>
      <c r="J1959" s="46">
        <v>6</v>
      </c>
      <c r="K1959" s="47">
        <v>44221</v>
      </c>
      <c r="L1959" s="46">
        <v>10994</v>
      </c>
      <c r="M1959" s="46">
        <v>6</v>
      </c>
    </row>
    <row r="1960" spans="2:13" ht="14.1" customHeight="1" x14ac:dyDescent="0.25">
      <c r="B1960" s="46" t="str">
        <f t="shared" si="30"/>
        <v>2101-108-205653</v>
      </c>
      <c r="C1960" s="47">
        <v>44209</v>
      </c>
      <c r="D1960" s="46">
        <v>108</v>
      </c>
      <c r="E1960" s="46">
        <v>3</v>
      </c>
      <c r="F1960" s="46">
        <v>205653</v>
      </c>
      <c r="G1960" s="48" t="s">
        <v>569</v>
      </c>
      <c r="H1960" s="47">
        <v>44216</v>
      </c>
      <c r="I1960" s="46">
        <v>51269</v>
      </c>
      <c r="J1960" s="46">
        <v>3</v>
      </c>
      <c r="K1960" s="47">
        <v>44224</v>
      </c>
      <c r="L1960" s="46">
        <v>11026</v>
      </c>
      <c r="M1960" s="46">
        <v>3</v>
      </c>
    </row>
    <row r="1961" spans="2:13" ht="14.1" customHeight="1" x14ac:dyDescent="0.25">
      <c r="B1961" s="46" t="str">
        <f t="shared" si="30"/>
        <v>2101-108-320473</v>
      </c>
      <c r="C1961" s="47">
        <v>44209</v>
      </c>
      <c r="D1961" s="46">
        <v>108</v>
      </c>
      <c r="E1961" s="46">
        <v>4</v>
      </c>
      <c r="F1961" s="46">
        <v>320473</v>
      </c>
      <c r="G1961" s="48" t="s">
        <v>1073</v>
      </c>
      <c r="H1961" s="47">
        <v>44216</v>
      </c>
      <c r="I1961" s="46">
        <v>51274</v>
      </c>
      <c r="J1961" s="46">
        <v>4</v>
      </c>
      <c r="K1961" s="47">
        <v>44223</v>
      </c>
      <c r="L1961" s="46">
        <v>11021</v>
      </c>
      <c r="M1961" s="46">
        <v>4</v>
      </c>
    </row>
    <row r="1962" spans="2:13" ht="14.1" customHeight="1" x14ac:dyDescent="0.25">
      <c r="B1962" s="46" t="str">
        <f t="shared" si="30"/>
        <v>2101-108-320472</v>
      </c>
      <c r="C1962" s="47">
        <v>44209</v>
      </c>
      <c r="D1962" s="46">
        <v>108</v>
      </c>
      <c r="E1962" s="46">
        <v>4</v>
      </c>
      <c r="F1962" s="46">
        <v>320472</v>
      </c>
      <c r="G1962" s="48" t="s">
        <v>1072</v>
      </c>
      <c r="H1962" s="47">
        <v>44216</v>
      </c>
      <c r="I1962" s="46">
        <v>51274</v>
      </c>
      <c r="J1962" s="46">
        <v>4</v>
      </c>
      <c r="K1962" s="47">
        <v>44221</v>
      </c>
      <c r="L1962" s="46">
        <v>10994</v>
      </c>
      <c r="M1962" s="46">
        <v>4</v>
      </c>
    </row>
    <row r="1963" spans="2:13" ht="14.1" customHeight="1" x14ac:dyDescent="0.25">
      <c r="B1963" s="46" t="str">
        <f t="shared" si="30"/>
        <v>2101-108-105871</v>
      </c>
      <c r="C1963" s="47">
        <v>44209</v>
      </c>
      <c r="D1963" s="46">
        <v>108</v>
      </c>
      <c r="E1963" s="46">
        <v>4</v>
      </c>
      <c r="F1963" s="46">
        <v>105871</v>
      </c>
      <c r="G1963" s="48" t="s">
        <v>438</v>
      </c>
      <c r="H1963" s="47">
        <v>44216</v>
      </c>
      <c r="I1963" s="46">
        <v>51271</v>
      </c>
      <c r="J1963" s="46">
        <v>4</v>
      </c>
      <c r="L1963" s="46">
        <v>0</v>
      </c>
      <c r="M1963" s="46">
        <v>0</v>
      </c>
    </row>
    <row r="1964" spans="2:13" ht="14.1" customHeight="1" x14ac:dyDescent="0.25">
      <c r="B1964" s="46" t="str">
        <f t="shared" si="30"/>
        <v>2101-109-320626</v>
      </c>
      <c r="C1964" s="47">
        <v>44209</v>
      </c>
      <c r="D1964" s="46">
        <v>109</v>
      </c>
      <c r="E1964" s="46">
        <v>2</v>
      </c>
      <c r="F1964" s="46">
        <v>320626</v>
      </c>
      <c r="G1964" s="48" t="s">
        <v>1431</v>
      </c>
      <c r="H1964" s="47">
        <v>44210</v>
      </c>
      <c r="I1964" s="46">
        <v>51204</v>
      </c>
      <c r="J1964" s="46">
        <v>2</v>
      </c>
      <c r="K1964" s="47">
        <v>44214</v>
      </c>
      <c r="L1964" s="46">
        <v>10935</v>
      </c>
      <c r="M1964" s="46">
        <v>2</v>
      </c>
    </row>
    <row r="1965" spans="2:13" ht="14.1" customHeight="1" x14ac:dyDescent="0.25">
      <c r="B1965" s="46" t="str">
        <f t="shared" si="30"/>
        <v>2101-110-200155</v>
      </c>
      <c r="C1965" s="47">
        <v>44209</v>
      </c>
      <c r="D1965" s="46">
        <v>110</v>
      </c>
      <c r="E1965" s="46">
        <v>60</v>
      </c>
      <c r="F1965" s="46">
        <v>200155</v>
      </c>
      <c r="G1965" s="48" t="s">
        <v>356</v>
      </c>
      <c r="H1965" s="47">
        <v>44210</v>
      </c>
      <c r="I1965" s="46">
        <v>51302</v>
      </c>
      <c r="J1965" s="46">
        <v>60</v>
      </c>
      <c r="K1965" s="47">
        <v>44209</v>
      </c>
      <c r="L1965" s="46">
        <v>10878</v>
      </c>
      <c r="M1965" s="46">
        <v>60</v>
      </c>
    </row>
    <row r="1966" spans="2:13" ht="14.1" customHeight="1" x14ac:dyDescent="0.25">
      <c r="B1966" s="46" t="str">
        <f t="shared" si="30"/>
        <v>2101-113-302449</v>
      </c>
      <c r="C1966" s="47">
        <v>44209</v>
      </c>
      <c r="D1966" s="46">
        <v>113</v>
      </c>
      <c r="E1966" s="46">
        <v>1</v>
      </c>
      <c r="F1966" s="46">
        <v>302449</v>
      </c>
      <c r="G1966" s="48" t="s">
        <v>1432</v>
      </c>
      <c r="H1966" s="47">
        <v>44211</v>
      </c>
      <c r="I1966" s="46">
        <v>51208</v>
      </c>
      <c r="J1966" s="46">
        <v>1</v>
      </c>
      <c r="K1966" s="47">
        <v>44215</v>
      </c>
      <c r="L1966" s="46">
        <v>10946</v>
      </c>
      <c r="M1966" s="46">
        <v>1</v>
      </c>
    </row>
    <row r="1967" spans="2:13" ht="14.1" customHeight="1" x14ac:dyDescent="0.25">
      <c r="B1967" s="46" t="str">
        <f t="shared" si="30"/>
        <v>2101-116-313005</v>
      </c>
      <c r="C1967" s="47">
        <v>44209</v>
      </c>
      <c r="D1967" s="46">
        <v>116</v>
      </c>
      <c r="E1967" s="46">
        <v>6</v>
      </c>
      <c r="F1967" s="46">
        <v>313005</v>
      </c>
      <c r="G1967" s="48" t="s">
        <v>324</v>
      </c>
      <c r="I1967" s="46">
        <v>0</v>
      </c>
      <c r="J1967" s="46">
        <v>0</v>
      </c>
      <c r="L1967" s="46">
        <v>0</v>
      </c>
      <c r="M1967" s="46">
        <v>0</v>
      </c>
    </row>
    <row r="1968" spans="2:13" ht="14.1" customHeight="1" x14ac:dyDescent="0.25">
      <c r="B1968" s="46" t="str">
        <f t="shared" si="30"/>
        <v>2101-116-204417</v>
      </c>
      <c r="C1968" s="47">
        <v>44209</v>
      </c>
      <c r="D1968" s="46">
        <v>116</v>
      </c>
      <c r="E1968" s="46">
        <v>24</v>
      </c>
      <c r="F1968" s="46">
        <v>204417</v>
      </c>
      <c r="G1968" s="48" t="s">
        <v>538</v>
      </c>
      <c r="I1968" s="46">
        <v>0</v>
      </c>
      <c r="J1968" s="46">
        <v>0</v>
      </c>
      <c r="L1968" s="46">
        <v>0</v>
      </c>
      <c r="M1968" s="46">
        <v>0</v>
      </c>
    </row>
    <row r="1969" spans="2:13" ht="14.1" customHeight="1" x14ac:dyDescent="0.25">
      <c r="B1969" s="46" t="str">
        <f t="shared" si="30"/>
        <v>2101-116-205091</v>
      </c>
      <c r="C1969" s="47">
        <v>44209</v>
      </c>
      <c r="D1969" s="46">
        <v>116</v>
      </c>
      <c r="E1969" s="46">
        <v>24</v>
      </c>
      <c r="F1969" s="46">
        <v>205091</v>
      </c>
      <c r="G1969" s="48" t="s">
        <v>552</v>
      </c>
      <c r="I1969" s="46">
        <v>0</v>
      </c>
      <c r="J1969" s="46">
        <v>0</v>
      </c>
      <c r="L1969" s="46">
        <v>0</v>
      </c>
      <c r="M1969" s="46">
        <v>0</v>
      </c>
    </row>
    <row r="1970" spans="2:13" ht="14.1" customHeight="1" x14ac:dyDescent="0.25">
      <c r="B1970" s="46" t="str">
        <f t="shared" si="30"/>
        <v>2101-116-206154</v>
      </c>
      <c r="C1970" s="47">
        <v>44209</v>
      </c>
      <c r="D1970" s="46">
        <v>116</v>
      </c>
      <c r="E1970" s="46">
        <v>6</v>
      </c>
      <c r="F1970" s="46">
        <v>206154</v>
      </c>
      <c r="G1970" s="48" t="s">
        <v>580</v>
      </c>
      <c r="I1970" s="46">
        <v>0</v>
      </c>
      <c r="J1970" s="46">
        <v>0</v>
      </c>
      <c r="L1970" s="46">
        <v>0</v>
      </c>
      <c r="M1970" s="46">
        <v>0</v>
      </c>
    </row>
    <row r="1971" spans="2:13" ht="14.1" customHeight="1" x14ac:dyDescent="0.25">
      <c r="B1971" s="46" t="str">
        <f t="shared" si="30"/>
        <v>2101-116-204415</v>
      </c>
      <c r="C1971" s="47">
        <v>44209</v>
      </c>
      <c r="D1971" s="46">
        <v>116</v>
      </c>
      <c r="E1971" s="46">
        <v>24</v>
      </c>
      <c r="F1971" s="46">
        <v>204415</v>
      </c>
      <c r="G1971" s="48" t="s">
        <v>279</v>
      </c>
      <c r="I1971" s="46">
        <v>0</v>
      </c>
      <c r="J1971" s="46">
        <v>0</v>
      </c>
      <c r="L1971" s="46">
        <v>0</v>
      </c>
      <c r="M1971" s="46">
        <v>0</v>
      </c>
    </row>
    <row r="1972" spans="2:13" ht="14.1" customHeight="1" x14ac:dyDescent="0.25">
      <c r="B1972" s="46" t="str">
        <f t="shared" si="30"/>
        <v>2101-116-202693</v>
      </c>
      <c r="C1972" s="47">
        <v>44209</v>
      </c>
      <c r="D1972" s="46">
        <v>116</v>
      </c>
      <c r="E1972" s="46">
        <v>12</v>
      </c>
      <c r="F1972" s="46">
        <v>202693</v>
      </c>
      <c r="G1972" s="48" t="s">
        <v>499</v>
      </c>
      <c r="I1972" s="46">
        <v>0</v>
      </c>
      <c r="J1972" s="46">
        <v>0</v>
      </c>
      <c r="L1972" s="46">
        <v>0</v>
      </c>
      <c r="M1972" s="46">
        <v>0</v>
      </c>
    </row>
    <row r="1973" spans="2:13" ht="14.1" customHeight="1" x14ac:dyDescent="0.25">
      <c r="B1973" s="46" t="str">
        <f t="shared" si="30"/>
        <v>2101-116-204418</v>
      </c>
      <c r="C1973" s="47">
        <v>44209</v>
      </c>
      <c r="D1973" s="46">
        <v>116</v>
      </c>
      <c r="E1973" s="46">
        <v>24</v>
      </c>
      <c r="F1973" s="46">
        <v>204418</v>
      </c>
      <c r="G1973" s="48" t="s">
        <v>539</v>
      </c>
      <c r="I1973" s="46">
        <v>0</v>
      </c>
      <c r="J1973" s="46">
        <v>0</v>
      </c>
      <c r="L1973" s="46">
        <v>0</v>
      </c>
      <c r="M1973" s="46">
        <v>0</v>
      </c>
    </row>
    <row r="1974" spans="2:13" ht="14.1" customHeight="1" x14ac:dyDescent="0.25">
      <c r="B1974" s="46" t="str">
        <f t="shared" si="30"/>
        <v>2101-116-301143</v>
      </c>
      <c r="C1974" s="47">
        <v>44209</v>
      </c>
      <c r="D1974" s="46">
        <v>116</v>
      </c>
      <c r="E1974" s="46">
        <v>6</v>
      </c>
      <c r="F1974" s="46">
        <v>301143</v>
      </c>
      <c r="G1974" s="48" t="s">
        <v>278</v>
      </c>
      <c r="I1974" s="46">
        <v>0</v>
      </c>
      <c r="J1974" s="46">
        <v>0</v>
      </c>
      <c r="L1974" s="46">
        <v>0</v>
      </c>
      <c r="M1974" s="46">
        <v>0</v>
      </c>
    </row>
    <row r="1975" spans="2:13" ht="14.1" customHeight="1" x14ac:dyDescent="0.25">
      <c r="B1975" s="46" t="str">
        <f t="shared" si="30"/>
        <v>2101-116-308304</v>
      </c>
      <c r="C1975" s="47">
        <v>44209</v>
      </c>
      <c r="D1975" s="46">
        <v>116</v>
      </c>
      <c r="E1975" s="46">
        <v>12</v>
      </c>
      <c r="F1975" s="46">
        <v>308304</v>
      </c>
      <c r="G1975" s="48" t="s">
        <v>743</v>
      </c>
      <c r="I1975" s="46">
        <v>0</v>
      </c>
      <c r="J1975" s="46">
        <v>0</v>
      </c>
      <c r="L1975" s="46">
        <v>0</v>
      </c>
      <c r="M1975" s="46">
        <v>0</v>
      </c>
    </row>
    <row r="1976" spans="2:13" ht="14.1" customHeight="1" x14ac:dyDescent="0.25">
      <c r="B1976" s="46" t="str">
        <f t="shared" si="30"/>
        <v>2101-116-203981</v>
      </c>
      <c r="C1976" s="47">
        <v>44209</v>
      </c>
      <c r="D1976" s="46">
        <v>116</v>
      </c>
      <c r="E1976" s="46">
        <v>6</v>
      </c>
      <c r="F1976" s="46">
        <v>203981</v>
      </c>
      <c r="G1976" s="48" t="s">
        <v>406</v>
      </c>
      <c r="I1976" s="46">
        <v>0</v>
      </c>
      <c r="J1976" s="46">
        <v>0</v>
      </c>
      <c r="L1976" s="46">
        <v>0</v>
      </c>
      <c r="M1976" s="46">
        <v>0</v>
      </c>
    </row>
    <row r="1977" spans="2:13" ht="14.1" customHeight="1" x14ac:dyDescent="0.25">
      <c r="B1977" s="46" t="str">
        <f t="shared" si="30"/>
        <v>2101-116-202694</v>
      </c>
      <c r="C1977" s="47">
        <v>44209</v>
      </c>
      <c r="D1977" s="46">
        <v>116</v>
      </c>
      <c r="E1977" s="46">
        <v>6</v>
      </c>
      <c r="F1977" s="46">
        <v>202694</v>
      </c>
      <c r="G1977" s="48" t="s">
        <v>407</v>
      </c>
      <c r="I1977" s="46">
        <v>0</v>
      </c>
      <c r="J1977" s="46">
        <v>0</v>
      </c>
      <c r="L1977" s="46">
        <v>0</v>
      </c>
      <c r="M1977" s="46">
        <v>0</v>
      </c>
    </row>
    <row r="1978" spans="2:13" ht="14.1" customHeight="1" x14ac:dyDescent="0.25">
      <c r="B1978" s="46" t="str">
        <f t="shared" si="30"/>
        <v>2101-116-204423</v>
      </c>
      <c r="C1978" s="47">
        <v>44209</v>
      </c>
      <c r="D1978" s="46">
        <v>116</v>
      </c>
      <c r="E1978" s="46">
        <v>6</v>
      </c>
      <c r="F1978" s="46">
        <v>204423</v>
      </c>
      <c r="G1978" s="48" t="s">
        <v>540</v>
      </c>
      <c r="I1978" s="46">
        <v>0</v>
      </c>
      <c r="J1978" s="46">
        <v>0</v>
      </c>
      <c r="L1978" s="46">
        <v>0</v>
      </c>
      <c r="M1978" s="46">
        <v>0</v>
      </c>
    </row>
    <row r="1979" spans="2:13" ht="14.1" customHeight="1" x14ac:dyDescent="0.25">
      <c r="B1979" s="46" t="str">
        <f t="shared" si="30"/>
        <v>2101-118-203973</v>
      </c>
      <c r="C1979" s="47">
        <v>44209</v>
      </c>
      <c r="D1979" s="46">
        <v>118</v>
      </c>
      <c r="E1979" s="46">
        <v>8</v>
      </c>
      <c r="F1979" s="46">
        <v>203973</v>
      </c>
      <c r="G1979" s="48" t="s">
        <v>521</v>
      </c>
      <c r="H1979" s="47">
        <v>44291</v>
      </c>
      <c r="I1979" s="46">
        <v>52350</v>
      </c>
      <c r="J1979" s="46">
        <v>8</v>
      </c>
      <c r="K1979" s="47">
        <v>44301</v>
      </c>
      <c r="L1979" s="46">
        <v>11841</v>
      </c>
      <c r="M1979" s="46">
        <v>8</v>
      </c>
    </row>
    <row r="1980" spans="2:13" ht="14.1" customHeight="1" x14ac:dyDescent="0.25">
      <c r="B1980" s="46" t="str">
        <f t="shared" si="30"/>
        <v>2101-118-204410</v>
      </c>
      <c r="C1980" s="47">
        <v>44209</v>
      </c>
      <c r="D1980" s="46">
        <v>118</v>
      </c>
      <c r="E1980" s="46">
        <v>10</v>
      </c>
      <c r="F1980" s="46">
        <v>204410</v>
      </c>
      <c r="G1980" s="48" t="s">
        <v>537</v>
      </c>
      <c r="H1980" s="47">
        <v>44291</v>
      </c>
      <c r="I1980" s="46">
        <v>52350</v>
      </c>
      <c r="J1980" s="46">
        <v>10</v>
      </c>
      <c r="K1980" s="47">
        <v>44301</v>
      </c>
      <c r="L1980" s="46">
        <v>11841</v>
      </c>
      <c r="M1980" s="46">
        <v>10</v>
      </c>
    </row>
    <row r="1981" spans="2:13" ht="14.1" customHeight="1" x14ac:dyDescent="0.25">
      <c r="B1981" s="46" t="str">
        <f t="shared" si="30"/>
        <v>2101-118-300915</v>
      </c>
      <c r="C1981" s="47">
        <v>44209</v>
      </c>
      <c r="D1981" s="46">
        <v>118</v>
      </c>
      <c r="E1981" s="46">
        <v>10</v>
      </c>
      <c r="F1981" s="46">
        <v>300915</v>
      </c>
      <c r="G1981" s="48" t="s">
        <v>1378</v>
      </c>
      <c r="H1981" s="47">
        <v>44291</v>
      </c>
      <c r="I1981" s="46">
        <v>52350</v>
      </c>
      <c r="J1981" s="46">
        <v>10</v>
      </c>
      <c r="K1981" s="47">
        <v>44301</v>
      </c>
      <c r="L1981" s="46">
        <v>11841</v>
      </c>
      <c r="M1981" s="46">
        <v>10</v>
      </c>
    </row>
    <row r="1982" spans="2:13" ht="14.1" customHeight="1" x14ac:dyDescent="0.25">
      <c r="B1982" s="46" t="str">
        <f t="shared" si="30"/>
        <v>2101-118-201030</v>
      </c>
      <c r="C1982" s="47">
        <v>44209</v>
      </c>
      <c r="D1982" s="46">
        <v>118</v>
      </c>
      <c r="E1982" s="46">
        <v>12</v>
      </c>
      <c r="F1982" s="46">
        <v>201030</v>
      </c>
      <c r="G1982" s="48" t="s">
        <v>273</v>
      </c>
      <c r="H1982" s="47">
        <v>44291</v>
      </c>
      <c r="I1982" s="46">
        <v>52350</v>
      </c>
      <c r="J1982" s="46">
        <v>12</v>
      </c>
      <c r="K1982" s="47">
        <v>44301</v>
      </c>
      <c r="L1982" s="46">
        <v>11841</v>
      </c>
      <c r="M1982" s="46">
        <v>12</v>
      </c>
    </row>
    <row r="1983" spans="2:13" ht="14.1" customHeight="1" x14ac:dyDescent="0.25">
      <c r="B1983" s="46" t="str">
        <f t="shared" si="30"/>
        <v>2101-118-203259</v>
      </c>
      <c r="C1983" s="47">
        <v>44209</v>
      </c>
      <c r="D1983" s="46">
        <v>118</v>
      </c>
      <c r="E1983" s="46">
        <v>12</v>
      </c>
      <c r="F1983" s="46">
        <v>203259</v>
      </c>
      <c r="G1983" s="48" t="s">
        <v>1434</v>
      </c>
      <c r="H1983" s="47">
        <v>44291</v>
      </c>
      <c r="I1983" s="46">
        <v>52350</v>
      </c>
      <c r="J1983" s="46">
        <v>12</v>
      </c>
      <c r="K1983" s="47">
        <v>44301</v>
      </c>
      <c r="L1983" s="46">
        <v>11841</v>
      </c>
      <c r="M1983" s="46">
        <v>12</v>
      </c>
    </row>
    <row r="1984" spans="2:13" ht="14.1" customHeight="1" x14ac:dyDescent="0.25">
      <c r="B1984" s="46" t="str">
        <f t="shared" si="30"/>
        <v>2101-118-300406</v>
      </c>
      <c r="C1984" s="47">
        <v>44209</v>
      </c>
      <c r="D1984" s="46">
        <v>118</v>
      </c>
      <c r="E1984" s="46">
        <v>6</v>
      </c>
      <c r="F1984" s="46">
        <v>300406</v>
      </c>
      <c r="G1984" s="48" t="s">
        <v>597</v>
      </c>
      <c r="H1984" s="47">
        <v>44291</v>
      </c>
      <c r="I1984" s="46">
        <v>52350</v>
      </c>
      <c r="J1984" s="46">
        <v>6</v>
      </c>
      <c r="K1984" s="47">
        <v>44301</v>
      </c>
      <c r="L1984" s="46">
        <v>11841</v>
      </c>
      <c r="M1984" s="46">
        <v>6</v>
      </c>
    </row>
    <row r="1985" spans="2:13" ht="14.1" customHeight="1" x14ac:dyDescent="0.25">
      <c r="B1985" s="46" t="str">
        <f t="shared" si="30"/>
        <v>2101-118-202691</v>
      </c>
      <c r="C1985" s="47">
        <v>44209</v>
      </c>
      <c r="D1985" s="46">
        <v>118</v>
      </c>
      <c r="E1985" s="46">
        <v>12</v>
      </c>
      <c r="F1985" s="46">
        <v>202691</v>
      </c>
      <c r="G1985" s="48" t="s">
        <v>1387</v>
      </c>
      <c r="H1985" s="47">
        <v>44291</v>
      </c>
      <c r="I1985" s="46">
        <v>52350</v>
      </c>
      <c r="J1985" s="46">
        <v>12</v>
      </c>
      <c r="K1985" s="47">
        <v>44301</v>
      </c>
      <c r="L1985" s="46">
        <v>11841</v>
      </c>
      <c r="M1985" s="46">
        <v>12</v>
      </c>
    </row>
    <row r="1986" spans="2:13" ht="14.1" customHeight="1" x14ac:dyDescent="0.25">
      <c r="B1986" s="46" t="str">
        <f t="shared" si="30"/>
        <v>2101-118-306236</v>
      </c>
      <c r="C1986" s="47">
        <v>44209</v>
      </c>
      <c r="D1986" s="46">
        <v>118</v>
      </c>
      <c r="E1986" s="46">
        <v>10</v>
      </c>
      <c r="F1986" s="46">
        <v>306236</v>
      </c>
      <c r="G1986" s="48" t="s">
        <v>1435</v>
      </c>
      <c r="H1986" s="47">
        <v>44291</v>
      </c>
      <c r="I1986" s="46">
        <v>52350</v>
      </c>
      <c r="J1986" s="46">
        <v>10</v>
      </c>
      <c r="K1986" s="47">
        <v>44301</v>
      </c>
      <c r="L1986" s="46">
        <v>11841</v>
      </c>
      <c r="M1986" s="46">
        <v>10</v>
      </c>
    </row>
    <row r="1987" spans="2:13" ht="14.1" customHeight="1" x14ac:dyDescent="0.25">
      <c r="B1987" s="46" t="str">
        <f t="shared" si="30"/>
        <v>2101-118-301985</v>
      </c>
      <c r="C1987" s="47">
        <v>44209</v>
      </c>
      <c r="D1987" s="46">
        <v>118</v>
      </c>
      <c r="E1987" s="46">
        <v>6</v>
      </c>
      <c r="F1987" s="46">
        <v>301985</v>
      </c>
      <c r="G1987" s="48" t="s">
        <v>629</v>
      </c>
      <c r="H1987" s="47">
        <v>44291</v>
      </c>
      <c r="I1987" s="46">
        <v>52350</v>
      </c>
      <c r="J1987" s="46">
        <v>6</v>
      </c>
      <c r="K1987" s="47">
        <v>44301</v>
      </c>
      <c r="L1987" s="46">
        <v>11841</v>
      </c>
      <c r="M1987" s="46">
        <v>6</v>
      </c>
    </row>
    <row r="1988" spans="2:13" ht="14.1" customHeight="1" x14ac:dyDescent="0.25">
      <c r="B1988" s="46" t="str">
        <f t="shared" si="30"/>
        <v>2101-118-304725</v>
      </c>
      <c r="C1988" s="47">
        <v>44209</v>
      </c>
      <c r="D1988" s="46">
        <v>118</v>
      </c>
      <c r="E1988" s="46">
        <v>10</v>
      </c>
      <c r="F1988" s="46">
        <v>304725</v>
      </c>
      <c r="G1988" s="48" t="s">
        <v>1436</v>
      </c>
      <c r="H1988" s="47">
        <v>44291</v>
      </c>
      <c r="I1988" s="46">
        <v>52350</v>
      </c>
      <c r="J1988" s="46">
        <v>10</v>
      </c>
      <c r="K1988" s="47">
        <v>44301</v>
      </c>
      <c r="L1988" s="46">
        <v>11841</v>
      </c>
      <c r="M1988" s="46">
        <v>10</v>
      </c>
    </row>
    <row r="1989" spans="2:13" ht="14.1" customHeight="1" x14ac:dyDescent="0.25">
      <c r="B1989" s="46" t="str">
        <f t="shared" si="30"/>
        <v>2101-118-203258</v>
      </c>
      <c r="C1989" s="47">
        <v>44209</v>
      </c>
      <c r="D1989" s="46">
        <v>118</v>
      </c>
      <c r="E1989" s="46">
        <v>12</v>
      </c>
      <c r="F1989" s="46">
        <v>203258</v>
      </c>
      <c r="G1989" s="50" t="s">
        <v>1433</v>
      </c>
      <c r="H1989" s="47">
        <v>44291</v>
      </c>
      <c r="I1989" s="46">
        <v>52350</v>
      </c>
      <c r="J1989" s="46">
        <v>12</v>
      </c>
      <c r="K1989" s="47">
        <v>44301</v>
      </c>
      <c r="L1989" s="46">
        <v>11841</v>
      </c>
      <c r="M1989" s="46">
        <v>12</v>
      </c>
    </row>
    <row r="1990" spans="2:13" ht="14.1" customHeight="1" x14ac:dyDescent="0.25">
      <c r="B1990" s="46" t="str">
        <f t="shared" si="30"/>
        <v>2101-118-203261</v>
      </c>
      <c r="C1990" s="47">
        <v>44209</v>
      </c>
      <c r="D1990" s="46">
        <v>118</v>
      </c>
      <c r="E1990" s="46">
        <v>12</v>
      </c>
      <c r="F1990" s="46">
        <v>203261</v>
      </c>
      <c r="G1990" s="48" t="s">
        <v>512</v>
      </c>
      <c r="H1990" s="47">
        <v>44291</v>
      </c>
      <c r="I1990" s="46">
        <v>52350</v>
      </c>
      <c r="J1990" s="46">
        <v>12</v>
      </c>
      <c r="K1990" s="47">
        <v>44301</v>
      </c>
      <c r="L1990" s="46">
        <v>11841</v>
      </c>
      <c r="M1990" s="46">
        <v>12</v>
      </c>
    </row>
    <row r="1991" spans="2:13" ht="14.1" customHeight="1" x14ac:dyDescent="0.25">
      <c r="B1991" s="46" t="str">
        <f t="shared" si="30"/>
        <v>2101-118-203263</v>
      </c>
      <c r="C1991" s="47">
        <v>44209</v>
      </c>
      <c r="D1991" s="46">
        <v>118</v>
      </c>
      <c r="E1991" s="46">
        <v>10</v>
      </c>
      <c r="F1991" s="46">
        <v>203263</v>
      </c>
      <c r="G1991" s="50" t="s">
        <v>467</v>
      </c>
      <c r="H1991" s="47">
        <v>44291</v>
      </c>
      <c r="I1991" s="46">
        <v>52350</v>
      </c>
      <c r="J1991" s="46">
        <v>10</v>
      </c>
      <c r="K1991" s="47">
        <v>44301</v>
      </c>
      <c r="L1991" s="46">
        <v>11841</v>
      </c>
      <c r="M1991" s="46">
        <v>10</v>
      </c>
    </row>
    <row r="1992" spans="2:13" ht="14.1" customHeight="1" x14ac:dyDescent="0.25">
      <c r="B1992" s="46" t="str">
        <f t="shared" si="30"/>
        <v>2101-118-302829</v>
      </c>
      <c r="C1992" s="47">
        <v>44209</v>
      </c>
      <c r="D1992" s="46">
        <v>118</v>
      </c>
      <c r="E1992" s="46">
        <v>6</v>
      </c>
      <c r="F1992" s="46">
        <v>302829</v>
      </c>
      <c r="G1992" s="48" t="s">
        <v>647</v>
      </c>
      <c r="H1992" s="47">
        <v>44291</v>
      </c>
      <c r="I1992" s="46">
        <v>52350</v>
      </c>
      <c r="J1992" s="46">
        <v>6</v>
      </c>
      <c r="K1992" s="47">
        <v>44301</v>
      </c>
      <c r="L1992" s="46">
        <v>11841</v>
      </c>
      <c r="M1992" s="46">
        <v>6</v>
      </c>
    </row>
    <row r="1993" spans="2:13" ht="14.1" customHeight="1" x14ac:dyDescent="0.25">
      <c r="B1993" s="46" t="str">
        <f t="shared" si="30"/>
        <v>2101-118-203972</v>
      </c>
      <c r="C1993" s="47">
        <v>44209</v>
      </c>
      <c r="D1993" s="46">
        <v>118</v>
      </c>
      <c r="E1993" s="46">
        <v>10</v>
      </c>
      <c r="F1993" s="46">
        <v>203972</v>
      </c>
      <c r="G1993" s="48" t="s">
        <v>325</v>
      </c>
      <c r="H1993" s="47">
        <v>44291</v>
      </c>
      <c r="I1993" s="46">
        <v>52350</v>
      </c>
      <c r="J1993" s="46">
        <v>10</v>
      </c>
      <c r="K1993" s="47">
        <v>44301</v>
      </c>
      <c r="L1993" s="46">
        <v>11841</v>
      </c>
      <c r="M1993" s="46">
        <v>10</v>
      </c>
    </row>
    <row r="1994" spans="2:13" ht="14.1" customHeight="1" x14ac:dyDescent="0.25">
      <c r="B1994" s="46" t="str">
        <f t="shared" si="30"/>
        <v>2101-118-203980</v>
      </c>
      <c r="C1994" s="47">
        <v>44209</v>
      </c>
      <c r="D1994" s="46">
        <v>118</v>
      </c>
      <c r="E1994" s="46">
        <v>6</v>
      </c>
      <c r="F1994" s="46">
        <v>203980</v>
      </c>
      <c r="G1994" s="48" t="s">
        <v>1379</v>
      </c>
      <c r="H1994" s="47">
        <v>44291</v>
      </c>
      <c r="I1994" s="46">
        <v>52350</v>
      </c>
      <c r="J1994" s="46">
        <v>6</v>
      </c>
      <c r="K1994" s="47">
        <v>44301</v>
      </c>
      <c r="L1994" s="46">
        <v>11841</v>
      </c>
      <c r="M1994" s="46">
        <v>6</v>
      </c>
    </row>
    <row r="1995" spans="2:13" ht="14.1" customHeight="1" x14ac:dyDescent="0.25">
      <c r="B1995" s="46" t="str">
        <f t="shared" si="30"/>
        <v>2101-119-320049</v>
      </c>
      <c r="C1995" s="47">
        <v>44210</v>
      </c>
      <c r="D1995" s="46">
        <v>119</v>
      </c>
      <c r="E1995" s="46">
        <v>800</v>
      </c>
      <c r="F1995" s="46">
        <v>320049</v>
      </c>
      <c r="G1995" s="48" t="s">
        <v>394</v>
      </c>
      <c r="H1995" s="47">
        <v>44211</v>
      </c>
      <c r="I1995" s="46">
        <v>51214</v>
      </c>
      <c r="J1995" s="46">
        <v>800</v>
      </c>
      <c r="K1995" s="47">
        <v>44270</v>
      </c>
      <c r="L1995" s="46">
        <v>11517</v>
      </c>
      <c r="M1995" s="46">
        <v>400</v>
      </c>
    </row>
    <row r="1996" spans="2:13" ht="14.1" customHeight="1" x14ac:dyDescent="0.25">
      <c r="B1996" s="46" t="str">
        <f t="shared" ref="B1996:B2059" si="31">TEXT(C1996,"yy") &amp; TEXT(C1996,"mm") &amp;"-"&amp;(D1996) &amp;"-"&amp;(F1996)</f>
        <v>2101-121-203593</v>
      </c>
      <c r="C1996" s="47">
        <v>44210</v>
      </c>
      <c r="D1996" s="46">
        <v>121</v>
      </c>
      <c r="E1996" s="46">
        <v>3862</v>
      </c>
      <c r="F1996" s="46">
        <v>203593</v>
      </c>
      <c r="G1996" s="48" t="s">
        <v>211</v>
      </c>
      <c r="H1996" s="47">
        <v>44209</v>
      </c>
      <c r="I1996" s="46">
        <v>51303</v>
      </c>
      <c r="J1996" s="46">
        <v>3862</v>
      </c>
      <c r="K1996" s="47">
        <v>44210</v>
      </c>
      <c r="L1996" s="46">
        <v>10890</v>
      </c>
      <c r="M1996" s="46">
        <v>3862</v>
      </c>
    </row>
    <row r="1997" spans="2:13" ht="14.1" customHeight="1" x14ac:dyDescent="0.25">
      <c r="B1997" s="46" t="str">
        <f t="shared" si="31"/>
        <v>2101-122-320658</v>
      </c>
      <c r="C1997" s="47">
        <v>44210</v>
      </c>
      <c r="D1997" s="46">
        <v>122</v>
      </c>
      <c r="E1997" s="46">
        <v>25</v>
      </c>
      <c r="F1997" s="46">
        <v>320658</v>
      </c>
      <c r="G1997" s="48" t="s">
        <v>1438</v>
      </c>
      <c r="H1997" s="47">
        <v>44210</v>
      </c>
      <c r="I1997" s="46">
        <v>51203</v>
      </c>
      <c r="J1997" s="46">
        <v>25</v>
      </c>
      <c r="K1997" s="47">
        <v>44211</v>
      </c>
      <c r="L1997" s="46">
        <v>10912</v>
      </c>
      <c r="M1997" s="46">
        <v>25</v>
      </c>
    </row>
    <row r="1998" spans="2:13" ht="14.1" customHeight="1" x14ac:dyDescent="0.25">
      <c r="B1998" s="46" t="str">
        <f t="shared" si="31"/>
        <v>2101-122-320657</v>
      </c>
      <c r="C1998" s="47">
        <v>44210</v>
      </c>
      <c r="D1998" s="46">
        <v>122</v>
      </c>
      <c r="E1998" s="46">
        <v>25</v>
      </c>
      <c r="F1998" s="46">
        <v>320657</v>
      </c>
      <c r="G1998" s="48" t="s">
        <v>1437</v>
      </c>
      <c r="H1998" s="47">
        <v>44210</v>
      </c>
      <c r="I1998" s="46">
        <v>51203</v>
      </c>
      <c r="J1998" s="46">
        <v>25</v>
      </c>
      <c r="K1998" s="47">
        <v>44211</v>
      </c>
      <c r="L1998" s="46">
        <v>10911</v>
      </c>
      <c r="M1998" s="46">
        <v>25</v>
      </c>
    </row>
    <row r="1999" spans="2:13" ht="14.1" customHeight="1" x14ac:dyDescent="0.25">
      <c r="B1999" s="46" t="str">
        <f t="shared" si="31"/>
        <v>2101-122-320659</v>
      </c>
      <c r="C1999" s="47">
        <v>44210</v>
      </c>
      <c r="D1999" s="46">
        <v>122</v>
      </c>
      <c r="E1999" s="46">
        <v>25</v>
      </c>
      <c r="F1999" s="46">
        <v>320659</v>
      </c>
      <c r="G1999" s="48" t="s">
        <v>1439</v>
      </c>
      <c r="H1999" s="47">
        <v>44210</v>
      </c>
      <c r="I1999" s="46">
        <v>51203</v>
      </c>
      <c r="J1999" s="46">
        <v>25</v>
      </c>
      <c r="K1999" s="47">
        <v>44211</v>
      </c>
      <c r="L1999" s="46">
        <v>10912</v>
      </c>
      <c r="M1999" s="46">
        <v>25</v>
      </c>
    </row>
    <row r="2000" spans="2:13" ht="14.1" customHeight="1" x14ac:dyDescent="0.25">
      <c r="B2000" s="46" t="str">
        <f t="shared" si="31"/>
        <v>2101-123-300312</v>
      </c>
      <c r="C2000" s="47">
        <v>44210</v>
      </c>
      <c r="D2000" s="46">
        <v>123</v>
      </c>
      <c r="E2000" s="46">
        <v>750</v>
      </c>
      <c r="F2000" s="46">
        <v>300312</v>
      </c>
      <c r="G2000" s="48" t="s">
        <v>186</v>
      </c>
      <c r="H2000" s="47">
        <v>44223</v>
      </c>
      <c r="I2000" s="46">
        <v>51401</v>
      </c>
      <c r="J2000" s="46">
        <v>750</v>
      </c>
      <c r="K2000" s="47">
        <v>44210</v>
      </c>
      <c r="L2000" s="46">
        <v>10897</v>
      </c>
      <c r="M2000" s="46">
        <v>750</v>
      </c>
    </row>
    <row r="2001" spans="2:13" ht="14.1" customHeight="1" x14ac:dyDescent="0.25">
      <c r="B2001" s="46" t="str">
        <f t="shared" si="31"/>
        <v>2101-123-313628</v>
      </c>
      <c r="C2001" s="47">
        <v>44210</v>
      </c>
      <c r="D2001" s="46">
        <v>123</v>
      </c>
      <c r="E2001" s="46">
        <v>180</v>
      </c>
      <c r="F2001" s="46">
        <v>313628</v>
      </c>
      <c r="G2001" s="48" t="s">
        <v>1489</v>
      </c>
      <c r="H2001" s="47">
        <v>44223</v>
      </c>
      <c r="I2001" s="46">
        <v>51401</v>
      </c>
      <c r="J2001" s="46">
        <v>180</v>
      </c>
      <c r="K2001" s="47">
        <v>44210</v>
      </c>
      <c r="L2001" s="46">
        <v>10897</v>
      </c>
      <c r="M2001" s="46">
        <v>180</v>
      </c>
    </row>
    <row r="2002" spans="2:13" ht="14.1" customHeight="1" x14ac:dyDescent="0.25">
      <c r="B2002" s="46" t="str">
        <f t="shared" si="31"/>
        <v>2101-123-304159</v>
      </c>
      <c r="C2002" s="47">
        <v>44210</v>
      </c>
      <c r="D2002" s="46">
        <v>123</v>
      </c>
      <c r="E2002" s="46">
        <v>1200</v>
      </c>
      <c r="F2002" s="46">
        <v>304159</v>
      </c>
      <c r="G2002" s="48" t="s">
        <v>152</v>
      </c>
      <c r="H2002" s="47">
        <v>44223</v>
      </c>
      <c r="I2002" s="46">
        <v>51401</v>
      </c>
      <c r="J2002" s="46">
        <v>1200</v>
      </c>
      <c r="K2002" s="47">
        <v>44210</v>
      </c>
      <c r="L2002" s="46">
        <v>10897</v>
      </c>
      <c r="M2002" s="46">
        <v>1200</v>
      </c>
    </row>
    <row r="2003" spans="2:13" ht="14.1" customHeight="1" x14ac:dyDescent="0.25">
      <c r="B2003" s="46" t="str">
        <f t="shared" si="31"/>
        <v>2101-124-206124</v>
      </c>
      <c r="C2003" s="47">
        <v>44211</v>
      </c>
      <c r="D2003" s="46">
        <v>124</v>
      </c>
      <c r="E2003" s="46">
        <v>1</v>
      </c>
      <c r="F2003" s="46">
        <v>206124</v>
      </c>
      <c r="G2003" s="48" t="s">
        <v>1536</v>
      </c>
      <c r="H2003" s="47">
        <v>44226</v>
      </c>
      <c r="I2003" s="46">
        <v>51441</v>
      </c>
      <c r="J2003" s="46">
        <v>1</v>
      </c>
      <c r="K2003" s="47">
        <v>44211</v>
      </c>
      <c r="L2003" s="46">
        <v>10900</v>
      </c>
      <c r="M2003" s="46">
        <v>1</v>
      </c>
    </row>
    <row r="2004" spans="2:13" ht="14.1" customHeight="1" x14ac:dyDescent="0.25">
      <c r="B2004" s="46" t="str">
        <f t="shared" si="31"/>
        <v>2101-125-307789</v>
      </c>
      <c r="C2004" s="47">
        <v>44211</v>
      </c>
      <c r="D2004" s="46">
        <v>125</v>
      </c>
      <c r="E2004" s="46">
        <v>4</v>
      </c>
      <c r="F2004" s="46">
        <v>307789</v>
      </c>
      <c r="G2004" s="48" t="s">
        <v>1445</v>
      </c>
      <c r="H2004" s="47">
        <v>44211</v>
      </c>
      <c r="I2004" s="46">
        <v>51215</v>
      </c>
      <c r="J2004" s="46">
        <v>4</v>
      </c>
      <c r="K2004" s="47">
        <v>44214</v>
      </c>
      <c r="L2004" s="46">
        <v>10933</v>
      </c>
      <c r="M2004" s="46">
        <v>4</v>
      </c>
    </row>
    <row r="2005" spans="2:13" ht="14.1" customHeight="1" x14ac:dyDescent="0.25">
      <c r="B2005" s="46" t="str">
        <f t="shared" si="31"/>
        <v>2101-125-306348</v>
      </c>
      <c r="C2005" s="47">
        <v>44211</v>
      </c>
      <c r="D2005" s="46">
        <v>125</v>
      </c>
      <c r="E2005" s="46">
        <v>3</v>
      </c>
      <c r="F2005" s="46">
        <v>306348</v>
      </c>
      <c r="G2005" s="48" t="s">
        <v>1444</v>
      </c>
      <c r="H2005" s="47">
        <v>44211</v>
      </c>
      <c r="I2005" s="46">
        <v>51213</v>
      </c>
      <c r="J2005" s="46">
        <v>3</v>
      </c>
      <c r="K2005" s="47">
        <v>44214</v>
      </c>
      <c r="L2005" s="46">
        <v>10932</v>
      </c>
      <c r="M2005" s="46">
        <v>3</v>
      </c>
    </row>
    <row r="2006" spans="2:13" ht="14.1" customHeight="1" x14ac:dyDescent="0.25">
      <c r="B2006" s="46" t="str">
        <f t="shared" si="31"/>
        <v>2101-126-106255</v>
      </c>
      <c r="C2006" s="47">
        <v>44211</v>
      </c>
      <c r="D2006" s="46">
        <v>126</v>
      </c>
      <c r="E2006" s="46">
        <v>40</v>
      </c>
      <c r="F2006" s="46">
        <v>106255</v>
      </c>
      <c r="G2006" s="48" t="s">
        <v>455</v>
      </c>
      <c r="H2006" s="47">
        <v>44218</v>
      </c>
      <c r="I2006" s="46">
        <v>51338</v>
      </c>
      <c r="J2006" s="46">
        <v>40</v>
      </c>
      <c r="K2006" s="47">
        <v>44222</v>
      </c>
      <c r="L2006" s="46">
        <v>11005</v>
      </c>
      <c r="M2006" s="46">
        <v>40</v>
      </c>
    </row>
    <row r="2007" spans="2:13" ht="14.1" customHeight="1" x14ac:dyDescent="0.25">
      <c r="B2007" s="46" t="str">
        <f t="shared" si="31"/>
        <v>2101-127-205332</v>
      </c>
      <c r="C2007" s="47">
        <v>44211</v>
      </c>
      <c r="D2007" s="46">
        <v>127</v>
      </c>
      <c r="E2007" s="46">
        <v>2</v>
      </c>
      <c r="F2007" s="46">
        <v>205332</v>
      </c>
      <c r="G2007" s="50" t="s">
        <v>1153</v>
      </c>
      <c r="H2007" s="47">
        <v>44236</v>
      </c>
      <c r="I2007" s="46">
        <v>51576</v>
      </c>
      <c r="J2007" s="46">
        <v>2</v>
      </c>
      <c r="K2007" s="47">
        <v>44249</v>
      </c>
      <c r="L2007" s="46">
        <v>11284</v>
      </c>
      <c r="M2007" s="46">
        <v>2</v>
      </c>
    </row>
    <row r="2008" spans="2:13" ht="14.1" customHeight="1" x14ac:dyDescent="0.25">
      <c r="B2008" s="46" t="str">
        <f t="shared" si="31"/>
        <v>2101-128-300501</v>
      </c>
      <c r="C2008" s="47">
        <v>44211</v>
      </c>
      <c r="D2008" s="46">
        <v>128</v>
      </c>
      <c r="E2008" s="46">
        <v>1</v>
      </c>
      <c r="F2008" s="46">
        <v>300501</v>
      </c>
      <c r="G2008" s="48" t="s">
        <v>1446</v>
      </c>
      <c r="H2008" s="47">
        <v>44232</v>
      </c>
      <c r="I2008" s="46">
        <v>51502</v>
      </c>
      <c r="J2008" s="46">
        <v>1</v>
      </c>
      <c r="K2008" s="47">
        <v>44237</v>
      </c>
      <c r="L2008" s="46">
        <v>11153</v>
      </c>
      <c r="M2008" s="46">
        <v>1</v>
      </c>
    </row>
    <row r="2009" spans="2:13" ht="14.1" customHeight="1" x14ac:dyDescent="0.25">
      <c r="B2009" s="46" t="str">
        <f t="shared" si="31"/>
        <v>2101-130-300460</v>
      </c>
      <c r="C2009" s="47">
        <v>44211</v>
      </c>
      <c r="D2009" s="46">
        <v>130</v>
      </c>
      <c r="E2009" s="46">
        <v>2</v>
      </c>
      <c r="F2009" s="46">
        <v>300460</v>
      </c>
      <c r="G2009" s="48" t="s">
        <v>600</v>
      </c>
      <c r="I2009" s="46">
        <v>0</v>
      </c>
      <c r="J2009" s="46">
        <v>0</v>
      </c>
      <c r="L2009" s="46">
        <v>0</v>
      </c>
      <c r="M2009" s="46">
        <v>0</v>
      </c>
    </row>
    <row r="2010" spans="2:13" ht="14.1" customHeight="1" x14ac:dyDescent="0.25">
      <c r="B2010" s="46" t="str">
        <f t="shared" si="31"/>
        <v>2101-130-300460</v>
      </c>
      <c r="C2010" s="47">
        <v>44211</v>
      </c>
      <c r="D2010" s="46">
        <v>130</v>
      </c>
      <c r="E2010" s="46">
        <v>1</v>
      </c>
      <c r="F2010" s="46">
        <v>300460</v>
      </c>
      <c r="G2010" s="48" t="s">
        <v>600</v>
      </c>
      <c r="H2010" s="47">
        <v>44217</v>
      </c>
      <c r="I2010" s="46">
        <v>51301</v>
      </c>
      <c r="J2010" s="46">
        <v>1</v>
      </c>
      <c r="K2010" s="47">
        <v>44223</v>
      </c>
      <c r="L2010" s="46">
        <v>11022</v>
      </c>
      <c r="M2010" s="46">
        <v>1</v>
      </c>
    </row>
    <row r="2011" spans="2:13" ht="14.1" customHeight="1" x14ac:dyDescent="0.25">
      <c r="B2011" s="46" t="str">
        <f t="shared" si="31"/>
        <v>2101-131-311373</v>
      </c>
      <c r="C2011" s="47">
        <v>44211</v>
      </c>
      <c r="D2011" s="46">
        <v>131</v>
      </c>
      <c r="E2011" s="46">
        <v>1</v>
      </c>
      <c r="F2011" s="46">
        <v>311373</v>
      </c>
      <c r="G2011" s="48" t="s">
        <v>252</v>
      </c>
      <c r="I2011" s="46">
        <v>0</v>
      </c>
      <c r="J2011" s="46">
        <v>0</v>
      </c>
      <c r="L2011" s="46">
        <v>0</v>
      </c>
      <c r="M2011" s="46">
        <v>0</v>
      </c>
    </row>
    <row r="2012" spans="2:13" ht="14.1" customHeight="1" x14ac:dyDescent="0.25">
      <c r="B2012" s="46" t="str">
        <f t="shared" si="31"/>
        <v>2101-131-320638</v>
      </c>
      <c r="C2012" s="47">
        <v>44211</v>
      </c>
      <c r="D2012" s="46">
        <v>131</v>
      </c>
      <c r="E2012" s="46">
        <v>2</v>
      </c>
      <c r="F2012" s="46">
        <v>320638</v>
      </c>
      <c r="G2012" s="48" t="s">
        <v>1409</v>
      </c>
      <c r="I2012" s="46">
        <v>0</v>
      </c>
      <c r="J2012" s="46">
        <v>0</v>
      </c>
      <c r="L2012" s="46">
        <v>0</v>
      </c>
      <c r="M2012" s="46">
        <v>0</v>
      </c>
    </row>
    <row r="2013" spans="2:13" ht="14.1" customHeight="1" x14ac:dyDescent="0.25">
      <c r="B2013" s="46" t="str">
        <f t="shared" si="31"/>
        <v>2101-132-201515</v>
      </c>
      <c r="C2013" s="47">
        <v>44211</v>
      </c>
      <c r="D2013" s="46">
        <v>132</v>
      </c>
      <c r="E2013" s="46">
        <v>24</v>
      </c>
      <c r="F2013" s="46">
        <v>201515</v>
      </c>
      <c r="G2013" s="48" t="s">
        <v>1447</v>
      </c>
      <c r="H2013" s="47">
        <v>44230</v>
      </c>
      <c r="I2013" s="46">
        <v>51466</v>
      </c>
      <c r="J2013" s="46">
        <v>24</v>
      </c>
      <c r="K2013" s="47">
        <v>44252</v>
      </c>
      <c r="L2013" s="46">
        <v>11336</v>
      </c>
      <c r="M2013" s="46">
        <v>24</v>
      </c>
    </row>
    <row r="2014" spans="2:13" ht="14.1" customHeight="1" x14ac:dyDescent="0.25">
      <c r="B2014" s="46" t="str">
        <f t="shared" si="31"/>
        <v>2101-133-300314</v>
      </c>
      <c r="C2014" s="47">
        <v>44211</v>
      </c>
      <c r="D2014" s="46">
        <v>133</v>
      </c>
      <c r="E2014" s="46">
        <v>2</v>
      </c>
      <c r="F2014" s="46">
        <v>300314</v>
      </c>
      <c r="G2014" s="48" t="s">
        <v>1448</v>
      </c>
      <c r="H2014" s="47">
        <v>44237</v>
      </c>
      <c r="I2014" s="46">
        <v>51608</v>
      </c>
      <c r="J2014" s="46">
        <v>2</v>
      </c>
      <c r="K2014" s="47">
        <v>44246</v>
      </c>
      <c r="L2014" s="46">
        <v>11265</v>
      </c>
      <c r="M2014" s="46">
        <v>2</v>
      </c>
    </row>
    <row r="2015" spans="2:13" ht="14.1" customHeight="1" x14ac:dyDescent="0.25">
      <c r="B2015" s="46" t="str">
        <f t="shared" si="31"/>
        <v>2101-134-320672</v>
      </c>
      <c r="C2015" s="47">
        <v>44211</v>
      </c>
      <c r="D2015" s="46">
        <v>134</v>
      </c>
      <c r="E2015" s="46">
        <v>2</v>
      </c>
      <c r="F2015" s="46">
        <v>320672</v>
      </c>
      <c r="G2015" s="48" t="s">
        <v>1449</v>
      </c>
      <c r="H2015" s="47">
        <v>44223</v>
      </c>
      <c r="I2015" s="46">
        <v>51409</v>
      </c>
      <c r="J2015" s="46">
        <v>2</v>
      </c>
      <c r="K2015" s="47">
        <v>44229</v>
      </c>
      <c r="L2015" s="46">
        <v>11060</v>
      </c>
      <c r="M2015" s="46">
        <v>2</v>
      </c>
    </row>
    <row r="2016" spans="2:13" ht="14.1" customHeight="1" x14ac:dyDescent="0.25">
      <c r="B2016" s="46" t="str">
        <f t="shared" si="31"/>
        <v>2101-135-320671</v>
      </c>
      <c r="C2016" s="47">
        <v>44211</v>
      </c>
      <c r="D2016" s="46">
        <v>135</v>
      </c>
      <c r="E2016" s="46">
        <v>160</v>
      </c>
      <c r="F2016" s="46">
        <v>320671</v>
      </c>
      <c r="G2016" s="48" t="s">
        <v>1485</v>
      </c>
      <c r="H2016" s="47">
        <v>44222</v>
      </c>
      <c r="I2016" s="46">
        <v>51380</v>
      </c>
      <c r="J2016" s="46">
        <v>160</v>
      </c>
      <c r="K2016" s="47">
        <v>44211</v>
      </c>
      <c r="L2016" s="46">
        <v>10913</v>
      </c>
      <c r="M2016" s="46">
        <v>160</v>
      </c>
    </row>
    <row r="2017" spans="2:13" ht="14.1" customHeight="1" x14ac:dyDescent="0.25">
      <c r="B2017" s="46" t="str">
        <f t="shared" si="31"/>
        <v>2101-136-203678</v>
      </c>
      <c r="C2017" s="47">
        <v>44211</v>
      </c>
      <c r="D2017" s="46">
        <v>136</v>
      </c>
      <c r="E2017" s="46">
        <v>66</v>
      </c>
      <c r="F2017" s="46">
        <v>203678</v>
      </c>
      <c r="G2017" s="48" t="s">
        <v>1537</v>
      </c>
      <c r="H2017" s="47">
        <v>44226</v>
      </c>
      <c r="I2017" s="46">
        <v>51437</v>
      </c>
      <c r="J2017" s="46">
        <v>66</v>
      </c>
      <c r="K2017" s="47">
        <v>44211</v>
      </c>
      <c r="L2017" s="46">
        <v>10914</v>
      </c>
      <c r="M2017" s="46">
        <v>66</v>
      </c>
    </row>
    <row r="2018" spans="2:13" ht="14.1" customHeight="1" x14ac:dyDescent="0.25">
      <c r="B2018" s="46" t="str">
        <f t="shared" si="31"/>
        <v>2101-136-320668</v>
      </c>
      <c r="C2018" s="47">
        <v>44211</v>
      </c>
      <c r="D2018" s="46">
        <v>136</v>
      </c>
      <c r="E2018" s="46">
        <v>1</v>
      </c>
      <c r="F2018" s="46">
        <v>320668</v>
      </c>
      <c r="G2018" s="48" t="s">
        <v>1539</v>
      </c>
      <c r="H2018" s="47">
        <v>44226</v>
      </c>
      <c r="I2018" s="46">
        <v>51437</v>
      </c>
      <c r="J2018" s="46">
        <v>1</v>
      </c>
      <c r="K2018" s="47">
        <v>44211</v>
      </c>
      <c r="L2018" s="46">
        <v>10914</v>
      </c>
      <c r="M2018" s="46">
        <v>1</v>
      </c>
    </row>
    <row r="2019" spans="2:13" ht="14.1" customHeight="1" x14ac:dyDescent="0.25">
      <c r="B2019" s="46" t="str">
        <f t="shared" si="31"/>
        <v>2101-136-320669</v>
      </c>
      <c r="C2019" s="47">
        <v>44211</v>
      </c>
      <c r="D2019" s="46">
        <v>136</v>
      </c>
      <c r="E2019" s="46">
        <v>1</v>
      </c>
      <c r="F2019" s="46">
        <v>320669</v>
      </c>
      <c r="G2019" s="48" t="s">
        <v>1538</v>
      </c>
      <c r="H2019" s="47">
        <v>44226</v>
      </c>
      <c r="I2019" s="46">
        <v>51437</v>
      </c>
      <c r="J2019" s="46">
        <v>1</v>
      </c>
      <c r="K2019" s="47">
        <v>44211</v>
      </c>
      <c r="L2019" s="46">
        <v>10914</v>
      </c>
      <c r="M2019" s="46">
        <v>1</v>
      </c>
    </row>
    <row r="2020" spans="2:13" ht="14.1" customHeight="1" x14ac:dyDescent="0.25">
      <c r="B2020" s="46" t="str">
        <f t="shared" si="31"/>
        <v>2101-137-320667</v>
      </c>
      <c r="C2020" s="47">
        <v>44211</v>
      </c>
      <c r="D2020" s="46">
        <v>137</v>
      </c>
      <c r="E2020" s="46">
        <v>1</v>
      </c>
      <c r="F2020" s="46">
        <v>320667</v>
      </c>
      <c r="G2020" s="48" t="s">
        <v>1508</v>
      </c>
      <c r="H2020" s="47">
        <v>44224</v>
      </c>
      <c r="I2020" s="46">
        <v>51425</v>
      </c>
      <c r="J2020" s="46">
        <v>1</v>
      </c>
      <c r="K2020" s="47">
        <v>44211</v>
      </c>
      <c r="L2020" s="46">
        <v>10915</v>
      </c>
      <c r="M2020" s="46">
        <v>1</v>
      </c>
    </row>
    <row r="2021" spans="2:13" ht="14.1" customHeight="1" x14ac:dyDescent="0.25">
      <c r="B2021" s="46" t="str">
        <f t="shared" si="31"/>
        <v>2101-138-320670</v>
      </c>
      <c r="C2021" s="47">
        <v>44211</v>
      </c>
      <c r="D2021" s="46">
        <v>138</v>
      </c>
      <c r="E2021" s="46">
        <v>1</v>
      </c>
      <c r="F2021" s="46">
        <v>320670</v>
      </c>
      <c r="G2021" s="48" t="s">
        <v>1540</v>
      </c>
      <c r="H2021" s="47">
        <v>44226</v>
      </c>
      <c r="I2021" s="46">
        <v>51438</v>
      </c>
      <c r="J2021" s="46">
        <v>1</v>
      </c>
      <c r="K2021" s="47">
        <v>44211</v>
      </c>
      <c r="L2021" s="46">
        <v>10916</v>
      </c>
      <c r="M2021" s="46">
        <v>1</v>
      </c>
    </row>
    <row r="2022" spans="2:13" ht="14.1" customHeight="1" x14ac:dyDescent="0.25">
      <c r="B2022" s="46" t="str">
        <f t="shared" si="31"/>
        <v>2101-154-303872</v>
      </c>
      <c r="C2022" s="47">
        <v>44214</v>
      </c>
      <c r="D2022" s="46">
        <v>154</v>
      </c>
      <c r="E2022" s="46">
        <v>10</v>
      </c>
      <c r="F2022" s="46">
        <v>303872</v>
      </c>
      <c r="G2022" s="48" t="s">
        <v>115</v>
      </c>
      <c r="H2022" s="47">
        <v>44223</v>
      </c>
      <c r="I2022" s="46">
        <v>51397</v>
      </c>
      <c r="J2022" s="46">
        <v>10</v>
      </c>
      <c r="K2022" s="47">
        <v>44249</v>
      </c>
      <c r="L2022" s="46">
        <v>11279</v>
      </c>
      <c r="M2022" s="46">
        <v>10</v>
      </c>
    </row>
    <row r="2023" spans="2:13" ht="14.1" customHeight="1" x14ac:dyDescent="0.25">
      <c r="B2023" s="46" t="str">
        <f t="shared" si="31"/>
        <v>2101-154-310416</v>
      </c>
      <c r="C2023" s="47">
        <v>44214</v>
      </c>
      <c r="D2023" s="46">
        <v>154</v>
      </c>
      <c r="E2023" s="46">
        <v>30</v>
      </c>
      <c r="F2023" s="46">
        <v>310416</v>
      </c>
      <c r="G2023" s="48" t="s">
        <v>240</v>
      </c>
      <c r="H2023" s="47">
        <v>44231</v>
      </c>
      <c r="I2023" s="46">
        <v>51476</v>
      </c>
      <c r="J2023" s="46">
        <v>30</v>
      </c>
      <c r="K2023" s="47">
        <v>44239</v>
      </c>
      <c r="L2023" s="46">
        <v>11182</v>
      </c>
      <c r="M2023" s="46">
        <v>30</v>
      </c>
    </row>
    <row r="2024" spans="2:13" ht="14.1" customHeight="1" x14ac:dyDescent="0.25">
      <c r="B2024" s="46" t="str">
        <f t="shared" si="31"/>
        <v>2101-154-106121</v>
      </c>
      <c r="C2024" s="47">
        <v>44214</v>
      </c>
      <c r="D2024" s="46">
        <v>154</v>
      </c>
      <c r="E2024" s="46">
        <v>10</v>
      </c>
      <c r="F2024" s="46">
        <v>106121</v>
      </c>
      <c r="G2024" s="48" t="s">
        <v>401</v>
      </c>
      <c r="H2024" s="47">
        <v>44231</v>
      </c>
      <c r="I2024" s="46">
        <v>51476</v>
      </c>
      <c r="J2024" s="46">
        <v>10</v>
      </c>
      <c r="K2024" s="47">
        <v>44239</v>
      </c>
      <c r="L2024" s="46">
        <v>11182</v>
      </c>
      <c r="M2024" s="46">
        <v>10</v>
      </c>
    </row>
    <row r="2025" spans="2:13" ht="14.1" customHeight="1" x14ac:dyDescent="0.25">
      <c r="B2025" s="46" t="str">
        <f t="shared" si="31"/>
        <v>2101-154-201460</v>
      </c>
      <c r="C2025" s="47">
        <v>44214</v>
      </c>
      <c r="D2025" s="46">
        <v>154</v>
      </c>
      <c r="E2025" s="46">
        <v>30</v>
      </c>
      <c r="F2025" s="46">
        <v>201460</v>
      </c>
      <c r="G2025" s="48" t="s">
        <v>298</v>
      </c>
      <c r="H2025" s="47">
        <v>44231</v>
      </c>
      <c r="I2025" s="46">
        <v>51476</v>
      </c>
      <c r="J2025" s="46">
        <v>30</v>
      </c>
      <c r="K2025" s="47">
        <v>44239</v>
      </c>
      <c r="L2025" s="46">
        <v>11182</v>
      </c>
      <c r="M2025" s="46">
        <v>30</v>
      </c>
    </row>
    <row r="2026" spans="2:13" ht="14.1" customHeight="1" x14ac:dyDescent="0.25">
      <c r="B2026" s="46" t="str">
        <f t="shared" si="31"/>
        <v>2101-154-303870</v>
      </c>
      <c r="C2026" s="47">
        <v>44214</v>
      </c>
      <c r="D2026" s="46">
        <v>154</v>
      </c>
      <c r="E2026" s="46">
        <v>10</v>
      </c>
      <c r="F2026" s="46">
        <v>303870</v>
      </c>
      <c r="G2026" s="48" t="s">
        <v>239</v>
      </c>
      <c r="H2026" s="47">
        <v>44223</v>
      </c>
      <c r="I2026" s="46">
        <v>51397</v>
      </c>
      <c r="J2026" s="46">
        <v>10</v>
      </c>
      <c r="K2026" s="47">
        <v>44249</v>
      </c>
      <c r="L2026" s="46">
        <v>11279</v>
      </c>
      <c r="M2026" s="46">
        <v>10</v>
      </c>
    </row>
    <row r="2027" spans="2:13" ht="14.1" customHeight="1" x14ac:dyDescent="0.25">
      <c r="B2027" s="46" t="str">
        <f t="shared" si="31"/>
        <v>2101-154-303868</v>
      </c>
      <c r="C2027" s="47">
        <v>44214</v>
      </c>
      <c r="D2027" s="46">
        <v>154</v>
      </c>
      <c r="E2027" s="46">
        <v>10</v>
      </c>
      <c r="F2027" s="46">
        <v>303868</v>
      </c>
      <c r="G2027" s="48" t="s">
        <v>238</v>
      </c>
      <c r="H2027" s="47">
        <v>44223</v>
      </c>
      <c r="I2027" s="46">
        <v>51397</v>
      </c>
      <c r="J2027" s="46">
        <v>10</v>
      </c>
      <c r="K2027" s="47">
        <v>44249</v>
      </c>
      <c r="L2027" s="46">
        <v>11279</v>
      </c>
      <c r="M2027" s="46">
        <v>10</v>
      </c>
    </row>
    <row r="2028" spans="2:13" ht="14.1" customHeight="1" x14ac:dyDescent="0.25">
      <c r="B2028" s="46" t="str">
        <f t="shared" si="31"/>
        <v>2101-154-205175</v>
      </c>
      <c r="C2028" s="47">
        <v>44214</v>
      </c>
      <c r="D2028" s="46">
        <v>154</v>
      </c>
      <c r="E2028" s="46">
        <v>40</v>
      </c>
      <c r="F2028" s="46">
        <v>205175</v>
      </c>
      <c r="G2028" s="48" t="s">
        <v>208</v>
      </c>
      <c r="H2028" s="47">
        <v>44231</v>
      </c>
      <c r="I2028" s="46">
        <v>51476</v>
      </c>
      <c r="J2028" s="46">
        <v>40</v>
      </c>
      <c r="K2028" s="47">
        <v>44239</v>
      </c>
      <c r="L2028" s="46">
        <v>11182</v>
      </c>
      <c r="M2028" s="46">
        <v>40</v>
      </c>
    </row>
    <row r="2029" spans="2:13" ht="14.1" customHeight="1" x14ac:dyDescent="0.25">
      <c r="B2029" s="46" t="str">
        <f t="shared" si="31"/>
        <v>2101-155-200751</v>
      </c>
      <c r="C2029" s="47">
        <v>44214</v>
      </c>
      <c r="D2029" s="46">
        <v>155</v>
      </c>
      <c r="E2029" s="46">
        <v>20000</v>
      </c>
      <c r="F2029" s="46">
        <v>200751</v>
      </c>
      <c r="G2029" s="48" t="s">
        <v>151</v>
      </c>
      <c r="H2029" s="47">
        <v>44217</v>
      </c>
      <c r="I2029" s="46">
        <v>51289</v>
      </c>
      <c r="J2029" s="46">
        <v>10000</v>
      </c>
      <c r="K2029" s="47">
        <v>44216</v>
      </c>
      <c r="L2029" s="46">
        <v>10957</v>
      </c>
      <c r="M2029" s="46">
        <v>10000</v>
      </c>
    </row>
    <row r="2030" spans="2:13" ht="14.1" customHeight="1" x14ac:dyDescent="0.25">
      <c r="B2030" s="46" t="str">
        <f t="shared" si="31"/>
        <v>2101-155-200751</v>
      </c>
      <c r="C2030" s="47">
        <v>44214</v>
      </c>
      <c r="D2030" s="46">
        <v>155</v>
      </c>
      <c r="E2030" s="46">
        <v>20000</v>
      </c>
      <c r="F2030" s="46">
        <v>200751</v>
      </c>
      <c r="G2030" s="48" t="s">
        <v>151</v>
      </c>
      <c r="H2030" s="47">
        <v>44217</v>
      </c>
      <c r="I2030" s="46">
        <v>51289</v>
      </c>
      <c r="J2030" s="46">
        <v>10000</v>
      </c>
      <c r="K2030" s="47">
        <v>44217</v>
      </c>
      <c r="L2030" s="46">
        <v>10971</v>
      </c>
      <c r="M2030" s="46">
        <v>10000</v>
      </c>
    </row>
    <row r="2031" spans="2:13" ht="14.1" customHeight="1" x14ac:dyDescent="0.25">
      <c r="B2031" s="46" t="str">
        <f t="shared" si="31"/>
        <v>2101-155-200751</v>
      </c>
      <c r="C2031" s="47">
        <v>44214</v>
      </c>
      <c r="D2031" s="46">
        <v>155</v>
      </c>
      <c r="E2031" s="46">
        <v>20000</v>
      </c>
      <c r="F2031" s="46">
        <v>200751</v>
      </c>
      <c r="G2031" s="48" t="s">
        <v>151</v>
      </c>
      <c r="H2031" s="47">
        <v>44217</v>
      </c>
      <c r="I2031" s="46">
        <v>51313</v>
      </c>
      <c r="J2031" s="46">
        <v>10000</v>
      </c>
      <c r="K2031" s="47">
        <v>44216</v>
      </c>
      <c r="L2031" s="46">
        <v>10957</v>
      </c>
      <c r="M2031" s="46">
        <v>10000</v>
      </c>
    </row>
    <row r="2032" spans="2:13" ht="14.1" customHeight="1" x14ac:dyDescent="0.25">
      <c r="B2032" s="46" t="str">
        <f t="shared" si="31"/>
        <v>2101-155-200751</v>
      </c>
      <c r="C2032" s="47">
        <v>44214</v>
      </c>
      <c r="D2032" s="46">
        <v>155</v>
      </c>
      <c r="E2032" s="46">
        <v>20000</v>
      </c>
      <c r="F2032" s="46">
        <v>200751</v>
      </c>
      <c r="G2032" s="50" t="s">
        <v>151</v>
      </c>
      <c r="H2032" s="47">
        <v>44217</v>
      </c>
      <c r="I2032" s="46">
        <v>51313</v>
      </c>
      <c r="J2032" s="46">
        <v>10000</v>
      </c>
      <c r="K2032" s="47">
        <v>44217</v>
      </c>
      <c r="L2032" s="46">
        <v>10971</v>
      </c>
      <c r="M2032" s="46">
        <v>10000</v>
      </c>
    </row>
    <row r="2033" spans="2:13" ht="14.1" customHeight="1" x14ac:dyDescent="0.25">
      <c r="B2033" s="46" t="str">
        <f t="shared" si="31"/>
        <v>2101-156-307550</v>
      </c>
      <c r="C2033" s="47">
        <v>44214</v>
      </c>
      <c r="D2033" s="46">
        <v>156</v>
      </c>
      <c r="E2033" s="46">
        <v>1</v>
      </c>
      <c r="F2033" s="46">
        <v>307550</v>
      </c>
      <c r="G2033" s="48" t="s">
        <v>1453</v>
      </c>
      <c r="H2033" s="47">
        <v>44265</v>
      </c>
      <c r="I2033" s="46">
        <v>52047</v>
      </c>
      <c r="J2033" s="46">
        <v>1</v>
      </c>
      <c r="K2033" s="47">
        <v>44278</v>
      </c>
      <c r="L2033" s="46">
        <v>11608</v>
      </c>
      <c r="M2033" s="46">
        <v>1</v>
      </c>
    </row>
    <row r="2034" spans="2:13" ht="14.1" customHeight="1" x14ac:dyDescent="0.25">
      <c r="B2034" s="46" t="str">
        <f t="shared" si="31"/>
        <v>2101-163-313822</v>
      </c>
      <c r="C2034" s="47">
        <v>44215</v>
      </c>
      <c r="D2034" s="46">
        <v>163</v>
      </c>
      <c r="E2034" s="46">
        <v>30</v>
      </c>
      <c r="F2034" s="46">
        <v>313822</v>
      </c>
      <c r="G2034" s="48" t="s">
        <v>1454</v>
      </c>
      <c r="H2034" s="47">
        <v>44217</v>
      </c>
      <c r="I2034" s="46">
        <v>51300</v>
      </c>
      <c r="J2034" s="46">
        <v>30</v>
      </c>
      <c r="K2034" s="47">
        <v>44221</v>
      </c>
      <c r="L2034" s="46">
        <v>10988</v>
      </c>
      <c r="M2034" s="46">
        <v>30</v>
      </c>
    </row>
    <row r="2035" spans="2:13" ht="14.1" customHeight="1" x14ac:dyDescent="0.25">
      <c r="B2035" s="46" t="str">
        <f t="shared" si="31"/>
        <v>2101-164-308888</v>
      </c>
      <c r="C2035" s="47">
        <v>44215</v>
      </c>
      <c r="D2035" s="46">
        <v>164</v>
      </c>
      <c r="E2035" s="46">
        <v>8</v>
      </c>
      <c r="F2035" s="46">
        <v>308888</v>
      </c>
      <c r="G2035" s="48" t="s">
        <v>318</v>
      </c>
      <c r="H2035" s="47">
        <v>44223</v>
      </c>
      <c r="I2035" s="46">
        <v>51387</v>
      </c>
      <c r="J2035" s="46">
        <v>8</v>
      </c>
      <c r="K2035" s="47">
        <v>44224</v>
      </c>
      <c r="L2035" s="46">
        <v>11035</v>
      </c>
      <c r="M2035" s="46">
        <v>8</v>
      </c>
    </row>
    <row r="2036" spans="2:13" ht="14.1" customHeight="1" x14ac:dyDescent="0.25">
      <c r="B2036" s="46" t="str">
        <f t="shared" si="31"/>
        <v>2101-164-302078</v>
      </c>
      <c r="C2036" s="47">
        <v>44215</v>
      </c>
      <c r="D2036" s="46">
        <v>164</v>
      </c>
      <c r="E2036" s="46">
        <v>6</v>
      </c>
      <c r="F2036" s="46">
        <v>302078</v>
      </c>
      <c r="G2036" s="48" t="s">
        <v>635</v>
      </c>
      <c r="H2036" s="47">
        <v>44224</v>
      </c>
      <c r="I2036" s="46">
        <v>51431</v>
      </c>
      <c r="J2036" s="46">
        <v>6</v>
      </c>
      <c r="K2036" s="47">
        <v>44229</v>
      </c>
      <c r="L2036" s="46">
        <v>11062</v>
      </c>
      <c r="M2036" s="46">
        <v>6</v>
      </c>
    </row>
    <row r="2037" spans="2:13" ht="14.1" customHeight="1" x14ac:dyDescent="0.25">
      <c r="B2037" s="46" t="str">
        <f t="shared" si="31"/>
        <v>2101-164-308887</v>
      </c>
      <c r="C2037" s="47">
        <v>44215</v>
      </c>
      <c r="D2037" s="46">
        <v>164</v>
      </c>
      <c r="E2037" s="46">
        <v>3</v>
      </c>
      <c r="F2037" s="46">
        <v>308887</v>
      </c>
      <c r="G2037" s="48" t="s">
        <v>360</v>
      </c>
      <c r="H2037" s="47">
        <v>44223</v>
      </c>
      <c r="I2037" s="46">
        <v>51387</v>
      </c>
      <c r="J2037" s="46">
        <v>3</v>
      </c>
      <c r="K2037" s="47">
        <v>44224</v>
      </c>
      <c r="L2037" s="46">
        <v>11035</v>
      </c>
      <c r="M2037" s="46">
        <v>3</v>
      </c>
    </row>
    <row r="2038" spans="2:13" ht="14.1" customHeight="1" x14ac:dyDescent="0.25">
      <c r="B2038" s="46" t="str">
        <f t="shared" si="31"/>
        <v>2101-164-301161</v>
      </c>
      <c r="C2038" s="47">
        <v>44215</v>
      </c>
      <c r="D2038" s="46">
        <v>164</v>
      </c>
      <c r="E2038" s="46">
        <v>2</v>
      </c>
      <c r="F2038" s="46">
        <v>301161</v>
      </c>
      <c r="G2038" s="48" t="s">
        <v>1456</v>
      </c>
      <c r="I2038" s="46">
        <v>0</v>
      </c>
      <c r="J2038" s="46">
        <v>0</v>
      </c>
      <c r="L2038" s="46">
        <v>0</v>
      </c>
      <c r="M2038" s="46">
        <v>0</v>
      </c>
    </row>
    <row r="2039" spans="2:13" ht="14.1" customHeight="1" x14ac:dyDescent="0.25">
      <c r="B2039" s="46" t="str">
        <f t="shared" si="31"/>
        <v>2101-164-309193</v>
      </c>
      <c r="C2039" s="47">
        <v>44215</v>
      </c>
      <c r="D2039" s="46">
        <v>164</v>
      </c>
      <c r="E2039" s="46">
        <v>1</v>
      </c>
      <c r="F2039" s="46">
        <v>309193</v>
      </c>
      <c r="G2039" s="48" t="s">
        <v>1455</v>
      </c>
      <c r="H2039" s="47">
        <v>44223</v>
      </c>
      <c r="I2039" s="46">
        <v>51387</v>
      </c>
      <c r="J2039" s="46">
        <v>1</v>
      </c>
      <c r="K2039" s="47">
        <v>44232</v>
      </c>
      <c r="L2039" s="46">
        <v>11116</v>
      </c>
      <c r="M2039" s="46">
        <v>1</v>
      </c>
    </row>
    <row r="2040" spans="2:13" ht="14.1" customHeight="1" x14ac:dyDescent="0.25">
      <c r="B2040" s="46" t="str">
        <f t="shared" si="31"/>
        <v>2101-165-313814</v>
      </c>
      <c r="C2040" s="47">
        <v>44215</v>
      </c>
      <c r="D2040" s="46">
        <v>165</v>
      </c>
      <c r="E2040" s="46">
        <v>2</v>
      </c>
      <c r="F2040" s="46">
        <v>313814</v>
      </c>
      <c r="G2040" s="48" t="s">
        <v>224</v>
      </c>
      <c r="H2040" s="47">
        <v>44216</v>
      </c>
      <c r="I2040" s="46">
        <v>51304</v>
      </c>
      <c r="J2040" s="46">
        <v>2</v>
      </c>
      <c r="K2040" s="47">
        <v>44215</v>
      </c>
      <c r="L2040" s="46">
        <v>10952</v>
      </c>
      <c r="M2040" s="46">
        <v>2</v>
      </c>
    </row>
    <row r="2041" spans="2:13" ht="14.1" customHeight="1" x14ac:dyDescent="0.25">
      <c r="B2041" s="46" t="str">
        <f t="shared" si="31"/>
        <v>2101-165-303716</v>
      </c>
      <c r="C2041" s="47">
        <v>44215</v>
      </c>
      <c r="D2041" s="46">
        <v>165</v>
      </c>
      <c r="E2041" s="46">
        <v>2</v>
      </c>
      <c r="F2041" s="46">
        <v>303716</v>
      </c>
      <c r="G2041" s="48" t="s">
        <v>35</v>
      </c>
      <c r="H2041" s="47">
        <v>44216</v>
      </c>
      <c r="I2041" s="46">
        <v>51304</v>
      </c>
      <c r="J2041" s="46">
        <v>2</v>
      </c>
      <c r="K2041" s="47">
        <v>44215</v>
      </c>
      <c r="L2041" s="46">
        <v>10952</v>
      </c>
      <c r="M2041" s="46">
        <v>2</v>
      </c>
    </row>
    <row r="2042" spans="2:13" ht="14.1" customHeight="1" x14ac:dyDescent="0.25">
      <c r="B2042" s="46" t="str">
        <f t="shared" si="31"/>
        <v>2101-166-107105</v>
      </c>
      <c r="C2042" s="47">
        <v>44215</v>
      </c>
      <c r="D2042" s="46">
        <v>166</v>
      </c>
      <c r="E2042" s="46">
        <v>150</v>
      </c>
      <c r="F2042" s="46">
        <v>107105</v>
      </c>
      <c r="G2042" s="48" t="s">
        <v>215</v>
      </c>
      <c r="H2042" s="47">
        <v>44223</v>
      </c>
      <c r="I2042" s="46">
        <v>51400</v>
      </c>
      <c r="J2042" s="46">
        <v>150</v>
      </c>
      <c r="K2042" s="47">
        <v>44229</v>
      </c>
      <c r="L2042" s="46">
        <v>11056</v>
      </c>
      <c r="M2042" s="46">
        <v>150</v>
      </c>
    </row>
    <row r="2043" spans="2:13" ht="14.1" customHeight="1" x14ac:dyDescent="0.25">
      <c r="B2043" s="46" t="str">
        <f t="shared" si="31"/>
        <v>2101-166-204518</v>
      </c>
      <c r="C2043" s="47">
        <v>44215</v>
      </c>
      <c r="D2043" s="46">
        <v>166</v>
      </c>
      <c r="E2043" s="46">
        <v>60</v>
      </c>
      <c r="F2043" s="46">
        <v>204518</v>
      </c>
      <c r="G2043" s="48" t="s">
        <v>216</v>
      </c>
      <c r="H2043" s="47">
        <v>44223</v>
      </c>
      <c r="I2043" s="46">
        <v>51400</v>
      </c>
      <c r="J2043" s="46">
        <v>60</v>
      </c>
      <c r="K2043" s="47">
        <v>44229</v>
      </c>
      <c r="L2043" s="46">
        <v>11056</v>
      </c>
      <c r="M2043" s="46">
        <v>60</v>
      </c>
    </row>
    <row r="2044" spans="2:13" ht="14.1" customHeight="1" x14ac:dyDescent="0.25">
      <c r="B2044" s="46" t="str">
        <f t="shared" si="31"/>
        <v>2101-166-305492</v>
      </c>
      <c r="C2044" s="47">
        <v>44215</v>
      </c>
      <c r="D2044" s="46">
        <v>166</v>
      </c>
      <c r="E2044" s="46">
        <v>20</v>
      </c>
      <c r="F2044" s="46">
        <v>305492</v>
      </c>
      <c r="G2044" s="48" t="s">
        <v>214</v>
      </c>
      <c r="H2044" s="47">
        <v>44223</v>
      </c>
      <c r="I2044" s="46">
        <v>51400</v>
      </c>
      <c r="J2044" s="46">
        <v>20</v>
      </c>
      <c r="K2044" s="47">
        <v>44229</v>
      </c>
      <c r="L2044" s="46">
        <v>11056</v>
      </c>
      <c r="M2044" s="46">
        <v>20</v>
      </c>
    </row>
    <row r="2045" spans="2:13" ht="14.1" customHeight="1" x14ac:dyDescent="0.25">
      <c r="B2045" s="46" t="str">
        <f t="shared" si="31"/>
        <v>2101-166-200225</v>
      </c>
      <c r="C2045" s="47">
        <v>44215</v>
      </c>
      <c r="D2045" s="46">
        <v>166</v>
      </c>
      <c r="E2045" s="46">
        <v>10</v>
      </c>
      <c r="F2045" s="46">
        <v>200225</v>
      </c>
      <c r="G2045" s="48" t="s">
        <v>1457</v>
      </c>
      <c r="H2045" s="47">
        <v>44223</v>
      </c>
      <c r="I2045" s="46">
        <v>51400</v>
      </c>
      <c r="J2045" s="46">
        <v>10</v>
      </c>
      <c r="K2045" s="47">
        <v>44229</v>
      </c>
      <c r="L2045" s="46">
        <v>11056</v>
      </c>
      <c r="M2045" s="46">
        <v>10</v>
      </c>
    </row>
    <row r="2046" spans="2:13" ht="14.1" customHeight="1" x14ac:dyDescent="0.25">
      <c r="B2046" s="46" t="str">
        <f t="shared" si="31"/>
        <v>2101-166-311838</v>
      </c>
      <c r="C2046" s="47">
        <v>44215</v>
      </c>
      <c r="D2046" s="46">
        <v>166</v>
      </c>
      <c r="E2046" s="46">
        <v>10</v>
      </c>
      <c r="F2046" s="46">
        <v>311838</v>
      </c>
      <c r="G2046" s="48" t="s">
        <v>1458</v>
      </c>
      <c r="H2046" s="47">
        <v>44223</v>
      </c>
      <c r="I2046" s="46">
        <v>51400</v>
      </c>
      <c r="J2046" s="46">
        <v>10</v>
      </c>
      <c r="K2046" s="47">
        <v>44229</v>
      </c>
      <c r="L2046" s="46">
        <v>11056</v>
      </c>
      <c r="M2046" s="46">
        <v>10</v>
      </c>
    </row>
    <row r="2047" spans="2:13" ht="14.1" customHeight="1" x14ac:dyDescent="0.25">
      <c r="B2047" s="46" t="str">
        <f t="shared" si="31"/>
        <v>2101-166-107280</v>
      </c>
      <c r="C2047" s="47">
        <v>44215</v>
      </c>
      <c r="D2047" s="46">
        <v>166</v>
      </c>
      <c r="E2047" s="46">
        <v>5000</v>
      </c>
      <c r="F2047" s="46">
        <v>107280</v>
      </c>
      <c r="G2047" s="48" t="s">
        <v>131</v>
      </c>
      <c r="H2047" s="47">
        <v>44223</v>
      </c>
      <c r="I2047" s="46">
        <v>51400</v>
      </c>
      <c r="J2047" s="46">
        <v>5000</v>
      </c>
      <c r="K2047" s="47">
        <v>44229</v>
      </c>
      <c r="L2047" s="46">
        <v>11056</v>
      </c>
      <c r="M2047" s="46">
        <v>5000</v>
      </c>
    </row>
    <row r="2048" spans="2:13" ht="14.1" customHeight="1" x14ac:dyDescent="0.25">
      <c r="B2048" s="46" t="str">
        <f t="shared" si="31"/>
        <v>2101-168-320472</v>
      </c>
      <c r="C2048" s="47">
        <v>44216</v>
      </c>
      <c r="D2048" s="46">
        <v>168</v>
      </c>
      <c r="E2048" s="46">
        <v>2</v>
      </c>
      <c r="F2048" s="46">
        <v>320472</v>
      </c>
      <c r="G2048" s="48" t="s">
        <v>1072</v>
      </c>
      <c r="H2048" s="47">
        <v>44212</v>
      </c>
      <c r="I2048" s="46">
        <v>51346</v>
      </c>
      <c r="J2048" s="46">
        <v>2</v>
      </c>
      <c r="K2048" s="47">
        <v>44216</v>
      </c>
      <c r="L2048" s="46">
        <v>10961</v>
      </c>
      <c r="M2048" s="46">
        <v>2</v>
      </c>
    </row>
    <row r="2049" spans="2:13" ht="14.1" customHeight="1" x14ac:dyDescent="0.25">
      <c r="B2049" s="46" t="str">
        <f t="shared" si="31"/>
        <v>2101-168-320678</v>
      </c>
      <c r="C2049" s="47">
        <v>44216</v>
      </c>
      <c r="D2049" s="46">
        <v>168</v>
      </c>
      <c r="E2049" s="46">
        <v>10</v>
      </c>
      <c r="F2049" s="46">
        <v>320678</v>
      </c>
      <c r="G2049" s="48" t="s">
        <v>1460</v>
      </c>
      <c r="H2049" s="47">
        <v>44212</v>
      </c>
      <c r="I2049" s="46">
        <v>51346</v>
      </c>
      <c r="J2049" s="46">
        <v>10</v>
      </c>
      <c r="K2049" s="47">
        <v>44216</v>
      </c>
      <c r="L2049" s="46">
        <v>10961</v>
      </c>
      <c r="M2049" s="46">
        <v>10</v>
      </c>
    </row>
    <row r="2050" spans="2:13" ht="14.1" customHeight="1" x14ac:dyDescent="0.25">
      <c r="B2050" s="46" t="str">
        <f t="shared" si="31"/>
        <v>2101-168-320677</v>
      </c>
      <c r="C2050" s="47">
        <v>44216</v>
      </c>
      <c r="D2050" s="46">
        <v>168</v>
      </c>
      <c r="E2050" s="46">
        <v>10</v>
      </c>
      <c r="F2050" s="46">
        <v>320677</v>
      </c>
      <c r="G2050" s="48" t="s">
        <v>1459</v>
      </c>
      <c r="H2050" s="47">
        <v>44212</v>
      </c>
      <c r="I2050" s="46">
        <v>51346</v>
      </c>
      <c r="J2050" s="46">
        <v>10</v>
      </c>
      <c r="K2050" s="47">
        <v>44216</v>
      </c>
      <c r="L2050" s="46">
        <v>10961</v>
      </c>
      <c r="M2050" s="46">
        <v>10</v>
      </c>
    </row>
    <row r="2051" spans="2:13" ht="14.1" customHeight="1" x14ac:dyDescent="0.25">
      <c r="B2051" s="46" t="str">
        <f t="shared" si="31"/>
        <v>2101-169-205435</v>
      </c>
      <c r="C2051" s="47">
        <v>44216</v>
      </c>
      <c r="D2051" s="46">
        <v>169</v>
      </c>
      <c r="E2051" s="46">
        <v>5</v>
      </c>
      <c r="F2051" s="46">
        <v>205435</v>
      </c>
      <c r="G2051" s="48" t="s">
        <v>1462</v>
      </c>
      <c r="I2051" s="46">
        <v>0</v>
      </c>
      <c r="J2051" s="46">
        <v>0</v>
      </c>
      <c r="L2051" s="46">
        <v>0</v>
      </c>
      <c r="M2051" s="46">
        <v>0</v>
      </c>
    </row>
    <row r="2052" spans="2:13" ht="14.1" customHeight="1" x14ac:dyDescent="0.25">
      <c r="B2052" s="46" t="str">
        <f t="shared" si="31"/>
        <v>2101-169-300552</v>
      </c>
      <c r="C2052" s="47">
        <v>44216</v>
      </c>
      <c r="D2052" s="46">
        <v>169</v>
      </c>
      <c r="E2052" s="46">
        <v>5</v>
      </c>
      <c r="F2052" s="46">
        <v>300552</v>
      </c>
      <c r="G2052" s="48" t="s">
        <v>1463</v>
      </c>
      <c r="I2052" s="46">
        <v>0</v>
      </c>
      <c r="J2052" s="46">
        <v>0</v>
      </c>
      <c r="L2052" s="46">
        <v>0</v>
      </c>
      <c r="M2052" s="46">
        <v>0</v>
      </c>
    </row>
    <row r="2053" spans="2:13" ht="14.1" customHeight="1" x14ac:dyDescent="0.25">
      <c r="B2053" s="46" t="str">
        <f t="shared" si="31"/>
        <v>2101-169-306156</v>
      </c>
      <c r="C2053" s="47">
        <v>44216</v>
      </c>
      <c r="D2053" s="46">
        <v>169</v>
      </c>
      <c r="E2053" s="46">
        <v>5</v>
      </c>
      <c r="F2053" s="46">
        <v>306156</v>
      </c>
      <c r="G2053" s="48" t="s">
        <v>1461</v>
      </c>
      <c r="I2053" s="46">
        <v>0</v>
      </c>
      <c r="J2053" s="46">
        <v>0</v>
      </c>
      <c r="L2053" s="46">
        <v>0</v>
      </c>
      <c r="M2053" s="46">
        <v>0</v>
      </c>
    </row>
    <row r="2054" spans="2:13" ht="14.1" customHeight="1" x14ac:dyDescent="0.25">
      <c r="B2054" s="46" t="str">
        <f t="shared" si="31"/>
        <v>2101-170-309858</v>
      </c>
      <c r="C2054" s="47">
        <v>44216</v>
      </c>
      <c r="D2054" s="46">
        <v>170</v>
      </c>
      <c r="E2054" s="46">
        <v>3</v>
      </c>
      <c r="F2054" s="46">
        <v>309858</v>
      </c>
      <c r="G2054" s="48" t="s">
        <v>1464</v>
      </c>
      <c r="I2054" s="46">
        <v>0</v>
      </c>
      <c r="J2054" s="46">
        <v>0</v>
      </c>
      <c r="L2054" s="46">
        <v>0</v>
      </c>
      <c r="M2054" s="46">
        <v>0</v>
      </c>
    </row>
    <row r="2055" spans="2:13" ht="14.1" customHeight="1" x14ac:dyDescent="0.25">
      <c r="B2055" s="46" t="str">
        <f t="shared" si="31"/>
        <v>2101-170-105945</v>
      </c>
      <c r="C2055" s="47">
        <v>44216</v>
      </c>
      <c r="D2055" s="46">
        <v>170</v>
      </c>
      <c r="E2055" s="46">
        <v>6</v>
      </c>
      <c r="F2055" s="46">
        <v>105945</v>
      </c>
      <c r="G2055" s="48" t="s">
        <v>37</v>
      </c>
      <c r="I2055" s="46">
        <v>0</v>
      </c>
      <c r="J2055" s="46">
        <v>0</v>
      </c>
      <c r="L2055" s="46">
        <v>0</v>
      </c>
      <c r="M2055" s="46">
        <v>0</v>
      </c>
    </row>
    <row r="2056" spans="2:13" ht="14.1" customHeight="1" x14ac:dyDescent="0.25">
      <c r="B2056" s="46" t="str">
        <f t="shared" si="31"/>
        <v>2101-170-309682</v>
      </c>
      <c r="C2056" s="47">
        <v>44216</v>
      </c>
      <c r="D2056" s="46">
        <v>170</v>
      </c>
      <c r="E2056" s="46">
        <v>4</v>
      </c>
      <c r="F2056" s="46">
        <v>309682</v>
      </c>
      <c r="G2056" s="48" t="s">
        <v>758</v>
      </c>
      <c r="I2056" s="46">
        <v>0</v>
      </c>
      <c r="J2056" s="46">
        <v>0</v>
      </c>
      <c r="L2056" s="46">
        <v>0</v>
      </c>
      <c r="M2056" s="46">
        <v>0</v>
      </c>
    </row>
    <row r="2057" spans="2:13" ht="14.1" customHeight="1" x14ac:dyDescent="0.25">
      <c r="B2057" s="46" t="str">
        <f t="shared" si="31"/>
        <v>2101-170-309793</v>
      </c>
      <c r="C2057" s="47">
        <v>44216</v>
      </c>
      <c r="D2057" s="46">
        <v>170</v>
      </c>
      <c r="E2057" s="46">
        <v>6</v>
      </c>
      <c r="F2057" s="46">
        <v>309793</v>
      </c>
      <c r="G2057" s="48" t="s">
        <v>762</v>
      </c>
      <c r="I2057" s="46">
        <v>0</v>
      </c>
      <c r="J2057" s="46">
        <v>0</v>
      </c>
      <c r="L2057" s="46">
        <v>0</v>
      </c>
      <c r="M2057" s="46">
        <v>0</v>
      </c>
    </row>
    <row r="2058" spans="2:13" ht="14.1" customHeight="1" x14ac:dyDescent="0.25">
      <c r="B2058" s="46" t="str">
        <f t="shared" si="31"/>
        <v>2101-170-106735</v>
      </c>
      <c r="C2058" s="47">
        <v>44216</v>
      </c>
      <c r="D2058" s="46">
        <v>170</v>
      </c>
      <c r="E2058" s="46">
        <v>4</v>
      </c>
      <c r="F2058" s="46">
        <v>106735</v>
      </c>
      <c r="G2058" s="48" t="s">
        <v>473</v>
      </c>
      <c r="I2058" s="46">
        <v>0</v>
      </c>
      <c r="J2058" s="46">
        <v>0</v>
      </c>
      <c r="L2058" s="46">
        <v>0</v>
      </c>
      <c r="M2058" s="46">
        <v>0</v>
      </c>
    </row>
    <row r="2059" spans="2:13" ht="14.1" customHeight="1" x14ac:dyDescent="0.25">
      <c r="B2059" s="46" t="str">
        <f t="shared" si="31"/>
        <v>2101-171-310867</v>
      </c>
      <c r="C2059" s="47">
        <v>44216</v>
      </c>
      <c r="D2059" s="46">
        <v>171</v>
      </c>
      <c r="E2059" s="46">
        <v>40</v>
      </c>
      <c r="F2059" s="46">
        <v>310867</v>
      </c>
      <c r="G2059" s="48" t="s">
        <v>96</v>
      </c>
      <c r="H2059" s="47">
        <v>44223</v>
      </c>
      <c r="I2059" s="46">
        <v>51404</v>
      </c>
      <c r="J2059" s="46">
        <v>40</v>
      </c>
      <c r="K2059" s="47">
        <v>44229</v>
      </c>
      <c r="L2059" s="46">
        <v>11057</v>
      </c>
      <c r="M2059" s="46">
        <v>40</v>
      </c>
    </row>
    <row r="2060" spans="2:13" ht="14.1" customHeight="1" x14ac:dyDescent="0.25">
      <c r="B2060" s="46" t="str">
        <f t="shared" ref="B2060:B2123" si="32">TEXT(C2060,"yy") &amp; TEXT(C2060,"mm") &amp;"-"&amp;(D2060) &amp;"-"&amp;(F2060)</f>
        <v>2101-171-206218</v>
      </c>
      <c r="C2060" s="47">
        <v>44216</v>
      </c>
      <c r="D2060" s="46">
        <v>171</v>
      </c>
      <c r="E2060" s="46">
        <v>2000</v>
      </c>
      <c r="F2060" s="46">
        <v>206218</v>
      </c>
      <c r="G2060" s="48" t="s">
        <v>213</v>
      </c>
      <c r="H2060" s="47">
        <v>44223</v>
      </c>
      <c r="I2060" s="46">
        <v>51406</v>
      </c>
      <c r="J2060" s="46">
        <v>2000</v>
      </c>
      <c r="K2060" s="47">
        <v>44229</v>
      </c>
      <c r="L2060" s="46">
        <v>11067</v>
      </c>
      <c r="M2060" s="46">
        <v>2000</v>
      </c>
    </row>
    <row r="2061" spans="2:13" ht="14.1" customHeight="1" x14ac:dyDescent="0.25">
      <c r="B2061" s="46" t="str">
        <f t="shared" si="32"/>
        <v>2101-171-200930</v>
      </c>
      <c r="C2061" s="47">
        <v>44216</v>
      </c>
      <c r="D2061" s="46">
        <v>171</v>
      </c>
      <c r="E2061" s="46">
        <v>500</v>
      </c>
      <c r="F2061" s="46">
        <v>200930</v>
      </c>
      <c r="G2061" s="48" t="s">
        <v>264</v>
      </c>
      <c r="H2061" s="47">
        <v>44223</v>
      </c>
      <c r="I2061" s="46">
        <v>51406</v>
      </c>
      <c r="J2061" s="46">
        <v>500</v>
      </c>
      <c r="K2061" s="47">
        <v>44229</v>
      </c>
      <c r="L2061" s="46">
        <v>11067</v>
      </c>
      <c r="M2061" s="46">
        <v>500</v>
      </c>
    </row>
    <row r="2062" spans="2:13" ht="14.1" customHeight="1" x14ac:dyDescent="0.25">
      <c r="B2062" s="46" t="str">
        <f t="shared" si="32"/>
        <v>2101-171-100277</v>
      </c>
      <c r="C2062" s="47">
        <v>44216</v>
      </c>
      <c r="D2062" s="46">
        <v>171</v>
      </c>
      <c r="E2062" s="46">
        <v>50</v>
      </c>
      <c r="F2062" s="46">
        <v>100277</v>
      </c>
      <c r="G2062" s="48" t="s">
        <v>212</v>
      </c>
      <c r="H2062" s="47">
        <v>44223</v>
      </c>
      <c r="I2062" s="46">
        <v>51406</v>
      </c>
      <c r="J2062" s="46">
        <v>50</v>
      </c>
      <c r="K2062" s="47">
        <v>44229</v>
      </c>
      <c r="L2062" s="46">
        <v>11067</v>
      </c>
      <c r="M2062" s="46">
        <v>50</v>
      </c>
    </row>
    <row r="2063" spans="2:13" ht="14.1" customHeight="1" x14ac:dyDescent="0.25">
      <c r="B2063" s="46" t="str">
        <f t="shared" si="32"/>
        <v>2101-172-320065</v>
      </c>
      <c r="C2063" s="47">
        <v>44216</v>
      </c>
      <c r="D2063" s="46">
        <v>172</v>
      </c>
      <c r="E2063" s="46">
        <v>50</v>
      </c>
      <c r="F2063" s="46">
        <v>320065</v>
      </c>
      <c r="G2063" s="48" t="s">
        <v>1144</v>
      </c>
      <c r="H2063" s="47">
        <v>44218</v>
      </c>
      <c r="I2063" s="46">
        <v>51337</v>
      </c>
      <c r="J2063" s="46">
        <v>50</v>
      </c>
      <c r="K2063" s="47">
        <v>44222</v>
      </c>
      <c r="L2063" s="46">
        <v>11006</v>
      </c>
      <c r="M2063" s="46">
        <v>50</v>
      </c>
    </row>
    <row r="2064" spans="2:13" ht="14.1" customHeight="1" x14ac:dyDescent="0.25">
      <c r="B2064" s="46" t="str">
        <f t="shared" si="32"/>
        <v>2101-173-316610</v>
      </c>
      <c r="C2064" s="47">
        <v>44216</v>
      </c>
      <c r="D2064" s="46">
        <v>173</v>
      </c>
      <c r="E2064" s="46">
        <v>1</v>
      </c>
      <c r="F2064" s="46">
        <v>316610</v>
      </c>
      <c r="G2064" s="48" t="s">
        <v>1465</v>
      </c>
      <c r="I2064" s="46">
        <v>0</v>
      </c>
      <c r="J2064" s="46">
        <v>0</v>
      </c>
      <c r="L2064" s="46">
        <v>0</v>
      </c>
      <c r="M2064" s="46">
        <v>0</v>
      </c>
    </row>
    <row r="2065" spans="2:13" ht="14.1" customHeight="1" x14ac:dyDescent="0.25">
      <c r="B2065" s="46" t="str">
        <f t="shared" si="32"/>
        <v>2101-174-306704</v>
      </c>
      <c r="C2065" s="47">
        <v>44216</v>
      </c>
      <c r="D2065" s="46">
        <v>174</v>
      </c>
      <c r="E2065" s="46">
        <v>6</v>
      </c>
      <c r="F2065" s="46">
        <v>306704</v>
      </c>
      <c r="G2065" s="48" t="s">
        <v>1871</v>
      </c>
      <c r="H2065" s="47">
        <v>44267</v>
      </c>
      <c r="I2065" s="46">
        <v>52096</v>
      </c>
      <c r="J2065" s="46">
        <v>6</v>
      </c>
      <c r="K2065" s="47">
        <v>44216</v>
      </c>
      <c r="L2065" s="46">
        <v>10962</v>
      </c>
      <c r="M2065" s="46">
        <v>6</v>
      </c>
    </row>
    <row r="2066" spans="2:13" ht="14.1" customHeight="1" x14ac:dyDescent="0.25">
      <c r="B2066" s="46" t="str">
        <f t="shared" si="32"/>
        <v>2101-174-318268</v>
      </c>
      <c r="C2066" s="47">
        <v>44216</v>
      </c>
      <c r="D2066" s="46">
        <v>174</v>
      </c>
      <c r="E2066" s="46">
        <v>1</v>
      </c>
      <c r="F2066" s="46">
        <v>318268</v>
      </c>
      <c r="G2066" s="48" t="s">
        <v>1864</v>
      </c>
      <c r="H2066" s="47">
        <v>44267</v>
      </c>
      <c r="I2066" s="46">
        <v>52096</v>
      </c>
      <c r="J2066" s="46">
        <v>1</v>
      </c>
      <c r="K2066" s="47">
        <v>44216</v>
      </c>
      <c r="L2066" s="46">
        <v>10962</v>
      </c>
      <c r="M2066" s="46">
        <v>1</v>
      </c>
    </row>
    <row r="2067" spans="2:13" ht="14.1" customHeight="1" x14ac:dyDescent="0.25">
      <c r="B2067" s="46" t="str">
        <f t="shared" si="32"/>
        <v>2101-174-205197</v>
      </c>
      <c r="C2067" s="47">
        <v>44216</v>
      </c>
      <c r="D2067" s="46">
        <v>174</v>
      </c>
      <c r="E2067" s="46">
        <v>12</v>
      </c>
      <c r="F2067" s="46">
        <v>205197</v>
      </c>
      <c r="G2067" s="48" t="s">
        <v>1865</v>
      </c>
      <c r="H2067" s="47">
        <v>44267</v>
      </c>
      <c r="I2067" s="46">
        <v>52096</v>
      </c>
      <c r="J2067" s="46">
        <v>12</v>
      </c>
      <c r="K2067" s="47">
        <v>44216</v>
      </c>
      <c r="L2067" s="46">
        <v>10962</v>
      </c>
      <c r="M2067" s="46">
        <v>12</v>
      </c>
    </row>
    <row r="2068" spans="2:13" ht="14.1" customHeight="1" x14ac:dyDescent="0.25">
      <c r="B2068" s="46" t="str">
        <f t="shared" si="32"/>
        <v>2101-174-205224</v>
      </c>
      <c r="C2068" s="47">
        <v>44216</v>
      </c>
      <c r="D2068" s="46">
        <v>174</v>
      </c>
      <c r="E2068" s="46">
        <v>12</v>
      </c>
      <c r="F2068" s="46">
        <v>205224</v>
      </c>
      <c r="G2068" s="48" t="s">
        <v>1148</v>
      </c>
      <c r="H2068" s="47">
        <v>44267</v>
      </c>
      <c r="I2068" s="46">
        <v>52096</v>
      </c>
      <c r="J2068" s="46">
        <v>12</v>
      </c>
      <c r="K2068" s="47">
        <v>44216</v>
      </c>
      <c r="L2068" s="46">
        <v>10962</v>
      </c>
      <c r="M2068" s="46">
        <v>12</v>
      </c>
    </row>
    <row r="2069" spans="2:13" ht="14.1" customHeight="1" x14ac:dyDescent="0.25">
      <c r="B2069" s="46" t="str">
        <f t="shared" si="32"/>
        <v>2101-174-205629</v>
      </c>
      <c r="C2069" s="47">
        <v>44216</v>
      </c>
      <c r="D2069" s="46">
        <v>174</v>
      </c>
      <c r="E2069" s="46">
        <v>1</v>
      </c>
      <c r="F2069" s="46">
        <v>205629</v>
      </c>
      <c r="G2069" s="50" t="s">
        <v>1869</v>
      </c>
      <c r="H2069" s="47">
        <v>44267</v>
      </c>
      <c r="I2069" s="46">
        <v>52096</v>
      </c>
      <c r="J2069" s="46">
        <v>1</v>
      </c>
      <c r="K2069" s="47">
        <v>44216</v>
      </c>
      <c r="L2069" s="46">
        <v>10962</v>
      </c>
      <c r="M2069" s="46">
        <v>1</v>
      </c>
    </row>
    <row r="2070" spans="2:13" ht="14.1" customHeight="1" x14ac:dyDescent="0.25">
      <c r="B2070" s="46" t="str">
        <f t="shared" si="32"/>
        <v>2101-174-307280</v>
      </c>
      <c r="C2070" s="47">
        <v>44216</v>
      </c>
      <c r="D2070" s="46">
        <v>174</v>
      </c>
      <c r="E2070" s="46">
        <v>24</v>
      </c>
      <c r="F2070" s="46">
        <v>307280</v>
      </c>
      <c r="G2070" s="48" t="s">
        <v>1867</v>
      </c>
      <c r="H2070" s="47">
        <v>44267</v>
      </c>
      <c r="I2070" s="46">
        <v>52096</v>
      </c>
      <c r="J2070" s="46">
        <v>24</v>
      </c>
      <c r="K2070" s="47">
        <v>44216</v>
      </c>
      <c r="L2070" s="46">
        <v>10962</v>
      </c>
      <c r="M2070" s="46">
        <v>24</v>
      </c>
    </row>
    <row r="2071" spans="2:13" ht="14.1" customHeight="1" x14ac:dyDescent="0.25">
      <c r="B2071" s="46" t="str">
        <f t="shared" si="32"/>
        <v>2101-174-204530</v>
      </c>
      <c r="C2071" s="47">
        <v>44216</v>
      </c>
      <c r="D2071" s="46">
        <v>174</v>
      </c>
      <c r="E2071" s="46">
        <v>1</v>
      </c>
      <c r="F2071" s="46">
        <v>204530</v>
      </c>
      <c r="G2071" s="50" t="s">
        <v>1874</v>
      </c>
      <c r="H2071" s="47">
        <v>44267</v>
      </c>
      <c r="I2071" s="46">
        <v>52096</v>
      </c>
      <c r="J2071" s="46">
        <v>1</v>
      </c>
      <c r="K2071" s="47">
        <v>44216</v>
      </c>
      <c r="L2071" s="46">
        <v>10962</v>
      </c>
      <c r="M2071" s="46">
        <v>1</v>
      </c>
    </row>
    <row r="2072" spans="2:13" ht="14.1" customHeight="1" x14ac:dyDescent="0.25">
      <c r="B2072" s="46" t="str">
        <f t="shared" si="32"/>
        <v>2101-174-205223</v>
      </c>
      <c r="C2072" s="47">
        <v>44216</v>
      </c>
      <c r="D2072" s="46">
        <v>174</v>
      </c>
      <c r="E2072" s="46">
        <v>12</v>
      </c>
      <c r="F2072" s="46">
        <v>205223</v>
      </c>
      <c r="G2072" s="48" t="s">
        <v>1149</v>
      </c>
      <c r="H2072" s="47">
        <v>44267</v>
      </c>
      <c r="I2072" s="46">
        <v>52096</v>
      </c>
      <c r="J2072" s="46">
        <v>12</v>
      </c>
      <c r="K2072" s="47">
        <v>44216</v>
      </c>
      <c r="L2072" s="46">
        <v>10962</v>
      </c>
      <c r="M2072" s="46">
        <v>12</v>
      </c>
    </row>
    <row r="2073" spans="2:13" ht="14.1" customHeight="1" x14ac:dyDescent="0.25">
      <c r="B2073" s="46" t="str">
        <f t="shared" si="32"/>
        <v>2101-174-205237</v>
      </c>
      <c r="C2073" s="47">
        <v>44216</v>
      </c>
      <c r="D2073" s="46">
        <v>174</v>
      </c>
      <c r="E2073" s="46">
        <v>1</v>
      </c>
      <c r="F2073" s="46">
        <v>205237</v>
      </c>
      <c r="G2073" s="48" t="s">
        <v>1873</v>
      </c>
      <c r="H2073" s="47">
        <v>44267</v>
      </c>
      <c r="I2073" s="46">
        <v>52096</v>
      </c>
      <c r="J2073" s="46">
        <v>1</v>
      </c>
      <c r="K2073" s="47">
        <v>44216</v>
      </c>
      <c r="L2073" s="46">
        <v>10962</v>
      </c>
      <c r="M2073" s="46">
        <v>1</v>
      </c>
    </row>
    <row r="2074" spans="2:13" ht="14.1" customHeight="1" x14ac:dyDescent="0.25">
      <c r="B2074" s="46" t="str">
        <f t="shared" si="32"/>
        <v>2101-174-310037</v>
      </c>
      <c r="C2074" s="47">
        <v>44216</v>
      </c>
      <c r="D2074" s="46">
        <v>174</v>
      </c>
      <c r="E2074" s="46">
        <v>1</v>
      </c>
      <c r="F2074" s="46">
        <v>310037</v>
      </c>
      <c r="G2074" s="50" t="s">
        <v>1870</v>
      </c>
      <c r="H2074" s="47">
        <v>44267</v>
      </c>
      <c r="I2074" s="46">
        <v>52096</v>
      </c>
      <c r="J2074" s="46">
        <v>1</v>
      </c>
      <c r="K2074" s="47">
        <v>44216</v>
      </c>
      <c r="L2074" s="46">
        <v>10962</v>
      </c>
      <c r="M2074" s="46">
        <v>1</v>
      </c>
    </row>
    <row r="2075" spans="2:13" ht="14.1" customHeight="1" x14ac:dyDescent="0.25">
      <c r="B2075" s="46" t="str">
        <f t="shared" si="32"/>
        <v>2101-174-310449</v>
      </c>
      <c r="C2075" s="47">
        <v>44216</v>
      </c>
      <c r="D2075" s="46">
        <v>174</v>
      </c>
      <c r="E2075" s="46">
        <v>1</v>
      </c>
      <c r="F2075" s="46">
        <v>310449</v>
      </c>
      <c r="G2075" s="48" t="s">
        <v>771</v>
      </c>
      <c r="H2075" s="47">
        <v>44267</v>
      </c>
      <c r="I2075" s="46">
        <v>52096</v>
      </c>
      <c r="J2075" s="46">
        <v>1</v>
      </c>
      <c r="K2075" s="47">
        <v>44216</v>
      </c>
      <c r="L2075" s="46">
        <v>10962</v>
      </c>
      <c r="M2075" s="46">
        <v>1</v>
      </c>
    </row>
    <row r="2076" spans="2:13" ht="14.1" customHeight="1" x14ac:dyDescent="0.25">
      <c r="B2076" s="46" t="str">
        <f t="shared" si="32"/>
        <v>2101-174-206090</v>
      </c>
      <c r="C2076" s="47">
        <v>44216</v>
      </c>
      <c r="D2076" s="46">
        <v>174</v>
      </c>
      <c r="E2076" s="46">
        <v>1</v>
      </c>
      <c r="F2076" s="46">
        <v>206090</v>
      </c>
      <c r="G2076" s="48" t="s">
        <v>1872</v>
      </c>
      <c r="H2076" s="47">
        <v>44267</v>
      </c>
      <c r="I2076" s="46">
        <v>52096</v>
      </c>
      <c r="J2076" s="46">
        <v>1</v>
      </c>
      <c r="K2076" s="47">
        <v>44216</v>
      </c>
      <c r="L2076" s="46">
        <v>10962</v>
      </c>
      <c r="M2076" s="46">
        <v>1</v>
      </c>
    </row>
    <row r="2077" spans="2:13" ht="14.1" customHeight="1" x14ac:dyDescent="0.25">
      <c r="B2077" s="46" t="str">
        <f t="shared" si="32"/>
        <v>2101-174-205196</v>
      </c>
      <c r="C2077" s="47">
        <v>44216</v>
      </c>
      <c r="D2077" s="46">
        <v>174</v>
      </c>
      <c r="E2077" s="46">
        <v>1</v>
      </c>
      <c r="F2077" s="46">
        <v>205196</v>
      </c>
      <c r="G2077" s="48" t="s">
        <v>1868</v>
      </c>
      <c r="H2077" s="47">
        <v>44267</v>
      </c>
      <c r="I2077" s="46">
        <v>52096</v>
      </c>
      <c r="J2077" s="46">
        <v>1</v>
      </c>
      <c r="K2077" s="47">
        <v>44216</v>
      </c>
      <c r="L2077" s="46">
        <v>10962</v>
      </c>
      <c r="M2077" s="46">
        <v>1</v>
      </c>
    </row>
    <row r="2078" spans="2:13" ht="14.1" customHeight="1" x14ac:dyDescent="0.25">
      <c r="B2078" s="46" t="str">
        <f t="shared" si="32"/>
        <v>2101-174-205198</v>
      </c>
      <c r="C2078" s="47">
        <v>44216</v>
      </c>
      <c r="D2078" s="46">
        <v>174</v>
      </c>
      <c r="E2078" s="46">
        <v>12</v>
      </c>
      <c r="F2078" s="46">
        <v>205198</v>
      </c>
      <c r="G2078" s="48" t="s">
        <v>1866</v>
      </c>
      <c r="H2078" s="47">
        <v>44267</v>
      </c>
      <c r="I2078" s="46">
        <v>52096</v>
      </c>
      <c r="J2078" s="46">
        <v>12</v>
      </c>
      <c r="K2078" s="47">
        <v>44216</v>
      </c>
      <c r="L2078" s="46">
        <v>10962</v>
      </c>
      <c r="M2078" s="46">
        <v>12</v>
      </c>
    </row>
    <row r="2079" spans="2:13" ht="14.1" customHeight="1" x14ac:dyDescent="0.25">
      <c r="B2079" s="46" t="str">
        <f t="shared" si="32"/>
        <v>2101-175-310292</v>
      </c>
      <c r="C2079" s="47">
        <v>44216</v>
      </c>
      <c r="D2079" s="46">
        <v>175</v>
      </c>
      <c r="E2079" s="46">
        <v>1</v>
      </c>
      <c r="F2079" s="46">
        <v>310292</v>
      </c>
      <c r="G2079" s="48" t="s">
        <v>1875</v>
      </c>
      <c r="H2079" s="47">
        <v>44267</v>
      </c>
      <c r="I2079" s="46">
        <v>52097</v>
      </c>
      <c r="J2079" s="46">
        <v>1</v>
      </c>
      <c r="K2079" s="47">
        <v>44216</v>
      </c>
      <c r="L2079" s="46">
        <v>10963</v>
      </c>
      <c r="M2079" s="46">
        <v>1</v>
      </c>
    </row>
    <row r="2080" spans="2:13" ht="14.1" customHeight="1" x14ac:dyDescent="0.25">
      <c r="B2080" s="46" t="str">
        <f t="shared" si="32"/>
        <v>2101-175-206343</v>
      </c>
      <c r="C2080" s="47">
        <v>44216</v>
      </c>
      <c r="D2080" s="46">
        <v>175</v>
      </c>
      <c r="E2080" s="46">
        <v>1</v>
      </c>
      <c r="F2080" s="46">
        <v>206343</v>
      </c>
      <c r="G2080" s="48" t="s">
        <v>1147</v>
      </c>
      <c r="H2080" s="47">
        <v>44267</v>
      </c>
      <c r="I2080" s="46">
        <v>52097</v>
      </c>
      <c r="J2080" s="46">
        <v>1</v>
      </c>
      <c r="K2080" s="47">
        <v>44216</v>
      </c>
      <c r="L2080" s="46">
        <v>10963</v>
      </c>
      <c r="M2080" s="46">
        <v>1</v>
      </c>
    </row>
    <row r="2081" spans="2:13" ht="14.1" customHeight="1" x14ac:dyDescent="0.25">
      <c r="B2081" s="46" t="str">
        <f t="shared" si="32"/>
        <v>2101-175-314331</v>
      </c>
      <c r="C2081" s="47">
        <v>44216</v>
      </c>
      <c r="D2081" s="46">
        <v>175</v>
      </c>
      <c r="E2081" s="46">
        <v>1</v>
      </c>
      <c r="F2081" s="46">
        <v>314331</v>
      </c>
      <c r="G2081" s="48" t="s">
        <v>1877</v>
      </c>
      <c r="H2081" s="47">
        <v>44267</v>
      </c>
      <c r="I2081" s="46">
        <v>52097</v>
      </c>
      <c r="J2081" s="46">
        <v>1</v>
      </c>
      <c r="K2081" s="47">
        <v>44216</v>
      </c>
      <c r="L2081" s="46">
        <v>10963</v>
      </c>
      <c r="M2081" s="46">
        <v>1</v>
      </c>
    </row>
    <row r="2082" spans="2:13" ht="14.1" customHeight="1" x14ac:dyDescent="0.25">
      <c r="B2082" s="46" t="str">
        <f t="shared" si="32"/>
        <v>2101-175-300247</v>
      </c>
      <c r="C2082" s="47">
        <v>44216</v>
      </c>
      <c r="D2082" s="46">
        <v>175</v>
      </c>
      <c r="E2082" s="46">
        <v>1</v>
      </c>
      <c r="F2082" s="46">
        <v>300247</v>
      </c>
      <c r="G2082" s="48" t="s">
        <v>1876</v>
      </c>
      <c r="H2082" s="47">
        <v>44267</v>
      </c>
      <c r="I2082" s="46">
        <v>52097</v>
      </c>
      <c r="J2082" s="46">
        <v>1</v>
      </c>
      <c r="K2082" s="47">
        <v>44216</v>
      </c>
      <c r="L2082" s="46">
        <v>10963</v>
      </c>
      <c r="M2082" s="46">
        <v>1</v>
      </c>
    </row>
    <row r="2083" spans="2:13" ht="14.1" customHeight="1" x14ac:dyDescent="0.25">
      <c r="B2083" s="46" t="str">
        <f t="shared" si="32"/>
        <v>2101-176-312893</v>
      </c>
      <c r="C2083" s="47">
        <v>44216</v>
      </c>
      <c r="D2083" s="46">
        <v>176</v>
      </c>
      <c r="E2083" s="46">
        <v>1</v>
      </c>
      <c r="F2083" s="46">
        <v>312893</v>
      </c>
      <c r="G2083" s="48" t="s">
        <v>1880</v>
      </c>
      <c r="H2083" s="47">
        <v>44267</v>
      </c>
      <c r="I2083" s="46">
        <v>52095</v>
      </c>
      <c r="J2083" s="46">
        <v>1</v>
      </c>
      <c r="K2083" s="47">
        <v>44216</v>
      </c>
      <c r="L2083" s="46">
        <v>10964</v>
      </c>
      <c r="M2083" s="46">
        <v>1</v>
      </c>
    </row>
    <row r="2084" spans="2:13" ht="14.1" customHeight="1" x14ac:dyDescent="0.25">
      <c r="B2084" s="46" t="str">
        <f t="shared" si="32"/>
        <v>2101-176-313803</v>
      </c>
      <c r="C2084" s="47">
        <v>44216</v>
      </c>
      <c r="D2084" s="46">
        <v>176</v>
      </c>
      <c r="E2084" s="46">
        <v>4</v>
      </c>
      <c r="F2084" s="46">
        <v>313803</v>
      </c>
      <c r="G2084" s="48" t="s">
        <v>1882</v>
      </c>
      <c r="H2084" s="47">
        <v>44267</v>
      </c>
      <c r="I2084" s="46">
        <v>52095</v>
      </c>
      <c r="J2084" s="46">
        <v>4</v>
      </c>
      <c r="K2084" s="47">
        <v>44216</v>
      </c>
      <c r="L2084" s="46">
        <v>10964</v>
      </c>
      <c r="M2084" s="46">
        <v>4</v>
      </c>
    </row>
    <row r="2085" spans="2:13" ht="14.1" customHeight="1" x14ac:dyDescent="0.25">
      <c r="B2085" s="46" t="str">
        <f t="shared" si="32"/>
        <v>2101-176-312141</v>
      </c>
      <c r="C2085" s="47">
        <v>44216</v>
      </c>
      <c r="D2085" s="46">
        <v>176</v>
      </c>
      <c r="E2085" s="46">
        <v>1</v>
      </c>
      <c r="F2085" s="46">
        <v>312141</v>
      </c>
      <c r="G2085" s="48" t="s">
        <v>1883</v>
      </c>
      <c r="H2085" s="47">
        <v>44267</v>
      </c>
      <c r="I2085" s="46">
        <v>52095</v>
      </c>
      <c r="J2085" s="46">
        <v>1</v>
      </c>
      <c r="K2085" s="47">
        <v>44216</v>
      </c>
      <c r="L2085" s="46">
        <v>10964</v>
      </c>
      <c r="M2085" s="46">
        <v>1</v>
      </c>
    </row>
    <row r="2086" spans="2:13" ht="14.1" customHeight="1" x14ac:dyDescent="0.25">
      <c r="B2086" s="46" t="str">
        <f t="shared" si="32"/>
        <v>2101-176-300272</v>
      </c>
      <c r="C2086" s="47">
        <v>44216</v>
      </c>
      <c r="D2086" s="46">
        <v>176</v>
      </c>
      <c r="E2086" s="46">
        <v>1</v>
      </c>
      <c r="F2086" s="46">
        <v>300272</v>
      </c>
      <c r="G2086" s="48" t="s">
        <v>1878</v>
      </c>
      <c r="H2086" s="47">
        <v>44267</v>
      </c>
      <c r="I2086" s="46">
        <v>52095</v>
      </c>
      <c r="J2086" s="46">
        <v>1</v>
      </c>
      <c r="K2086" s="47">
        <v>44216</v>
      </c>
      <c r="L2086" s="46">
        <v>10964</v>
      </c>
      <c r="M2086" s="46">
        <v>1</v>
      </c>
    </row>
    <row r="2087" spans="2:13" ht="14.1" customHeight="1" x14ac:dyDescent="0.25">
      <c r="B2087" s="46" t="str">
        <f t="shared" si="32"/>
        <v>2101-176-316753</v>
      </c>
      <c r="C2087" s="47">
        <v>44216</v>
      </c>
      <c r="D2087" s="46">
        <v>176</v>
      </c>
      <c r="E2087" s="46">
        <v>1</v>
      </c>
      <c r="F2087" s="46">
        <v>316753</v>
      </c>
      <c r="G2087" s="48" t="s">
        <v>1881</v>
      </c>
      <c r="H2087" s="47">
        <v>44267</v>
      </c>
      <c r="I2087" s="46">
        <v>52095</v>
      </c>
      <c r="J2087" s="46">
        <v>1</v>
      </c>
      <c r="K2087" s="47">
        <v>44216</v>
      </c>
      <c r="L2087" s="46">
        <v>10964</v>
      </c>
      <c r="M2087" s="46">
        <v>1</v>
      </c>
    </row>
    <row r="2088" spans="2:13" ht="14.1" customHeight="1" x14ac:dyDescent="0.25">
      <c r="B2088" s="46" t="str">
        <f t="shared" si="32"/>
        <v>2101-176-312895</v>
      </c>
      <c r="C2088" s="47">
        <v>44216</v>
      </c>
      <c r="D2088" s="46">
        <v>176</v>
      </c>
      <c r="E2088" s="46">
        <v>1</v>
      </c>
      <c r="F2088" s="46">
        <v>312895</v>
      </c>
      <c r="G2088" s="48" t="s">
        <v>1879</v>
      </c>
      <c r="H2088" s="47">
        <v>44267</v>
      </c>
      <c r="I2088" s="46">
        <v>52095</v>
      </c>
      <c r="J2088" s="46">
        <v>1</v>
      </c>
      <c r="K2088" s="47">
        <v>44216</v>
      </c>
      <c r="L2088" s="46">
        <v>10964</v>
      </c>
      <c r="M2088" s="46">
        <v>1</v>
      </c>
    </row>
    <row r="2089" spans="2:13" ht="14.1" customHeight="1" x14ac:dyDescent="0.25">
      <c r="B2089" s="46" t="str">
        <f t="shared" si="32"/>
        <v>2101-177-206275</v>
      </c>
      <c r="C2089" s="47">
        <v>44216</v>
      </c>
      <c r="D2089" s="46">
        <v>177</v>
      </c>
      <c r="E2089" s="46">
        <v>1</v>
      </c>
      <c r="F2089" s="46">
        <v>206275</v>
      </c>
      <c r="G2089" s="48" t="s">
        <v>1372</v>
      </c>
      <c r="H2089" s="47">
        <v>44267</v>
      </c>
      <c r="I2089" s="46">
        <v>52094</v>
      </c>
      <c r="J2089" s="46">
        <v>1</v>
      </c>
      <c r="K2089" s="47">
        <v>44216</v>
      </c>
      <c r="L2089" s="46">
        <v>10965</v>
      </c>
      <c r="M2089" s="46">
        <v>1</v>
      </c>
    </row>
    <row r="2090" spans="2:13" ht="14.1" customHeight="1" x14ac:dyDescent="0.25">
      <c r="B2090" s="46" t="str">
        <f t="shared" si="32"/>
        <v>2101-177-309092</v>
      </c>
      <c r="C2090" s="47">
        <v>44216</v>
      </c>
      <c r="D2090" s="46">
        <v>177</v>
      </c>
      <c r="E2090" s="46">
        <v>1</v>
      </c>
      <c r="F2090" s="46">
        <v>309092</v>
      </c>
      <c r="G2090" s="48" t="s">
        <v>1891</v>
      </c>
      <c r="H2090" s="47">
        <v>44267</v>
      </c>
      <c r="I2090" s="46">
        <v>52094</v>
      </c>
      <c r="J2090" s="46">
        <v>1</v>
      </c>
      <c r="K2090" s="47">
        <v>44216</v>
      </c>
      <c r="L2090" s="46">
        <v>10965</v>
      </c>
      <c r="M2090" s="46">
        <v>1</v>
      </c>
    </row>
    <row r="2091" spans="2:13" ht="14.1" customHeight="1" x14ac:dyDescent="0.25">
      <c r="B2091" s="46" t="str">
        <f t="shared" si="32"/>
        <v>2101-177-206284</v>
      </c>
      <c r="C2091" s="47">
        <v>44216</v>
      </c>
      <c r="D2091" s="46">
        <v>177</v>
      </c>
      <c r="E2091" s="46">
        <v>1</v>
      </c>
      <c r="F2091" s="46">
        <v>206284</v>
      </c>
      <c r="G2091" s="48" t="s">
        <v>1892</v>
      </c>
      <c r="H2091" s="47">
        <v>44267</v>
      </c>
      <c r="I2091" s="46">
        <v>52094</v>
      </c>
      <c r="J2091" s="46">
        <v>1</v>
      </c>
      <c r="K2091" s="47">
        <v>44216</v>
      </c>
      <c r="L2091" s="46">
        <v>10965</v>
      </c>
      <c r="M2091" s="46">
        <v>1</v>
      </c>
    </row>
    <row r="2092" spans="2:13" ht="14.1" customHeight="1" x14ac:dyDescent="0.25">
      <c r="B2092" s="46" t="str">
        <f t="shared" si="32"/>
        <v>2101-177-320534</v>
      </c>
      <c r="C2092" s="47">
        <v>44216</v>
      </c>
      <c r="D2092" s="46">
        <v>177</v>
      </c>
      <c r="E2092" s="46">
        <v>1</v>
      </c>
      <c r="F2092" s="46">
        <v>320534</v>
      </c>
      <c r="G2092" s="48" t="s">
        <v>1884</v>
      </c>
      <c r="H2092" s="47">
        <v>44267</v>
      </c>
      <c r="I2092" s="46">
        <v>52094</v>
      </c>
      <c r="J2092" s="46">
        <v>1</v>
      </c>
      <c r="K2092" s="47">
        <v>44216</v>
      </c>
      <c r="L2092" s="46">
        <v>10965</v>
      </c>
      <c r="M2092" s="46">
        <v>1</v>
      </c>
    </row>
    <row r="2093" spans="2:13" ht="14.1" customHeight="1" x14ac:dyDescent="0.25">
      <c r="B2093" s="46" t="str">
        <f t="shared" si="32"/>
        <v>2101-177-310636</v>
      </c>
      <c r="C2093" s="47">
        <v>44216</v>
      </c>
      <c r="D2093" s="46">
        <v>177</v>
      </c>
      <c r="E2093" s="46">
        <v>1</v>
      </c>
      <c r="F2093" s="46">
        <v>310636</v>
      </c>
      <c r="G2093" s="48" t="s">
        <v>1885</v>
      </c>
      <c r="H2093" s="47">
        <v>44267</v>
      </c>
      <c r="I2093" s="46">
        <v>52094</v>
      </c>
      <c r="J2093" s="46">
        <v>1</v>
      </c>
      <c r="K2093" s="47">
        <v>44216</v>
      </c>
      <c r="L2093" s="46">
        <v>10965</v>
      </c>
      <c r="M2093" s="46">
        <v>1</v>
      </c>
    </row>
    <row r="2094" spans="2:13" ht="14.1" customHeight="1" x14ac:dyDescent="0.25">
      <c r="B2094" s="46" t="str">
        <f t="shared" si="32"/>
        <v>2101-177-316572</v>
      </c>
      <c r="C2094" s="47">
        <v>44216</v>
      </c>
      <c r="D2094" s="46">
        <v>177</v>
      </c>
      <c r="E2094" s="46">
        <v>1</v>
      </c>
      <c r="F2094" s="46">
        <v>316572</v>
      </c>
      <c r="G2094" s="48" t="s">
        <v>1894</v>
      </c>
      <c r="H2094" s="47">
        <v>44267</v>
      </c>
      <c r="I2094" s="46">
        <v>52094</v>
      </c>
      <c r="J2094" s="46">
        <v>1</v>
      </c>
      <c r="K2094" s="47">
        <v>44216</v>
      </c>
      <c r="L2094" s="46">
        <v>10965</v>
      </c>
      <c r="M2094" s="46">
        <v>1</v>
      </c>
    </row>
    <row r="2095" spans="2:13" ht="14.1" customHeight="1" x14ac:dyDescent="0.25">
      <c r="B2095" s="46" t="str">
        <f t="shared" si="32"/>
        <v>2101-177-312636</v>
      </c>
      <c r="C2095" s="47">
        <v>44216</v>
      </c>
      <c r="D2095" s="46">
        <v>177</v>
      </c>
      <c r="E2095" s="46">
        <v>1</v>
      </c>
      <c r="F2095" s="46">
        <v>312636</v>
      </c>
      <c r="G2095" s="48" t="s">
        <v>1893</v>
      </c>
      <c r="H2095" s="47">
        <v>44267</v>
      </c>
      <c r="I2095" s="46">
        <v>52094</v>
      </c>
      <c r="J2095" s="46">
        <v>1</v>
      </c>
      <c r="K2095" s="47">
        <v>44216</v>
      </c>
      <c r="L2095" s="46">
        <v>10965</v>
      </c>
      <c r="M2095" s="46">
        <v>1</v>
      </c>
    </row>
    <row r="2096" spans="2:13" ht="14.1" customHeight="1" x14ac:dyDescent="0.25">
      <c r="B2096" s="46" t="str">
        <f t="shared" si="32"/>
        <v>2101-177-206283</v>
      </c>
      <c r="C2096" s="47">
        <v>44216</v>
      </c>
      <c r="D2096" s="46">
        <v>177</v>
      </c>
      <c r="E2096" s="46">
        <v>1</v>
      </c>
      <c r="F2096" s="46">
        <v>206283</v>
      </c>
      <c r="G2096" s="48" t="s">
        <v>1888</v>
      </c>
      <c r="H2096" s="47">
        <v>44267</v>
      </c>
      <c r="I2096" s="46">
        <v>52094</v>
      </c>
      <c r="J2096" s="46">
        <v>1</v>
      </c>
      <c r="K2096" s="47">
        <v>44216</v>
      </c>
      <c r="L2096" s="46">
        <v>10965</v>
      </c>
      <c r="M2096" s="46">
        <v>1</v>
      </c>
    </row>
    <row r="2097" spans="2:13" ht="14.1" customHeight="1" x14ac:dyDescent="0.25">
      <c r="B2097" s="46" t="str">
        <f t="shared" si="32"/>
        <v>2101-177-300624</v>
      </c>
      <c r="C2097" s="47">
        <v>44216</v>
      </c>
      <c r="D2097" s="46">
        <v>177</v>
      </c>
      <c r="E2097" s="46">
        <v>1</v>
      </c>
      <c r="F2097" s="46">
        <v>300624</v>
      </c>
      <c r="G2097" s="48" t="s">
        <v>1886</v>
      </c>
      <c r="H2097" s="47">
        <v>44267</v>
      </c>
      <c r="I2097" s="46">
        <v>52094</v>
      </c>
      <c r="J2097" s="46">
        <v>1</v>
      </c>
      <c r="K2097" s="47">
        <v>44216</v>
      </c>
      <c r="L2097" s="46">
        <v>10965</v>
      </c>
      <c r="M2097" s="46">
        <v>1</v>
      </c>
    </row>
    <row r="2098" spans="2:13" ht="14.1" customHeight="1" x14ac:dyDescent="0.25">
      <c r="B2098" s="46" t="str">
        <f t="shared" si="32"/>
        <v>2101-177-206343</v>
      </c>
      <c r="C2098" s="47">
        <v>44216</v>
      </c>
      <c r="D2098" s="46">
        <v>177</v>
      </c>
      <c r="E2098" s="46">
        <v>1</v>
      </c>
      <c r="F2098" s="46">
        <v>206343</v>
      </c>
      <c r="G2098" s="48" t="s">
        <v>1147</v>
      </c>
      <c r="H2098" s="47">
        <v>44267</v>
      </c>
      <c r="I2098" s="46">
        <v>52094</v>
      </c>
      <c r="J2098" s="46">
        <v>1</v>
      </c>
      <c r="K2098" s="47">
        <v>44216</v>
      </c>
      <c r="L2098" s="46">
        <v>10965</v>
      </c>
      <c r="M2098" s="46">
        <v>1</v>
      </c>
    </row>
    <row r="2099" spans="2:13" ht="14.1" customHeight="1" x14ac:dyDescent="0.25">
      <c r="B2099" s="46" t="str">
        <f t="shared" si="32"/>
        <v>2101-177-309091</v>
      </c>
      <c r="C2099" s="47">
        <v>44216</v>
      </c>
      <c r="D2099" s="46">
        <v>177</v>
      </c>
      <c r="E2099" s="46">
        <v>1</v>
      </c>
      <c r="F2099" s="46">
        <v>309091</v>
      </c>
      <c r="G2099" s="48" t="s">
        <v>1890</v>
      </c>
      <c r="H2099" s="47">
        <v>44267</v>
      </c>
      <c r="I2099" s="46">
        <v>52094</v>
      </c>
      <c r="J2099" s="46">
        <v>1</v>
      </c>
      <c r="K2099" s="47">
        <v>44216</v>
      </c>
      <c r="L2099" s="46">
        <v>10965</v>
      </c>
      <c r="M2099" s="46">
        <v>1</v>
      </c>
    </row>
    <row r="2100" spans="2:13" ht="14.1" customHeight="1" x14ac:dyDescent="0.25">
      <c r="B2100" s="46" t="str">
        <f t="shared" si="32"/>
        <v>2101-177-300623</v>
      </c>
      <c r="C2100" s="47">
        <v>44216</v>
      </c>
      <c r="D2100" s="46">
        <v>177</v>
      </c>
      <c r="E2100" s="46">
        <v>1</v>
      </c>
      <c r="F2100" s="46">
        <v>300623</v>
      </c>
      <c r="G2100" s="48" t="s">
        <v>1887</v>
      </c>
      <c r="H2100" s="47">
        <v>44267</v>
      </c>
      <c r="I2100" s="46">
        <v>52094</v>
      </c>
      <c r="J2100" s="46">
        <v>1</v>
      </c>
      <c r="K2100" s="47">
        <v>44216</v>
      </c>
      <c r="L2100" s="46">
        <v>10965</v>
      </c>
      <c r="M2100" s="46">
        <v>1</v>
      </c>
    </row>
    <row r="2101" spans="2:13" ht="14.1" customHeight="1" x14ac:dyDescent="0.25">
      <c r="B2101" s="46" t="str">
        <f t="shared" si="32"/>
        <v>2101-177-318941</v>
      </c>
      <c r="C2101" s="47">
        <v>44216</v>
      </c>
      <c r="D2101" s="46">
        <v>177</v>
      </c>
      <c r="E2101" s="46">
        <v>1</v>
      </c>
      <c r="F2101" s="46">
        <v>318941</v>
      </c>
      <c r="G2101" s="48" t="s">
        <v>1889</v>
      </c>
      <c r="H2101" s="47">
        <v>44267</v>
      </c>
      <c r="I2101" s="46">
        <v>52094</v>
      </c>
      <c r="J2101" s="46">
        <v>1</v>
      </c>
      <c r="K2101" s="47">
        <v>44216</v>
      </c>
      <c r="L2101" s="46">
        <v>10965</v>
      </c>
      <c r="M2101" s="46">
        <v>1</v>
      </c>
    </row>
    <row r="2102" spans="2:13" ht="14.1" customHeight="1" x14ac:dyDescent="0.25">
      <c r="B2102" s="46" t="str">
        <f t="shared" si="32"/>
        <v>2101-178-101099</v>
      </c>
      <c r="C2102" s="47">
        <v>44216</v>
      </c>
      <c r="D2102" s="46">
        <v>178</v>
      </c>
      <c r="E2102" s="46">
        <v>1</v>
      </c>
      <c r="F2102" s="46">
        <v>101099</v>
      </c>
      <c r="G2102" s="48" t="s">
        <v>148</v>
      </c>
      <c r="H2102" s="47">
        <v>44267</v>
      </c>
      <c r="I2102" s="46">
        <v>52092</v>
      </c>
      <c r="J2102" s="46">
        <v>1</v>
      </c>
      <c r="K2102" s="47">
        <v>44216</v>
      </c>
      <c r="L2102" s="46">
        <v>10966</v>
      </c>
      <c r="M2102" s="46">
        <v>1</v>
      </c>
    </row>
    <row r="2103" spans="2:13" ht="14.1" customHeight="1" x14ac:dyDescent="0.25">
      <c r="B2103" s="46" t="str">
        <f t="shared" si="32"/>
        <v>2101-178-205568</v>
      </c>
      <c r="C2103" s="47">
        <v>44216</v>
      </c>
      <c r="D2103" s="46">
        <v>178</v>
      </c>
      <c r="E2103" s="46">
        <v>2</v>
      </c>
      <c r="F2103" s="46">
        <v>205568</v>
      </c>
      <c r="G2103" s="48" t="s">
        <v>1896</v>
      </c>
      <c r="H2103" s="47">
        <v>44267</v>
      </c>
      <c r="I2103" s="46">
        <v>52092</v>
      </c>
      <c r="J2103" s="46">
        <v>2</v>
      </c>
      <c r="K2103" s="47">
        <v>44216</v>
      </c>
      <c r="L2103" s="46">
        <v>10966</v>
      </c>
      <c r="M2103" s="46">
        <v>2</v>
      </c>
    </row>
    <row r="2104" spans="2:13" ht="14.1" customHeight="1" x14ac:dyDescent="0.25">
      <c r="B2104" s="46" t="str">
        <f t="shared" si="32"/>
        <v>2101-178-304877</v>
      </c>
      <c r="C2104" s="47">
        <v>44216</v>
      </c>
      <c r="D2104" s="46">
        <v>178</v>
      </c>
      <c r="E2104" s="46">
        <v>1</v>
      </c>
      <c r="F2104" s="46">
        <v>304877</v>
      </c>
      <c r="G2104" s="48" t="s">
        <v>1897</v>
      </c>
      <c r="H2104" s="47">
        <v>44267</v>
      </c>
      <c r="I2104" s="46">
        <v>52092</v>
      </c>
      <c r="J2104" s="46">
        <v>1</v>
      </c>
      <c r="K2104" s="47">
        <v>44216</v>
      </c>
      <c r="L2104" s="46">
        <v>10966</v>
      </c>
      <c r="M2104" s="46">
        <v>1</v>
      </c>
    </row>
    <row r="2105" spans="2:13" ht="14.1" customHeight="1" x14ac:dyDescent="0.25">
      <c r="B2105" s="46" t="str">
        <f t="shared" si="32"/>
        <v>2101-178-206284</v>
      </c>
      <c r="C2105" s="47">
        <v>44216</v>
      </c>
      <c r="D2105" s="46">
        <v>178</v>
      </c>
      <c r="E2105" s="46">
        <v>1</v>
      </c>
      <c r="F2105" s="46">
        <v>206284</v>
      </c>
      <c r="G2105" s="48" t="s">
        <v>1892</v>
      </c>
      <c r="H2105" s="47">
        <v>44267</v>
      </c>
      <c r="I2105" s="46">
        <v>52092</v>
      </c>
      <c r="J2105" s="46">
        <v>1</v>
      </c>
      <c r="K2105" s="47">
        <v>44216</v>
      </c>
      <c r="L2105" s="46">
        <v>10966</v>
      </c>
      <c r="M2105" s="46">
        <v>1</v>
      </c>
    </row>
    <row r="2106" spans="2:13" ht="14.1" customHeight="1" x14ac:dyDescent="0.25">
      <c r="B2106" s="46" t="str">
        <f t="shared" si="32"/>
        <v>2101-178-311865</v>
      </c>
      <c r="C2106" s="47">
        <v>44216</v>
      </c>
      <c r="D2106" s="46">
        <v>178</v>
      </c>
      <c r="E2106" s="46">
        <v>1</v>
      </c>
      <c r="F2106" s="46">
        <v>311865</v>
      </c>
      <c r="G2106" s="48" t="s">
        <v>1136</v>
      </c>
      <c r="H2106" s="47">
        <v>44267</v>
      </c>
      <c r="I2106" s="46">
        <v>52092</v>
      </c>
      <c r="J2106" s="46">
        <v>1</v>
      </c>
      <c r="K2106" s="47">
        <v>44216</v>
      </c>
      <c r="L2106" s="46">
        <v>10966</v>
      </c>
      <c r="M2106" s="46">
        <v>1</v>
      </c>
    </row>
    <row r="2107" spans="2:13" ht="14.1" customHeight="1" x14ac:dyDescent="0.25">
      <c r="B2107" s="46" t="str">
        <f t="shared" si="32"/>
        <v>2101-178-205227</v>
      </c>
      <c r="C2107" s="47">
        <v>44216</v>
      </c>
      <c r="D2107" s="46">
        <v>178</v>
      </c>
      <c r="E2107" s="46">
        <v>1</v>
      </c>
      <c r="F2107" s="46">
        <v>205227</v>
      </c>
      <c r="G2107" s="48" t="s">
        <v>1895</v>
      </c>
      <c r="H2107" s="47">
        <v>44267</v>
      </c>
      <c r="I2107" s="46">
        <v>52092</v>
      </c>
      <c r="J2107" s="46">
        <v>1</v>
      </c>
      <c r="K2107" s="47">
        <v>44216</v>
      </c>
      <c r="L2107" s="46">
        <v>10966</v>
      </c>
      <c r="M2107" s="46">
        <v>1</v>
      </c>
    </row>
    <row r="2108" spans="2:13" ht="14.1" customHeight="1" x14ac:dyDescent="0.25">
      <c r="B2108" s="46" t="str">
        <f t="shared" si="32"/>
        <v>2101-179-317963</v>
      </c>
      <c r="C2108" s="47">
        <v>44216</v>
      </c>
      <c r="D2108" s="46">
        <v>179</v>
      </c>
      <c r="E2108" s="46">
        <v>6</v>
      </c>
      <c r="F2108" s="46">
        <v>317963</v>
      </c>
      <c r="G2108" s="48" t="s">
        <v>1898</v>
      </c>
      <c r="H2108" s="47">
        <v>44267</v>
      </c>
      <c r="I2108" s="46">
        <v>52093</v>
      </c>
      <c r="J2108" s="46">
        <v>6</v>
      </c>
      <c r="K2108" s="47">
        <v>44216</v>
      </c>
      <c r="L2108" s="46">
        <v>10967</v>
      </c>
      <c r="M2108" s="46">
        <v>6</v>
      </c>
    </row>
    <row r="2109" spans="2:13" ht="14.1" customHeight="1" x14ac:dyDescent="0.25">
      <c r="B2109" s="46" t="str">
        <f t="shared" si="32"/>
        <v>2101-179-314776</v>
      </c>
      <c r="C2109" s="47">
        <v>44216</v>
      </c>
      <c r="D2109" s="46">
        <v>179</v>
      </c>
      <c r="E2109" s="46">
        <v>1</v>
      </c>
      <c r="F2109" s="46">
        <v>314776</v>
      </c>
      <c r="G2109" s="50" t="s">
        <v>1901</v>
      </c>
      <c r="H2109" s="47">
        <v>44267</v>
      </c>
      <c r="I2109" s="46">
        <v>52093</v>
      </c>
      <c r="J2109" s="46">
        <v>1</v>
      </c>
      <c r="K2109" s="47">
        <v>44216</v>
      </c>
      <c r="L2109" s="46">
        <v>10967</v>
      </c>
      <c r="M2109" s="46">
        <v>1</v>
      </c>
    </row>
    <row r="2110" spans="2:13" ht="14.1" customHeight="1" x14ac:dyDescent="0.25">
      <c r="B2110" s="46" t="str">
        <f t="shared" si="32"/>
        <v>2101-179-105389</v>
      </c>
      <c r="C2110" s="47">
        <v>44216</v>
      </c>
      <c r="D2110" s="46">
        <v>179</v>
      </c>
      <c r="E2110" s="46">
        <v>2</v>
      </c>
      <c r="F2110" s="46">
        <v>105389</v>
      </c>
      <c r="G2110" s="48" t="s">
        <v>1899</v>
      </c>
      <c r="H2110" s="47">
        <v>44267</v>
      </c>
      <c r="I2110" s="46">
        <v>52093</v>
      </c>
      <c r="J2110" s="46">
        <v>2</v>
      </c>
      <c r="K2110" s="47">
        <v>44216</v>
      </c>
      <c r="L2110" s="46">
        <v>10967</v>
      </c>
      <c r="M2110" s="46">
        <v>2</v>
      </c>
    </row>
    <row r="2111" spans="2:13" ht="14.1" customHeight="1" x14ac:dyDescent="0.25">
      <c r="B2111" s="46" t="str">
        <f t="shared" si="32"/>
        <v>2101-179-318950</v>
      </c>
      <c r="C2111" s="47">
        <v>44216</v>
      </c>
      <c r="D2111" s="46">
        <v>179</v>
      </c>
      <c r="E2111" s="46">
        <v>2</v>
      </c>
      <c r="F2111" s="46">
        <v>318950</v>
      </c>
      <c r="G2111" s="48" t="s">
        <v>1900</v>
      </c>
      <c r="H2111" s="47">
        <v>44267</v>
      </c>
      <c r="I2111" s="46">
        <v>52093</v>
      </c>
      <c r="J2111" s="46">
        <v>2</v>
      </c>
      <c r="K2111" s="47">
        <v>44216</v>
      </c>
      <c r="L2111" s="46">
        <v>10967</v>
      </c>
      <c r="M2111" s="46">
        <v>2</v>
      </c>
    </row>
    <row r="2112" spans="2:13" ht="14.1" customHeight="1" x14ac:dyDescent="0.25">
      <c r="B2112" s="46" t="str">
        <f t="shared" si="32"/>
        <v>2101-187-101778</v>
      </c>
      <c r="C2112" s="47">
        <v>44217</v>
      </c>
      <c r="D2112" s="46">
        <v>187</v>
      </c>
      <c r="E2112" s="46">
        <v>15</v>
      </c>
      <c r="F2112" s="46">
        <v>101778</v>
      </c>
      <c r="G2112" s="48" t="s">
        <v>1470</v>
      </c>
      <c r="H2112" s="47">
        <v>44236</v>
      </c>
      <c r="I2112" s="46">
        <v>51581</v>
      </c>
      <c r="J2112" s="46">
        <v>15</v>
      </c>
      <c r="K2112" s="47">
        <v>44252</v>
      </c>
      <c r="L2112" s="46">
        <v>11339</v>
      </c>
      <c r="M2112" s="46">
        <v>15</v>
      </c>
    </row>
    <row r="2113" spans="2:13" ht="14.1" customHeight="1" x14ac:dyDescent="0.25">
      <c r="B2113" s="46" t="str">
        <f t="shared" si="32"/>
        <v>2101-187-311888</v>
      </c>
      <c r="C2113" s="47">
        <v>44217</v>
      </c>
      <c r="D2113" s="46">
        <v>187</v>
      </c>
      <c r="E2113" s="46">
        <v>30</v>
      </c>
      <c r="F2113" s="46">
        <v>311888</v>
      </c>
      <c r="G2113" s="48" t="s">
        <v>42</v>
      </c>
      <c r="H2113" s="47">
        <v>44230</v>
      </c>
      <c r="I2113" s="46">
        <v>51467</v>
      </c>
      <c r="J2113" s="46">
        <v>30</v>
      </c>
      <c r="K2113" s="47">
        <v>44257</v>
      </c>
      <c r="L2113" s="46">
        <v>11379</v>
      </c>
      <c r="M2113" s="46">
        <v>30</v>
      </c>
    </row>
    <row r="2114" spans="2:13" ht="14.1" customHeight="1" x14ac:dyDescent="0.25">
      <c r="B2114" s="46" t="str">
        <f t="shared" si="32"/>
        <v>2101-187-107504</v>
      </c>
      <c r="C2114" s="47">
        <v>44217</v>
      </c>
      <c r="D2114" s="46">
        <v>187</v>
      </c>
      <c r="E2114" s="46">
        <v>15</v>
      </c>
      <c r="F2114" s="46">
        <v>107504</v>
      </c>
      <c r="G2114" s="48" t="s">
        <v>1471</v>
      </c>
      <c r="H2114" s="47">
        <v>44236</v>
      </c>
      <c r="I2114" s="46">
        <v>51581</v>
      </c>
      <c r="J2114" s="46">
        <v>15</v>
      </c>
      <c r="K2114" s="47">
        <v>44252</v>
      </c>
      <c r="L2114" s="46">
        <v>11339</v>
      </c>
      <c r="M2114" s="46">
        <v>15</v>
      </c>
    </row>
    <row r="2115" spans="2:13" ht="14.1" customHeight="1" x14ac:dyDescent="0.25">
      <c r="B2115" s="46" t="str">
        <f t="shared" si="32"/>
        <v>2101-187-301708</v>
      </c>
      <c r="C2115" s="47">
        <v>44217</v>
      </c>
      <c r="D2115" s="46">
        <v>187</v>
      </c>
      <c r="E2115" s="46">
        <v>300</v>
      </c>
      <c r="F2115" s="46">
        <v>301708</v>
      </c>
      <c r="G2115" s="48" t="s">
        <v>347</v>
      </c>
      <c r="H2115" s="47">
        <v>44236</v>
      </c>
      <c r="I2115" s="46">
        <v>51581</v>
      </c>
      <c r="J2115" s="46">
        <v>300</v>
      </c>
      <c r="K2115" s="47">
        <v>44252</v>
      </c>
      <c r="L2115" s="46">
        <v>11339</v>
      </c>
      <c r="M2115" s="46">
        <v>300</v>
      </c>
    </row>
    <row r="2116" spans="2:13" ht="14.1" customHeight="1" x14ac:dyDescent="0.25">
      <c r="B2116" s="46" t="str">
        <f t="shared" si="32"/>
        <v>2101-187-300796</v>
      </c>
      <c r="C2116" s="47">
        <v>44217</v>
      </c>
      <c r="D2116" s="46">
        <v>187</v>
      </c>
      <c r="E2116" s="46">
        <v>5</v>
      </c>
      <c r="F2116" s="46">
        <v>300796</v>
      </c>
      <c r="G2116" s="50" t="s">
        <v>608</v>
      </c>
      <c r="I2116" s="46">
        <v>0</v>
      </c>
      <c r="J2116" s="46">
        <v>0</v>
      </c>
      <c r="L2116" s="46">
        <v>0</v>
      </c>
      <c r="M2116" s="46">
        <v>0</v>
      </c>
    </row>
    <row r="2117" spans="2:13" ht="14.1" customHeight="1" x14ac:dyDescent="0.25">
      <c r="B2117" s="46" t="str">
        <f t="shared" si="32"/>
        <v>2101-187-313869</v>
      </c>
      <c r="C2117" s="47">
        <v>44217</v>
      </c>
      <c r="D2117" s="46">
        <v>187</v>
      </c>
      <c r="E2117" s="46">
        <v>300</v>
      </c>
      <c r="F2117" s="46">
        <v>313869</v>
      </c>
      <c r="G2117" s="48" t="s">
        <v>842</v>
      </c>
      <c r="H2117" s="47">
        <v>44236</v>
      </c>
      <c r="I2117" s="46">
        <v>51581</v>
      </c>
      <c r="J2117" s="46">
        <v>300</v>
      </c>
      <c r="K2117" s="47">
        <v>44252</v>
      </c>
      <c r="L2117" s="46">
        <v>11339</v>
      </c>
      <c r="M2117" s="46">
        <v>300</v>
      </c>
    </row>
    <row r="2118" spans="2:13" ht="14.1" customHeight="1" x14ac:dyDescent="0.25">
      <c r="B2118" s="46" t="str">
        <f t="shared" si="32"/>
        <v>2101-187-319327</v>
      </c>
      <c r="C2118" s="47">
        <v>44217</v>
      </c>
      <c r="D2118" s="46">
        <v>187</v>
      </c>
      <c r="E2118" s="46">
        <v>8</v>
      </c>
      <c r="F2118" s="46">
        <v>319327</v>
      </c>
      <c r="G2118" s="48" t="s">
        <v>80</v>
      </c>
      <c r="H2118" s="47">
        <v>44230</v>
      </c>
      <c r="I2118" s="46">
        <v>51459</v>
      </c>
      <c r="J2118" s="46">
        <v>8</v>
      </c>
      <c r="K2118" s="47">
        <v>44231</v>
      </c>
      <c r="L2118" s="46">
        <v>11107</v>
      </c>
      <c r="M2118" s="46">
        <v>5</v>
      </c>
    </row>
    <row r="2119" spans="2:13" ht="14.1" customHeight="1" x14ac:dyDescent="0.25">
      <c r="B2119" s="46" t="str">
        <f t="shared" si="32"/>
        <v>2101-187-319327</v>
      </c>
      <c r="C2119" s="47">
        <v>44217</v>
      </c>
      <c r="D2119" s="46">
        <v>187</v>
      </c>
      <c r="E2119" s="46">
        <v>8</v>
      </c>
      <c r="F2119" s="46">
        <v>319327</v>
      </c>
      <c r="G2119" s="48" t="s">
        <v>80</v>
      </c>
      <c r="H2119" s="47">
        <v>44230</v>
      </c>
      <c r="I2119" s="46">
        <v>51459</v>
      </c>
      <c r="J2119" s="46">
        <v>8</v>
      </c>
      <c r="K2119" s="47">
        <v>44243</v>
      </c>
      <c r="L2119" s="46">
        <v>11201</v>
      </c>
      <c r="M2119" s="46">
        <v>3</v>
      </c>
    </row>
    <row r="2120" spans="2:13" ht="14.1" customHeight="1" x14ac:dyDescent="0.25">
      <c r="B2120" s="46" t="str">
        <f t="shared" si="32"/>
        <v>2101-187-106047</v>
      </c>
      <c r="C2120" s="47">
        <v>44217</v>
      </c>
      <c r="D2120" s="46">
        <v>187</v>
      </c>
      <c r="E2120" s="46">
        <v>300</v>
      </c>
      <c r="F2120" s="46">
        <v>106047</v>
      </c>
      <c r="G2120" s="48" t="s">
        <v>450</v>
      </c>
      <c r="H2120" s="47">
        <v>44236</v>
      </c>
      <c r="I2120" s="46">
        <v>51581</v>
      </c>
      <c r="J2120" s="46">
        <v>300</v>
      </c>
      <c r="K2120" s="47">
        <v>44252</v>
      </c>
      <c r="L2120" s="46">
        <v>11339</v>
      </c>
      <c r="M2120" s="46">
        <v>300</v>
      </c>
    </row>
    <row r="2121" spans="2:13" ht="14.1" customHeight="1" x14ac:dyDescent="0.25">
      <c r="B2121" s="46" t="str">
        <f t="shared" si="32"/>
        <v>2101-187-309256</v>
      </c>
      <c r="C2121" s="47">
        <v>44217</v>
      </c>
      <c r="D2121" s="46">
        <v>187</v>
      </c>
      <c r="E2121" s="46">
        <v>15</v>
      </c>
      <c r="F2121" s="46">
        <v>309256</v>
      </c>
      <c r="G2121" s="48" t="s">
        <v>1472</v>
      </c>
      <c r="H2121" s="47">
        <v>44236</v>
      </c>
      <c r="I2121" s="46">
        <v>51581</v>
      </c>
      <c r="J2121" s="46">
        <v>15</v>
      </c>
      <c r="K2121" s="47">
        <v>44252</v>
      </c>
      <c r="L2121" s="46">
        <v>11339</v>
      </c>
      <c r="M2121" s="46">
        <v>15</v>
      </c>
    </row>
    <row r="2122" spans="2:13" ht="14.1" customHeight="1" x14ac:dyDescent="0.25">
      <c r="B2122" s="46" t="str">
        <f t="shared" si="32"/>
        <v>2101-189-300863</v>
      </c>
      <c r="C2122" s="47">
        <v>44218</v>
      </c>
      <c r="D2122" s="46">
        <v>189</v>
      </c>
      <c r="E2122" s="46">
        <v>30</v>
      </c>
      <c r="F2122" s="46">
        <v>300863</v>
      </c>
      <c r="G2122" s="48" t="s">
        <v>1473</v>
      </c>
      <c r="H2122" s="47">
        <v>44218</v>
      </c>
      <c r="I2122" s="46">
        <v>51318</v>
      </c>
      <c r="J2122" s="46">
        <v>30</v>
      </c>
      <c r="K2122" s="47">
        <v>44221</v>
      </c>
      <c r="L2122" s="46">
        <v>10986</v>
      </c>
      <c r="M2122" s="46">
        <v>30</v>
      </c>
    </row>
    <row r="2123" spans="2:13" ht="14.1" customHeight="1" x14ac:dyDescent="0.25">
      <c r="B2123" s="46" t="str">
        <f t="shared" si="32"/>
        <v>2101-190-206140</v>
      </c>
      <c r="C2123" s="47">
        <v>44218</v>
      </c>
      <c r="D2123" s="46">
        <v>190</v>
      </c>
      <c r="E2123" s="46">
        <v>1</v>
      </c>
      <c r="F2123" s="46">
        <v>206140</v>
      </c>
      <c r="G2123" s="48" t="s">
        <v>1474</v>
      </c>
      <c r="H2123" s="47">
        <v>44252</v>
      </c>
      <c r="I2123" s="46">
        <v>51858</v>
      </c>
      <c r="J2123" s="46">
        <v>1</v>
      </c>
      <c r="K2123" s="47">
        <v>44260</v>
      </c>
      <c r="L2123" s="46">
        <v>11418</v>
      </c>
      <c r="M2123" s="46">
        <v>1</v>
      </c>
    </row>
    <row r="2124" spans="2:13" ht="14.1" customHeight="1" x14ac:dyDescent="0.25">
      <c r="B2124" s="46" t="str">
        <f t="shared" ref="B2124:B2187" si="33">TEXT(C2124,"yy") &amp; TEXT(C2124,"mm") &amp;"-"&amp;(D2124) &amp;"-"&amp;(F2124)</f>
        <v>2101-191-319998</v>
      </c>
      <c r="C2124" s="47">
        <v>44218</v>
      </c>
      <c r="D2124" s="46">
        <v>191</v>
      </c>
      <c r="E2124" s="46">
        <v>2</v>
      </c>
      <c r="F2124" s="46">
        <v>319998</v>
      </c>
      <c r="G2124" s="48" t="s">
        <v>942</v>
      </c>
      <c r="H2124" s="47">
        <v>44258</v>
      </c>
      <c r="I2124" s="46">
        <v>51970</v>
      </c>
      <c r="J2124" s="46">
        <v>2</v>
      </c>
      <c r="K2124" s="47">
        <v>44260</v>
      </c>
      <c r="L2124" s="46">
        <v>11416</v>
      </c>
      <c r="M2124" s="46">
        <v>2</v>
      </c>
    </row>
    <row r="2125" spans="2:13" ht="14.1" customHeight="1" x14ac:dyDescent="0.25">
      <c r="B2125" s="46" t="str">
        <f t="shared" si="33"/>
        <v>2101-191-320445</v>
      </c>
      <c r="C2125" s="47">
        <v>44218</v>
      </c>
      <c r="D2125" s="46">
        <v>191</v>
      </c>
      <c r="E2125" s="46">
        <v>2</v>
      </c>
      <c r="F2125" s="46">
        <v>320445</v>
      </c>
      <c r="G2125" s="48" t="s">
        <v>1069</v>
      </c>
      <c r="H2125" s="47">
        <v>44258</v>
      </c>
      <c r="I2125" s="46">
        <v>51976</v>
      </c>
      <c r="J2125" s="46">
        <v>2</v>
      </c>
      <c r="K2125" s="47">
        <v>44260</v>
      </c>
      <c r="L2125" s="46">
        <v>11417</v>
      </c>
      <c r="M2125" s="46">
        <v>2</v>
      </c>
    </row>
    <row r="2126" spans="2:13" ht="14.1" customHeight="1" x14ac:dyDescent="0.25">
      <c r="B2126" s="46" t="str">
        <f t="shared" si="33"/>
        <v>2101-192-205459</v>
      </c>
      <c r="C2126" s="47">
        <v>44218</v>
      </c>
      <c r="D2126" s="46">
        <v>192</v>
      </c>
      <c r="E2126" s="46">
        <v>2</v>
      </c>
      <c r="F2126" s="46">
        <v>205459</v>
      </c>
      <c r="G2126" s="48" t="s">
        <v>1475</v>
      </c>
      <c r="H2126" s="47">
        <v>44222</v>
      </c>
      <c r="I2126" s="46">
        <v>51378</v>
      </c>
      <c r="J2126" s="46">
        <v>2</v>
      </c>
      <c r="K2126" s="47">
        <v>44225</v>
      </c>
      <c r="L2126" s="46">
        <v>11047</v>
      </c>
      <c r="M2126" s="46">
        <v>2</v>
      </c>
    </row>
    <row r="2127" spans="2:13" ht="14.1" customHeight="1" x14ac:dyDescent="0.25">
      <c r="B2127" s="46" t="str">
        <f t="shared" si="33"/>
        <v>2101-192-320689</v>
      </c>
      <c r="C2127" s="47">
        <v>44218</v>
      </c>
      <c r="D2127" s="46">
        <v>192</v>
      </c>
      <c r="E2127" s="46">
        <v>1</v>
      </c>
      <c r="F2127" s="46">
        <v>320689</v>
      </c>
      <c r="G2127" s="48" t="s">
        <v>1476</v>
      </c>
      <c r="H2127" s="47">
        <v>44222</v>
      </c>
      <c r="I2127" s="46">
        <v>51378</v>
      </c>
      <c r="J2127" s="46">
        <v>1</v>
      </c>
      <c r="K2127" s="47">
        <v>44225</v>
      </c>
      <c r="L2127" s="46">
        <v>11047</v>
      </c>
      <c r="M2127" s="46">
        <v>1</v>
      </c>
    </row>
    <row r="2128" spans="2:13" ht="14.1" customHeight="1" x14ac:dyDescent="0.25">
      <c r="B2128" s="46" t="str">
        <f t="shared" si="33"/>
        <v>2101-193-205458</v>
      </c>
      <c r="C2128" s="47">
        <v>44218</v>
      </c>
      <c r="D2128" s="46">
        <v>193</v>
      </c>
      <c r="E2128" s="46">
        <v>1</v>
      </c>
      <c r="F2128" s="46">
        <v>205458</v>
      </c>
      <c r="G2128" s="48" t="s">
        <v>317</v>
      </c>
      <c r="H2128" s="47">
        <v>44222</v>
      </c>
      <c r="I2128" s="46">
        <v>51378</v>
      </c>
      <c r="J2128" s="46">
        <v>1</v>
      </c>
      <c r="K2128" s="47">
        <v>44225</v>
      </c>
      <c r="L2128" s="46">
        <v>11049</v>
      </c>
      <c r="M2128" s="46">
        <v>1</v>
      </c>
    </row>
    <row r="2129" spans="2:13" ht="14.1" customHeight="1" x14ac:dyDescent="0.25">
      <c r="B2129" s="46" t="str">
        <f t="shared" si="33"/>
        <v>2101-193-320690</v>
      </c>
      <c r="C2129" s="47">
        <v>44218</v>
      </c>
      <c r="D2129" s="46">
        <v>193</v>
      </c>
      <c r="E2129" s="46">
        <v>1</v>
      </c>
      <c r="F2129" s="46">
        <v>320690</v>
      </c>
      <c r="G2129" s="48" t="s">
        <v>1477</v>
      </c>
      <c r="H2129" s="47">
        <v>44222</v>
      </c>
      <c r="I2129" s="46">
        <v>51378</v>
      </c>
      <c r="J2129" s="46">
        <v>1</v>
      </c>
      <c r="K2129" s="47">
        <v>44225</v>
      </c>
      <c r="L2129" s="46">
        <v>11049</v>
      </c>
      <c r="M2129" s="46">
        <v>1</v>
      </c>
    </row>
    <row r="2130" spans="2:13" ht="14.1" customHeight="1" x14ac:dyDescent="0.25">
      <c r="B2130" s="46" t="str">
        <f t="shared" si="33"/>
        <v>2101-193-318241</v>
      </c>
      <c r="C2130" s="47">
        <v>44218</v>
      </c>
      <c r="D2130" s="46">
        <v>193</v>
      </c>
      <c r="E2130" s="46">
        <v>24</v>
      </c>
      <c r="F2130" s="46">
        <v>318241</v>
      </c>
      <c r="G2130" s="48" t="s">
        <v>1479</v>
      </c>
      <c r="H2130" s="47">
        <v>44222</v>
      </c>
      <c r="I2130" s="46">
        <v>51379</v>
      </c>
      <c r="J2130" s="46">
        <v>24</v>
      </c>
      <c r="K2130" s="47">
        <v>44230</v>
      </c>
      <c r="L2130" s="46">
        <v>11087</v>
      </c>
      <c r="M2130" s="46">
        <v>24</v>
      </c>
    </row>
    <row r="2131" spans="2:13" ht="14.1" customHeight="1" x14ac:dyDescent="0.25">
      <c r="B2131" s="46" t="str">
        <f t="shared" si="33"/>
        <v>2101-193-320692</v>
      </c>
      <c r="C2131" s="47">
        <v>44218</v>
      </c>
      <c r="D2131" s="46">
        <v>193</v>
      </c>
      <c r="E2131" s="46">
        <v>2</v>
      </c>
      <c r="F2131" s="46">
        <v>320692</v>
      </c>
      <c r="G2131" s="48" t="s">
        <v>1480</v>
      </c>
      <c r="H2131" s="47">
        <v>44222</v>
      </c>
      <c r="I2131" s="46">
        <v>51379</v>
      </c>
      <c r="J2131" s="46">
        <v>2</v>
      </c>
      <c r="K2131" s="47">
        <v>44230</v>
      </c>
      <c r="L2131" s="46">
        <v>11087</v>
      </c>
      <c r="M2131" s="46">
        <v>2</v>
      </c>
    </row>
    <row r="2132" spans="2:13" ht="14.1" customHeight="1" x14ac:dyDescent="0.25">
      <c r="B2132" s="46" t="str">
        <f t="shared" si="33"/>
        <v>2101-193-320693</v>
      </c>
      <c r="C2132" s="47">
        <v>44218</v>
      </c>
      <c r="D2132" s="46">
        <v>193</v>
      </c>
      <c r="E2132" s="46">
        <v>2</v>
      </c>
      <c r="F2132" s="46">
        <v>320693</v>
      </c>
      <c r="G2132" s="48" t="s">
        <v>1481</v>
      </c>
      <c r="H2132" s="47">
        <v>44222</v>
      </c>
      <c r="I2132" s="46">
        <v>51379</v>
      </c>
      <c r="J2132" s="46">
        <v>2</v>
      </c>
      <c r="K2132" s="47">
        <v>44230</v>
      </c>
      <c r="L2132" s="46">
        <v>11087</v>
      </c>
      <c r="M2132" s="46">
        <v>2</v>
      </c>
    </row>
    <row r="2133" spans="2:13" ht="14.1" customHeight="1" x14ac:dyDescent="0.25">
      <c r="B2133" s="46" t="str">
        <f t="shared" si="33"/>
        <v>2101-193-320691</v>
      </c>
      <c r="C2133" s="47">
        <v>44218</v>
      </c>
      <c r="D2133" s="46">
        <v>193</v>
      </c>
      <c r="E2133" s="46">
        <v>1</v>
      </c>
      <c r="F2133" s="46">
        <v>320691</v>
      </c>
      <c r="G2133" s="48" t="s">
        <v>1478</v>
      </c>
      <c r="H2133" s="47">
        <v>44222</v>
      </c>
      <c r="I2133" s="46">
        <v>51378</v>
      </c>
      <c r="J2133" s="46">
        <v>1</v>
      </c>
      <c r="K2133" s="47">
        <v>44225</v>
      </c>
      <c r="L2133" s="46">
        <v>11049</v>
      </c>
      <c r="M2133" s="46">
        <v>1</v>
      </c>
    </row>
    <row r="2134" spans="2:13" ht="14.1" customHeight="1" x14ac:dyDescent="0.25">
      <c r="B2134" s="46" t="str">
        <f t="shared" si="33"/>
        <v>2101-194-319359</v>
      </c>
      <c r="C2134" s="47">
        <v>44221</v>
      </c>
      <c r="D2134" s="46">
        <v>194</v>
      </c>
      <c r="E2134" s="46">
        <v>10000</v>
      </c>
      <c r="F2134" s="46">
        <v>319359</v>
      </c>
      <c r="G2134" s="48" t="s">
        <v>210</v>
      </c>
      <c r="H2134" s="47">
        <v>44231</v>
      </c>
      <c r="I2134" s="46">
        <v>51498</v>
      </c>
      <c r="J2134" s="46">
        <v>10000</v>
      </c>
      <c r="K2134" s="47">
        <v>44224</v>
      </c>
      <c r="L2134" s="46">
        <v>11037</v>
      </c>
      <c r="M2134" s="46">
        <v>10000</v>
      </c>
    </row>
    <row r="2135" spans="2:13" ht="14.1" customHeight="1" x14ac:dyDescent="0.25">
      <c r="B2135" s="46" t="str">
        <f t="shared" si="33"/>
        <v>2101-195-311802</v>
      </c>
      <c r="C2135" s="47">
        <v>44221</v>
      </c>
      <c r="D2135" s="46">
        <v>195</v>
      </c>
      <c r="E2135" s="46">
        <v>100</v>
      </c>
      <c r="F2135" s="46">
        <v>311802</v>
      </c>
      <c r="G2135" s="48" t="s">
        <v>1482</v>
      </c>
      <c r="H2135" s="47">
        <v>44221</v>
      </c>
      <c r="I2135" s="46">
        <v>51349</v>
      </c>
      <c r="J2135" s="46">
        <v>100</v>
      </c>
      <c r="K2135" s="47">
        <v>44225</v>
      </c>
      <c r="L2135" s="46">
        <v>11042</v>
      </c>
      <c r="M2135" s="46">
        <v>100</v>
      </c>
    </row>
    <row r="2136" spans="2:13" ht="14.1" customHeight="1" x14ac:dyDescent="0.25">
      <c r="B2136" s="46" t="str">
        <f t="shared" si="33"/>
        <v>2101-203-318200</v>
      </c>
      <c r="C2136" s="47">
        <v>44222</v>
      </c>
      <c r="D2136" s="46">
        <v>203</v>
      </c>
      <c r="E2136" s="46">
        <v>10</v>
      </c>
      <c r="F2136" s="46">
        <v>318200</v>
      </c>
      <c r="G2136" s="48" t="s">
        <v>1486</v>
      </c>
      <c r="I2136" s="46">
        <v>0</v>
      </c>
      <c r="J2136" s="46">
        <v>0</v>
      </c>
      <c r="L2136" s="46">
        <v>0</v>
      </c>
      <c r="M2136" s="46">
        <v>0</v>
      </c>
    </row>
    <row r="2137" spans="2:13" ht="14.1" customHeight="1" x14ac:dyDescent="0.25">
      <c r="B2137" s="46" t="str">
        <f t="shared" si="33"/>
        <v>2101-203-203639</v>
      </c>
      <c r="C2137" s="47">
        <v>44222</v>
      </c>
      <c r="D2137" s="46">
        <v>203</v>
      </c>
      <c r="E2137" s="46">
        <v>2</v>
      </c>
      <c r="F2137" s="46">
        <v>203639</v>
      </c>
      <c r="G2137" s="48" t="s">
        <v>266</v>
      </c>
      <c r="I2137" s="46">
        <v>0</v>
      </c>
      <c r="J2137" s="46">
        <v>0</v>
      </c>
      <c r="L2137" s="46">
        <v>0</v>
      </c>
      <c r="M2137" s="46">
        <v>0</v>
      </c>
    </row>
    <row r="2138" spans="2:13" ht="14.1" customHeight="1" x14ac:dyDescent="0.25">
      <c r="B2138" s="46" t="str">
        <f t="shared" si="33"/>
        <v>2101-203-205957</v>
      </c>
      <c r="C2138" s="47">
        <v>44222</v>
      </c>
      <c r="D2138" s="46">
        <v>203</v>
      </c>
      <c r="E2138" s="46">
        <v>12</v>
      </c>
      <c r="F2138" s="46">
        <v>205957</v>
      </c>
      <c r="G2138" s="48" t="s">
        <v>43</v>
      </c>
      <c r="I2138" s="46">
        <v>0</v>
      </c>
      <c r="J2138" s="46">
        <v>0</v>
      </c>
      <c r="L2138" s="46">
        <v>0</v>
      </c>
      <c r="M2138" s="46">
        <v>0</v>
      </c>
    </row>
    <row r="2139" spans="2:13" ht="14.1" customHeight="1" x14ac:dyDescent="0.25">
      <c r="B2139" s="46" t="str">
        <f t="shared" si="33"/>
        <v>2101-203-300331</v>
      </c>
      <c r="C2139" s="47">
        <v>44222</v>
      </c>
      <c r="D2139" s="46">
        <v>203</v>
      </c>
      <c r="E2139" s="46">
        <v>12</v>
      </c>
      <c r="F2139" s="46">
        <v>300331</v>
      </c>
      <c r="G2139" s="48" t="s">
        <v>293</v>
      </c>
      <c r="I2139" s="46">
        <v>0</v>
      </c>
      <c r="J2139" s="46">
        <v>0</v>
      </c>
      <c r="L2139" s="46">
        <v>0</v>
      </c>
      <c r="M2139" s="46">
        <v>0</v>
      </c>
    </row>
    <row r="2140" spans="2:13" ht="14.1" customHeight="1" x14ac:dyDescent="0.25">
      <c r="B2140" s="46" t="str">
        <f t="shared" si="33"/>
        <v>2101-203-320702</v>
      </c>
      <c r="C2140" s="47">
        <v>44222</v>
      </c>
      <c r="D2140" s="46">
        <v>203</v>
      </c>
      <c r="E2140" s="46">
        <v>250</v>
      </c>
      <c r="F2140" s="46">
        <v>320702</v>
      </c>
      <c r="G2140" s="48" t="s">
        <v>1487</v>
      </c>
      <c r="I2140" s="46">
        <v>0</v>
      </c>
      <c r="J2140" s="46">
        <v>0</v>
      </c>
      <c r="L2140" s="46">
        <v>0</v>
      </c>
      <c r="M2140" s="46">
        <v>0</v>
      </c>
    </row>
    <row r="2141" spans="2:13" ht="14.1" customHeight="1" x14ac:dyDescent="0.25">
      <c r="B2141" s="46" t="str">
        <f t="shared" si="33"/>
        <v>2101-204-205175</v>
      </c>
      <c r="C2141" s="47">
        <v>44222</v>
      </c>
      <c r="D2141" s="46">
        <v>204</v>
      </c>
      <c r="E2141" s="46">
        <v>30</v>
      </c>
      <c r="F2141" s="46">
        <v>205175</v>
      </c>
      <c r="G2141" s="48" t="s">
        <v>208</v>
      </c>
      <c r="H2141" s="47">
        <v>44235</v>
      </c>
      <c r="I2141" s="46">
        <v>51528</v>
      </c>
      <c r="J2141" s="46">
        <v>30</v>
      </c>
      <c r="K2141" s="47">
        <v>44239</v>
      </c>
      <c r="L2141" s="46">
        <v>11183</v>
      </c>
      <c r="M2141" s="46">
        <v>30</v>
      </c>
    </row>
    <row r="2142" spans="2:13" ht="14.1" customHeight="1" x14ac:dyDescent="0.25">
      <c r="B2142" s="46" t="str">
        <f t="shared" si="33"/>
        <v>2101-204-200154</v>
      </c>
      <c r="C2142" s="47">
        <v>44222</v>
      </c>
      <c r="D2142" s="46">
        <v>204</v>
      </c>
      <c r="E2142" s="46">
        <v>30</v>
      </c>
      <c r="F2142" s="46">
        <v>200154</v>
      </c>
      <c r="G2142" s="48" t="s">
        <v>98</v>
      </c>
      <c r="H2142" s="47">
        <v>44235</v>
      </c>
      <c r="I2142" s="46">
        <v>51528</v>
      </c>
      <c r="J2142" s="46">
        <v>30</v>
      </c>
      <c r="K2142" s="47">
        <v>44239</v>
      </c>
      <c r="L2142" s="46">
        <v>11183</v>
      </c>
      <c r="M2142" s="46">
        <v>30</v>
      </c>
    </row>
    <row r="2143" spans="2:13" ht="14.1" customHeight="1" x14ac:dyDescent="0.25">
      <c r="B2143" s="46" t="str">
        <f t="shared" si="33"/>
        <v>2101-204-200226</v>
      </c>
      <c r="C2143" s="47">
        <v>44222</v>
      </c>
      <c r="D2143" s="46">
        <v>204</v>
      </c>
      <c r="E2143" s="46">
        <v>200</v>
      </c>
      <c r="F2143" s="46">
        <v>200226</v>
      </c>
      <c r="G2143" s="48" t="s">
        <v>137</v>
      </c>
      <c r="H2143" s="47">
        <v>44235</v>
      </c>
      <c r="I2143" s="46">
        <v>51529</v>
      </c>
      <c r="J2143" s="46">
        <v>200</v>
      </c>
      <c r="K2143" s="47">
        <v>44237</v>
      </c>
      <c r="L2143" s="46">
        <v>11155</v>
      </c>
      <c r="M2143" s="46">
        <v>200</v>
      </c>
    </row>
    <row r="2144" spans="2:13" ht="14.1" customHeight="1" x14ac:dyDescent="0.25">
      <c r="B2144" s="46" t="str">
        <f t="shared" si="33"/>
        <v>2101-204-303337</v>
      </c>
      <c r="C2144" s="47">
        <v>44222</v>
      </c>
      <c r="D2144" s="46">
        <v>204</v>
      </c>
      <c r="E2144" s="46">
        <v>30</v>
      </c>
      <c r="F2144" s="46">
        <v>303337</v>
      </c>
      <c r="G2144" s="48" t="s">
        <v>209</v>
      </c>
      <c r="H2144" s="47">
        <v>44235</v>
      </c>
      <c r="I2144" s="46">
        <v>51528</v>
      </c>
      <c r="J2144" s="46">
        <v>30</v>
      </c>
      <c r="K2144" s="47">
        <v>44239</v>
      </c>
      <c r="L2144" s="46">
        <v>11183</v>
      </c>
      <c r="M2144" s="46">
        <v>30</v>
      </c>
    </row>
    <row r="2145" spans="2:13" ht="14.1" customHeight="1" x14ac:dyDescent="0.25">
      <c r="B2145" s="46" t="str">
        <f t="shared" si="33"/>
        <v>2101-205-320703</v>
      </c>
      <c r="C2145" s="47">
        <v>44222</v>
      </c>
      <c r="D2145" s="46">
        <v>205</v>
      </c>
      <c r="E2145" s="46">
        <v>2</v>
      </c>
      <c r="F2145" s="46">
        <v>320703</v>
      </c>
      <c r="G2145" s="48" t="s">
        <v>1488</v>
      </c>
      <c r="I2145" s="46">
        <v>0</v>
      </c>
      <c r="J2145" s="46">
        <v>0</v>
      </c>
      <c r="L2145" s="46">
        <v>0</v>
      </c>
      <c r="M2145" s="46">
        <v>0</v>
      </c>
    </row>
    <row r="2146" spans="2:13" ht="14.1" customHeight="1" x14ac:dyDescent="0.25">
      <c r="B2146" s="46" t="str">
        <f t="shared" si="33"/>
        <v>2101-207-200667</v>
      </c>
      <c r="C2146" s="47">
        <v>44222</v>
      </c>
      <c r="D2146" s="46">
        <v>207</v>
      </c>
      <c r="E2146" s="46">
        <v>5</v>
      </c>
      <c r="F2146" s="46">
        <v>200667</v>
      </c>
      <c r="G2146" s="48" t="s">
        <v>492</v>
      </c>
      <c r="H2146" s="47">
        <v>44231</v>
      </c>
      <c r="I2146" s="46">
        <v>51499</v>
      </c>
      <c r="J2146" s="46">
        <v>5</v>
      </c>
      <c r="K2146" s="47">
        <v>44222</v>
      </c>
      <c r="L2146" s="46">
        <v>11009</v>
      </c>
      <c r="M2146" s="46">
        <v>5</v>
      </c>
    </row>
    <row r="2147" spans="2:13" ht="14.1" customHeight="1" x14ac:dyDescent="0.25">
      <c r="B2147" s="46" t="str">
        <f t="shared" si="33"/>
        <v>2101-208-300312</v>
      </c>
      <c r="C2147" s="47">
        <v>44222</v>
      </c>
      <c r="D2147" s="46">
        <v>208</v>
      </c>
      <c r="E2147" s="46">
        <v>1250</v>
      </c>
      <c r="F2147" s="46">
        <v>300312</v>
      </c>
      <c r="G2147" s="48" t="s">
        <v>186</v>
      </c>
      <c r="H2147" s="47">
        <v>44265</v>
      </c>
      <c r="I2147" s="46">
        <v>52051</v>
      </c>
      <c r="J2147" s="46">
        <v>1250</v>
      </c>
      <c r="K2147" s="47">
        <v>44222</v>
      </c>
      <c r="L2147" s="46">
        <v>11010</v>
      </c>
      <c r="M2147" s="46">
        <v>1250</v>
      </c>
    </row>
    <row r="2148" spans="2:13" ht="14.1" customHeight="1" x14ac:dyDescent="0.25">
      <c r="B2148" s="46" t="str">
        <f t="shared" si="33"/>
        <v>2101-208-313628</v>
      </c>
      <c r="C2148" s="47">
        <v>44222</v>
      </c>
      <c r="D2148" s="46">
        <v>208</v>
      </c>
      <c r="E2148" s="46">
        <v>20</v>
      </c>
      <c r="F2148" s="46">
        <v>313628</v>
      </c>
      <c r="G2148" s="48" t="s">
        <v>1489</v>
      </c>
      <c r="H2148" s="47">
        <v>44265</v>
      </c>
      <c r="I2148" s="46">
        <v>52051</v>
      </c>
      <c r="J2148" s="46">
        <v>20</v>
      </c>
      <c r="K2148" s="47">
        <v>44222</v>
      </c>
      <c r="L2148" s="46">
        <v>11010</v>
      </c>
      <c r="M2148" s="46">
        <v>20</v>
      </c>
    </row>
    <row r="2149" spans="2:13" ht="14.1" customHeight="1" x14ac:dyDescent="0.25">
      <c r="B2149" s="46" t="str">
        <f t="shared" si="33"/>
        <v>2101-208-304159</v>
      </c>
      <c r="C2149" s="47">
        <v>44222</v>
      </c>
      <c r="D2149" s="46">
        <v>208</v>
      </c>
      <c r="E2149" s="46">
        <v>900</v>
      </c>
      <c r="F2149" s="46">
        <v>304159</v>
      </c>
      <c r="G2149" s="48" t="s">
        <v>152</v>
      </c>
      <c r="H2149" s="47">
        <v>44265</v>
      </c>
      <c r="I2149" s="46">
        <v>52051</v>
      </c>
      <c r="J2149" s="46">
        <v>900</v>
      </c>
      <c r="K2149" s="47">
        <v>44222</v>
      </c>
      <c r="L2149" s="46">
        <v>11010</v>
      </c>
      <c r="M2149" s="46">
        <v>900</v>
      </c>
    </row>
    <row r="2150" spans="2:13" ht="14.1" customHeight="1" x14ac:dyDescent="0.25">
      <c r="B2150" s="46" t="str">
        <f t="shared" si="33"/>
        <v>2101-208-300311</v>
      </c>
      <c r="C2150" s="47">
        <v>44222</v>
      </c>
      <c r="D2150" s="46">
        <v>208</v>
      </c>
      <c r="E2150" s="46">
        <v>800</v>
      </c>
      <c r="F2150" s="46">
        <v>300311</v>
      </c>
      <c r="G2150" s="48" t="s">
        <v>128</v>
      </c>
      <c r="H2150" s="47">
        <v>44265</v>
      </c>
      <c r="I2150" s="46">
        <v>52051</v>
      </c>
      <c r="J2150" s="46">
        <v>800</v>
      </c>
      <c r="K2150" s="47">
        <v>44222</v>
      </c>
      <c r="L2150" s="46">
        <v>11010</v>
      </c>
      <c r="M2150" s="46">
        <v>800</v>
      </c>
    </row>
    <row r="2151" spans="2:13" ht="14.1" customHeight="1" x14ac:dyDescent="0.25">
      <c r="B2151" s="46" t="str">
        <f t="shared" si="33"/>
        <v>2101-212-200751</v>
      </c>
      <c r="C2151" s="47">
        <v>44222</v>
      </c>
      <c r="D2151" s="46">
        <v>212</v>
      </c>
      <c r="E2151" s="46">
        <v>20000</v>
      </c>
      <c r="F2151" s="46">
        <v>200751</v>
      </c>
      <c r="G2151" s="48" t="s">
        <v>151</v>
      </c>
      <c r="H2151" s="47">
        <v>44221</v>
      </c>
      <c r="I2151" s="46">
        <v>51413</v>
      </c>
      <c r="J2151" s="46">
        <v>10000</v>
      </c>
      <c r="K2151" s="47">
        <v>44222</v>
      </c>
      <c r="L2151" s="46">
        <v>11014</v>
      </c>
      <c r="M2151" s="46">
        <v>10000</v>
      </c>
    </row>
    <row r="2152" spans="2:13" ht="14.1" customHeight="1" x14ac:dyDescent="0.25">
      <c r="B2152" s="46" t="str">
        <f t="shared" si="33"/>
        <v>2101-212-200751</v>
      </c>
      <c r="C2152" s="47">
        <v>44222</v>
      </c>
      <c r="D2152" s="46">
        <v>212</v>
      </c>
      <c r="E2152" s="46">
        <v>20000</v>
      </c>
      <c r="F2152" s="46">
        <v>200751</v>
      </c>
      <c r="G2152" s="48" t="s">
        <v>151</v>
      </c>
      <c r="H2152" s="47">
        <v>44221</v>
      </c>
      <c r="I2152" s="46">
        <v>51413</v>
      </c>
      <c r="J2152" s="46">
        <v>10000</v>
      </c>
      <c r="K2152" s="47">
        <v>44222</v>
      </c>
      <c r="L2152" s="46">
        <v>11016</v>
      </c>
      <c r="M2152" s="46">
        <v>10000</v>
      </c>
    </row>
    <row r="2153" spans="2:13" ht="14.1" customHeight="1" x14ac:dyDescent="0.25">
      <c r="B2153" s="46" t="str">
        <f t="shared" si="33"/>
        <v>2101-212-200751</v>
      </c>
      <c r="C2153" s="47">
        <v>44222</v>
      </c>
      <c r="D2153" s="46">
        <v>212</v>
      </c>
      <c r="E2153" s="46">
        <v>20000</v>
      </c>
      <c r="F2153" s="46">
        <v>200751</v>
      </c>
      <c r="G2153" s="48" t="s">
        <v>151</v>
      </c>
      <c r="H2153" s="47">
        <v>44221</v>
      </c>
      <c r="I2153" s="46">
        <v>51415</v>
      </c>
      <c r="J2153" s="46">
        <v>10000</v>
      </c>
      <c r="K2153" s="47">
        <v>44222</v>
      </c>
      <c r="L2153" s="46">
        <v>11014</v>
      </c>
      <c r="M2153" s="46">
        <v>10000</v>
      </c>
    </row>
    <row r="2154" spans="2:13" ht="14.1" customHeight="1" x14ac:dyDescent="0.25">
      <c r="B2154" s="46" t="str">
        <f t="shared" si="33"/>
        <v>2101-212-200751</v>
      </c>
      <c r="C2154" s="47">
        <v>44222</v>
      </c>
      <c r="D2154" s="46">
        <v>212</v>
      </c>
      <c r="E2154" s="46">
        <v>20000</v>
      </c>
      <c r="F2154" s="46">
        <v>200751</v>
      </c>
      <c r="G2154" s="48" t="s">
        <v>151</v>
      </c>
      <c r="H2154" s="47">
        <v>44221</v>
      </c>
      <c r="I2154" s="46">
        <v>51415</v>
      </c>
      <c r="J2154" s="46">
        <v>10000</v>
      </c>
      <c r="K2154" s="47">
        <v>44222</v>
      </c>
      <c r="L2154" s="46">
        <v>11016</v>
      </c>
      <c r="M2154" s="46">
        <v>10000</v>
      </c>
    </row>
    <row r="2155" spans="2:13" ht="14.1" customHeight="1" x14ac:dyDescent="0.25">
      <c r="B2155" s="46" t="str">
        <f t="shared" si="33"/>
        <v>2101-214-312190</v>
      </c>
      <c r="C2155" s="47">
        <v>44222</v>
      </c>
      <c r="D2155" s="46">
        <v>214</v>
      </c>
      <c r="E2155" s="46">
        <v>2</v>
      </c>
      <c r="F2155" s="46">
        <v>312190</v>
      </c>
      <c r="G2155" s="48" t="s">
        <v>1491</v>
      </c>
      <c r="I2155" s="46">
        <v>0</v>
      </c>
      <c r="J2155" s="46">
        <v>0</v>
      </c>
      <c r="L2155" s="46">
        <v>0</v>
      </c>
      <c r="M2155" s="46">
        <v>0</v>
      </c>
    </row>
    <row r="2156" spans="2:13" ht="14.1" customHeight="1" x14ac:dyDescent="0.25">
      <c r="B2156" s="46" t="str">
        <f t="shared" si="33"/>
        <v>2101-214-320704</v>
      </c>
      <c r="C2156" s="47">
        <v>44222</v>
      </c>
      <c r="D2156" s="46">
        <v>214</v>
      </c>
      <c r="E2156" s="46">
        <v>2</v>
      </c>
      <c r="F2156" s="46">
        <v>320704</v>
      </c>
      <c r="G2156" s="48" t="s">
        <v>1490</v>
      </c>
      <c r="I2156" s="46">
        <v>0</v>
      </c>
      <c r="J2156" s="46">
        <v>0</v>
      </c>
      <c r="L2156" s="46">
        <v>0</v>
      </c>
      <c r="M2156" s="46">
        <v>0</v>
      </c>
    </row>
    <row r="2157" spans="2:13" ht="14.1" customHeight="1" x14ac:dyDescent="0.25">
      <c r="B2157" s="46" t="str">
        <f t="shared" si="33"/>
        <v>2101-215-205153</v>
      </c>
      <c r="C2157" s="47">
        <v>44222</v>
      </c>
      <c r="D2157" s="46">
        <v>215</v>
      </c>
      <c r="E2157" s="46">
        <v>2</v>
      </c>
      <c r="F2157" s="46">
        <v>205153</v>
      </c>
      <c r="G2157" s="48" t="s">
        <v>146</v>
      </c>
      <c r="H2157" s="47">
        <v>44231</v>
      </c>
      <c r="I2157" s="46">
        <v>51480</v>
      </c>
      <c r="J2157" s="46">
        <v>2</v>
      </c>
      <c r="K2157" s="47">
        <v>44237</v>
      </c>
      <c r="L2157" s="46">
        <v>11158</v>
      </c>
      <c r="M2157" s="46">
        <v>2</v>
      </c>
    </row>
    <row r="2158" spans="2:13" ht="14.1" customHeight="1" x14ac:dyDescent="0.25">
      <c r="B2158" s="46" t="str">
        <f t="shared" si="33"/>
        <v>2101-217-205249</v>
      </c>
      <c r="C2158" s="47">
        <v>44222</v>
      </c>
      <c r="D2158" s="46">
        <v>217</v>
      </c>
      <c r="E2158" s="46">
        <v>1</v>
      </c>
      <c r="F2158" s="46">
        <v>205249</v>
      </c>
      <c r="G2158" s="48" t="s">
        <v>1497</v>
      </c>
      <c r="H2158" s="47">
        <v>44229</v>
      </c>
      <c r="I2158" s="46">
        <v>51454</v>
      </c>
      <c r="J2158" s="46">
        <v>1</v>
      </c>
      <c r="K2158" s="47">
        <v>44236</v>
      </c>
      <c r="L2158" s="46">
        <v>11148</v>
      </c>
      <c r="M2158" s="46">
        <v>1</v>
      </c>
    </row>
    <row r="2159" spans="2:13" ht="14.1" customHeight="1" x14ac:dyDescent="0.25">
      <c r="B2159" s="46" t="str">
        <f t="shared" si="33"/>
        <v>2101-217-205483</v>
      </c>
      <c r="C2159" s="47">
        <v>44222</v>
      </c>
      <c r="D2159" s="46">
        <v>217</v>
      </c>
      <c r="E2159" s="46">
        <v>2</v>
      </c>
      <c r="F2159" s="46">
        <v>205483</v>
      </c>
      <c r="G2159" s="48" t="s">
        <v>1228</v>
      </c>
      <c r="H2159" s="47">
        <v>44229</v>
      </c>
      <c r="I2159" s="46">
        <v>51454</v>
      </c>
      <c r="J2159" s="46">
        <v>2</v>
      </c>
      <c r="K2159" s="47">
        <v>44236</v>
      </c>
      <c r="L2159" s="46">
        <v>11148</v>
      </c>
      <c r="M2159" s="46">
        <v>2</v>
      </c>
    </row>
    <row r="2160" spans="2:13" ht="14.1" customHeight="1" x14ac:dyDescent="0.25">
      <c r="B2160" s="46" t="str">
        <f t="shared" si="33"/>
        <v>2101-217-105926</v>
      </c>
      <c r="C2160" s="47">
        <v>44222</v>
      </c>
      <c r="D2160" s="46">
        <v>217</v>
      </c>
      <c r="E2160" s="46">
        <v>2</v>
      </c>
      <c r="F2160" s="46">
        <v>105926</v>
      </c>
      <c r="G2160" s="48" t="s">
        <v>446</v>
      </c>
      <c r="H2160" s="47">
        <v>44229</v>
      </c>
      <c r="I2160" s="46">
        <v>51454</v>
      </c>
      <c r="J2160" s="46">
        <v>2</v>
      </c>
      <c r="K2160" s="47">
        <v>44236</v>
      </c>
      <c r="L2160" s="46">
        <v>11148</v>
      </c>
      <c r="M2160" s="46">
        <v>2</v>
      </c>
    </row>
    <row r="2161" spans="2:13" ht="14.1" customHeight="1" x14ac:dyDescent="0.25">
      <c r="B2161" s="46" t="str">
        <f t="shared" si="33"/>
        <v>2101-217-311338</v>
      </c>
      <c r="C2161" s="47">
        <v>44222</v>
      </c>
      <c r="D2161" s="46">
        <v>217</v>
      </c>
      <c r="E2161" s="46">
        <v>7</v>
      </c>
      <c r="F2161" s="46">
        <v>311338</v>
      </c>
      <c r="G2161" s="48" t="s">
        <v>1345</v>
      </c>
      <c r="H2161" s="47">
        <v>44229</v>
      </c>
      <c r="I2161" s="46">
        <v>51454</v>
      </c>
      <c r="J2161" s="46">
        <v>7</v>
      </c>
      <c r="K2161" s="47">
        <v>44236</v>
      </c>
      <c r="L2161" s="46">
        <v>11148</v>
      </c>
      <c r="M2161" s="46">
        <v>7</v>
      </c>
    </row>
    <row r="2162" spans="2:13" ht="14.1" customHeight="1" x14ac:dyDescent="0.25">
      <c r="B2162" s="46" t="str">
        <f t="shared" si="33"/>
        <v>2101-217-106576</v>
      </c>
      <c r="C2162" s="47">
        <v>44222</v>
      </c>
      <c r="D2162" s="46">
        <v>217</v>
      </c>
      <c r="E2162" s="46">
        <v>2</v>
      </c>
      <c r="F2162" s="46">
        <v>106576</v>
      </c>
      <c r="G2162" s="48" t="s">
        <v>145</v>
      </c>
      <c r="H2162" s="47">
        <v>44229</v>
      </c>
      <c r="I2162" s="46">
        <v>51454</v>
      </c>
      <c r="J2162" s="46">
        <v>2</v>
      </c>
      <c r="K2162" s="47">
        <v>44236</v>
      </c>
      <c r="L2162" s="46">
        <v>11148</v>
      </c>
      <c r="M2162" s="46">
        <v>2</v>
      </c>
    </row>
    <row r="2163" spans="2:13" ht="14.1" customHeight="1" x14ac:dyDescent="0.25">
      <c r="B2163" s="46" t="str">
        <f t="shared" si="33"/>
        <v>2101-217-203676</v>
      </c>
      <c r="C2163" s="47">
        <v>44222</v>
      </c>
      <c r="D2163" s="46">
        <v>217</v>
      </c>
      <c r="E2163" s="46">
        <v>2</v>
      </c>
      <c r="F2163" s="46">
        <v>203676</v>
      </c>
      <c r="G2163" s="48" t="s">
        <v>1492</v>
      </c>
      <c r="H2163" s="47">
        <v>44229</v>
      </c>
      <c r="I2163" s="46">
        <v>51454</v>
      </c>
      <c r="J2163" s="46">
        <v>2</v>
      </c>
      <c r="K2163" s="47">
        <v>44236</v>
      </c>
      <c r="L2163" s="46">
        <v>11148</v>
      </c>
      <c r="M2163" s="46">
        <v>2</v>
      </c>
    </row>
    <row r="2164" spans="2:13" ht="14.1" customHeight="1" x14ac:dyDescent="0.25">
      <c r="B2164" s="46" t="str">
        <f t="shared" si="33"/>
        <v>2101-217-302515</v>
      </c>
      <c r="C2164" s="47">
        <v>44222</v>
      </c>
      <c r="D2164" s="46">
        <v>217</v>
      </c>
      <c r="E2164" s="46">
        <v>2</v>
      </c>
      <c r="F2164" s="46">
        <v>302515</v>
      </c>
      <c r="G2164" s="48" t="s">
        <v>144</v>
      </c>
      <c r="H2164" s="47">
        <v>44229</v>
      </c>
      <c r="I2164" s="46">
        <v>51454</v>
      </c>
      <c r="J2164" s="46">
        <v>2</v>
      </c>
      <c r="K2164" s="47">
        <v>44236</v>
      </c>
      <c r="L2164" s="46">
        <v>11148</v>
      </c>
      <c r="M2164" s="46">
        <v>2</v>
      </c>
    </row>
    <row r="2165" spans="2:13" ht="14.1" customHeight="1" x14ac:dyDescent="0.25">
      <c r="B2165" s="46" t="str">
        <f t="shared" si="33"/>
        <v>2101-217-105723</v>
      </c>
      <c r="C2165" s="47">
        <v>44222</v>
      </c>
      <c r="D2165" s="46">
        <v>217</v>
      </c>
      <c r="E2165" s="46">
        <v>2</v>
      </c>
      <c r="F2165" s="46">
        <v>105723</v>
      </c>
      <c r="G2165" s="48" t="s">
        <v>1493</v>
      </c>
      <c r="H2165" s="47">
        <v>44229</v>
      </c>
      <c r="I2165" s="46">
        <v>51454</v>
      </c>
      <c r="J2165" s="46">
        <v>2</v>
      </c>
      <c r="K2165" s="47">
        <v>44236</v>
      </c>
      <c r="L2165" s="46">
        <v>11148</v>
      </c>
      <c r="M2165" s="46">
        <v>2</v>
      </c>
    </row>
    <row r="2166" spans="2:13" ht="14.1" customHeight="1" x14ac:dyDescent="0.25">
      <c r="B2166" s="46" t="str">
        <f t="shared" si="33"/>
        <v>2101-217-309087</v>
      </c>
      <c r="C2166" s="47">
        <v>44222</v>
      </c>
      <c r="D2166" s="46">
        <v>217</v>
      </c>
      <c r="E2166" s="46">
        <v>2</v>
      </c>
      <c r="F2166" s="46">
        <v>309087</v>
      </c>
      <c r="G2166" s="48" t="s">
        <v>1494</v>
      </c>
      <c r="H2166" s="47">
        <v>44229</v>
      </c>
      <c r="I2166" s="46">
        <v>51454</v>
      </c>
      <c r="J2166" s="46">
        <v>2</v>
      </c>
      <c r="K2166" s="47">
        <v>44236</v>
      </c>
      <c r="L2166" s="46">
        <v>11148</v>
      </c>
      <c r="M2166" s="46">
        <v>2</v>
      </c>
    </row>
    <row r="2167" spans="2:13" ht="14.1" customHeight="1" x14ac:dyDescent="0.25">
      <c r="B2167" s="46" t="str">
        <f t="shared" si="33"/>
        <v>2101-217-305129</v>
      </c>
      <c r="C2167" s="47">
        <v>44222</v>
      </c>
      <c r="D2167" s="46">
        <v>217</v>
      </c>
      <c r="E2167" s="46">
        <v>8</v>
      </c>
      <c r="F2167" s="46">
        <v>305129</v>
      </c>
      <c r="G2167" s="48" t="s">
        <v>1496</v>
      </c>
      <c r="H2167" s="47">
        <v>44229</v>
      </c>
      <c r="I2167" s="46">
        <v>51454</v>
      </c>
      <c r="J2167" s="46">
        <v>8</v>
      </c>
      <c r="K2167" s="47">
        <v>44236</v>
      </c>
      <c r="L2167" s="46">
        <v>11148</v>
      </c>
      <c r="M2167" s="46">
        <v>8</v>
      </c>
    </row>
    <row r="2168" spans="2:13" ht="14.1" customHeight="1" x14ac:dyDescent="0.25">
      <c r="B2168" s="46" t="str">
        <f t="shared" si="33"/>
        <v>2101-217-306479</v>
      </c>
      <c r="C2168" s="47">
        <v>44222</v>
      </c>
      <c r="D2168" s="46">
        <v>217</v>
      </c>
      <c r="E2168" s="46">
        <v>2</v>
      </c>
      <c r="F2168" s="46">
        <v>306479</v>
      </c>
      <c r="G2168" s="48" t="s">
        <v>333</v>
      </c>
      <c r="H2168" s="47">
        <v>44229</v>
      </c>
      <c r="I2168" s="46">
        <v>51454</v>
      </c>
      <c r="J2168" s="46">
        <v>2</v>
      </c>
      <c r="K2168" s="47">
        <v>44236</v>
      </c>
      <c r="L2168" s="46">
        <v>11148</v>
      </c>
      <c r="M2168" s="46">
        <v>2</v>
      </c>
    </row>
    <row r="2169" spans="2:13" ht="14.1" customHeight="1" x14ac:dyDescent="0.25">
      <c r="B2169" s="46" t="str">
        <f t="shared" si="33"/>
        <v>2101-217-205613</v>
      </c>
      <c r="C2169" s="47">
        <v>44222</v>
      </c>
      <c r="D2169" s="46">
        <v>217</v>
      </c>
      <c r="E2169" s="46">
        <v>2</v>
      </c>
      <c r="F2169" s="46">
        <v>205613</v>
      </c>
      <c r="G2169" s="48" t="s">
        <v>1495</v>
      </c>
      <c r="H2169" s="47">
        <v>44229</v>
      </c>
      <c r="I2169" s="46">
        <v>51454</v>
      </c>
      <c r="J2169" s="46">
        <v>2</v>
      </c>
      <c r="K2169" s="47">
        <v>44236</v>
      </c>
      <c r="L2169" s="46">
        <v>11148</v>
      </c>
      <c r="M2169" s="46">
        <v>2</v>
      </c>
    </row>
    <row r="2170" spans="2:13" ht="14.1" customHeight="1" x14ac:dyDescent="0.25">
      <c r="B2170" s="46" t="str">
        <f t="shared" si="33"/>
        <v>2101-219-204801</v>
      </c>
      <c r="C2170" s="47">
        <v>44222</v>
      </c>
      <c r="D2170" s="46">
        <v>219</v>
      </c>
      <c r="E2170" s="46">
        <v>1</v>
      </c>
      <c r="F2170" s="46">
        <v>204801</v>
      </c>
      <c r="G2170" s="48" t="s">
        <v>1498</v>
      </c>
      <c r="H2170" s="47">
        <v>44229</v>
      </c>
      <c r="I2170" s="46">
        <v>51453</v>
      </c>
      <c r="J2170" s="46">
        <v>1</v>
      </c>
      <c r="L2170" s="46">
        <v>0</v>
      </c>
      <c r="M2170" s="46">
        <v>0</v>
      </c>
    </row>
    <row r="2171" spans="2:13" ht="14.1" customHeight="1" x14ac:dyDescent="0.25">
      <c r="B2171" s="46" t="str">
        <f t="shared" si="33"/>
        <v>2101-220-205642</v>
      </c>
      <c r="C2171" s="47">
        <v>44222</v>
      </c>
      <c r="D2171" s="46">
        <v>220</v>
      </c>
      <c r="E2171" s="46">
        <v>2</v>
      </c>
      <c r="F2171" s="46">
        <v>205642</v>
      </c>
      <c r="G2171" s="48" t="s">
        <v>1500</v>
      </c>
      <c r="H2171" s="47">
        <v>44228</v>
      </c>
      <c r="I2171" s="46">
        <v>51449</v>
      </c>
      <c r="J2171" s="46">
        <v>1</v>
      </c>
      <c r="K2171" s="47">
        <v>44229</v>
      </c>
      <c r="L2171" s="46">
        <v>11071</v>
      </c>
      <c r="M2171" s="46">
        <v>1</v>
      </c>
    </row>
    <row r="2172" spans="2:13" ht="14.1" customHeight="1" x14ac:dyDescent="0.25">
      <c r="B2172" s="46" t="str">
        <f t="shared" si="33"/>
        <v>2101-220-203093</v>
      </c>
      <c r="C2172" s="47">
        <v>44222</v>
      </c>
      <c r="D2172" s="46">
        <v>220</v>
      </c>
      <c r="E2172" s="46">
        <v>1</v>
      </c>
      <c r="F2172" s="46">
        <v>203093</v>
      </c>
      <c r="G2172" s="48" t="s">
        <v>1499</v>
      </c>
      <c r="H2172" s="47">
        <v>44228</v>
      </c>
      <c r="I2172" s="46">
        <v>51449</v>
      </c>
      <c r="J2172" s="46">
        <v>1</v>
      </c>
      <c r="K2172" s="47">
        <v>44229</v>
      </c>
      <c r="L2172" s="46">
        <v>11071</v>
      </c>
      <c r="M2172" s="46">
        <v>1</v>
      </c>
    </row>
    <row r="2173" spans="2:13" ht="14.1" customHeight="1" x14ac:dyDescent="0.25">
      <c r="B2173" s="46" t="str">
        <f t="shared" si="33"/>
        <v>2101-222-307031</v>
      </c>
      <c r="C2173" s="47">
        <v>44222</v>
      </c>
      <c r="D2173" s="46">
        <v>222</v>
      </c>
      <c r="E2173" s="46">
        <v>4</v>
      </c>
      <c r="F2173" s="46">
        <v>307031</v>
      </c>
      <c r="G2173" s="48" t="s">
        <v>263</v>
      </c>
      <c r="H2173" s="47">
        <v>44223</v>
      </c>
      <c r="I2173" s="46">
        <v>51383</v>
      </c>
      <c r="J2173" s="46">
        <v>4</v>
      </c>
      <c r="K2173" s="47">
        <v>44224</v>
      </c>
      <c r="L2173" s="46">
        <v>11036</v>
      </c>
      <c r="M2173" s="46">
        <v>4</v>
      </c>
    </row>
    <row r="2174" spans="2:13" ht="14.1" customHeight="1" x14ac:dyDescent="0.25">
      <c r="B2174" s="46" t="str">
        <f t="shared" si="33"/>
        <v>2101-222-301163</v>
      </c>
      <c r="C2174" s="47">
        <v>44222</v>
      </c>
      <c r="D2174" s="46">
        <v>222</v>
      </c>
      <c r="E2174" s="46">
        <v>6</v>
      </c>
      <c r="F2174" s="46">
        <v>301163</v>
      </c>
      <c r="G2174" s="48" t="s">
        <v>85</v>
      </c>
      <c r="H2174" s="47">
        <v>44223</v>
      </c>
      <c r="I2174" s="46">
        <v>51383</v>
      </c>
      <c r="J2174" s="46">
        <v>6</v>
      </c>
      <c r="K2174" s="47">
        <v>44224</v>
      </c>
      <c r="L2174" s="46">
        <v>11036</v>
      </c>
      <c r="M2174" s="46">
        <v>6</v>
      </c>
    </row>
    <row r="2175" spans="2:13" ht="14.1" customHeight="1" x14ac:dyDescent="0.25">
      <c r="B2175" s="46" t="str">
        <f t="shared" si="33"/>
        <v>2101-222-205653</v>
      </c>
      <c r="C2175" s="47">
        <v>44222</v>
      </c>
      <c r="D2175" s="46">
        <v>222</v>
      </c>
      <c r="E2175" s="46">
        <v>6</v>
      </c>
      <c r="F2175" s="46">
        <v>205653</v>
      </c>
      <c r="G2175" s="48" t="s">
        <v>569</v>
      </c>
      <c r="H2175" s="47">
        <v>44223</v>
      </c>
      <c r="I2175" s="46">
        <v>51383</v>
      </c>
      <c r="J2175" s="46">
        <v>6</v>
      </c>
      <c r="L2175" s="46">
        <v>0</v>
      </c>
      <c r="M2175" s="46">
        <v>0</v>
      </c>
    </row>
    <row r="2176" spans="2:13" ht="14.1" customHeight="1" x14ac:dyDescent="0.25">
      <c r="B2176" s="46" t="str">
        <f t="shared" si="33"/>
        <v>2101-222-300331</v>
      </c>
      <c r="C2176" s="47">
        <v>44222</v>
      </c>
      <c r="D2176" s="46">
        <v>222</v>
      </c>
      <c r="E2176" s="46">
        <v>4</v>
      </c>
      <c r="F2176" s="46">
        <v>300331</v>
      </c>
      <c r="G2176" s="48" t="s">
        <v>293</v>
      </c>
      <c r="H2176" s="47">
        <v>44223</v>
      </c>
      <c r="I2176" s="46">
        <v>51384</v>
      </c>
      <c r="J2176" s="46">
        <v>4</v>
      </c>
      <c r="K2176" s="47">
        <v>44224</v>
      </c>
      <c r="L2176" s="46">
        <v>11024</v>
      </c>
      <c r="M2176" s="46">
        <v>4</v>
      </c>
    </row>
    <row r="2177" spans="2:13" ht="14.1" customHeight="1" x14ac:dyDescent="0.25">
      <c r="B2177" s="46" t="str">
        <f t="shared" si="33"/>
        <v>2101-222-320705</v>
      </c>
      <c r="C2177" s="47">
        <v>44222</v>
      </c>
      <c r="D2177" s="46">
        <v>222</v>
      </c>
      <c r="E2177" s="46">
        <v>18</v>
      </c>
      <c r="F2177" s="46">
        <v>320705</v>
      </c>
      <c r="G2177" s="48" t="s">
        <v>1503</v>
      </c>
      <c r="H2177" s="47">
        <v>44223</v>
      </c>
      <c r="I2177" s="46">
        <v>51383</v>
      </c>
      <c r="J2177" s="46">
        <v>18</v>
      </c>
      <c r="K2177" s="47">
        <v>44224</v>
      </c>
      <c r="L2177" s="46">
        <v>11036</v>
      </c>
      <c r="M2177" s="46">
        <v>18</v>
      </c>
    </row>
    <row r="2178" spans="2:13" ht="14.1" customHeight="1" x14ac:dyDescent="0.25">
      <c r="B2178" s="46" t="str">
        <f t="shared" si="33"/>
        <v>2101-222-301856</v>
      </c>
      <c r="C2178" s="47">
        <v>44222</v>
      </c>
      <c r="D2178" s="46">
        <v>222</v>
      </c>
      <c r="E2178" s="46">
        <v>15</v>
      </c>
      <c r="F2178" s="46">
        <v>301856</v>
      </c>
      <c r="G2178" s="48" t="s">
        <v>1347</v>
      </c>
      <c r="H2178" s="47">
        <v>44223</v>
      </c>
      <c r="I2178" s="46">
        <v>51385</v>
      </c>
      <c r="J2178" s="46">
        <v>15</v>
      </c>
      <c r="K2178" s="47">
        <v>44229</v>
      </c>
      <c r="L2178" s="46">
        <v>11069</v>
      </c>
      <c r="M2178" s="46">
        <v>15</v>
      </c>
    </row>
    <row r="2179" spans="2:13" ht="14.1" customHeight="1" x14ac:dyDescent="0.25">
      <c r="B2179" s="46" t="str">
        <f t="shared" si="33"/>
        <v>2101-222-205957</v>
      </c>
      <c r="C2179" s="47">
        <v>44222</v>
      </c>
      <c r="D2179" s="46">
        <v>222</v>
      </c>
      <c r="E2179" s="46">
        <v>6</v>
      </c>
      <c r="F2179" s="46">
        <v>205957</v>
      </c>
      <c r="G2179" s="48" t="s">
        <v>43</v>
      </c>
      <c r="H2179" s="47">
        <v>44223</v>
      </c>
      <c r="I2179" s="46">
        <v>51384</v>
      </c>
      <c r="J2179" s="46">
        <v>6</v>
      </c>
      <c r="K2179" s="47">
        <v>44224</v>
      </c>
      <c r="L2179" s="46">
        <v>11024</v>
      </c>
      <c r="M2179" s="46">
        <v>6</v>
      </c>
    </row>
    <row r="2180" spans="2:13" ht="14.1" customHeight="1" x14ac:dyDescent="0.25">
      <c r="B2180" s="46" t="str">
        <f t="shared" si="33"/>
        <v>2101-222-300334</v>
      </c>
      <c r="C2180" s="47">
        <v>44222</v>
      </c>
      <c r="D2180" s="46">
        <v>222</v>
      </c>
      <c r="E2180" s="46">
        <v>2</v>
      </c>
      <c r="F2180" s="46">
        <v>300334</v>
      </c>
      <c r="G2180" s="48" t="s">
        <v>46</v>
      </c>
      <c r="H2180" s="47">
        <v>44223</v>
      </c>
      <c r="I2180" s="46">
        <v>51385</v>
      </c>
      <c r="J2180" s="46">
        <v>2</v>
      </c>
      <c r="K2180" s="47">
        <v>44229</v>
      </c>
      <c r="L2180" s="46">
        <v>11069</v>
      </c>
      <c r="M2180" s="46">
        <v>1</v>
      </c>
    </row>
    <row r="2181" spans="2:13" ht="14.1" customHeight="1" x14ac:dyDescent="0.25">
      <c r="B2181" s="46" t="str">
        <f t="shared" si="33"/>
        <v>2101-222-300334</v>
      </c>
      <c r="C2181" s="47">
        <v>44222</v>
      </c>
      <c r="D2181" s="46">
        <v>222</v>
      </c>
      <c r="E2181" s="46">
        <v>2</v>
      </c>
      <c r="F2181" s="46">
        <v>300334</v>
      </c>
      <c r="G2181" s="48" t="s">
        <v>46</v>
      </c>
      <c r="H2181" s="47">
        <v>44223</v>
      </c>
      <c r="I2181" s="46">
        <v>51385</v>
      </c>
      <c r="J2181" s="46">
        <v>2</v>
      </c>
      <c r="K2181" s="47">
        <v>44229</v>
      </c>
      <c r="L2181" s="46">
        <v>11070</v>
      </c>
      <c r="M2181" s="46">
        <v>1</v>
      </c>
    </row>
    <row r="2182" spans="2:13" ht="14.1" customHeight="1" x14ac:dyDescent="0.25">
      <c r="B2182" s="46" t="str">
        <f t="shared" si="33"/>
        <v>2101-222-305864</v>
      </c>
      <c r="C2182" s="47">
        <v>44222</v>
      </c>
      <c r="D2182" s="46">
        <v>222</v>
      </c>
      <c r="E2182" s="46">
        <v>1</v>
      </c>
      <c r="F2182" s="46">
        <v>305864</v>
      </c>
      <c r="G2182" s="48" t="s">
        <v>1502</v>
      </c>
      <c r="H2182" s="47">
        <v>44223</v>
      </c>
      <c r="I2182" s="46">
        <v>51383</v>
      </c>
      <c r="J2182" s="46">
        <v>1</v>
      </c>
      <c r="K2182" s="47">
        <v>44224</v>
      </c>
      <c r="L2182" s="46">
        <v>11036</v>
      </c>
      <c r="M2182" s="46">
        <v>1</v>
      </c>
    </row>
    <row r="2183" spans="2:13" ht="14.1" customHeight="1" x14ac:dyDescent="0.25">
      <c r="B2183" s="46" t="str">
        <f t="shared" si="33"/>
        <v>2101-222-320444</v>
      </c>
      <c r="C2183" s="47">
        <v>44222</v>
      </c>
      <c r="D2183" s="46">
        <v>222</v>
      </c>
      <c r="E2183" s="46">
        <v>9</v>
      </c>
      <c r="F2183" s="46">
        <v>320444</v>
      </c>
      <c r="G2183" s="48" t="s">
        <v>1501</v>
      </c>
      <c r="I2183" s="46">
        <v>0</v>
      </c>
      <c r="J2183" s="46">
        <v>0</v>
      </c>
      <c r="L2183" s="46">
        <v>0</v>
      </c>
      <c r="M2183" s="46">
        <v>0</v>
      </c>
    </row>
    <row r="2184" spans="2:13" ht="14.1" customHeight="1" x14ac:dyDescent="0.25">
      <c r="B2184" s="46" t="str">
        <f t="shared" si="33"/>
        <v>2101-224-308702</v>
      </c>
      <c r="C2184" s="47">
        <v>44223</v>
      </c>
      <c r="D2184" s="46">
        <v>224</v>
      </c>
      <c r="E2184" s="46">
        <v>2</v>
      </c>
      <c r="F2184" s="46">
        <v>308702</v>
      </c>
      <c r="G2184" s="50" t="s">
        <v>1227</v>
      </c>
      <c r="H2184" s="47">
        <v>44263</v>
      </c>
      <c r="I2184" s="46">
        <v>52006</v>
      </c>
      <c r="J2184" s="46">
        <v>2</v>
      </c>
      <c r="K2184" s="47">
        <v>44272</v>
      </c>
      <c r="L2184" s="46">
        <v>11545</v>
      </c>
      <c r="M2184" s="46">
        <v>2</v>
      </c>
    </row>
    <row r="2185" spans="2:13" ht="14.1" customHeight="1" x14ac:dyDescent="0.25">
      <c r="B2185" s="46" t="str">
        <f t="shared" si="33"/>
        <v>2101-225-301927</v>
      </c>
      <c r="C2185" s="47">
        <v>44223</v>
      </c>
      <c r="D2185" s="46">
        <v>225</v>
      </c>
      <c r="E2185" s="46">
        <v>2</v>
      </c>
      <c r="F2185" s="46">
        <v>301927</v>
      </c>
      <c r="G2185" s="48" t="s">
        <v>1513</v>
      </c>
      <c r="H2185" s="47">
        <v>44228</v>
      </c>
      <c r="I2185" s="46">
        <v>51448</v>
      </c>
      <c r="J2185" s="46">
        <v>2</v>
      </c>
      <c r="K2185" s="47">
        <v>44229</v>
      </c>
      <c r="L2185" s="46">
        <v>11077</v>
      </c>
      <c r="M2185" s="46">
        <v>2</v>
      </c>
    </row>
    <row r="2186" spans="2:13" ht="14.1" customHeight="1" x14ac:dyDescent="0.25">
      <c r="B2186" s="46" t="str">
        <f t="shared" si="33"/>
        <v>2101-225-313582</v>
      </c>
      <c r="C2186" s="47">
        <v>44223</v>
      </c>
      <c r="D2186" s="46">
        <v>225</v>
      </c>
      <c r="E2186" s="46">
        <v>4</v>
      </c>
      <c r="F2186" s="46">
        <v>313582</v>
      </c>
      <c r="G2186" s="48" t="s">
        <v>1512</v>
      </c>
      <c r="H2186" s="47">
        <v>44228</v>
      </c>
      <c r="I2186" s="46">
        <v>51448</v>
      </c>
      <c r="J2186" s="46">
        <v>4</v>
      </c>
      <c r="K2186" s="47">
        <v>44229</v>
      </c>
      <c r="L2186" s="46">
        <v>11077</v>
      </c>
      <c r="M2186" s="46">
        <v>4</v>
      </c>
    </row>
    <row r="2187" spans="2:13" ht="14.1" customHeight="1" x14ac:dyDescent="0.25">
      <c r="B2187" s="46" t="str">
        <f t="shared" si="33"/>
        <v>2101-225-320249</v>
      </c>
      <c r="C2187" s="47">
        <v>44223</v>
      </c>
      <c r="D2187" s="46">
        <v>225</v>
      </c>
      <c r="E2187" s="46">
        <v>1</v>
      </c>
      <c r="F2187" s="46">
        <v>320249</v>
      </c>
      <c r="G2187" s="48" t="s">
        <v>1510</v>
      </c>
      <c r="H2187" s="47">
        <v>44228</v>
      </c>
      <c r="I2187" s="46">
        <v>51448</v>
      </c>
      <c r="J2187" s="46">
        <v>1</v>
      </c>
      <c r="K2187" s="47">
        <v>44229</v>
      </c>
      <c r="L2187" s="46">
        <v>11077</v>
      </c>
      <c r="M2187" s="46">
        <v>1</v>
      </c>
    </row>
    <row r="2188" spans="2:13" ht="14.1" customHeight="1" x14ac:dyDescent="0.25">
      <c r="B2188" s="46" t="str">
        <f t="shared" ref="B2188:B2229" si="34">TEXT(C2188,"yy") &amp; TEXT(C2188,"mm") &amp;"-"&amp;(D2188) &amp;"-"&amp;(F2188)</f>
        <v>2101-225-310522</v>
      </c>
      <c r="C2188" s="47">
        <v>44223</v>
      </c>
      <c r="D2188" s="46">
        <v>225</v>
      </c>
      <c r="E2188" s="46">
        <v>1</v>
      </c>
      <c r="F2188" s="46">
        <v>310522</v>
      </c>
      <c r="G2188" s="48" t="s">
        <v>1511</v>
      </c>
      <c r="H2188" s="47">
        <v>44228</v>
      </c>
      <c r="I2188" s="46">
        <v>51448</v>
      </c>
      <c r="J2188" s="46">
        <v>1</v>
      </c>
      <c r="K2188" s="47">
        <v>44229</v>
      </c>
      <c r="L2188" s="46">
        <v>11077</v>
      </c>
      <c r="M2188" s="46">
        <v>1</v>
      </c>
    </row>
    <row r="2189" spans="2:13" ht="14.1" customHeight="1" x14ac:dyDescent="0.25">
      <c r="B2189" s="46" t="str">
        <f t="shared" si="34"/>
        <v>2101-225-312095</v>
      </c>
      <c r="C2189" s="47">
        <v>44223</v>
      </c>
      <c r="D2189" s="46">
        <v>225</v>
      </c>
      <c r="E2189" s="46">
        <v>2</v>
      </c>
      <c r="F2189" s="46">
        <v>312095</v>
      </c>
      <c r="G2189" s="48" t="s">
        <v>797</v>
      </c>
      <c r="H2189" s="47">
        <v>44228</v>
      </c>
      <c r="I2189" s="46">
        <v>51448</v>
      </c>
      <c r="J2189" s="46">
        <v>2</v>
      </c>
      <c r="K2189" s="47">
        <v>44229</v>
      </c>
      <c r="L2189" s="46">
        <v>11077</v>
      </c>
      <c r="M2189" s="46">
        <v>2</v>
      </c>
    </row>
    <row r="2190" spans="2:13" ht="14.1" customHeight="1" x14ac:dyDescent="0.25">
      <c r="B2190" s="46" t="str">
        <f t="shared" si="34"/>
        <v>2101-225-302515</v>
      </c>
      <c r="C2190" s="47">
        <v>44223</v>
      </c>
      <c r="D2190" s="46">
        <v>225</v>
      </c>
      <c r="E2190" s="46">
        <v>2</v>
      </c>
      <c r="F2190" s="46">
        <v>302515</v>
      </c>
      <c r="G2190" s="48" t="s">
        <v>144</v>
      </c>
      <c r="H2190" s="47">
        <v>44228</v>
      </c>
      <c r="I2190" s="46">
        <v>51448</v>
      </c>
      <c r="J2190" s="46">
        <v>2</v>
      </c>
      <c r="K2190" s="47">
        <v>44229</v>
      </c>
      <c r="L2190" s="46">
        <v>11077</v>
      </c>
      <c r="M2190" s="46">
        <v>2</v>
      </c>
    </row>
    <row r="2191" spans="2:13" ht="14.1" customHeight="1" x14ac:dyDescent="0.25">
      <c r="B2191" s="46" t="str">
        <f t="shared" si="34"/>
        <v>2101-225-320248</v>
      </c>
      <c r="C2191" s="47">
        <v>44223</v>
      </c>
      <c r="D2191" s="46">
        <v>225</v>
      </c>
      <c r="E2191" s="46">
        <v>1</v>
      </c>
      <c r="F2191" s="46">
        <v>320248</v>
      </c>
      <c r="G2191" s="48" t="s">
        <v>1509</v>
      </c>
      <c r="H2191" s="47">
        <v>44228</v>
      </c>
      <c r="I2191" s="46">
        <v>51448</v>
      </c>
      <c r="J2191" s="46">
        <v>1</v>
      </c>
      <c r="K2191" s="47">
        <v>44229</v>
      </c>
      <c r="L2191" s="46">
        <v>11077</v>
      </c>
      <c r="M2191" s="46">
        <v>1</v>
      </c>
    </row>
    <row r="2192" spans="2:13" ht="14.1" customHeight="1" x14ac:dyDescent="0.25">
      <c r="B2192" s="46" t="str">
        <f t="shared" si="34"/>
        <v>2101-225-306479</v>
      </c>
      <c r="C2192" s="47">
        <v>44223</v>
      </c>
      <c r="D2192" s="46">
        <v>225</v>
      </c>
      <c r="E2192" s="46">
        <v>2</v>
      </c>
      <c r="F2192" s="46">
        <v>306479</v>
      </c>
      <c r="G2192" s="48" t="s">
        <v>333</v>
      </c>
      <c r="H2192" s="47">
        <v>44228</v>
      </c>
      <c r="I2192" s="46">
        <v>51448</v>
      </c>
      <c r="J2192" s="46">
        <v>2</v>
      </c>
      <c r="K2192" s="47">
        <v>44229</v>
      </c>
      <c r="L2192" s="46">
        <v>11077</v>
      </c>
      <c r="M2192" s="46">
        <v>2</v>
      </c>
    </row>
    <row r="2193" spans="2:13" ht="14.1" customHeight="1" x14ac:dyDescent="0.25">
      <c r="B2193" s="46" t="str">
        <f t="shared" si="34"/>
        <v>2101-226-309682</v>
      </c>
      <c r="C2193" s="47">
        <v>44223</v>
      </c>
      <c r="D2193" s="46">
        <v>226</v>
      </c>
      <c r="E2193" s="46">
        <v>3</v>
      </c>
      <c r="F2193" s="46">
        <v>309682</v>
      </c>
      <c r="G2193" s="48" t="s">
        <v>758</v>
      </c>
      <c r="H2193" s="47">
        <v>44223</v>
      </c>
      <c r="I2193" s="46">
        <v>51403</v>
      </c>
      <c r="J2193" s="46">
        <v>3</v>
      </c>
      <c r="K2193" s="47">
        <v>44225</v>
      </c>
      <c r="L2193" s="46">
        <v>11044</v>
      </c>
      <c r="M2193" s="46">
        <v>3</v>
      </c>
    </row>
    <row r="2194" spans="2:13" ht="14.1" customHeight="1" x14ac:dyDescent="0.25">
      <c r="B2194" s="46" t="str">
        <f t="shared" si="34"/>
        <v>2101-226-320707</v>
      </c>
      <c r="C2194" s="47">
        <v>44223</v>
      </c>
      <c r="D2194" s="46">
        <v>226</v>
      </c>
      <c r="E2194" s="46">
        <v>42</v>
      </c>
      <c r="F2194" s="46">
        <v>320707</v>
      </c>
      <c r="G2194" s="48" t="s">
        <v>1514</v>
      </c>
      <c r="H2194" s="47">
        <v>44223</v>
      </c>
      <c r="I2194" s="46">
        <v>51403</v>
      </c>
      <c r="J2194" s="46">
        <v>42</v>
      </c>
      <c r="K2194" s="47">
        <v>44225</v>
      </c>
      <c r="L2194" s="46">
        <v>11044</v>
      </c>
      <c r="M2194" s="46">
        <v>42</v>
      </c>
    </row>
    <row r="2195" spans="2:13" ht="14.1" customHeight="1" x14ac:dyDescent="0.25">
      <c r="B2195" s="46" t="str">
        <f t="shared" si="34"/>
        <v>2101-227-314708</v>
      </c>
      <c r="C2195" s="47">
        <v>44224</v>
      </c>
      <c r="D2195" s="46">
        <v>227</v>
      </c>
      <c r="E2195" s="46">
        <v>2</v>
      </c>
      <c r="F2195" s="46">
        <v>314708</v>
      </c>
      <c r="G2195" s="50" t="s">
        <v>1516</v>
      </c>
      <c r="H2195" s="47">
        <v>44238</v>
      </c>
      <c r="I2195" s="46">
        <v>51611</v>
      </c>
      <c r="J2195" s="46">
        <v>2</v>
      </c>
      <c r="K2195" s="47">
        <v>44244</v>
      </c>
      <c r="L2195" s="46">
        <v>11224</v>
      </c>
      <c r="M2195" s="46">
        <v>2</v>
      </c>
    </row>
    <row r="2196" spans="2:13" ht="14.1" customHeight="1" x14ac:dyDescent="0.25">
      <c r="B2196" s="46" t="str">
        <f t="shared" si="34"/>
        <v>2101-227-303015</v>
      </c>
      <c r="C2196" s="47">
        <v>44224</v>
      </c>
      <c r="D2196" s="46">
        <v>227</v>
      </c>
      <c r="E2196" s="46">
        <v>2</v>
      </c>
      <c r="F2196" s="46">
        <v>303015</v>
      </c>
      <c r="G2196" s="48" t="s">
        <v>1515</v>
      </c>
      <c r="H2196" s="47">
        <v>44238</v>
      </c>
      <c r="I2196" s="46">
        <v>51611</v>
      </c>
      <c r="J2196" s="46">
        <v>2</v>
      </c>
      <c r="K2196" s="47">
        <v>44244</v>
      </c>
      <c r="L2196" s="46">
        <v>11224</v>
      </c>
      <c r="M2196" s="46">
        <v>2</v>
      </c>
    </row>
    <row r="2197" spans="2:13" ht="14.1" customHeight="1" x14ac:dyDescent="0.25">
      <c r="B2197" s="46" t="str">
        <f t="shared" si="34"/>
        <v>2101-228-204410</v>
      </c>
      <c r="C2197" s="47">
        <v>44224</v>
      </c>
      <c r="D2197" s="46">
        <v>228</v>
      </c>
      <c r="E2197" s="46">
        <v>10</v>
      </c>
      <c r="F2197" s="46">
        <v>204410</v>
      </c>
      <c r="G2197" s="48" t="s">
        <v>537</v>
      </c>
      <c r="H2197" s="47">
        <v>44285</v>
      </c>
      <c r="I2197" s="46">
        <v>52301</v>
      </c>
      <c r="J2197" s="46">
        <v>10</v>
      </c>
      <c r="K2197" s="47">
        <v>44294</v>
      </c>
      <c r="L2197" s="46">
        <v>11742</v>
      </c>
      <c r="M2197" s="46">
        <v>10</v>
      </c>
    </row>
    <row r="2198" spans="2:13" ht="14.1" customHeight="1" x14ac:dyDescent="0.25">
      <c r="B2198" s="46" t="str">
        <f t="shared" si="34"/>
        <v>2101-228-204417</v>
      </c>
      <c r="C2198" s="47">
        <v>44224</v>
      </c>
      <c r="D2198" s="46">
        <v>228</v>
      </c>
      <c r="E2198" s="46">
        <v>15</v>
      </c>
      <c r="F2198" s="46">
        <v>204417</v>
      </c>
      <c r="G2198" s="48" t="s">
        <v>538</v>
      </c>
      <c r="H2198" s="47">
        <v>44285</v>
      </c>
      <c r="I2198" s="46">
        <v>52301</v>
      </c>
      <c r="J2198" s="46">
        <v>15</v>
      </c>
      <c r="K2198" s="47">
        <v>44294</v>
      </c>
      <c r="L2198" s="46">
        <v>11740</v>
      </c>
      <c r="M2198" s="46">
        <v>15</v>
      </c>
    </row>
    <row r="2199" spans="2:13" ht="14.1" customHeight="1" x14ac:dyDescent="0.25">
      <c r="B2199" s="46" t="str">
        <f t="shared" si="34"/>
        <v>2101-228-319489</v>
      </c>
      <c r="C2199" s="47">
        <v>44224</v>
      </c>
      <c r="D2199" s="46">
        <v>228</v>
      </c>
      <c r="E2199" s="46">
        <v>100</v>
      </c>
      <c r="F2199" s="46">
        <v>319489</v>
      </c>
      <c r="G2199" s="48" t="s">
        <v>1390</v>
      </c>
      <c r="H2199" s="47">
        <v>44285</v>
      </c>
      <c r="I2199" s="46">
        <v>52301</v>
      </c>
      <c r="J2199" s="46">
        <v>100</v>
      </c>
      <c r="K2199" s="47">
        <v>44294</v>
      </c>
      <c r="L2199" s="46">
        <v>11742</v>
      </c>
      <c r="M2199" s="46">
        <v>100</v>
      </c>
    </row>
    <row r="2200" spans="2:13" ht="14.1" customHeight="1" x14ac:dyDescent="0.25">
      <c r="B2200" s="46" t="str">
        <f t="shared" si="34"/>
        <v>2101-228-308111</v>
      </c>
      <c r="C2200" s="47">
        <v>44224</v>
      </c>
      <c r="D2200" s="46">
        <v>228</v>
      </c>
      <c r="E2200" s="46">
        <v>100</v>
      </c>
      <c r="F2200" s="46">
        <v>308111</v>
      </c>
      <c r="G2200" s="48" t="s">
        <v>1394</v>
      </c>
      <c r="H2200" s="47">
        <v>44284</v>
      </c>
      <c r="I2200" s="46">
        <v>52298</v>
      </c>
      <c r="J2200" s="46">
        <v>100</v>
      </c>
      <c r="L2200" s="46">
        <v>0</v>
      </c>
      <c r="M2200" s="46">
        <v>0</v>
      </c>
    </row>
    <row r="2201" spans="2:13" ht="14.1" customHeight="1" x14ac:dyDescent="0.25">
      <c r="B2201" s="46" t="str">
        <f t="shared" si="34"/>
        <v>2101-228-304917</v>
      </c>
      <c r="C2201" s="47">
        <v>44224</v>
      </c>
      <c r="D2201" s="46">
        <v>228</v>
      </c>
      <c r="E2201" s="46">
        <v>2</v>
      </c>
      <c r="F2201" s="46">
        <v>304917</v>
      </c>
      <c r="G2201" s="48" t="s">
        <v>1397</v>
      </c>
      <c r="I2201" s="46">
        <v>0</v>
      </c>
      <c r="J2201" s="46">
        <v>0</v>
      </c>
      <c r="L2201" s="46">
        <v>0</v>
      </c>
      <c r="M2201" s="46">
        <v>0</v>
      </c>
    </row>
    <row r="2202" spans="2:13" ht="14.1" customHeight="1" x14ac:dyDescent="0.25">
      <c r="B2202" s="46" t="str">
        <f t="shared" si="34"/>
        <v>2101-228-203229</v>
      </c>
      <c r="C2202" s="47">
        <v>44224</v>
      </c>
      <c r="D2202" s="46">
        <v>228</v>
      </c>
      <c r="E2202" s="46">
        <v>30</v>
      </c>
      <c r="F2202" s="46">
        <v>203229</v>
      </c>
      <c r="G2202" s="48" t="s">
        <v>505</v>
      </c>
      <c r="H2202" s="47">
        <v>44285</v>
      </c>
      <c r="I2202" s="46">
        <v>52301</v>
      </c>
      <c r="J2202" s="46">
        <v>30</v>
      </c>
      <c r="K2202" s="47">
        <v>44294</v>
      </c>
      <c r="L2202" s="46">
        <v>11740</v>
      </c>
      <c r="M2202" s="46">
        <v>30</v>
      </c>
    </row>
    <row r="2203" spans="2:13" ht="14.1" customHeight="1" x14ac:dyDescent="0.25">
      <c r="B2203" s="46" t="str">
        <f t="shared" si="34"/>
        <v>2101-228-320627</v>
      </c>
      <c r="C2203" s="47">
        <v>44224</v>
      </c>
      <c r="D2203" s="46">
        <v>228</v>
      </c>
      <c r="E2203" s="46">
        <v>20</v>
      </c>
      <c r="F2203" s="46">
        <v>320627</v>
      </c>
      <c r="G2203" s="48" t="s">
        <v>1398</v>
      </c>
      <c r="H2203" s="47">
        <v>44285</v>
      </c>
      <c r="I2203" s="46">
        <v>52301</v>
      </c>
      <c r="J2203" s="46">
        <v>20</v>
      </c>
      <c r="K2203" s="47">
        <v>44294</v>
      </c>
      <c r="L2203" s="46">
        <v>11740</v>
      </c>
      <c r="M2203" s="46">
        <v>20</v>
      </c>
    </row>
    <row r="2204" spans="2:13" ht="14.1" customHeight="1" x14ac:dyDescent="0.25">
      <c r="B2204" s="46" t="str">
        <f t="shared" si="34"/>
        <v>2101-228-320636</v>
      </c>
      <c r="C2204" s="47">
        <v>44224</v>
      </c>
      <c r="D2204" s="46">
        <v>228</v>
      </c>
      <c r="E2204" s="46">
        <v>15</v>
      </c>
      <c r="F2204" s="46">
        <v>320636</v>
      </c>
      <c r="G2204" s="48" t="s">
        <v>1407</v>
      </c>
      <c r="H2204" s="47">
        <v>44284</v>
      </c>
      <c r="I2204" s="46">
        <v>52298</v>
      </c>
      <c r="J2204" s="46">
        <v>15</v>
      </c>
      <c r="L2204" s="46">
        <v>0</v>
      </c>
      <c r="M2204" s="46">
        <v>0</v>
      </c>
    </row>
    <row r="2205" spans="2:13" ht="14.1" customHeight="1" x14ac:dyDescent="0.25">
      <c r="B2205" s="46" t="str">
        <f t="shared" si="34"/>
        <v>2101-228-320646</v>
      </c>
      <c r="C2205" s="47">
        <v>44224</v>
      </c>
      <c r="D2205" s="46">
        <v>228</v>
      </c>
      <c r="E2205" s="46">
        <v>1</v>
      </c>
      <c r="F2205" s="46">
        <v>320646</v>
      </c>
      <c r="G2205" s="48" t="s">
        <v>1417</v>
      </c>
      <c r="H2205" s="47">
        <v>44284</v>
      </c>
      <c r="I2205" s="46">
        <v>52300</v>
      </c>
      <c r="J2205" s="46">
        <v>1</v>
      </c>
      <c r="K2205" s="47">
        <v>44294</v>
      </c>
      <c r="L2205" s="46">
        <v>11746</v>
      </c>
      <c r="M2205" s="46">
        <v>1</v>
      </c>
    </row>
    <row r="2206" spans="2:13" ht="14.1" customHeight="1" x14ac:dyDescent="0.25">
      <c r="B2206" s="46" t="str">
        <f t="shared" si="34"/>
        <v>2101-228-106047</v>
      </c>
      <c r="C2206" s="47">
        <v>44224</v>
      </c>
      <c r="D2206" s="46">
        <v>228</v>
      </c>
      <c r="E2206" s="46">
        <v>200</v>
      </c>
      <c r="F2206" s="46">
        <v>106047</v>
      </c>
      <c r="G2206" s="48" t="s">
        <v>450</v>
      </c>
      <c r="H2206" s="47">
        <v>44285</v>
      </c>
      <c r="I2206" s="46">
        <v>52301</v>
      </c>
      <c r="J2206" s="46">
        <v>200</v>
      </c>
      <c r="K2206" s="47">
        <v>44294</v>
      </c>
      <c r="L2206" s="46">
        <v>11740</v>
      </c>
      <c r="M2206" s="46">
        <v>200</v>
      </c>
    </row>
    <row r="2207" spans="2:13" ht="14.1" customHeight="1" x14ac:dyDescent="0.25">
      <c r="B2207" s="46" t="str">
        <f t="shared" si="34"/>
        <v>2101-228-203982</v>
      </c>
      <c r="C2207" s="47">
        <v>44224</v>
      </c>
      <c r="D2207" s="46">
        <v>228</v>
      </c>
      <c r="E2207" s="46">
        <v>10</v>
      </c>
      <c r="F2207" s="46">
        <v>203982</v>
      </c>
      <c r="G2207" s="48" t="s">
        <v>522</v>
      </c>
      <c r="H2207" s="47">
        <v>44285</v>
      </c>
      <c r="I2207" s="46">
        <v>52301</v>
      </c>
      <c r="J2207" s="46">
        <v>10</v>
      </c>
      <c r="K2207" s="47">
        <v>44294</v>
      </c>
      <c r="L2207" s="46">
        <v>11740</v>
      </c>
      <c r="M2207" s="46">
        <v>10</v>
      </c>
    </row>
    <row r="2208" spans="2:13" ht="14.1" customHeight="1" x14ac:dyDescent="0.25">
      <c r="B2208" s="46" t="str">
        <f t="shared" si="34"/>
        <v>2101-228-204413</v>
      </c>
      <c r="C2208" s="47">
        <v>44224</v>
      </c>
      <c r="D2208" s="46">
        <v>228</v>
      </c>
      <c r="E2208" s="46">
        <v>30</v>
      </c>
      <c r="F2208" s="46">
        <v>204413</v>
      </c>
      <c r="G2208" s="48" t="s">
        <v>1382</v>
      </c>
      <c r="H2208" s="47">
        <v>44285</v>
      </c>
      <c r="I2208" s="46">
        <v>52301</v>
      </c>
      <c r="J2208" s="46">
        <v>30</v>
      </c>
      <c r="K2208" s="47">
        <v>44294</v>
      </c>
      <c r="L2208" s="46">
        <v>11740</v>
      </c>
      <c r="M2208" s="46">
        <v>30</v>
      </c>
    </row>
    <row r="2209" spans="2:13" ht="14.1" customHeight="1" x14ac:dyDescent="0.25">
      <c r="B2209" s="46" t="str">
        <f t="shared" si="34"/>
        <v>2101-228-205181</v>
      </c>
      <c r="C2209" s="47">
        <v>44224</v>
      </c>
      <c r="D2209" s="46">
        <v>228</v>
      </c>
      <c r="E2209" s="46">
        <v>30</v>
      </c>
      <c r="F2209" s="46">
        <v>205181</v>
      </c>
      <c r="G2209" s="48" t="s">
        <v>1383</v>
      </c>
      <c r="H2209" s="47">
        <v>44285</v>
      </c>
      <c r="I2209" s="46">
        <v>52301</v>
      </c>
      <c r="J2209" s="46">
        <v>30</v>
      </c>
      <c r="K2209" s="47">
        <v>44294</v>
      </c>
      <c r="L2209" s="46">
        <v>11740</v>
      </c>
      <c r="M2209" s="46">
        <v>30</v>
      </c>
    </row>
    <row r="2210" spans="2:13" ht="14.1" customHeight="1" x14ac:dyDescent="0.25">
      <c r="B2210" s="46" t="str">
        <f t="shared" si="34"/>
        <v>2101-228-300933</v>
      </c>
      <c r="C2210" s="47">
        <v>44224</v>
      </c>
      <c r="D2210" s="46">
        <v>228</v>
      </c>
      <c r="E2210" s="46">
        <v>20</v>
      </c>
      <c r="F2210" s="46">
        <v>300933</v>
      </c>
      <c r="G2210" s="48" t="s">
        <v>60</v>
      </c>
      <c r="H2210" s="47">
        <v>44285</v>
      </c>
      <c r="I2210" s="46">
        <v>52301</v>
      </c>
      <c r="J2210" s="46">
        <v>20</v>
      </c>
      <c r="K2210" s="47">
        <v>44294</v>
      </c>
      <c r="L2210" s="46">
        <v>11740</v>
      </c>
      <c r="M2210" s="46">
        <v>20</v>
      </c>
    </row>
    <row r="2211" spans="2:13" ht="14.1" customHeight="1" x14ac:dyDescent="0.25">
      <c r="B2211" s="46" t="str">
        <f t="shared" si="34"/>
        <v>2101-228-309883</v>
      </c>
      <c r="C2211" s="47">
        <v>44224</v>
      </c>
      <c r="D2211" s="46">
        <v>228</v>
      </c>
      <c r="E2211" s="46">
        <v>800</v>
      </c>
      <c r="F2211" s="46">
        <v>309883</v>
      </c>
      <c r="G2211" s="48" t="s">
        <v>40</v>
      </c>
      <c r="I2211" s="46">
        <v>0</v>
      </c>
      <c r="J2211" s="46">
        <v>0</v>
      </c>
      <c r="L2211" s="46">
        <v>0</v>
      </c>
      <c r="M2211" s="46">
        <v>0</v>
      </c>
    </row>
    <row r="2212" spans="2:13" ht="14.1" customHeight="1" x14ac:dyDescent="0.25">
      <c r="B2212" s="46" t="str">
        <f t="shared" si="34"/>
        <v>2101-228-320631</v>
      </c>
      <c r="C2212" s="47">
        <v>44224</v>
      </c>
      <c r="D2212" s="46">
        <v>228</v>
      </c>
      <c r="E2212" s="46">
        <v>1</v>
      </c>
      <c r="F2212" s="46">
        <v>320631</v>
      </c>
      <c r="G2212" s="48" t="s">
        <v>1402</v>
      </c>
      <c r="H2212" s="47">
        <v>44284</v>
      </c>
      <c r="I2212" s="46">
        <v>52298</v>
      </c>
      <c r="J2212" s="46">
        <v>1</v>
      </c>
      <c r="L2212" s="46">
        <v>0</v>
      </c>
      <c r="M2212" s="46">
        <v>0</v>
      </c>
    </row>
    <row r="2213" spans="2:13" ht="14.1" customHeight="1" x14ac:dyDescent="0.25">
      <c r="B2213" s="46" t="str">
        <f t="shared" si="34"/>
        <v>2101-228-320639</v>
      </c>
      <c r="C2213" s="47">
        <v>44224</v>
      </c>
      <c r="D2213" s="46">
        <v>228</v>
      </c>
      <c r="E2213" s="46">
        <v>2</v>
      </c>
      <c r="F2213" s="46">
        <v>320639</v>
      </c>
      <c r="G2213" s="48" t="s">
        <v>1410</v>
      </c>
      <c r="H2213" s="47">
        <v>44284</v>
      </c>
      <c r="I2213" s="46">
        <v>52298</v>
      </c>
      <c r="J2213" s="46">
        <v>2</v>
      </c>
      <c r="L2213" s="46">
        <v>0</v>
      </c>
      <c r="M2213" s="46">
        <v>0</v>
      </c>
    </row>
    <row r="2214" spans="2:13" ht="14.1" customHeight="1" x14ac:dyDescent="0.25">
      <c r="B2214" s="46" t="str">
        <f t="shared" si="34"/>
        <v>2101-228-320640</v>
      </c>
      <c r="C2214" s="47">
        <v>44224</v>
      </c>
      <c r="D2214" s="46">
        <v>228</v>
      </c>
      <c r="E2214" s="46">
        <v>12</v>
      </c>
      <c r="F2214" s="46">
        <v>320640</v>
      </c>
      <c r="G2214" s="48" t="s">
        <v>1411</v>
      </c>
      <c r="I2214" s="46">
        <v>0</v>
      </c>
      <c r="J2214" s="46">
        <v>0</v>
      </c>
      <c r="L2214" s="46">
        <v>0</v>
      </c>
      <c r="M2214" s="46">
        <v>0</v>
      </c>
    </row>
    <row r="2215" spans="2:13" ht="14.1" customHeight="1" x14ac:dyDescent="0.25">
      <c r="B2215" s="46" t="str">
        <f t="shared" si="34"/>
        <v>2101-228-320641</v>
      </c>
      <c r="C2215" s="47">
        <v>44224</v>
      </c>
      <c r="D2215" s="46">
        <v>228</v>
      </c>
      <c r="E2215" s="46">
        <v>3</v>
      </c>
      <c r="F2215" s="46">
        <v>320641</v>
      </c>
      <c r="G2215" s="48" t="s">
        <v>1412</v>
      </c>
      <c r="I2215" s="46">
        <v>0</v>
      </c>
      <c r="J2215" s="46">
        <v>0</v>
      </c>
      <c r="L2215" s="46">
        <v>0</v>
      </c>
      <c r="M2215" s="46">
        <v>0</v>
      </c>
    </row>
    <row r="2216" spans="2:13" ht="14.1" customHeight="1" x14ac:dyDescent="0.25">
      <c r="B2216" s="46" t="str">
        <f t="shared" si="34"/>
        <v>2101-228-320708</v>
      </c>
      <c r="C2216" s="47">
        <v>44224</v>
      </c>
      <c r="D2216" s="46">
        <v>228</v>
      </c>
      <c r="E2216" s="46">
        <v>2</v>
      </c>
      <c r="F2216" s="46">
        <v>320708</v>
      </c>
      <c r="G2216" s="48" t="s">
        <v>1517</v>
      </c>
      <c r="H2216" s="47">
        <v>44285</v>
      </c>
      <c r="I2216" s="46">
        <v>52301</v>
      </c>
      <c r="J2216" s="46">
        <v>2</v>
      </c>
      <c r="K2216" s="47">
        <v>44301</v>
      </c>
      <c r="L2216" s="46">
        <v>11842</v>
      </c>
      <c r="M2216" s="46">
        <v>2</v>
      </c>
    </row>
    <row r="2217" spans="2:13" ht="14.1" customHeight="1" x14ac:dyDescent="0.25">
      <c r="B2217" s="46" t="str">
        <f t="shared" si="34"/>
        <v>2101-228-317495</v>
      </c>
      <c r="C2217" s="47">
        <v>44224</v>
      </c>
      <c r="D2217" s="46">
        <v>228</v>
      </c>
      <c r="E2217" s="46">
        <v>8</v>
      </c>
      <c r="F2217" s="46">
        <v>317495</v>
      </c>
      <c r="G2217" s="48" t="s">
        <v>1373</v>
      </c>
      <c r="H2217" s="47">
        <v>44285</v>
      </c>
      <c r="I2217" s="46">
        <v>52301</v>
      </c>
      <c r="J2217" s="46">
        <v>8</v>
      </c>
      <c r="K2217" s="47">
        <v>44294</v>
      </c>
      <c r="L2217" s="46">
        <v>11740</v>
      </c>
      <c r="M2217" s="46">
        <v>8</v>
      </c>
    </row>
    <row r="2218" spans="2:13" ht="14.1" customHeight="1" x14ac:dyDescent="0.25">
      <c r="B2218" s="46" t="str">
        <f t="shared" si="34"/>
        <v>2101-228-106405</v>
      </c>
      <c r="C2218" s="47">
        <v>44224</v>
      </c>
      <c r="D2218" s="46">
        <v>228</v>
      </c>
      <c r="E2218" s="46">
        <v>5</v>
      </c>
      <c r="F2218" s="46">
        <v>106405</v>
      </c>
      <c r="G2218" s="48" t="s">
        <v>1377</v>
      </c>
      <c r="I2218" s="46">
        <v>0</v>
      </c>
      <c r="J2218" s="46">
        <v>0</v>
      </c>
      <c r="L2218" s="46">
        <v>0</v>
      </c>
      <c r="M2218" s="46">
        <v>0</v>
      </c>
    </row>
    <row r="2219" spans="2:13" ht="14.1" customHeight="1" x14ac:dyDescent="0.25">
      <c r="B2219" s="46" t="str">
        <f t="shared" si="34"/>
        <v>2101-228-201048</v>
      </c>
      <c r="C2219" s="47">
        <v>44224</v>
      </c>
      <c r="D2219" s="46">
        <v>228</v>
      </c>
      <c r="E2219" s="46">
        <v>20</v>
      </c>
      <c r="F2219" s="46">
        <v>201048</v>
      </c>
      <c r="G2219" s="48" t="s">
        <v>1380</v>
      </c>
      <c r="H2219" s="47">
        <v>44285</v>
      </c>
      <c r="I2219" s="46">
        <v>52301</v>
      </c>
      <c r="J2219" s="46">
        <v>20</v>
      </c>
      <c r="K2219" s="47">
        <v>44294</v>
      </c>
      <c r="L2219" s="46">
        <v>11740</v>
      </c>
      <c r="M2219" s="46">
        <v>20</v>
      </c>
    </row>
    <row r="2220" spans="2:13" ht="14.1" customHeight="1" x14ac:dyDescent="0.25">
      <c r="B2220" s="46" t="str">
        <f t="shared" si="34"/>
        <v>2101-228-202692</v>
      </c>
      <c r="C2220" s="47">
        <v>44224</v>
      </c>
      <c r="D2220" s="46">
        <v>228</v>
      </c>
      <c r="E2220" s="46">
        <v>30</v>
      </c>
      <c r="F2220" s="46">
        <v>202692</v>
      </c>
      <c r="G2220" s="48" t="s">
        <v>1388</v>
      </c>
      <c r="H2220" s="47">
        <v>44285</v>
      </c>
      <c r="I2220" s="46">
        <v>52301</v>
      </c>
      <c r="J2220" s="46">
        <v>30</v>
      </c>
      <c r="K2220" s="47">
        <v>44294</v>
      </c>
      <c r="L2220" s="46">
        <v>11740</v>
      </c>
      <c r="M2220" s="46">
        <v>30</v>
      </c>
    </row>
    <row r="2221" spans="2:13" ht="14.1" customHeight="1" x14ac:dyDescent="0.25">
      <c r="B2221" s="46" t="str">
        <f t="shared" si="34"/>
        <v>2101-228-202694</v>
      </c>
      <c r="C2221" s="47">
        <v>44224</v>
      </c>
      <c r="D2221" s="46">
        <v>228</v>
      </c>
      <c r="E2221" s="46">
        <v>20</v>
      </c>
      <c r="F2221" s="46">
        <v>202694</v>
      </c>
      <c r="G2221" s="48" t="s">
        <v>407</v>
      </c>
      <c r="H2221" s="47">
        <v>44285</v>
      </c>
      <c r="I2221" s="46">
        <v>52301</v>
      </c>
      <c r="J2221" s="46">
        <v>20</v>
      </c>
      <c r="K2221" s="47">
        <v>44294</v>
      </c>
      <c r="L2221" s="46">
        <v>11740</v>
      </c>
      <c r="M2221" s="46">
        <v>20</v>
      </c>
    </row>
    <row r="2222" spans="2:13" ht="14.1" customHeight="1" x14ac:dyDescent="0.25">
      <c r="B2222" s="46" t="str">
        <f t="shared" si="34"/>
        <v>2101-228-203230</v>
      </c>
      <c r="C2222" s="47">
        <v>44224</v>
      </c>
      <c r="D2222" s="46">
        <v>228</v>
      </c>
      <c r="E2222" s="46">
        <v>30</v>
      </c>
      <c r="F2222" s="46">
        <v>203230</v>
      </c>
      <c r="G2222" s="48" t="s">
        <v>506</v>
      </c>
      <c r="H2222" s="47">
        <v>44285</v>
      </c>
      <c r="I2222" s="46">
        <v>52301</v>
      </c>
      <c r="J2222" s="46">
        <v>30</v>
      </c>
      <c r="K2222" s="47">
        <v>44294</v>
      </c>
      <c r="L2222" s="46">
        <v>11740</v>
      </c>
      <c r="M2222" s="46">
        <v>30</v>
      </c>
    </row>
    <row r="2223" spans="2:13" ht="14.1" customHeight="1" x14ac:dyDescent="0.25">
      <c r="B2223" s="46" t="str">
        <f t="shared" si="34"/>
        <v>2101-228-304264</v>
      </c>
      <c r="C2223" s="47">
        <v>44224</v>
      </c>
      <c r="D2223" s="46">
        <v>228</v>
      </c>
      <c r="E2223" s="46">
        <v>8</v>
      </c>
      <c r="F2223" s="46">
        <v>304264</v>
      </c>
      <c r="G2223" s="48" t="s">
        <v>100</v>
      </c>
      <c r="H2223" s="47">
        <v>44285</v>
      </c>
      <c r="I2223" s="46">
        <v>52301</v>
      </c>
      <c r="J2223" s="46">
        <v>8</v>
      </c>
      <c r="K2223" s="47">
        <v>44294</v>
      </c>
      <c r="L2223" s="46">
        <v>11740</v>
      </c>
      <c r="M2223" s="46">
        <v>8</v>
      </c>
    </row>
    <row r="2224" spans="2:13" ht="14.1" customHeight="1" x14ac:dyDescent="0.25">
      <c r="B2224" s="46" t="str">
        <f t="shared" si="34"/>
        <v>2101-228-320647</v>
      </c>
      <c r="C2224" s="47">
        <v>44224</v>
      </c>
      <c r="D2224" s="46">
        <v>228</v>
      </c>
      <c r="E2224" s="46">
        <v>1</v>
      </c>
      <c r="F2224" s="46">
        <v>320647</v>
      </c>
      <c r="G2224" s="48" t="s">
        <v>1418</v>
      </c>
      <c r="H2224" s="47">
        <v>44284</v>
      </c>
      <c r="I2224" s="46">
        <v>52300</v>
      </c>
      <c r="J2224" s="46">
        <v>1</v>
      </c>
      <c r="K2224" s="47">
        <v>44294</v>
      </c>
      <c r="L2224" s="46">
        <v>11746</v>
      </c>
      <c r="M2224" s="46">
        <v>1</v>
      </c>
    </row>
    <row r="2225" spans="2:13" ht="14.1" customHeight="1" x14ac:dyDescent="0.25">
      <c r="B2225" s="46" t="str">
        <f t="shared" si="34"/>
        <v>2101-228-302524</v>
      </c>
      <c r="C2225" s="47">
        <v>44224</v>
      </c>
      <c r="D2225" s="46">
        <v>228</v>
      </c>
      <c r="E2225" s="46">
        <v>20</v>
      </c>
      <c r="F2225" s="46">
        <v>302524</v>
      </c>
      <c r="G2225" s="48" t="s">
        <v>1385</v>
      </c>
      <c r="H2225" s="47">
        <v>44285</v>
      </c>
      <c r="I2225" s="46">
        <v>52301</v>
      </c>
      <c r="J2225" s="46">
        <v>20</v>
      </c>
      <c r="K2225" s="47">
        <v>44294</v>
      </c>
      <c r="L2225" s="46">
        <v>11742</v>
      </c>
      <c r="M2225" s="46">
        <v>20</v>
      </c>
    </row>
    <row r="2226" spans="2:13" ht="14.1" customHeight="1" x14ac:dyDescent="0.25">
      <c r="B2226" s="46" t="str">
        <f t="shared" si="34"/>
        <v>2101-228-313280</v>
      </c>
      <c r="C2226" s="47">
        <v>44224</v>
      </c>
      <c r="D2226" s="46">
        <v>228</v>
      </c>
      <c r="E2226" s="46">
        <v>8</v>
      </c>
      <c r="F2226" s="46">
        <v>313280</v>
      </c>
      <c r="G2226" s="48" t="s">
        <v>1374</v>
      </c>
      <c r="H2226" s="47">
        <v>44285</v>
      </c>
      <c r="I2226" s="46">
        <v>52301</v>
      </c>
      <c r="J2226" s="46">
        <v>8</v>
      </c>
      <c r="K2226" s="47">
        <v>44294</v>
      </c>
      <c r="L2226" s="46">
        <v>11740</v>
      </c>
      <c r="M2226" s="46">
        <v>8</v>
      </c>
    </row>
    <row r="2227" spans="2:13" ht="14.1" customHeight="1" x14ac:dyDescent="0.25">
      <c r="B2227" s="46" t="str">
        <f t="shared" si="34"/>
        <v>2101-228-204192</v>
      </c>
      <c r="C2227" s="47">
        <v>44224</v>
      </c>
      <c r="D2227" s="46">
        <v>228</v>
      </c>
      <c r="E2227" s="46">
        <v>600</v>
      </c>
      <c r="F2227" s="46">
        <v>204192</v>
      </c>
      <c r="G2227" s="48" t="s">
        <v>59</v>
      </c>
      <c r="H2227" s="47">
        <v>44285</v>
      </c>
      <c r="I2227" s="46">
        <v>52301</v>
      </c>
      <c r="J2227" s="46">
        <v>600</v>
      </c>
      <c r="K2227" s="47">
        <v>44294</v>
      </c>
      <c r="L2227" s="46">
        <v>11742</v>
      </c>
      <c r="M2227" s="46">
        <v>400</v>
      </c>
    </row>
    <row r="2228" spans="2:13" ht="14.1" customHeight="1" x14ac:dyDescent="0.25">
      <c r="B2228" s="46" t="str">
        <f t="shared" si="34"/>
        <v>2101-228-204192</v>
      </c>
      <c r="C2228" s="47">
        <v>44224</v>
      </c>
      <c r="D2228" s="46">
        <v>228</v>
      </c>
      <c r="E2228" s="46">
        <v>600</v>
      </c>
      <c r="F2228" s="46">
        <v>204192</v>
      </c>
      <c r="G2228" s="48" t="s">
        <v>59</v>
      </c>
      <c r="H2228" s="47">
        <v>44285</v>
      </c>
      <c r="I2228" s="46">
        <v>52301</v>
      </c>
      <c r="J2228" s="46">
        <v>600</v>
      </c>
      <c r="K2228" s="47">
        <v>44301</v>
      </c>
      <c r="L2228" s="46">
        <v>11840</v>
      </c>
      <c r="M2228" s="46">
        <v>200</v>
      </c>
    </row>
    <row r="2229" spans="2:13" ht="14.1" customHeight="1" x14ac:dyDescent="0.25">
      <c r="B2229" s="46" t="str">
        <f t="shared" si="34"/>
        <v>2101-228-204416</v>
      </c>
      <c r="C2229" s="47">
        <v>44224</v>
      </c>
      <c r="D2229" s="46">
        <v>228</v>
      </c>
      <c r="E2229" s="46">
        <v>30</v>
      </c>
      <c r="F2229" s="46">
        <v>204416</v>
      </c>
      <c r="G2229" s="48" t="s">
        <v>322</v>
      </c>
      <c r="H2229" s="47">
        <v>44285</v>
      </c>
      <c r="I2229" s="46">
        <v>52301</v>
      </c>
      <c r="J2229" s="46">
        <v>30</v>
      </c>
      <c r="K2229" s="47">
        <v>44294</v>
      </c>
      <c r="L2229" s="46">
        <v>11740</v>
      </c>
      <c r="M2229" s="46">
        <v>30</v>
      </c>
    </row>
    <row r="2230" spans="2:13" ht="14.1" customHeight="1" x14ac:dyDescent="0.25">
      <c r="B2230" s="64" t="str">
        <f t="shared" ref="B2230:B2261" si="35">TEXT(C2230,"yy") &amp; TEXT(C2230,"mm") &amp;"-"&amp;(D2230) &amp;"-"&amp;(F2230)</f>
        <v>2101-228-301985</v>
      </c>
      <c r="C2230" s="65">
        <v>44224</v>
      </c>
      <c r="D2230" s="64">
        <v>228</v>
      </c>
      <c r="E2230" s="64">
        <v>20</v>
      </c>
      <c r="F2230" s="64">
        <v>301985</v>
      </c>
      <c r="G2230" s="66" t="s">
        <v>629</v>
      </c>
      <c r="H2230" s="65">
        <v>44285</v>
      </c>
      <c r="I2230" s="64">
        <v>52301</v>
      </c>
      <c r="J2230" s="64">
        <v>20</v>
      </c>
      <c r="K2230" s="65">
        <v>44294</v>
      </c>
      <c r="L2230" s="64">
        <v>11742</v>
      </c>
      <c r="M2230" s="64">
        <v>20</v>
      </c>
    </row>
    <row r="2231" spans="2:13" ht="14.1" customHeight="1" x14ac:dyDescent="0.25">
      <c r="B2231" s="64" t="str">
        <f t="shared" si="35"/>
        <v>2101-228-301142</v>
      </c>
      <c r="C2231" s="65">
        <v>44224</v>
      </c>
      <c r="D2231" s="64">
        <v>228</v>
      </c>
      <c r="E2231" s="64">
        <v>30</v>
      </c>
      <c r="F2231" s="64">
        <v>301142</v>
      </c>
      <c r="G2231" s="66" t="s">
        <v>1381</v>
      </c>
      <c r="H2231" s="65">
        <v>44285</v>
      </c>
      <c r="I2231" s="64">
        <v>52301</v>
      </c>
      <c r="J2231" s="64">
        <v>30</v>
      </c>
      <c r="K2231" s="65">
        <v>44294</v>
      </c>
      <c r="L2231" s="64">
        <v>11740</v>
      </c>
      <c r="M2231" s="64">
        <v>30</v>
      </c>
    </row>
    <row r="2232" spans="2:13" ht="14.1" customHeight="1" x14ac:dyDescent="0.25">
      <c r="B2232" s="64" t="str">
        <f t="shared" si="35"/>
        <v>2101-228-301393</v>
      </c>
      <c r="C2232" s="65">
        <v>44224</v>
      </c>
      <c r="D2232" s="64">
        <v>228</v>
      </c>
      <c r="E2232" s="64">
        <v>15</v>
      </c>
      <c r="F2232" s="64">
        <v>301393</v>
      </c>
      <c r="G2232" s="66" t="s">
        <v>1386</v>
      </c>
      <c r="H2232" s="65">
        <v>44285</v>
      </c>
      <c r="I2232" s="64">
        <v>52301</v>
      </c>
      <c r="J2232" s="64">
        <v>15</v>
      </c>
      <c r="K2232" s="65">
        <v>44294</v>
      </c>
      <c r="L2232" s="64">
        <v>11740</v>
      </c>
      <c r="M2232" s="64">
        <v>15</v>
      </c>
    </row>
    <row r="2233" spans="2:13" ht="14.1" customHeight="1" x14ac:dyDescent="0.25">
      <c r="B2233" s="64" t="str">
        <f t="shared" si="35"/>
        <v>2101-228-314372</v>
      </c>
      <c r="C2233" s="65">
        <v>44224</v>
      </c>
      <c r="D2233" s="64">
        <v>228</v>
      </c>
      <c r="E2233" s="64">
        <v>10</v>
      </c>
      <c r="F2233" s="64">
        <v>314372</v>
      </c>
      <c r="G2233" s="66" t="s">
        <v>1375</v>
      </c>
      <c r="H2233" s="65">
        <v>44284</v>
      </c>
      <c r="I2233" s="64">
        <v>52300</v>
      </c>
      <c r="J2233" s="64">
        <v>10</v>
      </c>
      <c r="K2233" s="65">
        <v>44292</v>
      </c>
      <c r="L2233" s="64">
        <v>11713</v>
      </c>
      <c r="M2233" s="64">
        <v>10</v>
      </c>
    </row>
    <row r="2234" spans="2:13" ht="14.1" customHeight="1" x14ac:dyDescent="0.25">
      <c r="B2234" s="64" t="str">
        <f t="shared" si="35"/>
        <v>2101-228-203231</v>
      </c>
      <c r="C2234" s="65">
        <v>44224</v>
      </c>
      <c r="D2234" s="64">
        <v>228</v>
      </c>
      <c r="E2234" s="64">
        <v>25</v>
      </c>
      <c r="F2234" s="64">
        <v>203231</v>
      </c>
      <c r="G2234" s="66" t="s">
        <v>507</v>
      </c>
      <c r="H2234" s="65">
        <v>44285</v>
      </c>
      <c r="I2234" s="64">
        <v>52301</v>
      </c>
      <c r="J2234" s="64">
        <v>25</v>
      </c>
      <c r="K2234" s="65">
        <v>44294</v>
      </c>
      <c r="L2234" s="64">
        <v>11740</v>
      </c>
      <c r="M2234" s="64">
        <v>25</v>
      </c>
    </row>
    <row r="2235" spans="2:13" ht="14.1" customHeight="1" x14ac:dyDescent="0.25">
      <c r="B2235" s="64" t="str">
        <f t="shared" si="35"/>
        <v>2101-228-203233</v>
      </c>
      <c r="C2235" s="65">
        <v>44224</v>
      </c>
      <c r="D2235" s="64">
        <v>228</v>
      </c>
      <c r="E2235" s="64">
        <v>10</v>
      </c>
      <c r="F2235" s="64">
        <v>203233</v>
      </c>
      <c r="G2235" s="66" t="s">
        <v>405</v>
      </c>
      <c r="H2235" s="65">
        <v>44285</v>
      </c>
      <c r="I2235" s="64">
        <v>52301</v>
      </c>
      <c r="J2235" s="64">
        <v>10</v>
      </c>
      <c r="K2235" s="65">
        <v>44294</v>
      </c>
      <c r="L2235" s="64">
        <v>11742</v>
      </c>
      <c r="M2235" s="64">
        <v>10</v>
      </c>
    </row>
    <row r="2236" spans="2:13" ht="14.1" customHeight="1" x14ac:dyDescent="0.25">
      <c r="B2236" s="64" t="str">
        <f t="shared" si="35"/>
        <v>2101-228-320628</v>
      </c>
      <c r="C2236" s="65">
        <v>44224</v>
      </c>
      <c r="D2236" s="64">
        <v>228</v>
      </c>
      <c r="E2236" s="64">
        <v>1</v>
      </c>
      <c r="F2236" s="64">
        <v>320628</v>
      </c>
      <c r="G2236" s="66" t="s">
        <v>1399</v>
      </c>
      <c r="H2236" s="65">
        <v>44284</v>
      </c>
      <c r="I2236" s="64">
        <v>52299</v>
      </c>
      <c r="J2236" s="64">
        <v>1</v>
      </c>
      <c r="K2236" s="65">
        <v>44292</v>
      </c>
      <c r="L2236" s="64">
        <v>11722</v>
      </c>
      <c r="M2236" s="64">
        <v>1</v>
      </c>
    </row>
    <row r="2237" spans="2:13" ht="14.1" customHeight="1" x14ac:dyDescent="0.25">
      <c r="B2237" s="64" t="str">
        <f t="shared" si="35"/>
        <v>2101-228-320650</v>
      </c>
      <c r="C2237" s="65">
        <v>44224</v>
      </c>
      <c r="D2237" s="64">
        <v>228</v>
      </c>
      <c r="E2237" s="64">
        <v>1</v>
      </c>
      <c r="F2237" s="64">
        <v>320650</v>
      </c>
      <c r="G2237" s="66" t="s">
        <v>1422</v>
      </c>
      <c r="H2237" s="65">
        <v>44285</v>
      </c>
      <c r="I2237" s="64">
        <v>52301</v>
      </c>
      <c r="J2237" s="64">
        <v>1</v>
      </c>
      <c r="K2237" s="65"/>
      <c r="L2237" s="64">
        <v>0</v>
      </c>
      <c r="M2237" s="64">
        <v>0</v>
      </c>
    </row>
    <row r="2238" spans="2:13" ht="14.1" customHeight="1" x14ac:dyDescent="0.25">
      <c r="B2238" s="64" t="str">
        <f t="shared" si="35"/>
        <v>2101-228-320651</v>
      </c>
      <c r="C2238" s="65">
        <v>44224</v>
      </c>
      <c r="D2238" s="64">
        <v>228</v>
      </c>
      <c r="E2238" s="64">
        <v>2</v>
      </c>
      <c r="F2238" s="64">
        <v>320651</v>
      </c>
      <c r="G2238" s="66" t="s">
        <v>1421</v>
      </c>
      <c r="H2238" s="65">
        <v>44285</v>
      </c>
      <c r="I2238" s="64">
        <v>52301</v>
      </c>
      <c r="J2238" s="64">
        <v>2</v>
      </c>
      <c r="K2238" s="65">
        <v>44301</v>
      </c>
      <c r="L2238" s="64">
        <v>11842</v>
      </c>
      <c r="M2238" s="64">
        <v>2</v>
      </c>
    </row>
    <row r="2239" spans="2:13" ht="14.1" customHeight="1" x14ac:dyDescent="0.25">
      <c r="B2239" s="64" t="str">
        <f t="shared" si="35"/>
        <v>2101-228-303904</v>
      </c>
      <c r="C2239" s="65">
        <v>44224</v>
      </c>
      <c r="D2239" s="64">
        <v>228</v>
      </c>
      <c r="E2239" s="64">
        <v>150</v>
      </c>
      <c r="F2239" s="64">
        <v>303904</v>
      </c>
      <c r="G2239" s="66" t="s">
        <v>1391</v>
      </c>
      <c r="H2239" s="65">
        <v>44284</v>
      </c>
      <c r="I2239" s="64">
        <v>52298</v>
      </c>
      <c r="J2239" s="64">
        <v>150</v>
      </c>
      <c r="K2239" s="65"/>
      <c r="L2239" s="64">
        <v>0</v>
      </c>
      <c r="M2239" s="64">
        <v>0</v>
      </c>
    </row>
    <row r="2240" spans="2:13" ht="14.1" customHeight="1" x14ac:dyDescent="0.25">
      <c r="B2240" s="64" t="str">
        <f t="shared" si="35"/>
        <v>2101-228-307401</v>
      </c>
      <c r="C2240" s="65">
        <v>44224</v>
      </c>
      <c r="D2240" s="64">
        <v>228</v>
      </c>
      <c r="E2240" s="64">
        <v>15</v>
      </c>
      <c r="F2240" s="64">
        <v>307401</v>
      </c>
      <c r="G2240" s="66" t="s">
        <v>1393</v>
      </c>
      <c r="H2240" s="65">
        <v>44284</v>
      </c>
      <c r="I2240" s="64">
        <v>52298</v>
      </c>
      <c r="J2240" s="64">
        <v>15</v>
      </c>
      <c r="K2240" s="65"/>
      <c r="L2240" s="64">
        <v>0</v>
      </c>
      <c r="M2240" s="64">
        <v>0</v>
      </c>
    </row>
    <row r="2241" spans="2:13" ht="14.1" customHeight="1" x14ac:dyDescent="0.25">
      <c r="B2241" s="64" t="str">
        <f t="shared" si="35"/>
        <v>2101-228-203972</v>
      </c>
      <c r="C2241" s="65">
        <v>44224</v>
      </c>
      <c r="D2241" s="64">
        <v>228</v>
      </c>
      <c r="E2241" s="64">
        <v>15</v>
      </c>
      <c r="F2241" s="64">
        <v>203972</v>
      </c>
      <c r="G2241" s="66" t="s">
        <v>325</v>
      </c>
      <c r="H2241" s="65">
        <v>44285</v>
      </c>
      <c r="I2241" s="64">
        <v>52301</v>
      </c>
      <c r="J2241" s="64">
        <v>15</v>
      </c>
      <c r="K2241" s="65">
        <v>44294</v>
      </c>
      <c r="L2241" s="64">
        <v>11742</v>
      </c>
      <c r="M2241" s="64">
        <v>10</v>
      </c>
    </row>
    <row r="2242" spans="2:13" ht="14.1" customHeight="1" x14ac:dyDescent="0.25">
      <c r="B2242" s="64" t="str">
        <f t="shared" si="35"/>
        <v>2101-228-203972</v>
      </c>
      <c r="C2242" s="65">
        <v>44224</v>
      </c>
      <c r="D2242" s="64">
        <v>228</v>
      </c>
      <c r="E2242" s="64">
        <v>15</v>
      </c>
      <c r="F2242" s="64">
        <v>203972</v>
      </c>
      <c r="G2242" s="66" t="s">
        <v>325</v>
      </c>
      <c r="H2242" s="65">
        <v>44285</v>
      </c>
      <c r="I2242" s="64">
        <v>52301</v>
      </c>
      <c r="J2242" s="64">
        <v>15</v>
      </c>
      <c r="K2242" s="65">
        <v>44294</v>
      </c>
      <c r="L2242" s="64">
        <v>11747</v>
      </c>
      <c r="M2242" s="64">
        <v>5</v>
      </c>
    </row>
    <row r="2243" spans="2:13" ht="14.1" customHeight="1" x14ac:dyDescent="0.25">
      <c r="B2243" s="64" t="str">
        <f t="shared" si="35"/>
        <v>2101-228-203980</v>
      </c>
      <c r="C2243" s="65">
        <v>44224</v>
      </c>
      <c r="D2243" s="64">
        <v>228</v>
      </c>
      <c r="E2243" s="64">
        <v>15</v>
      </c>
      <c r="F2243" s="64">
        <v>203980</v>
      </c>
      <c r="G2243" s="66" t="s">
        <v>1379</v>
      </c>
      <c r="H2243" s="65">
        <v>44285</v>
      </c>
      <c r="I2243" s="64">
        <v>52301</v>
      </c>
      <c r="J2243" s="64">
        <v>15</v>
      </c>
      <c r="K2243" s="65">
        <v>44294</v>
      </c>
      <c r="L2243" s="64">
        <v>11740</v>
      </c>
      <c r="M2243" s="64">
        <v>15</v>
      </c>
    </row>
    <row r="2244" spans="2:13" ht="14.1" customHeight="1" x14ac:dyDescent="0.25">
      <c r="B2244" s="64" t="str">
        <f t="shared" si="35"/>
        <v>2101-228-320635</v>
      </c>
      <c r="C2244" s="65">
        <v>44224</v>
      </c>
      <c r="D2244" s="64">
        <v>228</v>
      </c>
      <c r="E2244" s="64">
        <v>15</v>
      </c>
      <c r="F2244" s="64">
        <v>320635</v>
      </c>
      <c r="G2244" s="66" t="s">
        <v>1406</v>
      </c>
      <c r="H2244" s="65">
        <v>44284</v>
      </c>
      <c r="I2244" s="64">
        <v>52298</v>
      </c>
      <c r="J2244" s="64">
        <v>15</v>
      </c>
      <c r="K2244" s="65"/>
      <c r="L2244" s="64">
        <v>0</v>
      </c>
      <c r="M2244" s="64">
        <v>0</v>
      </c>
    </row>
    <row r="2245" spans="2:13" ht="14.1" customHeight="1" x14ac:dyDescent="0.25">
      <c r="B2245" s="64" t="str">
        <f t="shared" si="35"/>
        <v>2101-228-320645</v>
      </c>
      <c r="C2245" s="65">
        <v>44224</v>
      </c>
      <c r="D2245" s="64">
        <v>228</v>
      </c>
      <c r="E2245" s="64">
        <v>50</v>
      </c>
      <c r="F2245" s="64">
        <v>320645</v>
      </c>
      <c r="G2245" s="66" t="s">
        <v>1416</v>
      </c>
      <c r="H2245" s="65"/>
      <c r="I2245" s="64">
        <v>0</v>
      </c>
      <c r="J2245" s="64">
        <v>0</v>
      </c>
      <c r="K2245" s="65"/>
      <c r="L2245" s="64">
        <v>0</v>
      </c>
      <c r="M2245" s="64">
        <v>0</v>
      </c>
    </row>
    <row r="2246" spans="2:13" ht="14.1" customHeight="1" x14ac:dyDescent="0.25">
      <c r="B2246" s="64" t="str">
        <f t="shared" si="35"/>
        <v>2101-228-304271</v>
      </c>
      <c r="C2246" s="65">
        <v>44224</v>
      </c>
      <c r="D2246" s="64">
        <v>228</v>
      </c>
      <c r="E2246" s="64">
        <v>1000</v>
      </c>
      <c r="F2246" s="64">
        <v>304271</v>
      </c>
      <c r="G2246" s="66" t="s">
        <v>362</v>
      </c>
      <c r="H2246" s="65">
        <v>44285</v>
      </c>
      <c r="I2246" s="64">
        <v>52301</v>
      </c>
      <c r="J2246" s="64">
        <v>1000</v>
      </c>
      <c r="K2246" s="65">
        <v>44294</v>
      </c>
      <c r="L2246" s="64">
        <v>11740</v>
      </c>
      <c r="M2246" s="64">
        <v>1000</v>
      </c>
    </row>
    <row r="2247" spans="2:13" ht="14.1" customHeight="1" x14ac:dyDescent="0.25">
      <c r="B2247" s="64" t="str">
        <f t="shared" si="35"/>
        <v>2101-228-320630</v>
      </c>
      <c r="C2247" s="65">
        <v>44224</v>
      </c>
      <c r="D2247" s="64">
        <v>228</v>
      </c>
      <c r="E2247" s="64">
        <v>8</v>
      </c>
      <c r="F2247" s="64">
        <v>320630</v>
      </c>
      <c r="G2247" s="66" t="s">
        <v>1401</v>
      </c>
      <c r="H2247" s="65">
        <v>44284</v>
      </c>
      <c r="I2247" s="64">
        <v>52300</v>
      </c>
      <c r="J2247" s="64">
        <v>8</v>
      </c>
      <c r="K2247" s="65">
        <v>44292</v>
      </c>
      <c r="L2247" s="64">
        <v>11713</v>
      </c>
      <c r="M2247" s="64">
        <v>8</v>
      </c>
    </row>
    <row r="2248" spans="2:13" ht="14.1" customHeight="1" x14ac:dyDescent="0.25">
      <c r="B2248" s="64" t="str">
        <f t="shared" si="35"/>
        <v>2101-228-320634</v>
      </c>
      <c r="C2248" s="65">
        <v>44224</v>
      </c>
      <c r="D2248" s="64">
        <v>228</v>
      </c>
      <c r="E2248" s="64">
        <v>15</v>
      </c>
      <c r="F2248" s="64">
        <v>320634</v>
      </c>
      <c r="G2248" s="66" t="s">
        <v>1405</v>
      </c>
      <c r="H2248" s="65">
        <v>44284</v>
      </c>
      <c r="I2248" s="64">
        <v>52298</v>
      </c>
      <c r="J2248" s="64">
        <v>15</v>
      </c>
      <c r="K2248" s="65"/>
      <c r="L2248" s="64">
        <v>0</v>
      </c>
      <c r="M2248" s="64">
        <v>0</v>
      </c>
    </row>
    <row r="2249" spans="2:13" ht="14.1" customHeight="1" x14ac:dyDescent="0.25">
      <c r="B2249" s="64" t="str">
        <f t="shared" si="35"/>
        <v>2101-228-320644</v>
      </c>
      <c r="C2249" s="65">
        <v>44224</v>
      </c>
      <c r="D2249" s="64">
        <v>228</v>
      </c>
      <c r="E2249" s="64">
        <v>100</v>
      </c>
      <c r="F2249" s="64">
        <v>320644</v>
      </c>
      <c r="G2249" s="66" t="s">
        <v>1415</v>
      </c>
      <c r="H2249" s="65"/>
      <c r="I2249" s="64">
        <v>0</v>
      </c>
      <c r="J2249" s="64">
        <v>0</v>
      </c>
      <c r="K2249" s="65"/>
      <c r="L2249" s="64">
        <v>0</v>
      </c>
      <c r="M2249" s="64">
        <v>0</v>
      </c>
    </row>
    <row r="2250" spans="2:13" ht="14.1" customHeight="1" x14ac:dyDescent="0.25">
      <c r="B2250" s="64" t="str">
        <f t="shared" si="35"/>
        <v>2101-228-320648</v>
      </c>
      <c r="C2250" s="65">
        <v>44224</v>
      </c>
      <c r="D2250" s="64">
        <v>228</v>
      </c>
      <c r="E2250" s="64">
        <v>1</v>
      </c>
      <c r="F2250" s="64">
        <v>320648</v>
      </c>
      <c r="G2250" s="66" t="s">
        <v>1419</v>
      </c>
      <c r="H2250" s="65">
        <v>44284</v>
      </c>
      <c r="I2250" s="64">
        <v>52300</v>
      </c>
      <c r="J2250" s="64">
        <v>1</v>
      </c>
      <c r="K2250" s="65">
        <v>44292</v>
      </c>
      <c r="L2250" s="64">
        <v>11713</v>
      </c>
      <c r="M2250" s="64">
        <v>1</v>
      </c>
    </row>
    <row r="2251" spans="2:13" ht="14.1" customHeight="1" x14ac:dyDescent="0.25">
      <c r="B2251" s="64" t="str">
        <f t="shared" si="35"/>
        <v>2101-228-308224</v>
      </c>
      <c r="C2251" s="65">
        <v>44224</v>
      </c>
      <c r="D2251" s="64">
        <v>228</v>
      </c>
      <c r="E2251" s="64">
        <v>1</v>
      </c>
      <c r="F2251" s="64">
        <v>308224</v>
      </c>
      <c r="G2251" s="66" t="s">
        <v>1376</v>
      </c>
      <c r="H2251" s="65">
        <v>44284</v>
      </c>
      <c r="I2251" s="64">
        <v>52300</v>
      </c>
      <c r="J2251" s="64">
        <v>1</v>
      </c>
      <c r="K2251" s="65">
        <v>44300</v>
      </c>
      <c r="L2251" s="64">
        <v>11824</v>
      </c>
      <c r="M2251" s="64">
        <v>1</v>
      </c>
    </row>
    <row r="2252" spans="2:13" ht="14.1" customHeight="1" x14ac:dyDescent="0.25">
      <c r="B2252" s="64" t="str">
        <f t="shared" si="35"/>
        <v>2101-228-300406</v>
      </c>
      <c r="C2252" s="65">
        <v>44224</v>
      </c>
      <c r="D2252" s="64">
        <v>228</v>
      </c>
      <c r="E2252" s="64">
        <v>15</v>
      </c>
      <c r="F2252" s="64">
        <v>300406</v>
      </c>
      <c r="G2252" s="66" t="s">
        <v>597</v>
      </c>
      <c r="H2252" s="65">
        <v>44285</v>
      </c>
      <c r="I2252" s="64">
        <v>52301</v>
      </c>
      <c r="J2252" s="64">
        <v>15</v>
      </c>
      <c r="K2252" s="65">
        <v>44294</v>
      </c>
      <c r="L2252" s="64">
        <v>11740</v>
      </c>
      <c r="M2252" s="64">
        <v>15</v>
      </c>
    </row>
    <row r="2253" spans="2:13" ht="14.1" customHeight="1" x14ac:dyDescent="0.25">
      <c r="B2253" s="64" t="str">
        <f t="shared" si="35"/>
        <v>2101-228-315745</v>
      </c>
      <c r="C2253" s="65">
        <v>44224</v>
      </c>
      <c r="D2253" s="64">
        <v>228</v>
      </c>
      <c r="E2253" s="64">
        <v>8</v>
      </c>
      <c r="F2253" s="64">
        <v>315745</v>
      </c>
      <c r="G2253" s="66" t="s">
        <v>277</v>
      </c>
      <c r="H2253" s="65">
        <v>44285</v>
      </c>
      <c r="I2253" s="64">
        <v>52301</v>
      </c>
      <c r="J2253" s="64">
        <v>8</v>
      </c>
      <c r="K2253" s="65">
        <v>44294</v>
      </c>
      <c r="L2253" s="64">
        <v>11740</v>
      </c>
      <c r="M2253" s="64">
        <v>8</v>
      </c>
    </row>
    <row r="2254" spans="2:13" ht="14.1" customHeight="1" x14ac:dyDescent="0.25">
      <c r="B2254" s="64" t="str">
        <f t="shared" si="35"/>
        <v>2101-228-320632</v>
      </c>
      <c r="C2254" s="65">
        <v>44224</v>
      </c>
      <c r="D2254" s="64">
        <v>228</v>
      </c>
      <c r="E2254" s="64">
        <v>1</v>
      </c>
      <c r="F2254" s="64">
        <v>320632</v>
      </c>
      <c r="G2254" s="66" t="s">
        <v>1403</v>
      </c>
      <c r="H2254" s="65">
        <v>44284</v>
      </c>
      <c r="I2254" s="64">
        <v>52298</v>
      </c>
      <c r="J2254" s="64">
        <v>1</v>
      </c>
      <c r="K2254" s="65"/>
      <c r="L2254" s="64">
        <v>0</v>
      </c>
      <c r="M2254" s="64">
        <v>0</v>
      </c>
    </row>
    <row r="2255" spans="2:13" ht="14.1" customHeight="1" x14ac:dyDescent="0.25">
      <c r="B2255" s="64" t="str">
        <f t="shared" si="35"/>
        <v>2101-228-320633</v>
      </c>
      <c r="C2255" s="65">
        <v>44224</v>
      </c>
      <c r="D2255" s="64">
        <v>228</v>
      </c>
      <c r="E2255" s="64">
        <v>1</v>
      </c>
      <c r="F2255" s="64">
        <v>320633</v>
      </c>
      <c r="G2255" s="66" t="s">
        <v>1404</v>
      </c>
      <c r="H2255" s="65">
        <v>44284</v>
      </c>
      <c r="I2255" s="64">
        <v>52298</v>
      </c>
      <c r="J2255" s="64">
        <v>1</v>
      </c>
      <c r="K2255" s="65"/>
      <c r="L2255" s="64">
        <v>0</v>
      </c>
      <c r="M2255" s="64">
        <v>0</v>
      </c>
    </row>
    <row r="2256" spans="2:13" ht="14.1" customHeight="1" x14ac:dyDescent="0.25">
      <c r="B2256" s="64" t="str">
        <f t="shared" si="35"/>
        <v>2101-228-203235</v>
      </c>
      <c r="C2256" s="65">
        <v>44224</v>
      </c>
      <c r="D2256" s="64">
        <v>228</v>
      </c>
      <c r="E2256" s="64">
        <v>10</v>
      </c>
      <c r="F2256" s="64">
        <v>203235</v>
      </c>
      <c r="G2256" s="66" t="s">
        <v>510</v>
      </c>
      <c r="H2256" s="65">
        <v>44285</v>
      </c>
      <c r="I2256" s="64">
        <v>52301</v>
      </c>
      <c r="J2256" s="64">
        <v>10</v>
      </c>
      <c r="K2256" s="65">
        <v>44294</v>
      </c>
      <c r="L2256" s="64">
        <v>11740</v>
      </c>
      <c r="M2256" s="64">
        <v>10</v>
      </c>
    </row>
    <row r="2257" spans="2:13" ht="14.1" customHeight="1" x14ac:dyDescent="0.25">
      <c r="B2257" s="64" t="str">
        <f t="shared" si="35"/>
        <v>2101-228-320629</v>
      </c>
      <c r="C2257" s="65">
        <v>44224</v>
      </c>
      <c r="D2257" s="64">
        <v>228</v>
      </c>
      <c r="E2257" s="64">
        <v>3</v>
      </c>
      <c r="F2257" s="64">
        <v>320629</v>
      </c>
      <c r="G2257" s="66" t="s">
        <v>1400</v>
      </c>
      <c r="H2257" s="65">
        <v>44284</v>
      </c>
      <c r="I2257" s="64">
        <v>52300</v>
      </c>
      <c r="J2257" s="64">
        <v>3</v>
      </c>
      <c r="K2257" s="65">
        <v>44292</v>
      </c>
      <c r="L2257" s="64">
        <v>11713</v>
      </c>
      <c r="M2257" s="64">
        <v>3</v>
      </c>
    </row>
    <row r="2258" spans="2:13" ht="14.1" customHeight="1" x14ac:dyDescent="0.25">
      <c r="B2258" s="64" t="str">
        <f t="shared" si="35"/>
        <v>2101-228-307710</v>
      </c>
      <c r="C2258" s="65">
        <v>44224</v>
      </c>
      <c r="D2258" s="64">
        <v>228</v>
      </c>
      <c r="E2258" s="64">
        <v>10</v>
      </c>
      <c r="F2258" s="64">
        <v>307710</v>
      </c>
      <c r="G2258" s="66" t="s">
        <v>1541</v>
      </c>
      <c r="H2258" s="65">
        <v>44285</v>
      </c>
      <c r="I2258" s="64">
        <v>52301</v>
      </c>
      <c r="J2258" s="64">
        <v>10</v>
      </c>
      <c r="K2258" s="65">
        <v>44294</v>
      </c>
      <c r="L2258" s="64">
        <v>11740</v>
      </c>
      <c r="M2258" s="64">
        <v>10</v>
      </c>
    </row>
    <row r="2259" spans="2:13" ht="14.1" customHeight="1" x14ac:dyDescent="0.25">
      <c r="B2259" s="64" t="str">
        <f t="shared" si="35"/>
        <v>2101-228-202691</v>
      </c>
      <c r="C2259" s="65">
        <v>44224</v>
      </c>
      <c r="D2259" s="64">
        <v>228</v>
      </c>
      <c r="E2259" s="64">
        <v>40</v>
      </c>
      <c r="F2259" s="64">
        <v>202691</v>
      </c>
      <c r="G2259" s="66" t="s">
        <v>1387</v>
      </c>
      <c r="H2259" s="65">
        <v>44285</v>
      </c>
      <c r="I2259" s="64">
        <v>52301</v>
      </c>
      <c r="J2259" s="64">
        <v>40</v>
      </c>
      <c r="K2259" s="65">
        <v>44294</v>
      </c>
      <c r="L2259" s="64">
        <v>11740</v>
      </c>
      <c r="M2259" s="64">
        <v>40</v>
      </c>
    </row>
    <row r="2260" spans="2:13" ht="14.1" customHeight="1" x14ac:dyDescent="0.25">
      <c r="B2260" s="64" t="str">
        <f t="shared" si="35"/>
        <v>2101-228-315961</v>
      </c>
      <c r="C2260" s="65">
        <v>44224</v>
      </c>
      <c r="D2260" s="64">
        <v>228</v>
      </c>
      <c r="E2260" s="64">
        <v>24</v>
      </c>
      <c r="F2260" s="64">
        <v>315961</v>
      </c>
      <c r="G2260" s="66" t="s">
        <v>1396</v>
      </c>
      <c r="H2260" s="65"/>
      <c r="I2260" s="64">
        <v>0</v>
      </c>
      <c r="J2260" s="64">
        <v>0</v>
      </c>
      <c r="K2260" s="65"/>
      <c r="L2260" s="64">
        <v>0</v>
      </c>
      <c r="M2260" s="64">
        <v>0</v>
      </c>
    </row>
    <row r="2261" spans="2:13" ht="14.1" customHeight="1" x14ac:dyDescent="0.25">
      <c r="B2261" s="64" t="str">
        <f t="shared" si="35"/>
        <v>2101-228-320637</v>
      </c>
      <c r="C2261" s="65">
        <v>44224</v>
      </c>
      <c r="D2261" s="64">
        <v>228</v>
      </c>
      <c r="E2261" s="64">
        <v>40</v>
      </c>
      <c r="F2261" s="64">
        <v>320637</v>
      </c>
      <c r="G2261" s="66" t="s">
        <v>1408</v>
      </c>
      <c r="H2261" s="65">
        <v>44284</v>
      </c>
      <c r="I2261" s="64">
        <v>52298</v>
      </c>
      <c r="J2261" s="64">
        <v>40</v>
      </c>
      <c r="K2261" s="65"/>
      <c r="L2261" s="64">
        <v>0</v>
      </c>
      <c r="M2261" s="64">
        <v>0</v>
      </c>
    </row>
    <row r="2262" spans="2:13" ht="14.1" customHeight="1" x14ac:dyDescent="0.25">
      <c r="B2262" s="64" t="str">
        <f t="shared" ref="B2262:B2293" si="36">TEXT(C2262,"yy") &amp; TEXT(C2262,"mm") &amp;"-"&amp;(D2262) &amp;"-"&amp;(F2262)</f>
        <v>2101-228-307014</v>
      </c>
      <c r="C2262" s="65">
        <v>44224</v>
      </c>
      <c r="D2262" s="64">
        <v>228</v>
      </c>
      <c r="E2262" s="64">
        <v>300</v>
      </c>
      <c r="F2262" s="64">
        <v>307014</v>
      </c>
      <c r="G2262" s="66" t="s">
        <v>364</v>
      </c>
      <c r="H2262" s="65">
        <v>44285</v>
      </c>
      <c r="I2262" s="64">
        <v>52301</v>
      </c>
      <c r="J2262" s="64">
        <v>300</v>
      </c>
      <c r="K2262" s="65">
        <v>44294</v>
      </c>
      <c r="L2262" s="64">
        <v>11740</v>
      </c>
      <c r="M2262" s="64">
        <v>300</v>
      </c>
    </row>
    <row r="2263" spans="2:13" ht="14.1" customHeight="1" x14ac:dyDescent="0.25">
      <c r="B2263" s="64" t="str">
        <f t="shared" si="36"/>
        <v>2101-228-300915</v>
      </c>
      <c r="C2263" s="65">
        <v>44224</v>
      </c>
      <c r="D2263" s="64">
        <v>228</v>
      </c>
      <c r="E2263" s="64">
        <v>15</v>
      </c>
      <c r="F2263" s="64">
        <v>300915</v>
      </c>
      <c r="G2263" s="66" t="s">
        <v>1378</v>
      </c>
      <c r="H2263" s="65">
        <v>44285</v>
      </c>
      <c r="I2263" s="64">
        <v>52301</v>
      </c>
      <c r="J2263" s="64">
        <v>15</v>
      </c>
      <c r="K2263" s="65">
        <v>44294</v>
      </c>
      <c r="L2263" s="64">
        <v>11742</v>
      </c>
      <c r="M2263" s="64">
        <v>15</v>
      </c>
    </row>
    <row r="2264" spans="2:13" ht="14.1" customHeight="1" x14ac:dyDescent="0.25">
      <c r="B2264" s="64" t="str">
        <f t="shared" si="36"/>
        <v>2101-228-305148</v>
      </c>
      <c r="C2264" s="65">
        <v>44224</v>
      </c>
      <c r="D2264" s="64">
        <v>228</v>
      </c>
      <c r="E2264" s="64">
        <v>100</v>
      </c>
      <c r="F2264" s="64">
        <v>305148</v>
      </c>
      <c r="G2264" s="66" t="s">
        <v>1395</v>
      </c>
      <c r="H2264" s="65">
        <v>44284</v>
      </c>
      <c r="I2264" s="64">
        <v>52298</v>
      </c>
      <c r="J2264" s="64">
        <v>100</v>
      </c>
      <c r="K2264" s="65"/>
      <c r="L2264" s="64">
        <v>0</v>
      </c>
      <c r="M2264" s="64">
        <v>0</v>
      </c>
    </row>
    <row r="2265" spans="2:13" ht="14.1" customHeight="1" x14ac:dyDescent="0.25">
      <c r="B2265" s="64" t="str">
        <f t="shared" si="36"/>
        <v>2101-228-305480</v>
      </c>
      <c r="C2265" s="65">
        <v>44224</v>
      </c>
      <c r="D2265" s="64">
        <v>228</v>
      </c>
      <c r="E2265" s="64">
        <v>6</v>
      </c>
      <c r="F2265" s="64">
        <v>305480</v>
      </c>
      <c r="G2265" s="66" t="s">
        <v>695</v>
      </c>
      <c r="H2265" s="65"/>
      <c r="I2265" s="64">
        <v>0</v>
      </c>
      <c r="J2265" s="64">
        <v>0</v>
      </c>
      <c r="K2265" s="65"/>
      <c r="L2265" s="64">
        <v>0</v>
      </c>
      <c r="M2265" s="64">
        <v>0</v>
      </c>
    </row>
    <row r="2266" spans="2:13" ht="14.1" customHeight="1" x14ac:dyDescent="0.25">
      <c r="B2266" s="64" t="str">
        <f t="shared" si="36"/>
        <v>2101-228-201027</v>
      </c>
      <c r="C2266" s="65">
        <v>44224</v>
      </c>
      <c r="D2266" s="64">
        <v>228</v>
      </c>
      <c r="E2266" s="64">
        <v>20</v>
      </c>
      <c r="F2266" s="64">
        <v>201027</v>
      </c>
      <c r="G2266" s="66" t="s">
        <v>1384</v>
      </c>
      <c r="H2266" s="65">
        <v>44285</v>
      </c>
      <c r="I2266" s="64">
        <v>52301</v>
      </c>
      <c r="J2266" s="64">
        <v>20</v>
      </c>
      <c r="K2266" s="65">
        <v>44294</v>
      </c>
      <c r="L2266" s="64">
        <v>11740</v>
      </c>
      <c r="M2266" s="64">
        <v>20</v>
      </c>
    </row>
    <row r="2267" spans="2:13" ht="14.1" customHeight="1" x14ac:dyDescent="0.25">
      <c r="B2267" s="64" t="str">
        <f t="shared" si="36"/>
        <v>2101-228-300804</v>
      </c>
      <c r="C2267" s="65">
        <v>44224</v>
      </c>
      <c r="D2267" s="64">
        <v>228</v>
      </c>
      <c r="E2267" s="64">
        <v>120</v>
      </c>
      <c r="F2267" s="64">
        <v>300804</v>
      </c>
      <c r="G2267" s="66" t="s">
        <v>609</v>
      </c>
      <c r="H2267" s="65">
        <v>44285</v>
      </c>
      <c r="I2267" s="64">
        <v>52301</v>
      </c>
      <c r="J2267" s="64">
        <v>120</v>
      </c>
      <c r="K2267" s="65">
        <v>44294</v>
      </c>
      <c r="L2267" s="64">
        <v>11740</v>
      </c>
      <c r="M2267" s="64">
        <v>120</v>
      </c>
    </row>
    <row r="2268" spans="2:13" ht="14.1" customHeight="1" x14ac:dyDescent="0.25">
      <c r="B2268" s="64" t="str">
        <f t="shared" si="36"/>
        <v>2101-228-320384</v>
      </c>
      <c r="C2268" s="65">
        <v>44224</v>
      </c>
      <c r="D2268" s="64">
        <v>228</v>
      </c>
      <c r="E2268" s="64">
        <v>600</v>
      </c>
      <c r="F2268" s="64">
        <v>320384</v>
      </c>
      <c r="G2268" s="66" t="s">
        <v>1057</v>
      </c>
      <c r="H2268" s="65">
        <v>44284</v>
      </c>
      <c r="I2268" s="64">
        <v>52298</v>
      </c>
      <c r="J2268" s="64">
        <v>600</v>
      </c>
      <c r="K2268" s="65"/>
      <c r="L2268" s="64">
        <v>0</v>
      </c>
      <c r="M2268" s="64">
        <v>0</v>
      </c>
    </row>
    <row r="2269" spans="2:13" ht="14.1" customHeight="1" x14ac:dyDescent="0.25">
      <c r="B2269" s="64" t="str">
        <f t="shared" si="36"/>
        <v>2101-228-314260</v>
      </c>
      <c r="C2269" s="65">
        <v>44224</v>
      </c>
      <c r="D2269" s="64">
        <v>228</v>
      </c>
      <c r="E2269" s="64">
        <v>10</v>
      </c>
      <c r="F2269" s="64">
        <v>314260</v>
      </c>
      <c r="G2269" s="66" t="s">
        <v>1392</v>
      </c>
      <c r="H2269" s="65">
        <v>44284</v>
      </c>
      <c r="I2269" s="64">
        <v>52300</v>
      </c>
      <c r="J2269" s="64">
        <v>10</v>
      </c>
      <c r="K2269" s="65">
        <v>44292</v>
      </c>
      <c r="L2269" s="64">
        <v>11713</v>
      </c>
      <c r="M2269" s="64">
        <v>10</v>
      </c>
    </row>
    <row r="2270" spans="2:13" ht="14.1" customHeight="1" x14ac:dyDescent="0.25">
      <c r="B2270" s="64" t="str">
        <f t="shared" si="36"/>
        <v>2101-228-316037</v>
      </c>
      <c r="C2270" s="65">
        <v>44224</v>
      </c>
      <c r="D2270" s="64">
        <v>228</v>
      </c>
      <c r="E2270" s="64">
        <v>150</v>
      </c>
      <c r="F2270" s="64">
        <v>316037</v>
      </c>
      <c r="G2270" s="66" t="s">
        <v>1389</v>
      </c>
      <c r="H2270" s="65">
        <v>44284</v>
      </c>
      <c r="I2270" s="64">
        <v>52298</v>
      </c>
      <c r="J2270" s="64">
        <v>150</v>
      </c>
      <c r="K2270" s="65"/>
      <c r="L2270" s="64">
        <v>0</v>
      </c>
      <c r="M2270" s="64">
        <v>0</v>
      </c>
    </row>
    <row r="2271" spans="2:13" ht="14.1" customHeight="1" x14ac:dyDescent="0.25">
      <c r="B2271" s="64" t="str">
        <f t="shared" si="36"/>
        <v>2101-228-320649</v>
      </c>
      <c r="C2271" s="65">
        <v>44224</v>
      </c>
      <c r="D2271" s="64">
        <v>228</v>
      </c>
      <c r="E2271" s="64">
        <v>1</v>
      </c>
      <c r="F2271" s="64">
        <v>320649</v>
      </c>
      <c r="G2271" s="66" t="s">
        <v>1420</v>
      </c>
      <c r="H2271" s="65">
        <v>44284</v>
      </c>
      <c r="I2271" s="64">
        <v>52300</v>
      </c>
      <c r="J2271" s="64">
        <v>1</v>
      </c>
      <c r="K2271" s="65">
        <v>44292</v>
      </c>
      <c r="L2271" s="64">
        <v>11713</v>
      </c>
      <c r="M2271" s="64">
        <v>1</v>
      </c>
    </row>
    <row r="2272" spans="2:13" ht="14.1" customHeight="1" x14ac:dyDescent="0.25">
      <c r="B2272" s="64" t="str">
        <f t="shared" si="36"/>
        <v>2101-228-205091</v>
      </c>
      <c r="C2272" s="65">
        <v>44224</v>
      </c>
      <c r="D2272" s="64">
        <v>228</v>
      </c>
      <c r="E2272" s="64">
        <v>30</v>
      </c>
      <c r="F2272" s="64">
        <v>205091</v>
      </c>
      <c r="G2272" s="66" t="s">
        <v>552</v>
      </c>
      <c r="H2272" s="65">
        <v>44285</v>
      </c>
      <c r="I2272" s="64">
        <v>52301</v>
      </c>
      <c r="J2272" s="64">
        <v>30</v>
      </c>
      <c r="K2272" s="65">
        <v>44294</v>
      </c>
      <c r="L2272" s="64">
        <v>11740</v>
      </c>
      <c r="M2272" s="64">
        <v>30</v>
      </c>
    </row>
    <row r="2273" spans="2:13" ht="14.1" customHeight="1" x14ac:dyDescent="0.25">
      <c r="B2273" s="64" t="str">
        <f t="shared" si="36"/>
        <v>2101-229-307039</v>
      </c>
      <c r="C2273" s="65">
        <v>44224</v>
      </c>
      <c r="D2273" s="64">
        <v>229</v>
      </c>
      <c r="E2273" s="64">
        <v>2</v>
      </c>
      <c r="F2273" s="64">
        <v>307039</v>
      </c>
      <c r="G2273" s="66" t="s">
        <v>1519</v>
      </c>
      <c r="H2273" s="65"/>
      <c r="I2273" s="64">
        <v>0</v>
      </c>
      <c r="J2273" s="64">
        <v>0</v>
      </c>
      <c r="K2273" s="65"/>
      <c r="L2273" s="64">
        <v>0</v>
      </c>
      <c r="M2273" s="64">
        <v>0</v>
      </c>
    </row>
    <row r="2274" spans="2:13" ht="14.1" customHeight="1" x14ac:dyDescent="0.25">
      <c r="B2274" s="64" t="str">
        <f t="shared" si="36"/>
        <v>2101-229-318082</v>
      </c>
      <c r="C2274" s="65">
        <v>44224</v>
      </c>
      <c r="D2274" s="64">
        <v>229</v>
      </c>
      <c r="E2274" s="64">
        <v>2</v>
      </c>
      <c r="F2274" s="64">
        <v>318082</v>
      </c>
      <c r="G2274" s="66" t="s">
        <v>1518</v>
      </c>
      <c r="H2274" s="65"/>
      <c r="I2274" s="64">
        <v>0</v>
      </c>
      <c r="J2274" s="64">
        <v>0</v>
      </c>
      <c r="K2274" s="65"/>
      <c r="L2274" s="64">
        <v>0</v>
      </c>
      <c r="M2274" s="64">
        <v>0</v>
      </c>
    </row>
    <row r="2275" spans="2:13" ht="14.1" customHeight="1" x14ac:dyDescent="0.25">
      <c r="B2275" s="64" t="str">
        <f t="shared" si="36"/>
        <v>2101-230-316894</v>
      </c>
      <c r="C2275" s="65">
        <v>44224</v>
      </c>
      <c r="D2275" s="64">
        <v>230</v>
      </c>
      <c r="E2275" s="64">
        <v>1</v>
      </c>
      <c r="F2275" s="64">
        <v>316894</v>
      </c>
      <c r="G2275" s="66" t="s">
        <v>1521</v>
      </c>
      <c r="H2275" s="65"/>
      <c r="I2275" s="64">
        <v>0</v>
      </c>
      <c r="J2275" s="64">
        <v>0</v>
      </c>
      <c r="K2275" s="65"/>
      <c r="L2275" s="64">
        <v>0</v>
      </c>
      <c r="M2275" s="64">
        <v>0</v>
      </c>
    </row>
    <row r="2276" spans="2:13" ht="14.1" customHeight="1" x14ac:dyDescent="0.25">
      <c r="B2276" s="64" t="str">
        <f t="shared" si="36"/>
        <v>2101-230-320592</v>
      </c>
      <c r="C2276" s="65">
        <v>44224</v>
      </c>
      <c r="D2276" s="64">
        <v>230</v>
      </c>
      <c r="E2276" s="64">
        <v>2</v>
      </c>
      <c r="F2276" s="64">
        <v>320592</v>
      </c>
      <c r="G2276" s="66" t="s">
        <v>1754</v>
      </c>
      <c r="H2276" s="65"/>
      <c r="I2276" s="64">
        <v>0</v>
      </c>
      <c r="J2276" s="64">
        <v>0</v>
      </c>
      <c r="K2276" s="65"/>
      <c r="L2276" s="64">
        <v>0</v>
      </c>
      <c r="M2276" s="64">
        <v>0</v>
      </c>
    </row>
    <row r="2277" spans="2:13" ht="14.1" customHeight="1" x14ac:dyDescent="0.25">
      <c r="B2277" s="64" t="str">
        <f t="shared" si="36"/>
        <v>2101-230-318943</v>
      </c>
      <c r="C2277" s="65">
        <v>44224</v>
      </c>
      <c r="D2277" s="64">
        <v>230</v>
      </c>
      <c r="E2277" s="64">
        <v>1</v>
      </c>
      <c r="F2277" s="64">
        <v>318943</v>
      </c>
      <c r="G2277" s="66" t="s">
        <v>1520</v>
      </c>
      <c r="H2277" s="65"/>
      <c r="I2277" s="64">
        <v>0</v>
      </c>
      <c r="J2277" s="64">
        <v>0</v>
      </c>
      <c r="K2277" s="65"/>
      <c r="L2277" s="64">
        <v>0</v>
      </c>
      <c r="M2277" s="64">
        <v>0</v>
      </c>
    </row>
    <row r="2278" spans="2:13" ht="14.1" customHeight="1" x14ac:dyDescent="0.25">
      <c r="B2278" s="64" t="str">
        <f t="shared" si="36"/>
        <v>2101-231-320709</v>
      </c>
      <c r="C2278" s="65">
        <v>44224</v>
      </c>
      <c r="D2278" s="64">
        <v>231</v>
      </c>
      <c r="E2278" s="64">
        <v>1</v>
      </c>
      <c r="F2278" s="64">
        <v>320709</v>
      </c>
      <c r="G2278" s="66" t="s">
        <v>1522</v>
      </c>
      <c r="H2278" s="65">
        <v>44224</v>
      </c>
      <c r="I2278" s="64">
        <v>51421</v>
      </c>
      <c r="J2278" s="64">
        <v>1</v>
      </c>
      <c r="K2278" s="65">
        <v>44229</v>
      </c>
      <c r="L2278" s="64">
        <v>11072</v>
      </c>
      <c r="M2278" s="64">
        <v>1</v>
      </c>
    </row>
    <row r="2279" spans="2:13" ht="14.1" customHeight="1" x14ac:dyDescent="0.25">
      <c r="B2279" s="64" t="str">
        <f t="shared" si="36"/>
        <v>2101-232-203059</v>
      </c>
      <c r="C2279" s="65">
        <v>44224</v>
      </c>
      <c r="D2279" s="64">
        <v>232</v>
      </c>
      <c r="E2279" s="64">
        <v>70</v>
      </c>
      <c r="F2279" s="64">
        <v>203059</v>
      </c>
      <c r="G2279" s="66" t="s">
        <v>314</v>
      </c>
      <c r="H2279" s="65">
        <v>44237</v>
      </c>
      <c r="I2279" s="64">
        <v>51607</v>
      </c>
      <c r="J2279" s="64">
        <v>70</v>
      </c>
      <c r="K2279" s="65">
        <v>44243</v>
      </c>
      <c r="L2279" s="64">
        <v>11207</v>
      </c>
      <c r="M2279" s="64">
        <v>70</v>
      </c>
    </row>
    <row r="2280" spans="2:13" ht="14.1" customHeight="1" x14ac:dyDescent="0.25">
      <c r="B2280" s="64" t="str">
        <f t="shared" si="36"/>
        <v>2101-238-308888</v>
      </c>
      <c r="C2280" s="65">
        <v>44224</v>
      </c>
      <c r="D2280" s="64">
        <v>238</v>
      </c>
      <c r="E2280" s="64">
        <v>4</v>
      </c>
      <c r="F2280" s="64">
        <v>308888</v>
      </c>
      <c r="G2280" s="66" t="s">
        <v>318</v>
      </c>
      <c r="H2280" s="65">
        <v>44224</v>
      </c>
      <c r="I2280" s="64">
        <v>51422</v>
      </c>
      <c r="J2280" s="64">
        <v>4</v>
      </c>
      <c r="K2280" s="65">
        <v>44231</v>
      </c>
      <c r="L2280" s="64">
        <v>11104</v>
      </c>
      <c r="M2280" s="64">
        <v>4</v>
      </c>
    </row>
    <row r="2281" spans="2:13" ht="14.1" customHeight="1" x14ac:dyDescent="0.25">
      <c r="B2281" s="64" t="str">
        <f t="shared" si="36"/>
        <v>2101-240-100977</v>
      </c>
      <c r="C2281" s="65">
        <v>44225</v>
      </c>
      <c r="D2281" s="64">
        <v>240</v>
      </c>
      <c r="E2281" s="64">
        <v>5</v>
      </c>
      <c r="F2281" s="64">
        <v>100977</v>
      </c>
      <c r="G2281" s="66" t="s">
        <v>1137</v>
      </c>
      <c r="H2281" s="65">
        <v>44231</v>
      </c>
      <c r="I2281" s="64">
        <v>51488</v>
      </c>
      <c r="J2281" s="64">
        <v>5</v>
      </c>
      <c r="K2281" s="65">
        <v>44235</v>
      </c>
      <c r="L2281" s="64">
        <v>11133</v>
      </c>
      <c r="M2281" s="64">
        <v>5</v>
      </c>
    </row>
    <row r="2282" spans="2:13" ht="14.1" customHeight="1" x14ac:dyDescent="0.25">
      <c r="B2282" s="64" t="str">
        <f t="shared" si="36"/>
        <v>2101-240-310085</v>
      </c>
      <c r="C2282" s="65">
        <v>44225</v>
      </c>
      <c r="D2282" s="64">
        <v>240</v>
      </c>
      <c r="E2282" s="64">
        <v>3</v>
      </c>
      <c r="F2282" s="64">
        <v>310085</v>
      </c>
      <c r="G2282" s="66" t="s">
        <v>1139</v>
      </c>
      <c r="H2282" s="65">
        <v>44231</v>
      </c>
      <c r="I2282" s="64">
        <v>51488</v>
      </c>
      <c r="J2282" s="64">
        <v>3</v>
      </c>
      <c r="K2282" s="65">
        <v>44235</v>
      </c>
      <c r="L2282" s="64">
        <v>11133</v>
      </c>
      <c r="M2282" s="64">
        <v>3</v>
      </c>
    </row>
    <row r="2283" spans="2:13" ht="14.1" customHeight="1" x14ac:dyDescent="0.25">
      <c r="B2283" s="64" t="str">
        <f t="shared" si="36"/>
        <v>2101-240-205751</v>
      </c>
      <c r="C2283" s="65">
        <v>44225</v>
      </c>
      <c r="D2283" s="64">
        <v>240</v>
      </c>
      <c r="E2283" s="64">
        <v>10</v>
      </c>
      <c r="F2283" s="64">
        <v>205751</v>
      </c>
      <c r="G2283" s="66" t="s">
        <v>1526</v>
      </c>
      <c r="H2283" s="65">
        <v>44231</v>
      </c>
      <c r="I2283" s="64">
        <v>51488</v>
      </c>
      <c r="J2283" s="64">
        <v>10</v>
      </c>
      <c r="K2283" s="65">
        <v>44235</v>
      </c>
      <c r="L2283" s="64">
        <v>11133</v>
      </c>
      <c r="M2283" s="64">
        <v>10</v>
      </c>
    </row>
    <row r="2284" spans="2:13" ht="14.1" customHeight="1" x14ac:dyDescent="0.25">
      <c r="B2284" s="64" t="str">
        <f t="shared" si="36"/>
        <v>2101-240-206714</v>
      </c>
      <c r="C2284" s="65">
        <v>44225</v>
      </c>
      <c r="D2284" s="64">
        <v>240</v>
      </c>
      <c r="E2284" s="64">
        <v>10</v>
      </c>
      <c r="F2284" s="64">
        <v>206714</v>
      </c>
      <c r="G2284" s="66" t="s">
        <v>1527</v>
      </c>
      <c r="H2284" s="65">
        <v>44231</v>
      </c>
      <c r="I2284" s="64">
        <v>51488</v>
      </c>
      <c r="J2284" s="64">
        <v>10</v>
      </c>
      <c r="K2284" s="65">
        <v>44235</v>
      </c>
      <c r="L2284" s="64">
        <v>11133</v>
      </c>
      <c r="M2284" s="64">
        <v>10</v>
      </c>
    </row>
    <row r="2285" spans="2:13" ht="14.1" customHeight="1" x14ac:dyDescent="0.25">
      <c r="B2285" s="64" t="str">
        <f t="shared" si="36"/>
        <v>2101-240-205842</v>
      </c>
      <c r="C2285" s="65">
        <v>44225</v>
      </c>
      <c r="D2285" s="64">
        <v>240</v>
      </c>
      <c r="E2285" s="64">
        <v>5</v>
      </c>
      <c r="F2285" s="64">
        <v>205842</v>
      </c>
      <c r="G2285" s="66" t="s">
        <v>1525</v>
      </c>
      <c r="H2285" s="65">
        <v>44231</v>
      </c>
      <c r="I2285" s="64">
        <v>51488</v>
      </c>
      <c r="J2285" s="64">
        <v>5</v>
      </c>
      <c r="K2285" s="65">
        <v>44235</v>
      </c>
      <c r="L2285" s="64">
        <v>11133</v>
      </c>
      <c r="M2285" s="64">
        <v>5</v>
      </c>
    </row>
    <row r="2286" spans="2:13" ht="14.1" customHeight="1" x14ac:dyDescent="0.25">
      <c r="B2286" s="64" t="str">
        <f t="shared" si="36"/>
        <v>2101-240-206715</v>
      </c>
      <c r="C2286" s="65">
        <v>44225</v>
      </c>
      <c r="D2286" s="64">
        <v>240</v>
      </c>
      <c r="E2286" s="64">
        <v>20</v>
      </c>
      <c r="F2286" s="64">
        <v>206715</v>
      </c>
      <c r="G2286" s="66" t="s">
        <v>47</v>
      </c>
      <c r="H2286" s="65">
        <v>44235</v>
      </c>
      <c r="I2286" s="64">
        <v>51567</v>
      </c>
      <c r="J2286" s="64">
        <v>20</v>
      </c>
      <c r="K2286" s="65">
        <v>44239</v>
      </c>
      <c r="L2286" s="64">
        <v>11184</v>
      </c>
      <c r="M2286" s="64">
        <v>20</v>
      </c>
    </row>
    <row r="2287" spans="2:13" ht="14.1" customHeight="1" x14ac:dyDescent="0.25">
      <c r="B2287" s="64" t="str">
        <f t="shared" si="36"/>
        <v>2101-240-301629</v>
      </c>
      <c r="C2287" s="65">
        <v>44225</v>
      </c>
      <c r="D2287" s="64">
        <v>240</v>
      </c>
      <c r="E2287" s="64">
        <v>10</v>
      </c>
      <c r="F2287" s="64">
        <v>301629</v>
      </c>
      <c r="G2287" s="66" t="s">
        <v>1528</v>
      </c>
      <c r="H2287" s="65">
        <v>44231</v>
      </c>
      <c r="I2287" s="64">
        <v>51488</v>
      </c>
      <c r="J2287" s="64">
        <v>10</v>
      </c>
      <c r="K2287" s="65">
        <v>44235</v>
      </c>
      <c r="L2287" s="64">
        <v>11133</v>
      </c>
      <c r="M2287" s="64">
        <v>6</v>
      </c>
    </row>
    <row r="2288" spans="2:13" ht="14.1" customHeight="1" x14ac:dyDescent="0.25">
      <c r="B2288" s="64" t="str">
        <f t="shared" si="36"/>
        <v>2101-240-301629</v>
      </c>
      <c r="C2288" s="65">
        <v>44225</v>
      </c>
      <c r="D2288" s="64">
        <v>240</v>
      </c>
      <c r="E2288" s="64">
        <v>10</v>
      </c>
      <c r="F2288" s="64">
        <v>301629</v>
      </c>
      <c r="G2288" s="66" t="s">
        <v>1528</v>
      </c>
      <c r="H2288" s="65">
        <v>44231</v>
      </c>
      <c r="I2288" s="64">
        <v>51488</v>
      </c>
      <c r="J2288" s="64">
        <v>10</v>
      </c>
      <c r="K2288" s="65">
        <v>44249</v>
      </c>
      <c r="L2288" s="64">
        <v>11283</v>
      </c>
      <c r="M2288" s="64">
        <v>4</v>
      </c>
    </row>
    <row r="2289" spans="2:13" ht="14.1" customHeight="1" x14ac:dyDescent="0.25">
      <c r="B2289" s="64" t="str">
        <f t="shared" si="36"/>
        <v>2101-240-205749</v>
      </c>
      <c r="C2289" s="65">
        <v>44225</v>
      </c>
      <c r="D2289" s="64">
        <v>240</v>
      </c>
      <c r="E2289" s="64">
        <v>5</v>
      </c>
      <c r="F2289" s="64">
        <v>205749</v>
      </c>
      <c r="G2289" s="66" t="s">
        <v>1229</v>
      </c>
      <c r="H2289" s="65">
        <v>44231</v>
      </c>
      <c r="I2289" s="64">
        <v>51488</v>
      </c>
      <c r="J2289" s="64">
        <v>5</v>
      </c>
      <c r="K2289" s="65">
        <v>44235</v>
      </c>
      <c r="L2289" s="64">
        <v>11133</v>
      </c>
      <c r="M2289" s="64">
        <v>5</v>
      </c>
    </row>
    <row r="2290" spans="2:13" ht="14.1" customHeight="1" x14ac:dyDescent="0.25">
      <c r="B2290" s="64" t="str">
        <f t="shared" si="36"/>
        <v>2101-240-310086</v>
      </c>
      <c r="C2290" s="65">
        <v>44225</v>
      </c>
      <c r="D2290" s="64">
        <v>240</v>
      </c>
      <c r="E2290" s="64">
        <v>3</v>
      </c>
      <c r="F2290" s="64">
        <v>310086</v>
      </c>
      <c r="G2290" s="66" t="s">
        <v>1524</v>
      </c>
      <c r="H2290" s="65">
        <v>44231</v>
      </c>
      <c r="I2290" s="64">
        <v>51488</v>
      </c>
      <c r="J2290" s="64">
        <v>3</v>
      </c>
      <c r="K2290" s="65">
        <v>44235</v>
      </c>
      <c r="L2290" s="64">
        <v>11133</v>
      </c>
      <c r="M2290" s="64">
        <v>1</v>
      </c>
    </row>
    <row r="2291" spans="2:13" ht="14.1" customHeight="1" x14ac:dyDescent="0.25">
      <c r="B2291" s="64" t="str">
        <f t="shared" si="36"/>
        <v>2101-240-310086</v>
      </c>
      <c r="C2291" s="65">
        <v>44225</v>
      </c>
      <c r="D2291" s="64">
        <v>240</v>
      </c>
      <c r="E2291" s="64">
        <v>3</v>
      </c>
      <c r="F2291" s="64">
        <v>310086</v>
      </c>
      <c r="G2291" s="66" t="s">
        <v>1524</v>
      </c>
      <c r="H2291" s="65">
        <v>44231</v>
      </c>
      <c r="I2291" s="64">
        <v>51488</v>
      </c>
      <c r="J2291" s="64">
        <v>3</v>
      </c>
      <c r="K2291" s="65">
        <v>44249</v>
      </c>
      <c r="L2291" s="64">
        <v>11283</v>
      </c>
      <c r="M2291" s="64">
        <v>1</v>
      </c>
    </row>
    <row r="2292" spans="2:13" ht="14.1" customHeight="1" x14ac:dyDescent="0.25">
      <c r="B2292" s="64" t="str">
        <f t="shared" si="36"/>
        <v>2101-240-311597</v>
      </c>
      <c r="C2292" s="65">
        <v>44225</v>
      </c>
      <c r="D2292" s="64">
        <v>240</v>
      </c>
      <c r="E2292" s="64">
        <v>2</v>
      </c>
      <c r="F2292" s="64">
        <v>311597</v>
      </c>
      <c r="G2292" s="67" t="s">
        <v>1523</v>
      </c>
      <c r="H2292" s="65">
        <v>44231</v>
      </c>
      <c r="I2292" s="64">
        <v>51488</v>
      </c>
      <c r="J2292" s="64">
        <v>2</v>
      </c>
      <c r="K2292" s="65">
        <v>44235</v>
      </c>
      <c r="L2292" s="64">
        <v>11133</v>
      </c>
      <c r="M2292" s="64">
        <v>2</v>
      </c>
    </row>
    <row r="2293" spans="2:13" ht="14.1" customHeight="1" x14ac:dyDescent="0.25">
      <c r="B2293" s="64" t="str">
        <f t="shared" si="36"/>
        <v>2101-240-305880</v>
      </c>
      <c r="C2293" s="65">
        <v>44225</v>
      </c>
      <c r="D2293" s="64">
        <v>240</v>
      </c>
      <c r="E2293" s="64">
        <v>10</v>
      </c>
      <c r="F2293" s="64">
        <v>305880</v>
      </c>
      <c r="G2293" s="66" t="s">
        <v>1140</v>
      </c>
      <c r="H2293" s="65">
        <v>44235</v>
      </c>
      <c r="I2293" s="64">
        <v>51567</v>
      </c>
      <c r="J2293" s="64">
        <v>10</v>
      </c>
      <c r="K2293" s="65">
        <v>44239</v>
      </c>
      <c r="L2293" s="64">
        <v>11184</v>
      </c>
      <c r="M2293" s="64">
        <v>10</v>
      </c>
    </row>
    <row r="2294" spans="2:13" ht="14.1" customHeight="1" x14ac:dyDescent="0.25">
      <c r="B2294" s="64" t="str">
        <f t="shared" ref="B2294:B2325" si="37">TEXT(C2294,"yy") &amp; TEXT(C2294,"mm") &amp;"-"&amp;(D2294) &amp;"-"&amp;(F2294)</f>
        <v>2101-240-313195</v>
      </c>
      <c r="C2294" s="65">
        <v>44225</v>
      </c>
      <c r="D2294" s="64">
        <v>240</v>
      </c>
      <c r="E2294" s="64">
        <v>10</v>
      </c>
      <c r="F2294" s="64">
        <v>313195</v>
      </c>
      <c r="G2294" s="66" t="s">
        <v>1138</v>
      </c>
      <c r="H2294" s="65">
        <v>44231</v>
      </c>
      <c r="I2294" s="64">
        <v>51488</v>
      </c>
      <c r="J2294" s="64">
        <v>10</v>
      </c>
      <c r="K2294" s="65">
        <v>44235</v>
      </c>
      <c r="L2294" s="64">
        <v>11133</v>
      </c>
      <c r="M2294" s="64">
        <v>10</v>
      </c>
    </row>
    <row r="2295" spans="2:13" ht="14.1" customHeight="1" x14ac:dyDescent="0.25">
      <c r="B2295" s="64" t="str">
        <f t="shared" si="37"/>
        <v>2101-240-206716</v>
      </c>
      <c r="C2295" s="65">
        <v>44225</v>
      </c>
      <c r="D2295" s="64">
        <v>240</v>
      </c>
      <c r="E2295" s="64">
        <v>10</v>
      </c>
      <c r="F2295" s="64">
        <v>206716</v>
      </c>
      <c r="G2295" s="66" t="s">
        <v>1230</v>
      </c>
      <c r="H2295" s="65">
        <v>44231</v>
      </c>
      <c r="I2295" s="64">
        <v>51488</v>
      </c>
      <c r="J2295" s="64">
        <v>10</v>
      </c>
      <c r="K2295" s="65">
        <v>44235</v>
      </c>
      <c r="L2295" s="64">
        <v>11133</v>
      </c>
      <c r="M2295" s="64">
        <v>10</v>
      </c>
    </row>
    <row r="2296" spans="2:13" ht="14.1" customHeight="1" x14ac:dyDescent="0.25">
      <c r="B2296" s="64" t="str">
        <f t="shared" si="37"/>
        <v>2101-241-205752</v>
      </c>
      <c r="C2296" s="65">
        <v>44225</v>
      </c>
      <c r="D2296" s="64">
        <v>241</v>
      </c>
      <c r="E2296" s="64">
        <v>110</v>
      </c>
      <c r="F2296" s="64">
        <v>205752</v>
      </c>
      <c r="G2296" s="66" t="s">
        <v>197</v>
      </c>
      <c r="H2296" s="65">
        <v>44232</v>
      </c>
      <c r="I2296" s="64">
        <v>51516</v>
      </c>
      <c r="J2296" s="64">
        <v>110</v>
      </c>
      <c r="K2296" s="65">
        <v>44243</v>
      </c>
      <c r="L2296" s="64">
        <v>11204</v>
      </c>
      <c r="M2296" s="64">
        <v>110</v>
      </c>
    </row>
    <row r="2297" spans="2:13" ht="14.1" customHeight="1" x14ac:dyDescent="0.25">
      <c r="B2297" s="64" t="str">
        <f t="shared" si="37"/>
        <v>2101-242-200551</v>
      </c>
      <c r="C2297" s="65">
        <v>44225</v>
      </c>
      <c r="D2297" s="64">
        <v>242</v>
      </c>
      <c r="E2297" s="64">
        <v>55</v>
      </c>
      <c r="F2297" s="64">
        <v>200551</v>
      </c>
      <c r="G2297" s="66" t="s">
        <v>229</v>
      </c>
      <c r="H2297" s="65">
        <v>44230</v>
      </c>
      <c r="I2297" s="64">
        <v>51458</v>
      </c>
      <c r="J2297" s="64">
        <v>55</v>
      </c>
      <c r="K2297" s="65">
        <v>44231</v>
      </c>
      <c r="L2297" s="64">
        <v>11105</v>
      </c>
      <c r="M2297" s="64">
        <v>55</v>
      </c>
    </row>
    <row r="2298" spans="2:13" ht="14.1" customHeight="1" x14ac:dyDescent="0.25">
      <c r="B2298" s="64" t="str">
        <f t="shared" si="37"/>
        <v>2101-243-104070</v>
      </c>
      <c r="C2298" s="65">
        <v>44225</v>
      </c>
      <c r="D2298" s="64">
        <v>243</v>
      </c>
      <c r="E2298" s="64">
        <v>4</v>
      </c>
      <c r="F2298" s="64">
        <v>104070</v>
      </c>
      <c r="G2298" s="66" t="s">
        <v>1529</v>
      </c>
      <c r="H2298" s="65"/>
      <c r="I2298" s="64">
        <v>0</v>
      </c>
      <c r="J2298" s="64">
        <v>0</v>
      </c>
      <c r="K2298" s="65"/>
      <c r="L2298" s="64">
        <v>0</v>
      </c>
      <c r="M2298" s="64">
        <v>0</v>
      </c>
    </row>
    <row r="2299" spans="2:13" ht="14.1" customHeight="1" x14ac:dyDescent="0.25">
      <c r="B2299" s="64" t="str">
        <f t="shared" si="37"/>
        <v>2101-243-106545</v>
      </c>
      <c r="C2299" s="65">
        <v>44225</v>
      </c>
      <c r="D2299" s="64">
        <v>243</v>
      </c>
      <c r="E2299" s="64">
        <v>2</v>
      </c>
      <c r="F2299" s="64">
        <v>106545</v>
      </c>
      <c r="G2299" s="66" t="s">
        <v>359</v>
      </c>
      <c r="H2299" s="65"/>
      <c r="I2299" s="64">
        <v>0</v>
      </c>
      <c r="J2299" s="64">
        <v>0</v>
      </c>
      <c r="K2299" s="65"/>
      <c r="L2299" s="64">
        <v>0</v>
      </c>
      <c r="M2299" s="64">
        <v>0</v>
      </c>
    </row>
    <row r="2300" spans="2:13" ht="14.1" customHeight="1" x14ac:dyDescent="0.25">
      <c r="B2300" s="64" t="str">
        <f t="shared" si="37"/>
        <v>2101-243-306714</v>
      </c>
      <c r="C2300" s="65">
        <v>44225</v>
      </c>
      <c r="D2300" s="64">
        <v>243</v>
      </c>
      <c r="E2300" s="64">
        <v>2</v>
      </c>
      <c r="F2300" s="64">
        <v>306714</v>
      </c>
      <c r="G2300" s="66" t="s">
        <v>1240</v>
      </c>
      <c r="H2300" s="65"/>
      <c r="I2300" s="64">
        <v>0</v>
      </c>
      <c r="J2300" s="64">
        <v>0</v>
      </c>
      <c r="K2300" s="65"/>
      <c r="L2300" s="64">
        <v>0</v>
      </c>
      <c r="M2300" s="64">
        <v>0</v>
      </c>
    </row>
    <row r="2301" spans="2:13" ht="14.1" customHeight="1" x14ac:dyDescent="0.25">
      <c r="B2301" s="64" t="str">
        <f t="shared" si="37"/>
        <v>2101-243-310873</v>
      </c>
      <c r="C2301" s="65">
        <v>44225</v>
      </c>
      <c r="D2301" s="64">
        <v>243</v>
      </c>
      <c r="E2301" s="64">
        <v>2</v>
      </c>
      <c r="F2301" s="64">
        <v>310873</v>
      </c>
      <c r="G2301" s="66" t="s">
        <v>285</v>
      </c>
      <c r="H2301" s="65"/>
      <c r="I2301" s="64">
        <v>0</v>
      </c>
      <c r="J2301" s="64">
        <v>0</v>
      </c>
      <c r="K2301" s="65"/>
      <c r="L2301" s="64">
        <v>0</v>
      </c>
      <c r="M2301" s="64">
        <v>0</v>
      </c>
    </row>
    <row r="2302" spans="2:13" ht="14.1" customHeight="1" x14ac:dyDescent="0.25">
      <c r="B2302" s="64" t="str">
        <f t="shared" si="37"/>
        <v>2101-243-106163</v>
      </c>
      <c r="C2302" s="65">
        <v>44225</v>
      </c>
      <c r="D2302" s="64">
        <v>243</v>
      </c>
      <c r="E2302" s="64">
        <v>4</v>
      </c>
      <c r="F2302" s="64">
        <v>106163</v>
      </c>
      <c r="G2302" s="66" t="s">
        <v>1530</v>
      </c>
      <c r="H2302" s="65"/>
      <c r="I2302" s="64">
        <v>0</v>
      </c>
      <c r="J2302" s="64">
        <v>0</v>
      </c>
      <c r="K2302" s="65"/>
      <c r="L2302" s="64">
        <v>0</v>
      </c>
      <c r="M2302" s="64">
        <v>0</v>
      </c>
    </row>
    <row r="2303" spans="2:13" ht="14.1" customHeight="1" x14ac:dyDescent="0.25">
      <c r="B2303" s="64" t="str">
        <f t="shared" si="37"/>
        <v>2101-243-104071</v>
      </c>
      <c r="C2303" s="65">
        <v>44225</v>
      </c>
      <c r="D2303" s="64">
        <v>243</v>
      </c>
      <c r="E2303" s="64">
        <v>6</v>
      </c>
      <c r="F2303" s="64">
        <v>104071</v>
      </c>
      <c r="G2303" s="66" t="s">
        <v>1483</v>
      </c>
      <c r="H2303" s="65"/>
      <c r="I2303" s="64">
        <v>0</v>
      </c>
      <c r="J2303" s="64">
        <v>0</v>
      </c>
      <c r="K2303" s="65"/>
      <c r="L2303" s="64">
        <v>0</v>
      </c>
      <c r="M2303" s="64">
        <v>0</v>
      </c>
    </row>
    <row r="2304" spans="2:13" ht="14.1" customHeight="1" x14ac:dyDescent="0.25">
      <c r="B2304" s="64" t="str">
        <f t="shared" si="37"/>
        <v>2101-243-205039</v>
      </c>
      <c r="C2304" s="65">
        <v>44225</v>
      </c>
      <c r="D2304" s="64">
        <v>243</v>
      </c>
      <c r="E2304" s="64">
        <v>2</v>
      </c>
      <c r="F2304" s="64">
        <v>205039</v>
      </c>
      <c r="G2304" s="66" t="s">
        <v>1531</v>
      </c>
      <c r="H2304" s="65"/>
      <c r="I2304" s="64">
        <v>0</v>
      </c>
      <c r="J2304" s="64">
        <v>0</v>
      </c>
      <c r="K2304" s="65"/>
      <c r="L2304" s="64">
        <v>0</v>
      </c>
      <c r="M2304" s="64">
        <v>0</v>
      </c>
    </row>
    <row r="2305" spans="2:13" ht="14.1" customHeight="1" x14ac:dyDescent="0.25">
      <c r="B2305" s="64" t="str">
        <f t="shared" si="37"/>
        <v>2101-243-314431</v>
      </c>
      <c r="C2305" s="65">
        <v>44225</v>
      </c>
      <c r="D2305" s="64">
        <v>243</v>
      </c>
      <c r="E2305" s="64">
        <v>4</v>
      </c>
      <c r="F2305" s="64">
        <v>314431</v>
      </c>
      <c r="G2305" s="66" t="s">
        <v>1532</v>
      </c>
      <c r="H2305" s="65"/>
      <c r="I2305" s="64">
        <v>0</v>
      </c>
      <c r="J2305" s="64">
        <v>0</v>
      </c>
      <c r="K2305" s="65"/>
      <c r="L2305" s="64">
        <v>0</v>
      </c>
      <c r="M2305" s="64">
        <v>0</v>
      </c>
    </row>
    <row r="2306" spans="2:13" ht="14.1" customHeight="1" x14ac:dyDescent="0.25">
      <c r="B2306" s="64" t="str">
        <f t="shared" si="37"/>
        <v>2101-244-106464</v>
      </c>
      <c r="C2306" s="65">
        <v>44225</v>
      </c>
      <c r="D2306" s="64">
        <v>244</v>
      </c>
      <c r="E2306" s="64">
        <v>9</v>
      </c>
      <c r="F2306" s="64">
        <v>106464</v>
      </c>
      <c r="G2306" s="66" t="s">
        <v>458</v>
      </c>
      <c r="H2306" s="65">
        <v>44225</v>
      </c>
      <c r="I2306" s="64">
        <v>51426</v>
      </c>
      <c r="J2306" s="64">
        <v>9</v>
      </c>
      <c r="K2306" s="65">
        <v>44236</v>
      </c>
      <c r="L2306" s="64">
        <v>11144</v>
      </c>
      <c r="M2306" s="64">
        <v>9</v>
      </c>
    </row>
    <row r="2307" spans="2:13" ht="14.1" customHeight="1" x14ac:dyDescent="0.25">
      <c r="B2307" s="64" t="str">
        <f t="shared" si="37"/>
        <v>2101-244-106466</v>
      </c>
      <c r="C2307" s="65">
        <v>44225</v>
      </c>
      <c r="D2307" s="64">
        <v>244</v>
      </c>
      <c r="E2307" s="64">
        <v>9</v>
      </c>
      <c r="F2307" s="64">
        <v>106466</v>
      </c>
      <c r="G2307" s="66" t="s">
        <v>460</v>
      </c>
      <c r="H2307" s="65">
        <v>44225</v>
      </c>
      <c r="I2307" s="64">
        <v>51426</v>
      </c>
      <c r="J2307" s="64">
        <v>9</v>
      </c>
      <c r="K2307" s="65">
        <v>44236</v>
      </c>
      <c r="L2307" s="64">
        <v>11144</v>
      </c>
      <c r="M2307" s="64">
        <v>9</v>
      </c>
    </row>
    <row r="2308" spans="2:13" ht="14.1" customHeight="1" x14ac:dyDescent="0.25">
      <c r="B2308" s="64" t="str">
        <f t="shared" si="37"/>
        <v>2101-244-205224</v>
      </c>
      <c r="C2308" s="65">
        <v>44225</v>
      </c>
      <c r="D2308" s="64">
        <v>244</v>
      </c>
      <c r="E2308" s="64">
        <v>9</v>
      </c>
      <c r="F2308" s="64">
        <v>205224</v>
      </c>
      <c r="G2308" s="66" t="s">
        <v>1148</v>
      </c>
      <c r="H2308" s="65">
        <v>44225</v>
      </c>
      <c r="I2308" s="64">
        <v>51426</v>
      </c>
      <c r="J2308" s="64">
        <v>9</v>
      </c>
      <c r="K2308" s="65">
        <v>44236</v>
      </c>
      <c r="L2308" s="64">
        <v>11144</v>
      </c>
      <c r="M2308" s="64">
        <v>9</v>
      </c>
    </row>
    <row r="2309" spans="2:13" ht="14.1" customHeight="1" x14ac:dyDescent="0.25">
      <c r="B2309" s="64" t="str">
        <f t="shared" si="37"/>
        <v>2101-244-205223</v>
      </c>
      <c r="C2309" s="65">
        <v>44225</v>
      </c>
      <c r="D2309" s="64">
        <v>244</v>
      </c>
      <c r="E2309" s="64">
        <v>9</v>
      </c>
      <c r="F2309" s="64">
        <v>205223</v>
      </c>
      <c r="G2309" s="66" t="s">
        <v>1149</v>
      </c>
      <c r="H2309" s="65">
        <v>44225</v>
      </c>
      <c r="I2309" s="64">
        <v>51426</v>
      </c>
      <c r="J2309" s="64">
        <v>9</v>
      </c>
      <c r="K2309" s="65">
        <v>44236</v>
      </c>
      <c r="L2309" s="64">
        <v>11144</v>
      </c>
      <c r="M2309" s="64">
        <v>9</v>
      </c>
    </row>
    <row r="2310" spans="2:13" ht="14.1" customHeight="1" x14ac:dyDescent="0.25">
      <c r="B2310" s="64" t="str">
        <f t="shared" si="37"/>
        <v>2101-244-106465</v>
      </c>
      <c r="C2310" s="65">
        <v>44225</v>
      </c>
      <c r="D2310" s="64">
        <v>244</v>
      </c>
      <c r="E2310" s="64">
        <v>9</v>
      </c>
      <c r="F2310" s="64">
        <v>106465</v>
      </c>
      <c r="G2310" s="66" t="s">
        <v>459</v>
      </c>
      <c r="H2310" s="65">
        <v>44225</v>
      </c>
      <c r="I2310" s="64">
        <v>51426</v>
      </c>
      <c r="J2310" s="64">
        <v>9</v>
      </c>
      <c r="K2310" s="65">
        <v>44236</v>
      </c>
      <c r="L2310" s="64">
        <v>11144</v>
      </c>
      <c r="M2310" s="64">
        <v>9</v>
      </c>
    </row>
    <row r="2311" spans="2:13" ht="14.1" customHeight="1" x14ac:dyDescent="0.25">
      <c r="B2311" s="64" t="str">
        <f t="shared" si="37"/>
        <v>2101-244-106467</v>
      </c>
      <c r="C2311" s="65">
        <v>44225</v>
      </c>
      <c r="D2311" s="64">
        <v>244</v>
      </c>
      <c r="E2311" s="64">
        <v>9</v>
      </c>
      <c r="F2311" s="64">
        <v>106467</v>
      </c>
      <c r="G2311" s="66" t="s">
        <v>461</v>
      </c>
      <c r="H2311" s="65">
        <v>44225</v>
      </c>
      <c r="I2311" s="64">
        <v>51426</v>
      </c>
      <c r="J2311" s="64">
        <v>9</v>
      </c>
      <c r="K2311" s="65">
        <v>44236</v>
      </c>
      <c r="L2311" s="64">
        <v>11144</v>
      </c>
      <c r="M2311" s="64">
        <v>9</v>
      </c>
    </row>
    <row r="2312" spans="2:13" ht="14.1" customHeight="1" x14ac:dyDescent="0.25">
      <c r="B2312" s="64" t="str">
        <f t="shared" si="37"/>
        <v>2101-245-320657</v>
      </c>
      <c r="C2312" s="65">
        <v>44225</v>
      </c>
      <c r="D2312" s="64">
        <v>245</v>
      </c>
      <c r="E2312" s="64">
        <v>50</v>
      </c>
      <c r="F2312" s="64">
        <v>320657</v>
      </c>
      <c r="G2312" s="66" t="s">
        <v>1437</v>
      </c>
      <c r="H2312" s="65">
        <v>44225</v>
      </c>
      <c r="I2312" s="64">
        <v>51427</v>
      </c>
      <c r="J2312" s="64">
        <v>50</v>
      </c>
      <c r="K2312" s="65">
        <v>44229</v>
      </c>
      <c r="L2312" s="64">
        <v>11081</v>
      </c>
      <c r="M2312" s="64">
        <v>50</v>
      </c>
    </row>
    <row r="2313" spans="2:13" ht="14.1" customHeight="1" x14ac:dyDescent="0.25">
      <c r="B2313" s="64" t="str">
        <f t="shared" si="37"/>
        <v>2101-245-320658</v>
      </c>
      <c r="C2313" s="65">
        <v>44225</v>
      </c>
      <c r="D2313" s="64">
        <v>245</v>
      </c>
      <c r="E2313" s="64">
        <v>50</v>
      </c>
      <c r="F2313" s="64">
        <v>320658</v>
      </c>
      <c r="G2313" s="66" t="s">
        <v>1438</v>
      </c>
      <c r="H2313" s="65">
        <v>44225</v>
      </c>
      <c r="I2313" s="64">
        <v>51427</v>
      </c>
      <c r="J2313" s="64">
        <v>50</v>
      </c>
      <c r="K2313" s="65">
        <v>44229</v>
      </c>
      <c r="L2313" s="64">
        <v>11081</v>
      </c>
      <c r="M2313" s="64">
        <v>50</v>
      </c>
    </row>
    <row r="2314" spans="2:13" ht="14.1" customHeight="1" x14ac:dyDescent="0.25">
      <c r="B2314" s="64" t="str">
        <f t="shared" si="37"/>
        <v>2101-245-320659</v>
      </c>
      <c r="C2314" s="65">
        <v>44225</v>
      </c>
      <c r="D2314" s="64">
        <v>245</v>
      </c>
      <c r="E2314" s="64">
        <v>75</v>
      </c>
      <c r="F2314" s="64">
        <v>320659</v>
      </c>
      <c r="G2314" s="66" t="s">
        <v>1439</v>
      </c>
      <c r="H2314" s="65">
        <v>44225</v>
      </c>
      <c r="I2314" s="64">
        <v>51427</v>
      </c>
      <c r="J2314" s="64">
        <v>75</v>
      </c>
      <c r="K2314" s="65">
        <v>44229</v>
      </c>
      <c r="L2314" s="64">
        <v>11081</v>
      </c>
      <c r="M2314" s="64">
        <v>75</v>
      </c>
    </row>
    <row r="2315" spans="2:13" ht="14.1" customHeight="1" x14ac:dyDescent="0.25">
      <c r="B2315" s="64" t="str">
        <f t="shared" si="37"/>
        <v>2101-247-304023</v>
      </c>
      <c r="C2315" s="65">
        <v>44225</v>
      </c>
      <c r="D2315" s="64">
        <v>247</v>
      </c>
      <c r="E2315" s="64">
        <v>700</v>
      </c>
      <c r="F2315" s="64">
        <v>304023</v>
      </c>
      <c r="G2315" s="66" t="s">
        <v>1533</v>
      </c>
      <c r="H2315" s="65">
        <v>44225</v>
      </c>
      <c r="I2315" s="64">
        <v>51428</v>
      </c>
      <c r="J2315" s="64">
        <v>680</v>
      </c>
      <c r="K2315" s="65">
        <v>44229</v>
      </c>
      <c r="L2315" s="64">
        <v>11066</v>
      </c>
      <c r="M2315" s="64">
        <v>680</v>
      </c>
    </row>
    <row r="2316" spans="2:13" ht="14.1" customHeight="1" x14ac:dyDescent="0.25">
      <c r="B2316" s="64" t="str">
        <f t="shared" si="37"/>
        <v>2101-253-303947</v>
      </c>
      <c r="C2316" s="65">
        <v>44227</v>
      </c>
      <c r="D2316" s="64">
        <v>253</v>
      </c>
      <c r="E2316" s="64">
        <v>8</v>
      </c>
      <c r="F2316" s="64">
        <v>303947</v>
      </c>
      <c r="G2316" s="66" t="s">
        <v>203</v>
      </c>
      <c r="H2316" s="65">
        <v>44228</v>
      </c>
      <c r="I2316" s="64">
        <v>51440</v>
      </c>
      <c r="J2316" s="64">
        <v>8</v>
      </c>
      <c r="K2316" s="65">
        <v>44229</v>
      </c>
      <c r="L2316" s="64">
        <v>11073</v>
      </c>
      <c r="M2316" s="64">
        <v>8</v>
      </c>
    </row>
    <row r="2317" spans="2:13" ht="14.1" customHeight="1" x14ac:dyDescent="0.25">
      <c r="B2317" s="64" t="str">
        <f t="shared" si="37"/>
        <v>2101-253-300331</v>
      </c>
      <c r="C2317" s="65">
        <v>44227</v>
      </c>
      <c r="D2317" s="64">
        <v>253</v>
      </c>
      <c r="E2317" s="64">
        <v>16</v>
      </c>
      <c r="F2317" s="64">
        <v>300331</v>
      </c>
      <c r="G2317" s="66" t="s">
        <v>293</v>
      </c>
      <c r="H2317" s="65">
        <v>44228</v>
      </c>
      <c r="I2317" s="64">
        <v>51440</v>
      </c>
      <c r="J2317" s="64">
        <v>16</v>
      </c>
      <c r="K2317" s="65">
        <v>44229</v>
      </c>
      <c r="L2317" s="64">
        <v>11073</v>
      </c>
      <c r="M2317" s="64">
        <v>16</v>
      </c>
    </row>
    <row r="2318" spans="2:13" ht="14.1" customHeight="1" x14ac:dyDescent="0.25">
      <c r="B2318" s="64" t="str">
        <f t="shared" si="37"/>
        <v>2101-253-301856</v>
      </c>
      <c r="C2318" s="65">
        <v>44227</v>
      </c>
      <c r="D2318" s="64">
        <v>253</v>
      </c>
      <c r="E2318" s="64">
        <v>10</v>
      </c>
      <c r="F2318" s="64">
        <v>301856</v>
      </c>
      <c r="G2318" s="66" t="s">
        <v>1347</v>
      </c>
      <c r="H2318" s="65">
        <v>44228</v>
      </c>
      <c r="I2318" s="64">
        <v>51440</v>
      </c>
      <c r="J2318" s="64">
        <v>10</v>
      </c>
      <c r="K2318" s="65">
        <v>44229</v>
      </c>
      <c r="L2318" s="64">
        <v>11073</v>
      </c>
      <c r="M2318" s="64">
        <v>10</v>
      </c>
    </row>
    <row r="2319" spans="2:13" ht="14.1" customHeight="1" x14ac:dyDescent="0.25">
      <c r="B2319" s="64" t="str">
        <f t="shared" si="37"/>
        <v>2101-253-205957</v>
      </c>
      <c r="C2319" s="65">
        <v>44227</v>
      </c>
      <c r="D2319" s="64">
        <v>253</v>
      </c>
      <c r="E2319" s="64">
        <v>8</v>
      </c>
      <c r="F2319" s="64">
        <v>205957</v>
      </c>
      <c r="G2319" s="66" t="s">
        <v>43</v>
      </c>
      <c r="H2319" s="65">
        <v>44228</v>
      </c>
      <c r="I2319" s="64">
        <v>51440</v>
      </c>
      <c r="J2319" s="64">
        <v>8</v>
      </c>
      <c r="K2319" s="65">
        <v>44229</v>
      </c>
      <c r="L2319" s="64">
        <v>11073</v>
      </c>
      <c r="M2319" s="64">
        <v>8</v>
      </c>
    </row>
    <row r="2320" spans="2:13" ht="14.1" customHeight="1" x14ac:dyDescent="0.25">
      <c r="B2320" s="64" t="str">
        <f t="shared" si="37"/>
        <v>2101-253-308890</v>
      </c>
      <c r="C2320" s="65">
        <v>44227</v>
      </c>
      <c r="D2320" s="64">
        <v>253</v>
      </c>
      <c r="E2320" s="64">
        <v>4</v>
      </c>
      <c r="F2320" s="64">
        <v>308890</v>
      </c>
      <c r="G2320" s="66" t="s">
        <v>52</v>
      </c>
      <c r="H2320" s="65">
        <v>44228</v>
      </c>
      <c r="I2320" s="64">
        <v>51439</v>
      </c>
      <c r="J2320" s="64">
        <v>4</v>
      </c>
      <c r="K2320" s="65">
        <v>44229</v>
      </c>
      <c r="L2320" s="64">
        <v>11074</v>
      </c>
      <c r="M2320" s="64">
        <v>4</v>
      </c>
    </row>
    <row r="2321" spans="2:13" ht="14.1" customHeight="1" x14ac:dyDescent="0.25">
      <c r="B2321" s="64" t="str">
        <f t="shared" si="37"/>
        <v>2101-253-300334</v>
      </c>
      <c r="C2321" s="65">
        <v>44227</v>
      </c>
      <c r="D2321" s="64">
        <v>253</v>
      </c>
      <c r="E2321" s="64">
        <v>10</v>
      </c>
      <c r="F2321" s="64">
        <v>300334</v>
      </c>
      <c r="G2321" s="66" t="s">
        <v>46</v>
      </c>
      <c r="H2321" s="65">
        <v>44228</v>
      </c>
      <c r="I2321" s="64">
        <v>51439</v>
      </c>
      <c r="J2321" s="64">
        <v>10</v>
      </c>
      <c r="K2321" s="65">
        <v>44229</v>
      </c>
      <c r="L2321" s="64">
        <v>11074</v>
      </c>
      <c r="M2321" s="64">
        <v>10</v>
      </c>
    </row>
    <row r="2322" spans="2:13" ht="14.1" customHeight="1" x14ac:dyDescent="0.25">
      <c r="B2322" s="64" t="str">
        <f t="shared" si="37"/>
        <v>2101-253-307771</v>
      </c>
      <c r="C2322" s="65">
        <v>44227</v>
      </c>
      <c r="D2322" s="64">
        <v>253</v>
      </c>
      <c r="E2322" s="64">
        <v>6</v>
      </c>
      <c r="F2322" s="64">
        <v>307771</v>
      </c>
      <c r="G2322" s="66" t="s">
        <v>1542</v>
      </c>
      <c r="H2322" s="65">
        <v>44228</v>
      </c>
      <c r="I2322" s="64">
        <v>51440</v>
      </c>
      <c r="J2322" s="64">
        <v>6</v>
      </c>
      <c r="K2322" s="65">
        <v>44229</v>
      </c>
      <c r="L2322" s="64">
        <v>11073</v>
      </c>
      <c r="M2322" s="64">
        <v>6</v>
      </c>
    </row>
    <row r="2323" spans="2:13" ht="14.1" customHeight="1" x14ac:dyDescent="0.25">
      <c r="B2323" s="64" t="str">
        <f t="shared" si="37"/>
        <v>2101-254-102033</v>
      </c>
      <c r="C2323" s="65">
        <v>44227</v>
      </c>
      <c r="D2323" s="64">
        <v>254</v>
      </c>
      <c r="E2323" s="64">
        <v>2</v>
      </c>
      <c r="F2323" s="64">
        <v>102033</v>
      </c>
      <c r="G2323" s="66" t="s">
        <v>421</v>
      </c>
      <c r="H2323" s="65">
        <v>44228</v>
      </c>
      <c r="I2323" s="64">
        <v>51435</v>
      </c>
      <c r="J2323" s="64">
        <v>2</v>
      </c>
      <c r="K2323" s="65">
        <v>44229</v>
      </c>
      <c r="L2323" s="64">
        <v>11075</v>
      </c>
      <c r="M2323" s="64">
        <v>2</v>
      </c>
    </row>
    <row r="2324" spans="2:13" ht="14.1" customHeight="1" x14ac:dyDescent="0.25">
      <c r="B2324" s="64" t="str">
        <f t="shared" si="37"/>
        <v>2101-254-105240</v>
      </c>
      <c r="C2324" s="65">
        <v>44227</v>
      </c>
      <c r="D2324" s="64">
        <v>254</v>
      </c>
      <c r="E2324" s="64">
        <v>6</v>
      </c>
      <c r="F2324" s="64">
        <v>105240</v>
      </c>
      <c r="G2324" s="66" t="s">
        <v>429</v>
      </c>
      <c r="H2324" s="65">
        <v>44228</v>
      </c>
      <c r="I2324" s="64">
        <v>51435</v>
      </c>
      <c r="J2324" s="64">
        <v>6</v>
      </c>
      <c r="K2324" s="65">
        <v>44229</v>
      </c>
      <c r="L2324" s="64">
        <v>11075</v>
      </c>
      <c r="M2324" s="64">
        <v>6</v>
      </c>
    </row>
    <row r="2325" spans="2:13" ht="14.1" customHeight="1" x14ac:dyDescent="0.25">
      <c r="B2325" s="64" t="str">
        <f t="shared" si="37"/>
        <v>2101-254-201642</v>
      </c>
      <c r="C2325" s="65">
        <v>44227</v>
      </c>
      <c r="D2325" s="64">
        <v>254</v>
      </c>
      <c r="E2325" s="64">
        <v>3</v>
      </c>
      <c r="F2325" s="64">
        <v>201642</v>
      </c>
      <c r="G2325" s="66" t="s">
        <v>1254</v>
      </c>
      <c r="H2325" s="65">
        <v>44228</v>
      </c>
      <c r="I2325" s="64">
        <v>51435</v>
      </c>
      <c r="J2325" s="64">
        <v>3</v>
      </c>
      <c r="K2325" s="65">
        <v>44229</v>
      </c>
      <c r="L2325" s="64">
        <v>11075</v>
      </c>
      <c r="M2325" s="64">
        <v>3</v>
      </c>
    </row>
    <row r="2326" spans="2:13" ht="14.1" customHeight="1" x14ac:dyDescent="0.25">
      <c r="B2326" s="64" t="str">
        <f t="shared" ref="B2326:B2357" si="38">TEXT(C2326,"yy") &amp; TEXT(C2326,"mm") &amp;"-"&amp;(D2326) &amp;"-"&amp;(F2326)</f>
        <v>2101-255-104936</v>
      </c>
      <c r="C2326" s="65">
        <v>44227</v>
      </c>
      <c r="D2326" s="64">
        <v>255</v>
      </c>
      <c r="E2326" s="64">
        <v>4</v>
      </c>
      <c r="F2326" s="64">
        <v>104936</v>
      </c>
      <c r="G2326" s="66" t="s">
        <v>1543</v>
      </c>
      <c r="H2326" s="65">
        <v>44229</v>
      </c>
      <c r="I2326" s="64">
        <v>51442</v>
      </c>
      <c r="J2326" s="64">
        <v>4</v>
      </c>
      <c r="K2326" s="65">
        <v>44230</v>
      </c>
      <c r="L2326" s="64">
        <v>11089</v>
      </c>
      <c r="M2326" s="64">
        <v>4</v>
      </c>
    </row>
    <row r="2327" spans="2:13" ht="14.1" customHeight="1" x14ac:dyDescent="0.25">
      <c r="B2327" s="64" t="str">
        <f t="shared" si="38"/>
        <v>2102-1-204172</v>
      </c>
      <c r="C2327" s="65">
        <v>44228</v>
      </c>
      <c r="D2327" s="64">
        <v>1</v>
      </c>
      <c r="E2327" s="64">
        <v>5</v>
      </c>
      <c r="F2327" s="64">
        <v>204172</v>
      </c>
      <c r="G2327" s="66" t="s">
        <v>527</v>
      </c>
      <c r="H2327" s="65">
        <v>44238</v>
      </c>
      <c r="I2327" s="64">
        <v>51638</v>
      </c>
      <c r="J2327" s="64">
        <v>5</v>
      </c>
      <c r="K2327" s="65">
        <v>44243</v>
      </c>
      <c r="L2327" s="64">
        <v>11218</v>
      </c>
      <c r="M2327" s="64">
        <v>5</v>
      </c>
    </row>
    <row r="2328" spans="2:13" ht="14.1" customHeight="1" x14ac:dyDescent="0.25">
      <c r="B2328" s="64" t="str">
        <f t="shared" si="38"/>
        <v>2102-1-105240</v>
      </c>
      <c r="C2328" s="65">
        <v>44228</v>
      </c>
      <c r="D2328" s="64">
        <v>1</v>
      </c>
      <c r="E2328" s="64">
        <v>6</v>
      </c>
      <c r="F2328" s="64">
        <v>105240</v>
      </c>
      <c r="G2328" s="66" t="s">
        <v>429</v>
      </c>
      <c r="H2328" s="65">
        <v>44238</v>
      </c>
      <c r="I2328" s="64">
        <v>51638</v>
      </c>
      <c r="J2328" s="64">
        <v>6</v>
      </c>
      <c r="K2328" s="65">
        <v>44243</v>
      </c>
      <c r="L2328" s="64">
        <v>11218</v>
      </c>
      <c r="M2328" s="64">
        <v>6</v>
      </c>
    </row>
    <row r="2329" spans="2:13" ht="14.1" customHeight="1" x14ac:dyDescent="0.25">
      <c r="B2329" s="64" t="str">
        <f t="shared" si="38"/>
        <v>2102-1-105870</v>
      </c>
      <c r="C2329" s="65">
        <v>44228</v>
      </c>
      <c r="D2329" s="64">
        <v>1</v>
      </c>
      <c r="E2329" s="64">
        <v>2</v>
      </c>
      <c r="F2329" s="64">
        <v>105870</v>
      </c>
      <c r="G2329" s="66" t="s">
        <v>1545</v>
      </c>
      <c r="H2329" s="65">
        <v>44238</v>
      </c>
      <c r="I2329" s="64">
        <v>51639</v>
      </c>
      <c r="J2329" s="64">
        <v>2</v>
      </c>
      <c r="K2329" s="65"/>
      <c r="L2329" s="64">
        <v>0</v>
      </c>
      <c r="M2329" s="64">
        <v>0</v>
      </c>
    </row>
    <row r="2330" spans="2:13" ht="14.1" customHeight="1" x14ac:dyDescent="0.25">
      <c r="B2330" s="64" t="str">
        <f t="shared" si="38"/>
        <v>2102-1-105869</v>
      </c>
      <c r="C2330" s="65">
        <v>44228</v>
      </c>
      <c r="D2330" s="64">
        <v>1</v>
      </c>
      <c r="E2330" s="64">
        <v>14</v>
      </c>
      <c r="F2330" s="64">
        <v>105869</v>
      </c>
      <c r="G2330" s="67" t="s">
        <v>1544</v>
      </c>
      <c r="H2330" s="65">
        <v>44238</v>
      </c>
      <c r="I2330" s="64">
        <v>51638</v>
      </c>
      <c r="J2330" s="64">
        <v>14</v>
      </c>
      <c r="K2330" s="65">
        <v>44243</v>
      </c>
      <c r="L2330" s="64">
        <v>11218</v>
      </c>
      <c r="M2330" s="64">
        <v>14</v>
      </c>
    </row>
    <row r="2331" spans="2:13" ht="14.1" customHeight="1" x14ac:dyDescent="0.25">
      <c r="B2331" s="64" t="str">
        <f t="shared" si="38"/>
        <v>2102-1-204204</v>
      </c>
      <c r="C2331" s="65">
        <v>44228</v>
      </c>
      <c r="D2331" s="64">
        <v>1</v>
      </c>
      <c r="E2331" s="64">
        <v>12</v>
      </c>
      <c r="F2331" s="64">
        <v>204204</v>
      </c>
      <c r="G2331" s="66" t="s">
        <v>1546</v>
      </c>
      <c r="H2331" s="65">
        <v>44238</v>
      </c>
      <c r="I2331" s="64">
        <v>51639</v>
      </c>
      <c r="J2331" s="64">
        <v>12</v>
      </c>
      <c r="K2331" s="65">
        <v>44243</v>
      </c>
      <c r="L2331" s="64">
        <v>11217</v>
      </c>
      <c r="M2331" s="64">
        <v>12</v>
      </c>
    </row>
    <row r="2332" spans="2:13" ht="14.1" customHeight="1" x14ac:dyDescent="0.25">
      <c r="B2332" s="64" t="str">
        <f t="shared" si="38"/>
        <v>2102-2-319476</v>
      </c>
      <c r="C2332" s="65">
        <v>44228</v>
      </c>
      <c r="D2332" s="64">
        <v>2</v>
      </c>
      <c r="E2332" s="64">
        <v>3</v>
      </c>
      <c r="F2332" s="64">
        <v>319476</v>
      </c>
      <c r="G2332" s="66" t="s">
        <v>1553</v>
      </c>
      <c r="H2332" s="65">
        <v>44272</v>
      </c>
      <c r="I2332" s="64">
        <v>52161</v>
      </c>
      <c r="J2332" s="64">
        <v>3</v>
      </c>
      <c r="K2332" s="65">
        <v>44278</v>
      </c>
      <c r="L2332" s="64">
        <v>11612</v>
      </c>
      <c r="M2332" s="64">
        <v>3</v>
      </c>
    </row>
    <row r="2333" spans="2:13" ht="14.1" customHeight="1" x14ac:dyDescent="0.25">
      <c r="B2333" s="64" t="str">
        <f t="shared" si="38"/>
        <v>2102-2-309148</v>
      </c>
      <c r="C2333" s="65">
        <v>44228</v>
      </c>
      <c r="D2333" s="64">
        <v>2</v>
      </c>
      <c r="E2333" s="64">
        <v>6</v>
      </c>
      <c r="F2333" s="64">
        <v>309148</v>
      </c>
      <c r="G2333" s="66" t="s">
        <v>1568</v>
      </c>
      <c r="H2333" s="65">
        <v>44272</v>
      </c>
      <c r="I2333" s="64">
        <v>52161</v>
      </c>
      <c r="J2333" s="64">
        <v>6</v>
      </c>
      <c r="K2333" s="65">
        <v>44278</v>
      </c>
      <c r="L2333" s="64">
        <v>11612</v>
      </c>
      <c r="M2333" s="64">
        <v>6</v>
      </c>
    </row>
    <row r="2334" spans="2:13" ht="14.1" customHeight="1" x14ac:dyDescent="0.25">
      <c r="B2334" s="64" t="str">
        <f t="shared" si="38"/>
        <v>2102-2-319475</v>
      </c>
      <c r="C2334" s="65">
        <v>44228</v>
      </c>
      <c r="D2334" s="64">
        <v>2</v>
      </c>
      <c r="E2334" s="64">
        <v>3</v>
      </c>
      <c r="F2334" s="64">
        <v>319475</v>
      </c>
      <c r="G2334" s="66" t="s">
        <v>1552</v>
      </c>
      <c r="H2334" s="65">
        <v>44272</v>
      </c>
      <c r="I2334" s="64">
        <v>52161</v>
      </c>
      <c r="J2334" s="64">
        <v>3</v>
      </c>
      <c r="K2334" s="65">
        <v>44278</v>
      </c>
      <c r="L2334" s="64">
        <v>11612</v>
      </c>
      <c r="M2334" s="64">
        <v>3</v>
      </c>
    </row>
    <row r="2335" spans="2:13" ht="14.1" customHeight="1" x14ac:dyDescent="0.25">
      <c r="B2335" s="64" t="str">
        <f t="shared" si="38"/>
        <v>2102-2-319472</v>
      </c>
      <c r="C2335" s="65">
        <v>44228</v>
      </c>
      <c r="D2335" s="64">
        <v>2</v>
      </c>
      <c r="E2335" s="64">
        <v>3</v>
      </c>
      <c r="F2335" s="64">
        <v>319472</v>
      </c>
      <c r="G2335" s="66" t="s">
        <v>1550</v>
      </c>
      <c r="H2335" s="65">
        <v>44272</v>
      </c>
      <c r="I2335" s="64">
        <v>52161</v>
      </c>
      <c r="J2335" s="64">
        <v>3</v>
      </c>
      <c r="K2335" s="65">
        <v>44278</v>
      </c>
      <c r="L2335" s="64">
        <v>11612</v>
      </c>
      <c r="M2335" s="64">
        <v>3</v>
      </c>
    </row>
    <row r="2336" spans="2:13" ht="14.1" customHeight="1" x14ac:dyDescent="0.25">
      <c r="B2336" s="64" t="str">
        <f t="shared" si="38"/>
        <v>2102-2-319474</v>
      </c>
      <c r="C2336" s="65">
        <v>44228</v>
      </c>
      <c r="D2336" s="64">
        <v>2</v>
      </c>
      <c r="E2336" s="64">
        <v>3</v>
      </c>
      <c r="F2336" s="64">
        <v>319474</v>
      </c>
      <c r="G2336" s="66" t="s">
        <v>1551</v>
      </c>
      <c r="H2336" s="65">
        <v>44272</v>
      </c>
      <c r="I2336" s="64">
        <v>52161</v>
      </c>
      <c r="J2336" s="64">
        <v>3</v>
      </c>
      <c r="K2336" s="65">
        <v>44278</v>
      </c>
      <c r="L2336" s="64">
        <v>11612</v>
      </c>
      <c r="M2336" s="64">
        <v>3</v>
      </c>
    </row>
    <row r="2337" spans="2:13" ht="14.1" customHeight="1" x14ac:dyDescent="0.25">
      <c r="B2337" s="64" t="str">
        <f t="shared" si="38"/>
        <v>2102-2-312480</v>
      </c>
      <c r="C2337" s="65">
        <v>44228</v>
      </c>
      <c r="D2337" s="64">
        <v>2</v>
      </c>
      <c r="E2337" s="64">
        <v>6</v>
      </c>
      <c r="F2337" s="64">
        <v>312480</v>
      </c>
      <c r="G2337" s="66" t="s">
        <v>1569</v>
      </c>
      <c r="H2337" s="65">
        <v>44272</v>
      </c>
      <c r="I2337" s="64">
        <v>52161</v>
      </c>
      <c r="J2337" s="64">
        <v>6</v>
      </c>
      <c r="K2337" s="65">
        <v>44278</v>
      </c>
      <c r="L2337" s="64">
        <v>11612</v>
      </c>
      <c r="M2337" s="64">
        <v>6</v>
      </c>
    </row>
    <row r="2338" spans="2:13" ht="14.1" customHeight="1" x14ac:dyDescent="0.25">
      <c r="B2338" s="64" t="str">
        <f t="shared" si="38"/>
        <v>2102-2-309150</v>
      </c>
      <c r="C2338" s="65">
        <v>44228</v>
      </c>
      <c r="D2338" s="64">
        <v>2</v>
      </c>
      <c r="E2338" s="64">
        <v>6</v>
      </c>
      <c r="F2338" s="64">
        <v>309150</v>
      </c>
      <c r="G2338" s="66" t="s">
        <v>1567</v>
      </c>
      <c r="H2338" s="65">
        <v>44272</v>
      </c>
      <c r="I2338" s="64">
        <v>52161</v>
      </c>
      <c r="J2338" s="64">
        <v>6</v>
      </c>
      <c r="K2338" s="65">
        <v>44278</v>
      </c>
      <c r="L2338" s="64">
        <v>11612</v>
      </c>
      <c r="M2338" s="64">
        <v>6</v>
      </c>
    </row>
    <row r="2339" spans="2:13" ht="14.1" customHeight="1" x14ac:dyDescent="0.25">
      <c r="B2339" s="64" t="str">
        <f t="shared" si="38"/>
        <v>2102-3-301068</v>
      </c>
      <c r="C2339" s="65">
        <v>44229</v>
      </c>
      <c r="D2339" s="64">
        <v>3</v>
      </c>
      <c r="E2339" s="64">
        <v>16</v>
      </c>
      <c r="F2339" s="64">
        <v>301068</v>
      </c>
      <c r="G2339" s="66" t="s">
        <v>1557</v>
      </c>
      <c r="H2339" s="65">
        <v>44229</v>
      </c>
      <c r="I2339" s="64">
        <v>51445</v>
      </c>
      <c r="J2339" s="64">
        <v>16</v>
      </c>
      <c r="K2339" s="65">
        <v>44230</v>
      </c>
      <c r="L2339" s="64">
        <v>11082</v>
      </c>
      <c r="M2339" s="64">
        <v>16</v>
      </c>
    </row>
    <row r="2340" spans="2:13" ht="14.1" customHeight="1" x14ac:dyDescent="0.25">
      <c r="B2340" s="64" t="str">
        <f t="shared" si="38"/>
        <v>2102-3-308806</v>
      </c>
      <c r="C2340" s="65">
        <v>44229</v>
      </c>
      <c r="D2340" s="64">
        <v>3</v>
      </c>
      <c r="E2340" s="64">
        <v>14</v>
      </c>
      <c r="F2340" s="64">
        <v>308806</v>
      </c>
      <c r="G2340" s="66" t="s">
        <v>1556</v>
      </c>
      <c r="H2340" s="65">
        <v>44229</v>
      </c>
      <c r="I2340" s="64">
        <v>51445</v>
      </c>
      <c r="J2340" s="64">
        <v>14</v>
      </c>
      <c r="K2340" s="65">
        <v>44230</v>
      </c>
      <c r="L2340" s="64">
        <v>11082</v>
      </c>
      <c r="M2340" s="64">
        <v>14</v>
      </c>
    </row>
    <row r="2341" spans="2:13" ht="14.1" customHeight="1" x14ac:dyDescent="0.25">
      <c r="B2341" s="64" t="str">
        <f t="shared" si="38"/>
        <v>2102-3-105249</v>
      </c>
      <c r="C2341" s="65">
        <v>44229</v>
      </c>
      <c r="D2341" s="64">
        <v>3</v>
      </c>
      <c r="E2341" s="64">
        <v>1400</v>
      </c>
      <c r="F2341" s="64">
        <v>105249</v>
      </c>
      <c r="G2341" s="66" t="s">
        <v>1555</v>
      </c>
      <c r="H2341" s="65">
        <v>44229</v>
      </c>
      <c r="I2341" s="64">
        <v>51443</v>
      </c>
      <c r="J2341" s="64">
        <v>1400</v>
      </c>
      <c r="K2341" s="65"/>
      <c r="L2341" s="64">
        <v>0</v>
      </c>
      <c r="M2341" s="64">
        <v>0</v>
      </c>
    </row>
    <row r="2342" spans="2:13" ht="14.1" customHeight="1" x14ac:dyDescent="0.25">
      <c r="B2342" s="64" t="str">
        <f t="shared" si="38"/>
        <v>2102-3-307922</v>
      </c>
      <c r="C2342" s="65">
        <v>44229</v>
      </c>
      <c r="D2342" s="64">
        <v>3</v>
      </c>
      <c r="E2342" s="64">
        <v>6</v>
      </c>
      <c r="F2342" s="64">
        <v>307922</v>
      </c>
      <c r="G2342" s="66" t="s">
        <v>1554</v>
      </c>
      <c r="H2342" s="65">
        <v>44229</v>
      </c>
      <c r="I2342" s="64">
        <v>51445</v>
      </c>
      <c r="J2342" s="64">
        <v>6</v>
      </c>
      <c r="K2342" s="65">
        <v>44230</v>
      </c>
      <c r="L2342" s="64">
        <v>11082</v>
      </c>
      <c r="M2342" s="64">
        <v>6</v>
      </c>
    </row>
    <row r="2343" spans="2:13" ht="14.1" customHeight="1" x14ac:dyDescent="0.25">
      <c r="B2343" s="64" t="str">
        <f t="shared" si="38"/>
        <v>2102-3-300360</v>
      </c>
      <c r="C2343" s="65">
        <v>44229</v>
      </c>
      <c r="D2343" s="64">
        <v>3</v>
      </c>
      <c r="E2343" s="64">
        <v>160</v>
      </c>
      <c r="F2343" s="64">
        <v>300360</v>
      </c>
      <c r="G2343" s="66" t="s">
        <v>70</v>
      </c>
      <c r="H2343" s="65">
        <v>44229</v>
      </c>
      <c r="I2343" s="64">
        <v>51445</v>
      </c>
      <c r="J2343" s="64">
        <v>160</v>
      </c>
      <c r="K2343" s="65">
        <v>44230</v>
      </c>
      <c r="L2343" s="64">
        <v>11082</v>
      </c>
      <c r="M2343" s="64">
        <v>160</v>
      </c>
    </row>
    <row r="2344" spans="2:13" ht="14.1" customHeight="1" x14ac:dyDescent="0.25">
      <c r="B2344" s="64" t="str">
        <f t="shared" si="38"/>
        <v>2102-4-203750</v>
      </c>
      <c r="C2344" s="65">
        <v>44229</v>
      </c>
      <c r="D2344" s="64">
        <v>4</v>
      </c>
      <c r="E2344" s="64">
        <v>15</v>
      </c>
      <c r="F2344" s="64">
        <v>203750</v>
      </c>
      <c r="G2344" s="66" t="s">
        <v>1558</v>
      </c>
      <c r="H2344" s="65">
        <v>44258</v>
      </c>
      <c r="I2344" s="64">
        <v>51951</v>
      </c>
      <c r="J2344" s="64">
        <v>15</v>
      </c>
      <c r="K2344" s="65">
        <v>44266</v>
      </c>
      <c r="L2344" s="64">
        <v>11469</v>
      </c>
      <c r="M2344" s="64">
        <v>9</v>
      </c>
    </row>
    <row r="2345" spans="2:13" ht="14.1" customHeight="1" x14ac:dyDescent="0.25">
      <c r="B2345" s="64" t="str">
        <f t="shared" si="38"/>
        <v>2102-4-203750</v>
      </c>
      <c r="C2345" s="65">
        <v>44229</v>
      </c>
      <c r="D2345" s="64">
        <v>4</v>
      </c>
      <c r="E2345" s="64">
        <v>15</v>
      </c>
      <c r="F2345" s="64">
        <v>203750</v>
      </c>
      <c r="G2345" s="66" t="s">
        <v>1558</v>
      </c>
      <c r="H2345" s="65">
        <v>44258</v>
      </c>
      <c r="I2345" s="64">
        <v>51951</v>
      </c>
      <c r="J2345" s="64">
        <v>15</v>
      </c>
      <c r="K2345" s="65">
        <v>44270</v>
      </c>
      <c r="L2345" s="64">
        <v>11513</v>
      </c>
      <c r="M2345" s="64">
        <v>6</v>
      </c>
    </row>
    <row r="2346" spans="2:13" ht="14.1" customHeight="1" x14ac:dyDescent="0.25">
      <c r="B2346" s="64" t="str">
        <f t="shared" si="38"/>
        <v>2102-5-317670</v>
      </c>
      <c r="C2346" s="65">
        <v>44229</v>
      </c>
      <c r="D2346" s="64">
        <v>5</v>
      </c>
      <c r="E2346" s="64">
        <v>30</v>
      </c>
      <c r="F2346" s="64">
        <v>317670</v>
      </c>
      <c r="G2346" s="66" t="s">
        <v>236</v>
      </c>
      <c r="H2346" s="65">
        <v>44232</v>
      </c>
      <c r="I2346" s="64">
        <v>51513</v>
      </c>
      <c r="J2346" s="64">
        <v>30</v>
      </c>
      <c r="K2346" s="65">
        <v>44243</v>
      </c>
      <c r="L2346" s="64">
        <v>11200</v>
      </c>
      <c r="M2346" s="64">
        <v>30</v>
      </c>
    </row>
    <row r="2347" spans="2:13" ht="14.1" customHeight="1" x14ac:dyDescent="0.25">
      <c r="B2347" s="64" t="str">
        <f t="shared" si="38"/>
        <v>2102-5-203876</v>
      </c>
      <c r="C2347" s="65">
        <v>44229</v>
      </c>
      <c r="D2347" s="64">
        <v>5</v>
      </c>
      <c r="E2347" s="64">
        <v>20</v>
      </c>
      <c r="F2347" s="64">
        <v>203876</v>
      </c>
      <c r="G2347" s="66" t="s">
        <v>71</v>
      </c>
      <c r="H2347" s="65">
        <v>44236</v>
      </c>
      <c r="I2347" s="64">
        <v>51594</v>
      </c>
      <c r="J2347" s="64">
        <v>20</v>
      </c>
      <c r="K2347" s="65">
        <v>44239</v>
      </c>
      <c r="L2347" s="64">
        <v>11179</v>
      </c>
      <c r="M2347" s="64">
        <v>20</v>
      </c>
    </row>
    <row r="2348" spans="2:13" ht="14.1" customHeight="1" x14ac:dyDescent="0.25">
      <c r="B2348" s="64" t="str">
        <f t="shared" si="38"/>
        <v>2102-5-204138</v>
      </c>
      <c r="C2348" s="65">
        <v>44229</v>
      </c>
      <c r="D2348" s="64">
        <v>5</v>
      </c>
      <c r="E2348" s="64">
        <v>10000</v>
      </c>
      <c r="F2348" s="64">
        <v>204138</v>
      </c>
      <c r="G2348" s="66" t="s">
        <v>72</v>
      </c>
      <c r="H2348" s="65">
        <v>44236</v>
      </c>
      <c r="I2348" s="64">
        <v>51594</v>
      </c>
      <c r="J2348" s="64">
        <v>10000</v>
      </c>
      <c r="K2348" s="65">
        <v>44239</v>
      </c>
      <c r="L2348" s="64">
        <v>11179</v>
      </c>
      <c r="M2348" s="64">
        <v>10000</v>
      </c>
    </row>
    <row r="2349" spans="2:13" ht="14.1" customHeight="1" x14ac:dyDescent="0.25">
      <c r="B2349" s="64" t="str">
        <f t="shared" si="38"/>
        <v>2102-5-105736</v>
      </c>
      <c r="C2349" s="65">
        <v>44229</v>
      </c>
      <c r="D2349" s="64">
        <v>5</v>
      </c>
      <c r="E2349" s="64">
        <v>6</v>
      </c>
      <c r="F2349" s="64">
        <v>105736</v>
      </c>
      <c r="G2349" s="66" t="s">
        <v>1226</v>
      </c>
      <c r="H2349" s="65">
        <v>44236</v>
      </c>
      <c r="I2349" s="64">
        <v>51594</v>
      </c>
      <c r="J2349" s="64">
        <v>6</v>
      </c>
      <c r="K2349" s="65">
        <v>44239</v>
      </c>
      <c r="L2349" s="64">
        <v>11179</v>
      </c>
      <c r="M2349" s="64">
        <v>6</v>
      </c>
    </row>
    <row r="2350" spans="2:13" ht="14.1" customHeight="1" x14ac:dyDescent="0.25">
      <c r="B2350" s="64" t="str">
        <f t="shared" si="38"/>
        <v>2102-5-202623</v>
      </c>
      <c r="C2350" s="65">
        <v>44229</v>
      </c>
      <c r="D2350" s="64">
        <v>5</v>
      </c>
      <c r="E2350" s="64">
        <v>20</v>
      </c>
      <c r="F2350" s="64">
        <v>202623</v>
      </c>
      <c r="G2350" s="66" t="s">
        <v>1236</v>
      </c>
      <c r="H2350" s="65">
        <v>44232</v>
      </c>
      <c r="I2350" s="64">
        <v>51513</v>
      </c>
      <c r="J2350" s="64">
        <v>20</v>
      </c>
      <c r="K2350" s="65">
        <v>44243</v>
      </c>
      <c r="L2350" s="64">
        <v>11200</v>
      </c>
      <c r="M2350" s="64">
        <v>20</v>
      </c>
    </row>
    <row r="2351" spans="2:13" ht="14.1" customHeight="1" x14ac:dyDescent="0.25">
      <c r="B2351" s="64" t="str">
        <f t="shared" si="38"/>
        <v>2102-5-200779</v>
      </c>
      <c r="C2351" s="65">
        <v>44229</v>
      </c>
      <c r="D2351" s="64">
        <v>5</v>
      </c>
      <c r="E2351" s="64">
        <v>20</v>
      </c>
      <c r="F2351" s="64">
        <v>200779</v>
      </c>
      <c r="G2351" s="66" t="s">
        <v>73</v>
      </c>
      <c r="H2351" s="65">
        <v>44236</v>
      </c>
      <c r="I2351" s="64">
        <v>51594</v>
      </c>
      <c r="J2351" s="64">
        <v>20</v>
      </c>
      <c r="K2351" s="65">
        <v>44239</v>
      </c>
      <c r="L2351" s="64">
        <v>11179</v>
      </c>
      <c r="M2351" s="64">
        <v>20</v>
      </c>
    </row>
    <row r="2352" spans="2:13" ht="14.1" customHeight="1" x14ac:dyDescent="0.25">
      <c r="B2352" s="64" t="str">
        <f t="shared" si="38"/>
        <v>2102-5-308838</v>
      </c>
      <c r="C2352" s="65">
        <v>44229</v>
      </c>
      <c r="D2352" s="64">
        <v>5</v>
      </c>
      <c r="E2352" s="64">
        <v>20</v>
      </c>
      <c r="F2352" s="64">
        <v>308838</v>
      </c>
      <c r="G2352" s="66" t="s">
        <v>396</v>
      </c>
      <c r="H2352" s="65">
        <v>44232</v>
      </c>
      <c r="I2352" s="64">
        <v>51513</v>
      </c>
      <c r="J2352" s="64">
        <v>20</v>
      </c>
      <c r="K2352" s="65">
        <v>44243</v>
      </c>
      <c r="L2352" s="64">
        <v>11200</v>
      </c>
      <c r="M2352" s="64">
        <v>20</v>
      </c>
    </row>
    <row r="2353" spans="2:13" ht="14.1" customHeight="1" x14ac:dyDescent="0.25">
      <c r="B2353" s="64" t="str">
        <f t="shared" si="38"/>
        <v>2102-5-200336</v>
      </c>
      <c r="C2353" s="65">
        <v>44229</v>
      </c>
      <c r="D2353" s="64">
        <v>5</v>
      </c>
      <c r="E2353" s="64">
        <v>2</v>
      </c>
      <c r="F2353" s="64">
        <v>200336</v>
      </c>
      <c r="G2353" s="66" t="s">
        <v>74</v>
      </c>
      <c r="H2353" s="65">
        <v>44236</v>
      </c>
      <c r="I2353" s="64">
        <v>51594</v>
      </c>
      <c r="J2353" s="64">
        <v>2</v>
      </c>
      <c r="K2353" s="65">
        <v>44239</v>
      </c>
      <c r="L2353" s="64">
        <v>11179</v>
      </c>
      <c r="M2353" s="64">
        <v>2</v>
      </c>
    </row>
    <row r="2354" spans="2:13" ht="14.1" customHeight="1" x14ac:dyDescent="0.25">
      <c r="B2354" s="64" t="str">
        <f t="shared" si="38"/>
        <v>2102-5-105301</v>
      </c>
      <c r="C2354" s="65">
        <v>44229</v>
      </c>
      <c r="D2354" s="64">
        <v>5</v>
      </c>
      <c r="E2354" s="64">
        <v>15</v>
      </c>
      <c r="F2354" s="64">
        <v>105301</v>
      </c>
      <c r="G2354" s="66" t="s">
        <v>311</v>
      </c>
      <c r="H2354" s="65">
        <v>44236</v>
      </c>
      <c r="I2354" s="64">
        <v>51594</v>
      </c>
      <c r="J2354" s="64">
        <v>15</v>
      </c>
      <c r="K2354" s="65">
        <v>44239</v>
      </c>
      <c r="L2354" s="64">
        <v>11179</v>
      </c>
      <c r="M2354" s="64">
        <v>15</v>
      </c>
    </row>
    <row r="2355" spans="2:13" ht="14.1" customHeight="1" x14ac:dyDescent="0.25">
      <c r="B2355" s="64" t="str">
        <f t="shared" si="38"/>
        <v>2102-6-310491</v>
      </c>
      <c r="C2355" s="65">
        <v>44229</v>
      </c>
      <c r="D2355" s="64">
        <v>6</v>
      </c>
      <c r="E2355" s="64">
        <v>20</v>
      </c>
      <c r="F2355" s="64">
        <v>310491</v>
      </c>
      <c r="G2355" s="66" t="s">
        <v>1559</v>
      </c>
      <c r="H2355" s="65"/>
      <c r="I2355" s="64">
        <v>0</v>
      </c>
      <c r="J2355" s="64">
        <v>0</v>
      </c>
      <c r="K2355" s="65"/>
      <c r="L2355" s="64">
        <v>0</v>
      </c>
      <c r="M2355" s="64">
        <v>0</v>
      </c>
    </row>
    <row r="2356" spans="2:13" ht="14.1" customHeight="1" x14ac:dyDescent="0.25">
      <c r="B2356" s="64" t="str">
        <f t="shared" si="38"/>
        <v>2102-6-312775</v>
      </c>
      <c r="C2356" s="65">
        <v>44229</v>
      </c>
      <c r="D2356" s="64">
        <v>6</v>
      </c>
      <c r="E2356" s="64">
        <v>2</v>
      </c>
      <c r="F2356" s="64">
        <v>312775</v>
      </c>
      <c r="G2356" s="66" t="s">
        <v>1560</v>
      </c>
      <c r="H2356" s="65"/>
      <c r="I2356" s="64">
        <v>0</v>
      </c>
      <c r="J2356" s="64">
        <v>0</v>
      </c>
      <c r="K2356" s="65"/>
      <c r="L2356" s="64">
        <v>0</v>
      </c>
      <c r="M2356" s="64">
        <v>0</v>
      </c>
    </row>
    <row r="2357" spans="2:13" ht="14.1" customHeight="1" x14ac:dyDescent="0.25">
      <c r="B2357" s="64" t="str">
        <f t="shared" si="38"/>
        <v>2102-6-312776</v>
      </c>
      <c r="C2357" s="65">
        <v>44229</v>
      </c>
      <c r="D2357" s="64">
        <v>6</v>
      </c>
      <c r="E2357" s="64">
        <v>2</v>
      </c>
      <c r="F2357" s="64">
        <v>312776</v>
      </c>
      <c r="G2357" s="66" t="s">
        <v>1561</v>
      </c>
      <c r="H2357" s="65"/>
      <c r="I2357" s="64">
        <v>0</v>
      </c>
      <c r="J2357" s="64">
        <v>0</v>
      </c>
      <c r="K2357" s="65"/>
      <c r="L2357" s="64">
        <v>0</v>
      </c>
      <c r="M2357" s="64">
        <v>0</v>
      </c>
    </row>
    <row r="2358" spans="2:13" ht="14.1" customHeight="1" x14ac:dyDescent="0.25">
      <c r="B2358" s="64" t="str">
        <f t="shared" ref="B2358:B2389" si="39">TEXT(C2358,"yy") &amp; TEXT(C2358,"mm") &amp;"-"&amp;(D2358) &amp;"-"&amp;(F2358)</f>
        <v>2102-7-205466</v>
      </c>
      <c r="C2358" s="65">
        <v>44229</v>
      </c>
      <c r="D2358" s="64">
        <v>7</v>
      </c>
      <c r="E2358" s="64">
        <v>110</v>
      </c>
      <c r="F2358" s="64">
        <v>205466</v>
      </c>
      <c r="G2358" s="66" t="s">
        <v>217</v>
      </c>
      <c r="H2358" s="65">
        <v>44255</v>
      </c>
      <c r="I2358" s="64">
        <v>51897</v>
      </c>
      <c r="J2358" s="64">
        <v>110</v>
      </c>
      <c r="K2358" s="65">
        <v>44260</v>
      </c>
      <c r="L2358" s="64">
        <v>11420</v>
      </c>
      <c r="M2358" s="64">
        <v>110</v>
      </c>
    </row>
    <row r="2359" spans="2:13" ht="14.1" customHeight="1" x14ac:dyDescent="0.25">
      <c r="B2359" s="64" t="str">
        <f t="shared" si="39"/>
        <v>2102-8-201824</v>
      </c>
      <c r="C2359" s="65">
        <v>44229</v>
      </c>
      <c r="D2359" s="64">
        <v>8</v>
      </c>
      <c r="E2359" s="64">
        <v>65</v>
      </c>
      <c r="F2359" s="64">
        <v>201824</v>
      </c>
      <c r="G2359" s="66" t="s">
        <v>33</v>
      </c>
      <c r="H2359" s="65">
        <v>44229</v>
      </c>
      <c r="I2359" s="64">
        <v>51500</v>
      </c>
      <c r="J2359" s="64">
        <v>65</v>
      </c>
      <c r="K2359" s="65">
        <v>44229</v>
      </c>
      <c r="L2359" s="64">
        <v>11079</v>
      </c>
      <c r="M2359" s="64">
        <v>65</v>
      </c>
    </row>
    <row r="2360" spans="2:13" ht="14.1" customHeight="1" x14ac:dyDescent="0.25">
      <c r="B2360" s="64" t="str">
        <f t="shared" si="39"/>
        <v>2102-9-200667</v>
      </c>
      <c r="C2360" s="65">
        <v>44229</v>
      </c>
      <c r="D2360" s="64">
        <v>9</v>
      </c>
      <c r="E2360" s="64">
        <v>3</v>
      </c>
      <c r="F2360" s="64">
        <v>200667</v>
      </c>
      <c r="G2360" s="66" t="s">
        <v>492</v>
      </c>
      <c r="H2360" s="65">
        <v>44232</v>
      </c>
      <c r="I2360" s="64">
        <v>51501</v>
      </c>
      <c r="J2360" s="64">
        <v>3</v>
      </c>
      <c r="K2360" s="65">
        <v>44229</v>
      </c>
      <c r="L2360" s="64">
        <v>11080</v>
      </c>
      <c r="M2360" s="64">
        <v>3</v>
      </c>
    </row>
    <row r="2361" spans="2:13" ht="14.1" customHeight="1" x14ac:dyDescent="0.25">
      <c r="B2361" s="64" t="str">
        <f t="shared" si="39"/>
        <v>2102-10-204178</v>
      </c>
      <c r="C2361" s="65">
        <v>44229</v>
      </c>
      <c r="D2361" s="64">
        <v>10</v>
      </c>
      <c r="E2361" s="64">
        <v>2</v>
      </c>
      <c r="F2361" s="64">
        <v>204178</v>
      </c>
      <c r="G2361" s="66" t="s">
        <v>1564</v>
      </c>
      <c r="H2361" s="65"/>
      <c r="I2361" s="64">
        <v>0</v>
      </c>
      <c r="J2361" s="64">
        <v>0</v>
      </c>
      <c r="K2361" s="65"/>
      <c r="L2361" s="64">
        <v>0</v>
      </c>
      <c r="M2361" s="64">
        <v>0</v>
      </c>
    </row>
    <row r="2362" spans="2:13" ht="14.1" customHeight="1" x14ac:dyDescent="0.25">
      <c r="B2362" s="64" t="str">
        <f t="shared" si="39"/>
        <v>2102-10-200785</v>
      </c>
      <c r="C2362" s="65">
        <v>44229</v>
      </c>
      <c r="D2362" s="64">
        <v>10</v>
      </c>
      <c r="E2362" s="64">
        <v>2</v>
      </c>
      <c r="F2362" s="64">
        <v>200785</v>
      </c>
      <c r="G2362" s="66" t="s">
        <v>1563</v>
      </c>
      <c r="H2362" s="65"/>
      <c r="I2362" s="64">
        <v>0</v>
      </c>
      <c r="J2362" s="64">
        <v>0</v>
      </c>
      <c r="K2362" s="65"/>
      <c r="L2362" s="64">
        <v>0</v>
      </c>
      <c r="M2362" s="64">
        <v>0</v>
      </c>
    </row>
    <row r="2363" spans="2:13" ht="14.1" customHeight="1" x14ac:dyDescent="0.25">
      <c r="B2363" s="64" t="str">
        <f t="shared" si="39"/>
        <v>2102-10-204177</v>
      </c>
      <c r="C2363" s="65">
        <v>44229</v>
      </c>
      <c r="D2363" s="64">
        <v>10</v>
      </c>
      <c r="E2363" s="64">
        <v>2</v>
      </c>
      <c r="F2363" s="64">
        <v>204177</v>
      </c>
      <c r="G2363" s="66" t="s">
        <v>1562</v>
      </c>
      <c r="H2363" s="65">
        <v>44258</v>
      </c>
      <c r="I2363" s="64">
        <v>51946</v>
      </c>
      <c r="J2363" s="64">
        <v>2</v>
      </c>
      <c r="K2363" s="65">
        <v>44267</v>
      </c>
      <c r="L2363" s="64">
        <v>11504</v>
      </c>
      <c r="M2363" s="64">
        <v>2</v>
      </c>
    </row>
    <row r="2364" spans="2:13" ht="14.1" customHeight="1" x14ac:dyDescent="0.25">
      <c r="B2364" s="64" t="str">
        <f t="shared" si="39"/>
        <v>2102-10-314004</v>
      </c>
      <c r="C2364" s="65">
        <v>44229</v>
      </c>
      <c r="D2364" s="64">
        <v>10</v>
      </c>
      <c r="E2364" s="64">
        <v>2</v>
      </c>
      <c r="F2364" s="64">
        <v>314004</v>
      </c>
      <c r="G2364" s="66" t="s">
        <v>1565</v>
      </c>
      <c r="H2364" s="65">
        <v>44258</v>
      </c>
      <c r="I2364" s="64">
        <v>51952</v>
      </c>
      <c r="J2364" s="64">
        <v>2</v>
      </c>
      <c r="K2364" s="65">
        <v>44266</v>
      </c>
      <c r="L2364" s="64">
        <v>11467</v>
      </c>
      <c r="M2364" s="64">
        <v>2</v>
      </c>
    </row>
    <row r="2365" spans="2:13" ht="14.1" customHeight="1" x14ac:dyDescent="0.25">
      <c r="B2365" s="64" t="str">
        <f t="shared" si="39"/>
        <v>2102-14-320659</v>
      </c>
      <c r="C2365" s="65">
        <v>44230</v>
      </c>
      <c r="D2365" s="64">
        <v>14</v>
      </c>
      <c r="E2365" s="64">
        <v>75</v>
      </c>
      <c r="F2365" s="64">
        <v>320659</v>
      </c>
      <c r="G2365" s="66" t="s">
        <v>1439</v>
      </c>
      <c r="H2365" s="65"/>
      <c r="I2365" s="64">
        <v>0</v>
      </c>
      <c r="J2365" s="64">
        <v>0</v>
      </c>
      <c r="K2365" s="65"/>
      <c r="L2365" s="64">
        <v>0</v>
      </c>
      <c r="M2365" s="64">
        <v>0</v>
      </c>
    </row>
    <row r="2366" spans="2:13" ht="14.1" customHeight="1" x14ac:dyDescent="0.25">
      <c r="B2366" s="64" t="str">
        <f t="shared" si="39"/>
        <v>2102-15-320728</v>
      </c>
      <c r="C2366" s="65">
        <v>44230</v>
      </c>
      <c r="D2366" s="64">
        <v>15</v>
      </c>
      <c r="E2366" s="64">
        <v>1</v>
      </c>
      <c r="F2366" s="64">
        <v>320728</v>
      </c>
      <c r="G2366" s="66" t="s">
        <v>1570</v>
      </c>
      <c r="H2366" s="65">
        <v>44232</v>
      </c>
      <c r="I2366" s="64">
        <v>51514</v>
      </c>
      <c r="J2366" s="64">
        <v>1</v>
      </c>
      <c r="K2366" s="65">
        <v>44285</v>
      </c>
      <c r="L2366" s="64">
        <v>11682</v>
      </c>
      <c r="M2366" s="64">
        <v>1</v>
      </c>
    </row>
    <row r="2367" spans="2:13" ht="14.1" customHeight="1" x14ac:dyDescent="0.25">
      <c r="B2367" s="64" t="str">
        <f t="shared" si="39"/>
        <v>2102-16-317207</v>
      </c>
      <c r="C2367" s="65">
        <v>44230</v>
      </c>
      <c r="D2367" s="64">
        <v>16</v>
      </c>
      <c r="E2367" s="64">
        <v>8</v>
      </c>
      <c r="F2367" s="64">
        <v>317207</v>
      </c>
      <c r="G2367" s="66" t="s">
        <v>1572</v>
      </c>
      <c r="H2367" s="65"/>
      <c r="I2367" s="64">
        <v>0</v>
      </c>
      <c r="J2367" s="64">
        <v>0</v>
      </c>
      <c r="K2367" s="65"/>
      <c r="L2367" s="64">
        <v>0</v>
      </c>
      <c r="M2367" s="64">
        <v>0</v>
      </c>
    </row>
    <row r="2368" spans="2:13" ht="14.1" customHeight="1" x14ac:dyDescent="0.25">
      <c r="B2368" s="64" t="str">
        <f t="shared" si="39"/>
        <v>2102-16-320729</v>
      </c>
      <c r="C2368" s="65">
        <v>44230</v>
      </c>
      <c r="D2368" s="64">
        <v>16</v>
      </c>
      <c r="E2368" s="64">
        <v>1</v>
      </c>
      <c r="F2368" s="64">
        <v>320729</v>
      </c>
      <c r="G2368" s="66" t="s">
        <v>1571</v>
      </c>
      <c r="H2368" s="65"/>
      <c r="I2368" s="64">
        <v>0</v>
      </c>
      <c r="J2368" s="64">
        <v>0</v>
      </c>
      <c r="K2368" s="65"/>
      <c r="L2368" s="64">
        <v>0</v>
      </c>
      <c r="M2368" s="64">
        <v>0</v>
      </c>
    </row>
    <row r="2369" spans="2:13" ht="14.1" customHeight="1" x14ac:dyDescent="0.25">
      <c r="B2369" s="64" t="str">
        <f t="shared" si="39"/>
        <v>2102-17-106475</v>
      </c>
      <c r="C2369" s="65">
        <v>44230</v>
      </c>
      <c r="D2369" s="64">
        <v>17</v>
      </c>
      <c r="E2369" s="64">
        <v>8</v>
      </c>
      <c r="F2369" s="64">
        <v>106475</v>
      </c>
      <c r="G2369" s="66" t="s">
        <v>1574</v>
      </c>
      <c r="H2369" s="65">
        <v>44232</v>
      </c>
      <c r="I2369" s="64">
        <v>51515</v>
      </c>
      <c r="J2369" s="64">
        <v>8</v>
      </c>
      <c r="K2369" s="65">
        <v>44235</v>
      </c>
      <c r="L2369" s="64">
        <v>11131</v>
      </c>
      <c r="M2369" s="64">
        <v>8</v>
      </c>
    </row>
    <row r="2370" spans="2:13" ht="14.1" customHeight="1" x14ac:dyDescent="0.25">
      <c r="B2370" s="64" t="str">
        <f t="shared" si="39"/>
        <v>2102-17-107278</v>
      </c>
      <c r="C2370" s="65">
        <v>44230</v>
      </c>
      <c r="D2370" s="64">
        <v>17</v>
      </c>
      <c r="E2370" s="64">
        <v>1</v>
      </c>
      <c r="F2370" s="64">
        <v>107278</v>
      </c>
      <c r="G2370" s="66" t="s">
        <v>1573</v>
      </c>
      <c r="H2370" s="65">
        <v>44232</v>
      </c>
      <c r="I2370" s="64">
        <v>51515</v>
      </c>
      <c r="J2370" s="64">
        <v>1</v>
      </c>
      <c r="K2370" s="65">
        <v>44235</v>
      </c>
      <c r="L2370" s="64">
        <v>11131</v>
      </c>
      <c r="M2370" s="64">
        <v>1</v>
      </c>
    </row>
    <row r="2371" spans="2:13" ht="14.1" customHeight="1" x14ac:dyDescent="0.25">
      <c r="B2371" s="64" t="str">
        <f t="shared" si="39"/>
        <v>2102-19-317015</v>
      </c>
      <c r="C2371" s="65">
        <v>44230</v>
      </c>
      <c r="D2371" s="64">
        <v>19</v>
      </c>
      <c r="E2371" s="64">
        <v>2</v>
      </c>
      <c r="F2371" s="64">
        <v>317015</v>
      </c>
      <c r="G2371" s="66" t="s">
        <v>1575</v>
      </c>
      <c r="H2371" s="65">
        <v>44238</v>
      </c>
      <c r="I2371" s="64">
        <v>51642</v>
      </c>
      <c r="J2371" s="64">
        <v>2</v>
      </c>
      <c r="K2371" s="65">
        <v>44244</v>
      </c>
      <c r="L2371" s="64">
        <v>11225</v>
      </c>
      <c r="M2371" s="64">
        <v>2</v>
      </c>
    </row>
    <row r="2372" spans="2:13" ht="14.1" customHeight="1" x14ac:dyDescent="0.25">
      <c r="B2372" s="64" t="str">
        <f t="shared" si="39"/>
        <v>2102-21-312623</v>
      </c>
      <c r="C2372" s="65">
        <v>44230</v>
      </c>
      <c r="D2372" s="64">
        <v>21</v>
      </c>
      <c r="E2372" s="64">
        <v>2</v>
      </c>
      <c r="F2372" s="64">
        <v>312623</v>
      </c>
      <c r="G2372" s="66" t="s">
        <v>1576</v>
      </c>
      <c r="H2372" s="65">
        <v>44238</v>
      </c>
      <c r="I2372" s="64">
        <v>51637</v>
      </c>
      <c r="J2372" s="64">
        <v>2</v>
      </c>
      <c r="K2372" s="65">
        <v>44239</v>
      </c>
      <c r="L2372" s="64">
        <v>11173</v>
      </c>
      <c r="M2372" s="64">
        <v>2</v>
      </c>
    </row>
    <row r="2373" spans="2:13" ht="14.1" customHeight="1" x14ac:dyDescent="0.25">
      <c r="B2373" s="64" t="str">
        <f t="shared" si="39"/>
        <v>2102-23-106590</v>
      </c>
      <c r="C2373" s="65">
        <v>44230</v>
      </c>
      <c r="D2373" s="64">
        <v>23</v>
      </c>
      <c r="E2373" s="64">
        <v>1</v>
      </c>
      <c r="F2373" s="64">
        <v>106590</v>
      </c>
      <c r="G2373" s="66" t="s">
        <v>1578</v>
      </c>
      <c r="H2373" s="65">
        <v>44231</v>
      </c>
      <c r="I2373" s="64">
        <v>51490</v>
      </c>
      <c r="J2373" s="64">
        <v>1</v>
      </c>
      <c r="K2373" s="65">
        <v>44230</v>
      </c>
      <c r="L2373" s="64">
        <v>11094</v>
      </c>
      <c r="M2373" s="64">
        <v>1</v>
      </c>
    </row>
    <row r="2374" spans="2:13" ht="14.1" customHeight="1" x14ac:dyDescent="0.25">
      <c r="B2374" s="64" t="str">
        <f t="shared" si="39"/>
        <v>2102-23-315978</v>
      </c>
      <c r="C2374" s="65">
        <v>44230</v>
      </c>
      <c r="D2374" s="64">
        <v>23</v>
      </c>
      <c r="E2374" s="64">
        <v>1</v>
      </c>
      <c r="F2374" s="64">
        <v>315978</v>
      </c>
      <c r="G2374" s="66" t="s">
        <v>1579</v>
      </c>
      <c r="H2374" s="65">
        <v>44231</v>
      </c>
      <c r="I2374" s="64">
        <v>51490</v>
      </c>
      <c r="J2374" s="64">
        <v>1</v>
      </c>
      <c r="K2374" s="65">
        <v>44230</v>
      </c>
      <c r="L2374" s="64">
        <v>11094</v>
      </c>
      <c r="M2374" s="64">
        <v>1</v>
      </c>
    </row>
    <row r="2375" spans="2:13" ht="14.1" customHeight="1" x14ac:dyDescent="0.25">
      <c r="B2375" s="64" t="str">
        <f t="shared" si="39"/>
        <v>2102-23-301920</v>
      </c>
      <c r="C2375" s="65">
        <v>44230</v>
      </c>
      <c r="D2375" s="64">
        <v>23</v>
      </c>
      <c r="E2375" s="64">
        <v>1</v>
      </c>
      <c r="F2375" s="64">
        <v>301920</v>
      </c>
      <c r="G2375" s="66" t="s">
        <v>1577</v>
      </c>
      <c r="H2375" s="65">
        <v>44231</v>
      </c>
      <c r="I2375" s="64">
        <v>51490</v>
      </c>
      <c r="J2375" s="64">
        <v>1</v>
      </c>
      <c r="K2375" s="65">
        <v>44230</v>
      </c>
      <c r="L2375" s="64">
        <v>11094</v>
      </c>
      <c r="M2375" s="64">
        <v>1</v>
      </c>
    </row>
    <row r="2376" spans="2:13" ht="14.1" customHeight="1" x14ac:dyDescent="0.25">
      <c r="B2376" s="64" t="str">
        <f t="shared" si="39"/>
        <v>2102-24-304023</v>
      </c>
      <c r="C2376" s="65">
        <v>44230</v>
      </c>
      <c r="D2376" s="64">
        <v>24</v>
      </c>
      <c r="E2376" s="64">
        <v>5200</v>
      </c>
      <c r="F2376" s="64">
        <v>304023</v>
      </c>
      <c r="G2376" s="66" t="s">
        <v>1533</v>
      </c>
      <c r="H2376" s="65">
        <v>44231</v>
      </c>
      <c r="I2376" s="64">
        <v>51470</v>
      </c>
      <c r="J2376" s="64">
        <v>5200</v>
      </c>
      <c r="K2376" s="65">
        <v>44232</v>
      </c>
      <c r="L2376" s="64">
        <v>11117</v>
      </c>
      <c r="M2376" s="64">
        <v>5200</v>
      </c>
    </row>
    <row r="2377" spans="2:13" ht="14.1" customHeight="1" x14ac:dyDescent="0.25">
      <c r="B2377" s="64" t="str">
        <f t="shared" si="39"/>
        <v>2102-24-320657</v>
      </c>
      <c r="C2377" s="65">
        <v>44230</v>
      </c>
      <c r="D2377" s="64">
        <v>24</v>
      </c>
      <c r="E2377" s="64">
        <v>125</v>
      </c>
      <c r="F2377" s="64">
        <v>320657</v>
      </c>
      <c r="G2377" s="66" t="s">
        <v>1437</v>
      </c>
      <c r="H2377" s="65">
        <v>44231</v>
      </c>
      <c r="I2377" s="64">
        <v>51469</v>
      </c>
      <c r="J2377" s="64">
        <v>125</v>
      </c>
      <c r="K2377" s="65">
        <v>44232</v>
      </c>
      <c r="L2377" s="64">
        <v>11115</v>
      </c>
      <c r="M2377" s="64">
        <v>125</v>
      </c>
    </row>
    <row r="2378" spans="2:13" ht="14.1" customHeight="1" x14ac:dyDescent="0.25">
      <c r="B2378" s="64" t="str">
        <f t="shared" si="39"/>
        <v>2102-24-320658</v>
      </c>
      <c r="C2378" s="65">
        <v>44230</v>
      </c>
      <c r="D2378" s="64">
        <v>24</v>
      </c>
      <c r="E2378" s="64">
        <v>200</v>
      </c>
      <c r="F2378" s="64">
        <v>320658</v>
      </c>
      <c r="G2378" s="66" t="s">
        <v>1438</v>
      </c>
      <c r="H2378" s="65">
        <v>44231</v>
      </c>
      <c r="I2378" s="64">
        <v>51469</v>
      </c>
      <c r="J2378" s="64">
        <v>200</v>
      </c>
      <c r="K2378" s="65">
        <v>44232</v>
      </c>
      <c r="L2378" s="64">
        <v>11115</v>
      </c>
      <c r="M2378" s="64">
        <v>200</v>
      </c>
    </row>
    <row r="2379" spans="2:13" ht="14.1" customHeight="1" x14ac:dyDescent="0.25">
      <c r="B2379" s="64" t="str">
        <f t="shared" si="39"/>
        <v>2102-24-320659</v>
      </c>
      <c r="C2379" s="65">
        <v>44230</v>
      </c>
      <c r="D2379" s="64">
        <v>24</v>
      </c>
      <c r="E2379" s="64">
        <v>500</v>
      </c>
      <c r="F2379" s="64">
        <v>320659</v>
      </c>
      <c r="G2379" s="66" t="s">
        <v>1439</v>
      </c>
      <c r="H2379" s="65">
        <v>44231</v>
      </c>
      <c r="I2379" s="64">
        <v>51469</v>
      </c>
      <c r="J2379" s="64">
        <v>500</v>
      </c>
      <c r="K2379" s="65">
        <v>44232</v>
      </c>
      <c r="L2379" s="64">
        <v>11115</v>
      </c>
      <c r="M2379" s="64">
        <v>500</v>
      </c>
    </row>
    <row r="2380" spans="2:13" ht="14.1" customHeight="1" x14ac:dyDescent="0.25">
      <c r="B2380" s="64" t="str">
        <f t="shared" si="39"/>
        <v>2102-26-103050</v>
      </c>
      <c r="C2380" s="65">
        <v>44231</v>
      </c>
      <c r="D2380" s="64">
        <v>26</v>
      </c>
      <c r="E2380" s="64">
        <v>0</v>
      </c>
      <c r="F2380" s="64">
        <v>103050</v>
      </c>
      <c r="G2380" s="66" t="s">
        <v>1580</v>
      </c>
      <c r="H2380" s="65"/>
      <c r="I2380" s="64">
        <v>0</v>
      </c>
      <c r="J2380" s="64">
        <v>0</v>
      </c>
      <c r="K2380" s="65"/>
      <c r="L2380" s="64">
        <v>0</v>
      </c>
      <c r="M2380" s="64">
        <v>0</v>
      </c>
    </row>
    <row r="2381" spans="2:13" ht="14.1" customHeight="1" x14ac:dyDescent="0.25">
      <c r="B2381" s="64" t="str">
        <f t="shared" si="39"/>
        <v>2102-29-200751</v>
      </c>
      <c r="C2381" s="65">
        <v>44231</v>
      </c>
      <c r="D2381" s="64">
        <v>29</v>
      </c>
      <c r="E2381" s="64">
        <v>20000</v>
      </c>
      <c r="F2381" s="64">
        <v>200751</v>
      </c>
      <c r="G2381" s="66" t="s">
        <v>151</v>
      </c>
      <c r="H2381" s="65">
        <v>44229</v>
      </c>
      <c r="I2381" s="64">
        <v>51539</v>
      </c>
      <c r="J2381" s="64">
        <v>10000</v>
      </c>
      <c r="K2381" s="65">
        <v>44232</v>
      </c>
      <c r="L2381" s="64">
        <v>11124</v>
      </c>
      <c r="M2381" s="64">
        <v>10000</v>
      </c>
    </row>
    <row r="2382" spans="2:13" ht="14.1" customHeight="1" x14ac:dyDescent="0.25">
      <c r="B2382" s="64" t="str">
        <f t="shared" si="39"/>
        <v>2102-29-200751</v>
      </c>
      <c r="C2382" s="65">
        <v>44231</v>
      </c>
      <c r="D2382" s="64">
        <v>29</v>
      </c>
      <c r="E2382" s="64">
        <v>20000</v>
      </c>
      <c r="F2382" s="64">
        <v>200751</v>
      </c>
      <c r="G2382" s="66" t="s">
        <v>151</v>
      </c>
      <c r="H2382" s="65">
        <v>44229</v>
      </c>
      <c r="I2382" s="64">
        <v>51539</v>
      </c>
      <c r="J2382" s="64">
        <v>10000</v>
      </c>
      <c r="K2382" s="65">
        <v>44232</v>
      </c>
      <c r="L2382" s="64">
        <v>11125</v>
      </c>
      <c r="M2382" s="64">
        <v>10000</v>
      </c>
    </row>
    <row r="2383" spans="2:13" ht="14.1" customHeight="1" x14ac:dyDescent="0.25">
      <c r="B2383" s="64" t="str">
        <f t="shared" si="39"/>
        <v>2102-29-200751</v>
      </c>
      <c r="C2383" s="65">
        <v>44231</v>
      </c>
      <c r="D2383" s="64">
        <v>29</v>
      </c>
      <c r="E2383" s="64">
        <v>20000</v>
      </c>
      <c r="F2383" s="64">
        <v>200751</v>
      </c>
      <c r="G2383" s="66" t="s">
        <v>151</v>
      </c>
      <c r="H2383" s="65">
        <v>44231</v>
      </c>
      <c r="I2383" s="64">
        <v>51537</v>
      </c>
      <c r="J2383" s="64">
        <v>10000</v>
      </c>
      <c r="K2383" s="65">
        <v>44232</v>
      </c>
      <c r="L2383" s="64">
        <v>11124</v>
      </c>
      <c r="M2383" s="64">
        <v>10000</v>
      </c>
    </row>
    <row r="2384" spans="2:13" ht="14.1" customHeight="1" x14ac:dyDescent="0.25">
      <c r="B2384" s="64" t="str">
        <f t="shared" si="39"/>
        <v>2102-29-200751</v>
      </c>
      <c r="C2384" s="65">
        <v>44231</v>
      </c>
      <c r="D2384" s="64">
        <v>29</v>
      </c>
      <c r="E2384" s="64">
        <v>20000</v>
      </c>
      <c r="F2384" s="64">
        <v>200751</v>
      </c>
      <c r="G2384" s="66" t="s">
        <v>151</v>
      </c>
      <c r="H2384" s="65">
        <v>44231</v>
      </c>
      <c r="I2384" s="64">
        <v>51537</v>
      </c>
      <c r="J2384" s="64">
        <v>10000</v>
      </c>
      <c r="K2384" s="65">
        <v>44232</v>
      </c>
      <c r="L2384" s="64">
        <v>11125</v>
      </c>
      <c r="M2384" s="64">
        <v>10000</v>
      </c>
    </row>
    <row r="2385" spans="2:13" ht="14.1" customHeight="1" x14ac:dyDescent="0.25">
      <c r="B2385" s="64" t="str">
        <f t="shared" si="39"/>
        <v>2102-35-320592</v>
      </c>
      <c r="C2385" s="65">
        <v>44231</v>
      </c>
      <c r="D2385" s="64">
        <v>35</v>
      </c>
      <c r="E2385" s="64">
        <v>2</v>
      </c>
      <c r="F2385" s="64">
        <v>320592</v>
      </c>
      <c r="G2385" s="66" t="s">
        <v>1754</v>
      </c>
      <c r="H2385" s="65">
        <v>44259</v>
      </c>
      <c r="I2385" s="64">
        <v>51986</v>
      </c>
      <c r="J2385" s="64">
        <v>2</v>
      </c>
      <c r="K2385" s="65">
        <v>44231</v>
      </c>
      <c r="L2385" s="64">
        <v>11112</v>
      </c>
      <c r="M2385" s="64">
        <v>2</v>
      </c>
    </row>
    <row r="2386" spans="2:13" ht="14.1" customHeight="1" x14ac:dyDescent="0.25">
      <c r="B2386" s="64" t="str">
        <f t="shared" si="39"/>
        <v>2102-35-320593</v>
      </c>
      <c r="C2386" s="65">
        <v>44231</v>
      </c>
      <c r="D2386" s="64">
        <v>35</v>
      </c>
      <c r="E2386" s="64">
        <v>2</v>
      </c>
      <c r="F2386" s="64">
        <v>320593</v>
      </c>
      <c r="G2386" s="66" t="s">
        <v>1242</v>
      </c>
      <c r="H2386" s="65">
        <v>44259</v>
      </c>
      <c r="I2386" s="64">
        <v>51986</v>
      </c>
      <c r="J2386" s="64">
        <v>2</v>
      </c>
      <c r="K2386" s="65">
        <v>44231</v>
      </c>
      <c r="L2386" s="64">
        <v>11112</v>
      </c>
      <c r="M2386" s="64">
        <v>2</v>
      </c>
    </row>
    <row r="2387" spans="2:13" ht="14.1" customHeight="1" x14ac:dyDescent="0.25">
      <c r="B2387" s="64" t="str">
        <f t="shared" si="39"/>
        <v>2102-36-314177</v>
      </c>
      <c r="C2387" s="65">
        <v>44231</v>
      </c>
      <c r="D2387" s="64">
        <v>36</v>
      </c>
      <c r="E2387" s="64">
        <v>1</v>
      </c>
      <c r="F2387" s="64">
        <v>314177</v>
      </c>
      <c r="G2387" s="66" t="s">
        <v>1220</v>
      </c>
      <c r="H2387" s="65">
        <v>44257</v>
      </c>
      <c r="I2387" s="64">
        <v>51908</v>
      </c>
      <c r="J2387" s="64">
        <v>1</v>
      </c>
      <c r="K2387" s="65">
        <v>44231</v>
      </c>
      <c r="L2387" s="64">
        <v>11113</v>
      </c>
      <c r="M2387" s="64">
        <v>1</v>
      </c>
    </row>
    <row r="2388" spans="2:13" ht="14.1" customHeight="1" x14ac:dyDescent="0.25">
      <c r="B2388" s="64" t="str">
        <f t="shared" si="39"/>
        <v>2102-36-312010</v>
      </c>
      <c r="C2388" s="65">
        <v>44231</v>
      </c>
      <c r="D2388" s="64">
        <v>36</v>
      </c>
      <c r="E2388" s="64">
        <v>1</v>
      </c>
      <c r="F2388" s="64">
        <v>312010</v>
      </c>
      <c r="G2388" s="66" t="s">
        <v>1452</v>
      </c>
      <c r="H2388" s="65">
        <v>44257</v>
      </c>
      <c r="I2388" s="64">
        <v>51908</v>
      </c>
      <c r="J2388" s="64">
        <v>1</v>
      </c>
      <c r="K2388" s="65">
        <v>44231</v>
      </c>
      <c r="L2388" s="64">
        <v>11113</v>
      </c>
      <c r="M2388" s="64">
        <v>1</v>
      </c>
    </row>
    <row r="2389" spans="2:13" ht="14.1" customHeight="1" x14ac:dyDescent="0.25">
      <c r="B2389" s="64" t="str">
        <f t="shared" si="39"/>
        <v>2102-36-302964</v>
      </c>
      <c r="C2389" s="65">
        <v>44231</v>
      </c>
      <c r="D2389" s="64">
        <v>36</v>
      </c>
      <c r="E2389" s="64">
        <v>1</v>
      </c>
      <c r="F2389" s="64">
        <v>302964</v>
      </c>
      <c r="G2389" s="66" t="s">
        <v>1783</v>
      </c>
      <c r="H2389" s="65">
        <v>44257</v>
      </c>
      <c r="I2389" s="64">
        <v>51908</v>
      </c>
      <c r="J2389" s="64">
        <v>1</v>
      </c>
      <c r="K2389" s="65">
        <v>44231</v>
      </c>
      <c r="L2389" s="64">
        <v>11113</v>
      </c>
      <c r="M2389" s="64">
        <v>1</v>
      </c>
    </row>
    <row r="2390" spans="2:13" ht="14.1" customHeight="1" x14ac:dyDescent="0.25">
      <c r="B2390" s="78" t="str">
        <f t="shared" ref="B2390:B2453" si="40">TEXT(C2390,"yy") &amp; TEXT(C2390,"mm") &amp;"-"&amp;(D2390) &amp;"-"&amp;(F2390)</f>
        <v>2102-36-310321</v>
      </c>
      <c r="C2390" s="79">
        <v>44231</v>
      </c>
      <c r="D2390" s="78">
        <v>36</v>
      </c>
      <c r="E2390" s="78">
        <v>2</v>
      </c>
      <c r="F2390" s="78">
        <v>310321</v>
      </c>
      <c r="G2390" s="80" t="s">
        <v>1784</v>
      </c>
      <c r="H2390" s="79">
        <v>44257</v>
      </c>
      <c r="I2390" s="78">
        <v>51908</v>
      </c>
      <c r="J2390" s="78">
        <v>2</v>
      </c>
      <c r="K2390" s="79">
        <v>44231</v>
      </c>
      <c r="L2390" s="78">
        <v>11113</v>
      </c>
      <c r="M2390" s="78">
        <v>2</v>
      </c>
    </row>
    <row r="2391" spans="2:13" ht="14.1" customHeight="1" x14ac:dyDescent="0.25">
      <c r="B2391" s="78" t="str">
        <f t="shared" si="40"/>
        <v>2102-37-307031</v>
      </c>
      <c r="C2391" s="79">
        <v>44232</v>
      </c>
      <c r="D2391" s="78">
        <v>37</v>
      </c>
      <c r="E2391" s="78">
        <v>3</v>
      </c>
      <c r="F2391" s="78">
        <v>307031</v>
      </c>
      <c r="G2391" s="80" t="s">
        <v>263</v>
      </c>
      <c r="H2391" s="79">
        <v>44238</v>
      </c>
      <c r="I2391" s="78">
        <v>51640</v>
      </c>
      <c r="J2391" s="78">
        <v>3</v>
      </c>
      <c r="K2391" s="79">
        <v>44243</v>
      </c>
      <c r="L2391" s="78">
        <v>11219</v>
      </c>
      <c r="M2391" s="78">
        <v>3</v>
      </c>
    </row>
    <row r="2392" spans="2:13" ht="14.1" customHeight="1" x14ac:dyDescent="0.25">
      <c r="B2392" s="78" t="str">
        <f t="shared" si="40"/>
        <v>2102-37-320472</v>
      </c>
      <c r="C2392" s="79">
        <v>44232</v>
      </c>
      <c r="D2392" s="78">
        <v>37</v>
      </c>
      <c r="E2392" s="78">
        <v>3</v>
      </c>
      <c r="F2392" s="78">
        <v>320472</v>
      </c>
      <c r="G2392" s="80" t="s">
        <v>1072</v>
      </c>
      <c r="H2392" s="79">
        <v>44238</v>
      </c>
      <c r="I2392" s="78">
        <v>51641</v>
      </c>
      <c r="J2392" s="78">
        <v>3</v>
      </c>
      <c r="K2392" s="79">
        <v>44243</v>
      </c>
      <c r="L2392" s="78">
        <v>11214</v>
      </c>
      <c r="M2392" s="78">
        <v>3</v>
      </c>
    </row>
    <row r="2393" spans="2:13" ht="14.1" customHeight="1" x14ac:dyDescent="0.25">
      <c r="B2393" s="78" t="str">
        <f t="shared" si="40"/>
        <v>2102-37-105379</v>
      </c>
      <c r="C2393" s="79">
        <v>44232</v>
      </c>
      <c r="D2393" s="78">
        <v>37</v>
      </c>
      <c r="E2393" s="78">
        <v>2</v>
      </c>
      <c r="F2393" s="78">
        <v>105379</v>
      </c>
      <c r="G2393" s="80" t="s">
        <v>1582</v>
      </c>
      <c r="H2393" s="79">
        <v>44238</v>
      </c>
      <c r="I2393" s="78">
        <v>51640</v>
      </c>
      <c r="J2393" s="78">
        <v>2</v>
      </c>
      <c r="K2393" s="79">
        <v>44243</v>
      </c>
      <c r="L2393" s="78">
        <v>11219</v>
      </c>
      <c r="M2393" s="78">
        <v>2</v>
      </c>
    </row>
    <row r="2394" spans="2:13" ht="14.1" customHeight="1" x14ac:dyDescent="0.25">
      <c r="B2394" s="78" t="str">
        <f t="shared" si="40"/>
        <v>2102-37-204288</v>
      </c>
      <c r="C2394" s="79">
        <v>44232</v>
      </c>
      <c r="D2394" s="78">
        <v>37</v>
      </c>
      <c r="E2394" s="78">
        <v>6</v>
      </c>
      <c r="F2394" s="78">
        <v>204288</v>
      </c>
      <c r="G2394" s="80" t="s">
        <v>1584</v>
      </c>
      <c r="H2394" s="79">
        <v>44238</v>
      </c>
      <c r="I2394" s="78">
        <v>51640</v>
      </c>
      <c r="J2394" s="78">
        <v>6</v>
      </c>
      <c r="K2394" s="79">
        <v>44243</v>
      </c>
      <c r="L2394" s="78">
        <v>11219</v>
      </c>
      <c r="M2394" s="78">
        <v>6</v>
      </c>
    </row>
    <row r="2395" spans="2:13" ht="14.1" customHeight="1" x14ac:dyDescent="0.25">
      <c r="B2395" s="78" t="str">
        <f t="shared" si="40"/>
        <v>2102-37-314395</v>
      </c>
      <c r="C2395" s="79">
        <v>44232</v>
      </c>
      <c r="D2395" s="78">
        <v>37</v>
      </c>
      <c r="E2395" s="78">
        <v>6</v>
      </c>
      <c r="F2395" s="78">
        <v>314395</v>
      </c>
      <c r="G2395" s="80" t="s">
        <v>1583</v>
      </c>
      <c r="H2395" s="79">
        <v>44238</v>
      </c>
      <c r="I2395" s="78">
        <v>51640</v>
      </c>
      <c r="J2395" s="78">
        <v>6</v>
      </c>
      <c r="K2395" s="79">
        <v>44243</v>
      </c>
      <c r="L2395" s="78">
        <v>11219</v>
      </c>
      <c r="M2395" s="78">
        <v>6</v>
      </c>
    </row>
    <row r="2396" spans="2:13" ht="14.1" customHeight="1" x14ac:dyDescent="0.25">
      <c r="B2396" s="78" t="str">
        <f t="shared" si="40"/>
        <v>2102-37-106973</v>
      </c>
      <c r="C2396" s="79">
        <v>44232</v>
      </c>
      <c r="D2396" s="78">
        <v>37</v>
      </c>
      <c r="E2396" s="78">
        <v>2</v>
      </c>
      <c r="F2396" s="78">
        <v>106973</v>
      </c>
      <c r="G2396" s="80" t="s">
        <v>1268</v>
      </c>
      <c r="H2396" s="79">
        <v>44238</v>
      </c>
      <c r="I2396" s="78">
        <v>51640</v>
      </c>
      <c r="J2396" s="78">
        <v>2</v>
      </c>
      <c r="K2396" s="79">
        <v>44243</v>
      </c>
      <c r="L2396" s="78">
        <v>11219</v>
      </c>
      <c r="M2396" s="78">
        <v>2</v>
      </c>
    </row>
    <row r="2397" spans="2:13" ht="14.1" customHeight="1" x14ac:dyDescent="0.25">
      <c r="B2397" s="78" t="str">
        <f t="shared" si="40"/>
        <v>2102-37-320652</v>
      </c>
      <c r="C2397" s="79">
        <v>44232</v>
      </c>
      <c r="D2397" s="78">
        <v>37</v>
      </c>
      <c r="E2397" s="78">
        <v>3</v>
      </c>
      <c r="F2397" s="78">
        <v>320652</v>
      </c>
      <c r="G2397" s="80" t="s">
        <v>1427</v>
      </c>
      <c r="H2397" s="79">
        <v>44238</v>
      </c>
      <c r="I2397" s="78">
        <v>51641</v>
      </c>
      <c r="J2397" s="78">
        <v>3</v>
      </c>
      <c r="K2397" s="79">
        <v>44243</v>
      </c>
      <c r="L2397" s="78">
        <v>11214</v>
      </c>
      <c r="M2397" s="78">
        <v>3</v>
      </c>
    </row>
    <row r="2398" spans="2:13" ht="14.1" customHeight="1" x14ac:dyDescent="0.25">
      <c r="B2398" s="78" t="str">
        <f t="shared" si="40"/>
        <v>2102-38-106021</v>
      </c>
      <c r="C2398" s="79">
        <v>44232</v>
      </c>
      <c r="D2398" s="78">
        <v>38</v>
      </c>
      <c r="E2398" s="78">
        <v>60</v>
      </c>
      <c r="F2398" s="78">
        <v>106021</v>
      </c>
      <c r="G2398" s="80" t="s">
        <v>81</v>
      </c>
      <c r="H2398" s="79">
        <v>44258</v>
      </c>
      <c r="I2398" s="78">
        <v>51947</v>
      </c>
      <c r="J2398" s="78">
        <v>60</v>
      </c>
      <c r="K2398" s="79">
        <v>44266</v>
      </c>
      <c r="L2398" s="78">
        <v>11464</v>
      </c>
      <c r="M2398" s="78">
        <v>60</v>
      </c>
    </row>
    <row r="2399" spans="2:13" ht="14.1" customHeight="1" x14ac:dyDescent="0.25">
      <c r="B2399" s="78" t="str">
        <f t="shared" si="40"/>
        <v>2102-38-204339</v>
      </c>
      <c r="C2399" s="79">
        <v>44232</v>
      </c>
      <c r="D2399" s="78">
        <v>38</v>
      </c>
      <c r="E2399" s="78">
        <v>60</v>
      </c>
      <c r="F2399" s="78">
        <v>204339</v>
      </c>
      <c r="G2399" s="80" t="s">
        <v>260</v>
      </c>
      <c r="H2399" s="79">
        <v>44258</v>
      </c>
      <c r="I2399" s="78">
        <v>51947</v>
      </c>
      <c r="J2399" s="78">
        <v>60</v>
      </c>
      <c r="K2399" s="79">
        <v>44266</v>
      </c>
      <c r="L2399" s="78">
        <v>11464</v>
      </c>
      <c r="M2399" s="78">
        <v>60</v>
      </c>
    </row>
    <row r="2400" spans="2:13" ht="14.1" customHeight="1" x14ac:dyDescent="0.25">
      <c r="B2400" s="78" t="str">
        <f t="shared" si="40"/>
        <v>2102-38-300774</v>
      </c>
      <c r="C2400" s="79">
        <v>44232</v>
      </c>
      <c r="D2400" s="78">
        <v>38</v>
      </c>
      <c r="E2400" s="78">
        <v>40</v>
      </c>
      <c r="F2400" s="78">
        <v>300774</v>
      </c>
      <c r="G2400" s="80" t="s">
        <v>1587</v>
      </c>
      <c r="H2400" s="79">
        <v>44258</v>
      </c>
      <c r="I2400" s="78">
        <v>51947</v>
      </c>
      <c r="J2400" s="78">
        <v>40</v>
      </c>
      <c r="K2400" s="79">
        <v>44266</v>
      </c>
      <c r="L2400" s="78">
        <v>11464</v>
      </c>
      <c r="M2400" s="78">
        <v>40</v>
      </c>
    </row>
    <row r="2401" spans="2:13" ht="14.1" customHeight="1" x14ac:dyDescent="0.25">
      <c r="B2401" s="78" t="str">
        <f t="shared" si="40"/>
        <v>2102-38-300627</v>
      </c>
      <c r="C2401" s="79">
        <v>44232</v>
      </c>
      <c r="D2401" s="78">
        <v>38</v>
      </c>
      <c r="E2401" s="78">
        <v>60</v>
      </c>
      <c r="F2401" s="78">
        <v>300627</v>
      </c>
      <c r="G2401" s="80" t="s">
        <v>185</v>
      </c>
      <c r="H2401" s="79">
        <v>44258</v>
      </c>
      <c r="I2401" s="78">
        <v>51947</v>
      </c>
      <c r="J2401" s="78">
        <v>60</v>
      </c>
      <c r="K2401" s="79">
        <v>44266</v>
      </c>
      <c r="L2401" s="78">
        <v>11464</v>
      </c>
      <c r="M2401" s="78">
        <v>60</v>
      </c>
    </row>
    <row r="2402" spans="2:13" ht="14.1" customHeight="1" x14ac:dyDescent="0.25">
      <c r="B2402" s="78" t="str">
        <f t="shared" si="40"/>
        <v>2102-38-100603</v>
      </c>
      <c r="C2402" s="79">
        <v>44232</v>
      </c>
      <c r="D2402" s="78">
        <v>38</v>
      </c>
      <c r="E2402" s="78">
        <v>60</v>
      </c>
      <c r="F2402" s="78">
        <v>100603</v>
      </c>
      <c r="G2402" s="80" t="s">
        <v>56</v>
      </c>
      <c r="H2402" s="79">
        <v>44258</v>
      </c>
      <c r="I2402" s="78">
        <v>51947</v>
      </c>
      <c r="J2402" s="78">
        <v>60</v>
      </c>
      <c r="K2402" s="79">
        <v>44266</v>
      </c>
      <c r="L2402" s="78">
        <v>11464</v>
      </c>
      <c r="M2402" s="78">
        <v>60</v>
      </c>
    </row>
    <row r="2403" spans="2:13" ht="14.1" customHeight="1" x14ac:dyDescent="0.25">
      <c r="B2403" s="78" t="str">
        <f t="shared" si="40"/>
        <v>2102-38-204336</v>
      </c>
      <c r="C2403" s="79">
        <v>44232</v>
      </c>
      <c r="D2403" s="78">
        <v>38</v>
      </c>
      <c r="E2403" s="78">
        <v>60</v>
      </c>
      <c r="F2403" s="78">
        <v>204336</v>
      </c>
      <c r="G2403" s="80" t="s">
        <v>55</v>
      </c>
      <c r="H2403" s="79">
        <v>44258</v>
      </c>
      <c r="I2403" s="78">
        <v>51947</v>
      </c>
      <c r="J2403" s="78">
        <v>60</v>
      </c>
      <c r="K2403" s="79">
        <v>44266</v>
      </c>
      <c r="L2403" s="78">
        <v>11464</v>
      </c>
      <c r="M2403" s="78">
        <v>60</v>
      </c>
    </row>
    <row r="2404" spans="2:13" ht="14.1" customHeight="1" x14ac:dyDescent="0.25">
      <c r="B2404" s="78" t="str">
        <f t="shared" si="40"/>
        <v>2102-38-204338</v>
      </c>
      <c r="C2404" s="79">
        <v>44232</v>
      </c>
      <c r="D2404" s="78">
        <v>38</v>
      </c>
      <c r="E2404" s="78">
        <v>40</v>
      </c>
      <c r="F2404" s="78">
        <v>204338</v>
      </c>
      <c r="G2404" s="80" t="s">
        <v>1586</v>
      </c>
      <c r="H2404" s="79">
        <v>44258</v>
      </c>
      <c r="I2404" s="78">
        <v>51947</v>
      </c>
      <c r="J2404" s="78">
        <v>40</v>
      </c>
      <c r="K2404" s="79">
        <v>44266</v>
      </c>
      <c r="L2404" s="78">
        <v>11464</v>
      </c>
      <c r="M2404" s="78">
        <v>40</v>
      </c>
    </row>
    <row r="2405" spans="2:13" ht="14.1" customHeight="1" x14ac:dyDescent="0.25">
      <c r="B2405" s="78" t="str">
        <f t="shared" si="40"/>
        <v>2102-38-201872</v>
      </c>
      <c r="C2405" s="79">
        <v>44232</v>
      </c>
      <c r="D2405" s="78">
        <v>38</v>
      </c>
      <c r="E2405" s="78">
        <v>60</v>
      </c>
      <c r="F2405" s="78">
        <v>201872</v>
      </c>
      <c r="G2405" s="80" t="s">
        <v>341</v>
      </c>
      <c r="H2405" s="79">
        <v>44258</v>
      </c>
      <c r="I2405" s="78">
        <v>51947</v>
      </c>
      <c r="J2405" s="78">
        <v>60</v>
      </c>
      <c r="K2405" s="79">
        <v>44266</v>
      </c>
      <c r="L2405" s="78">
        <v>11464</v>
      </c>
      <c r="M2405" s="78">
        <v>60</v>
      </c>
    </row>
    <row r="2406" spans="2:13" ht="14.1" customHeight="1" x14ac:dyDescent="0.25">
      <c r="B2406" s="78" t="str">
        <f t="shared" si="40"/>
        <v>2102-38-302371</v>
      </c>
      <c r="C2406" s="79">
        <v>44232</v>
      </c>
      <c r="D2406" s="78">
        <v>38</v>
      </c>
      <c r="E2406" s="78">
        <v>60</v>
      </c>
      <c r="F2406" s="78">
        <v>302371</v>
      </c>
      <c r="G2406" s="80" t="s">
        <v>640</v>
      </c>
      <c r="H2406" s="79">
        <v>44258</v>
      </c>
      <c r="I2406" s="78">
        <v>51947</v>
      </c>
      <c r="J2406" s="78">
        <v>60</v>
      </c>
      <c r="K2406" s="79">
        <v>44266</v>
      </c>
      <c r="L2406" s="78">
        <v>11464</v>
      </c>
      <c r="M2406" s="78">
        <v>60</v>
      </c>
    </row>
    <row r="2407" spans="2:13" ht="14.1" customHeight="1" x14ac:dyDescent="0.25">
      <c r="B2407" s="78" t="str">
        <f t="shared" si="40"/>
        <v>2102-38-306628</v>
      </c>
      <c r="C2407" s="79">
        <v>44232</v>
      </c>
      <c r="D2407" s="78">
        <v>38</v>
      </c>
      <c r="E2407" s="78">
        <v>60</v>
      </c>
      <c r="F2407" s="78">
        <v>306628</v>
      </c>
      <c r="G2407" s="80" t="s">
        <v>204</v>
      </c>
      <c r="H2407" s="79">
        <v>44258</v>
      </c>
      <c r="I2407" s="78">
        <v>51947</v>
      </c>
      <c r="J2407" s="78">
        <v>60</v>
      </c>
      <c r="K2407" s="79">
        <v>44266</v>
      </c>
      <c r="L2407" s="78">
        <v>11465</v>
      </c>
      <c r="M2407" s="78">
        <v>60</v>
      </c>
    </row>
    <row r="2408" spans="2:13" ht="14.1" customHeight="1" x14ac:dyDescent="0.25">
      <c r="B2408" s="78" t="str">
        <f t="shared" si="40"/>
        <v>2102-38-300337</v>
      </c>
      <c r="C2408" s="79">
        <v>44232</v>
      </c>
      <c r="D2408" s="78">
        <v>38</v>
      </c>
      <c r="E2408" s="78">
        <v>60</v>
      </c>
      <c r="F2408" s="78">
        <v>300337</v>
      </c>
      <c r="G2408" s="80" t="s">
        <v>117</v>
      </c>
      <c r="H2408" s="79">
        <v>44258</v>
      </c>
      <c r="I2408" s="78">
        <v>51947</v>
      </c>
      <c r="J2408" s="78">
        <v>60</v>
      </c>
      <c r="K2408" s="79">
        <v>44266</v>
      </c>
      <c r="L2408" s="78">
        <v>11464</v>
      </c>
      <c r="M2408" s="78">
        <v>60</v>
      </c>
    </row>
    <row r="2409" spans="2:13" ht="14.1" customHeight="1" x14ac:dyDescent="0.25">
      <c r="B2409" s="78" t="str">
        <f t="shared" si="40"/>
        <v>2102-38-106644</v>
      </c>
      <c r="C2409" s="79">
        <v>44232</v>
      </c>
      <c r="D2409" s="78">
        <v>38</v>
      </c>
      <c r="E2409" s="78">
        <v>60</v>
      </c>
      <c r="F2409" s="78">
        <v>106644</v>
      </c>
      <c r="G2409" s="80" t="s">
        <v>83</v>
      </c>
      <c r="H2409" s="79">
        <v>44258</v>
      </c>
      <c r="I2409" s="78">
        <v>51947</v>
      </c>
      <c r="J2409" s="78">
        <v>60</v>
      </c>
      <c r="K2409" s="79">
        <v>44266</v>
      </c>
      <c r="L2409" s="78">
        <v>11464</v>
      </c>
      <c r="M2409" s="78">
        <v>60</v>
      </c>
    </row>
    <row r="2410" spans="2:13" ht="14.1" customHeight="1" x14ac:dyDescent="0.25">
      <c r="B2410" s="78" t="str">
        <f t="shared" si="40"/>
        <v>2102-38-305746</v>
      </c>
      <c r="C2410" s="79">
        <v>44232</v>
      </c>
      <c r="D2410" s="78">
        <v>38</v>
      </c>
      <c r="E2410" s="78">
        <v>60</v>
      </c>
      <c r="F2410" s="78">
        <v>305746</v>
      </c>
      <c r="G2410" s="80" t="s">
        <v>535</v>
      </c>
      <c r="H2410" s="79">
        <v>44258</v>
      </c>
      <c r="I2410" s="78">
        <v>51947</v>
      </c>
      <c r="J2410" s="78">
        <v>60</v>
      </c>
      <c r="K2410" s="79">
        <v>44266</v>
      </c>
      <c r="L2410" s="78">
        <v>11464</v>
      </c>
      <c r="M2410" s="78">
        <v>60</v>
      </c>
    </row>
    <row r="2411" spans="2:13" ht="14.1" customHeight="1" x14ac:dyDescent="0.25">
      <c r="B2411" s="78" t="str">
        <f t="shared" si="40"/>
        <v>2102-38-200170</v>
      </c>
      <c r="C2411" s="79">
        <v>44232</v>
      </c>
      <c r="D2411" s="78">
        <v>38</v>
      </c>
      <c r="E2411" s="78">
        <v>30</v>
      </c>
      <c r="F2411" s="78">
        <v>200170</v>
      </c>
      <c r="G2411" s="80" t="s">
        <v>1585</v>
      </c>
      <c r="H2411" s="79">
        <v>44258</v>
      </c>
      <c r="I2411" s="78">
        <v>51947</v>
      </c>
      <c r="J2411" s="78">
        <v>30</v>
      </c>
      <c r="K2411" s="79">
        <v>44266</v>
      </c>
      <c r="L2411" s="78">
        <v>11464</v>
      </c>
      <c r="M2411" s="78">
        <v>30</v>
      </c>
    </row>
    <row r="2412" spans="2:13" ht="14.1" customHeight="1" x14ac:dyDescent="0.25">
      <c r="B2412" s="78" t="str">
        <f t="shared" si="40"/>
        <v>2102-39-101034</v>
      </c>
      <c r="C2412" s="79">
        <v>44232</v>
      </c>
      <c r="D2412" s="78">
        <v>39</v>
      </c>
      <c r="E2412" s="78">
        <v>20</v>
      </c>
      <c r="F2412" s="78">
        <v>101034</v>
      </c>
      <c r="G2412" s="80" t="s">
        <v>1590</v>
      </c>
      <c r="H2412" s="79">
        <v>44265</v>
      </c>
      <c r="I2412" s="78">
        <v>52054</v>
      </c>
      <c r="J2412" s="78">
        <v>20</v>
      </c>
      <c r="K2412" s="79">
        <v>44272</v>
      </c>
      <c r="L2412" s="78">
        <v>11540</v>
      </c>
      <c r="M2412" s="78">
        <v>20</v>
      </c>
    </row>
    <row r="2413" spans="2:13" ht="14.1" customHeight="1" x14ac:dyDescent="0.25">
      <c r="B2413" s="78" t="str">
        <f t="shared" si="40"/>
        <v>2102-39-319466</v>
      </c>
      <c r="C2413" s="79">
        <v>44232</v>
      </c>
      <c r="D2413" s="78">
        <v>39</v>
      </c>
      <c r="E2413" s="78">
        <v>3</v>
      </c>
      <c r="F2413" s="78">
        <v>319466</v>
      </c>
      <c r="G2413" s="80" t="s">
        <v>1588</v>
      </c>
      <c r="H2413" s="79">
        <v>44265</v>
      </c>
      <c r="I2413" s="78">
        <v>52054</v>
      </c>
      <c r="J2413" s="78">
        <v>3</v>
      </c>
      <c r="K2413" s="79">
        <v>44272</v>
      </c>
      <c r="L2413" s="78">
        <v>11540</v>
      </c>
      <c r="M2413" s="78">
        <v>3</v>
      </c>
    </row>
    <row r="2414" spans="2:13" ht="14.1" customHeight="1" x14ac:dyDescent="0.25">
      <c r="B2414" s="78" t="str">
        <f t="shared" si="40"/>
        <v>2102-39-319467</v>
      </c>
      <c r="C2414" s="79">
        <v>44232</v>
      </c>
      <c r="D2414" s="78">
        <v>39</v>
      </c>
      <c r="E2414" s="78">
        <v>3</v>
      </c>
      <c r="F2414" s="78">
        <v>319467</v>
      </c>
      <c r="G2414" s="80" t="s">
        <v>1589</v>
      </c>
      <c r="H2414" s="79">
        <v>44265</v>
      </c>
      <c r="I2414" s="78">
        <v>52054</v>
      </c>
      <c r="J2414" s="78">
        <v>3</v>
      </c>
      <c r="K2414" s="79">
        <v>44272</v>
      </c>
      <c r="L2414" s="78">
        <v>11540</v>
      </c>
      <c r="M2414" s="78">
        <v>3</v>
      </c>
    </row>
    <row r="2415" spans="2:13" ht="14.1" customHeight="1" x14ac:dyDescent="0.25">
      <c r="B2415" s="78" t="str">
        <f t="shared" si="40"/>
        <v>2102-39-107539</v>
      </c>
      <c r="C2415" s="79">
        <v>44232</v>
      </c>
      <c r="D2415" s="78">
        <v>39</v>
      </c>
      <c r="E2415" s="78">
        <v>40</v>
      </c>
      <c r="F2415" s="78">
        <v>107539</v>
      </c>
      <c r="G2415" s="80" t="s">
        <v>113</v>
      </c>
      <c r="H2415" s="79">
        <v>44265</v>
      </c>
      <c r="I2415" s="78">
        <v>52054</v>
      </c>
      <c r="J2415" s="78">
        <v>40</v>
      </c>
      <c r="K2415" s="79">
        <v>44272</v>
      </c>
      <c r="L2415" s="78">
        <v>11540</v>
      </c>
      <c r="M2415" s="78">
        <v>40</v>
      </c>
    </row>
    <row r="2416" spans="2:13" ht="14.1" customHeight="1" x14ac:dyDescent="0.25">
      <c r="B2416" s="78" t="str">
        <f t="shared" si="40"/>
        <v>2102-40-310794</v>
      </c>
      <c r="C2416" s="79">
        <v>44232</v>
      </c>
      <c r="D2416" s="78">
        <v>40</v>
      </c>
      <c r="E2416" s="78">
        <v>2</v>
      </c>
      <c r="F2416" s="78">
        <v>310794</v>
      </c>
      <c r="G2416" s="80" t="s">
        <v>1591</v>
      </c>
      <c r="H2416" s="79">
        <v>44236</v>
      </c>
      <c r="I2416" s="78">
        <v>51573</v>
      </c>
      <c r="J2416" s="78">
        <v>2</v>
      </c>
      <c r="K2416" s="79">
        <v>44239</v>
      </c>
      <c r="L2416" s="78">
        <v>11169</v>
      </c>
      <c r="M2416" s="78">
        <v>2</v>
      </c>
    </row>
    <row r="2417" spans="2:13" ht="14.1" customHeight="1" x14ac:dyDescent="0.25">
      <c r="B2417" s="78" t="str">
        <f t="shared" si="40"/>
        <v>2102-43-203709</v>
      </c>
      <c r="C2417" s="79">
        <v>44232</v>
      </c>
      <c r="D2417" s="78">
        <v>43</v>
      </c>
      <c r="E2417" s="78">
        <v>10</v>
      </c>
      <c r="F2417" s="78">
        <v>203709</v>
      </c>
      <c r="G2417" s="80" t="s">
        <v>1592</v>
      </c>
      <c r="H2417" s="79">
        <v>44236</v>
      </c>
      <c r="I2417" s="78">
        <v>51569</v>
      </c>
      <c r="J2417" s="78">
        <v>10</v>
      </c>
      <c r="K2417" s="79">
        <v>44237</v>
      </c>
      <c r="L2417" s="78">
        <v>11152</v>
      </c>
      <c r="M2417" s="78">
        <v>3</v>
      </c>
    </row>
    <row r="2418" spans="2:13" ht="14.1" customHeight="1" x14ac:dyDescent="0.25">
      <c r="B2418" s="78" t="str">
        <f t="shared" si="40"/>
        <v>2102-43-203709</v>
      </c>
      <c r="C2418" s="79">
        <v>44232</v>
      </c>
      <c r="D2418" s="78">
        <v>43</v>
      </c>
      <c r="E2418" s="78">
        <v>10</v>
      </c>
      <c r="F2418" s="78">
        <v>203709</v>
      </c>
      <c r="G2418" s="80" t="s">
        <v>1592</v>
      </c>
      <c r="H2418" s="79">
        <v>44236</v>
      </c>
      <c r="I2418" s="78">
        <v>51569</v>
      </c>
      <c r="J2418" s="78">
        <v>10</v>
      </c>
      <c r="K2418" s="79">
        <v>44243</v>
      </c>
      <c r="L2418" s="78">
        <v>11203</v>
      </c>
      <c r="M2418" s="78">
        <v>7</v>
      </c>
    </row>
    <row r="2419" spans="2:13" ht="14.1" customHeight="1" x14ac:dyDescent="0.25">
      <c r="B2419" s="78" t="str">
        <f t="shared" si="40"/>
        <v>2102-43-202013</v>
      </c>
      <c r="C2419" s="79">
        <v>44232</v>
      </c>
      <c r="D2419" s="78">
        <v>43</v>
      </c>
      <c r="E2419" s="78">
        <v>50000</v>
      </c>
      <c r="F2419" s="78">
        <v>202013</v>
      </c>
      <c r="G2419" s="80" t="s">
        <v>149</v>
      </c>
      <c r="H2419" s="79">
        <v>44235</v>
      </c>
      <c r="I2419" s="78">
        <v>51532</v>
      </c>
      <c r="J2419" s="78">
        <v>50000</v>
      </c>
      <c r="K2419" s="79">
        <v>44243</v>
      </c>
      <c r="L2419" s="78">
        <v>11216</v>
      </c>
      <c r="M2419" s="78">
        <v>50000</v>
      </c>
    </row>
    <row r="2420" spans="2:13" ht="14.1" customHeight="1" x14ac:dyDescent="0.25">
      <c r="B2420" s="78" t="str">
        <f t="shared" si="40"/>
        <v>2102-43-200275</v>
      </c>
      <c r="C2420" s="79">
        <v>44232</v>
      </c>
      <c r="D2420" s="78">
        <v>43</v>
      </c>
      <c r="E2420" s="78">
        <v>48</v>
      </c>
      <c r="F2420" s="78">
        <v>200275</v>
      </c>
      <c r="G2420" s="80" t="s">
        <v>193</v>
      </c>
      <c r="H2420" s="79">
        <v>44236</v>
      </c>
      <c r="I2420" s="78">
        <v>51569</v>
      </c>
      <c r="J2420" s="78">
        <v>48</v>
      </c>
      <c r="K2420" s="79">
        <v>44237</v>
      </c>
      <c r="L2420" s="78">
        <v>11152</v>
      </c>
      <c r="M2420" s="78">
        <v>48</v>
      </c>
    </row>
    <row r="2421" spans="2:13" ht="14.1" customHeight="1" x14ac:dyDescent="0.25">
      <c r="B2421" s="78" t="str">
        <f t="shared" si="40"/>
        <v>2102-47-203593</v>
      </c>
      <c r="C2421" s="79">
        <v>44232</v>
      </c>
      <c r="D2421" s="78">
        <v>47</v>
      </c>
      <c r="E2421" s="78">
        <v>13000</v>
      </c>
      <c r="F2421" s="78">
        <v>203593</v>
      </c>
      <c r="G2421" s="80" t="s">
        <v>211</v>
      </c>
      <c r="H2421" s="79">
        <v>44235</v>
      </c>
      <c r="I2421" s="78">
        <v>51544</v>
      </c>
      <c r="J2421" s="78">
        <v>13000</v>
      </c>
      <c r="K2421" s="79">
        <v>44232</v>
      </c>
      <c r="L2421" s="78">
        <v>11126</v>
      </c>
      <c r="M2421" s="78">
        <v>13000</v>
      </c>
    </row>
    <row r="2422" spans="2:13" ht="14.1" customHeight="1" x14ac:dyDescent="0.25">
      <c r="B2422" s="78" t="str">
        <f t="shared" si="40"/>
        <v>2102-48-203593</v>
      </c>
      <c r="C2422" s="79">
        <v>44232</v>
      </c>
      <c r="D2422" s="78">
        <v>48</v>
      </c>
      <c r="E2422" s="78">
        <v>13000</v>
      </c>
      <c r="F2422" s="78">
        <v>203593</v>
      </c>
      <c r="G2422" s="80" t="s">
        <v>211</v>
      </c>
      <c r="H2422" s="79">
        <v>44235</v>
      </c>
      <c r="I2422" s="78">
        <v>51544</v>
      </c>
      <c r="J2422" s="78">
        <v>13000</v>
      </c>
      <c r="K2422" s="79">
        <v>44232</v>
      </c>
      <c r="L2422" s="78">
        <v>11127</v>
      </c>
      <c r="M2422" s="78">
        <v>13000</v>
      </c>
    </row>
    <row r="2423" spans="2:13" ht="14.1" customHeight="1" x14ac:dyDescent="0.25">
      <c r="B2423" s="78" t="str">
        <f t="shared" si="40"/>
        <v>2102-49-203593</v>
      </c>
      <c r="C2423" s="79">
        <v>44232</v>
      </c>
      <c r="D2423" s="78">
        <v>49</v>
      </c>
      <c r="E2423" s="78">
        <v>4742</v>
      </c>
      <c r="F2423" s="78">
        <v>203593</v>
      </c>
      <c r="G2423" s="80" t="s">
        <v>211</v>
      </c>
      <c r="H2423" s="79">
        <v>44235</v>
      </c>
      <c r="I2423" s="78">
        <v>51544</v>
      </c>
      <c r="J2423" s="78">
        <v>4742</v>
      </c>
      <c r="K2423" s="79">
        <v>44232</v>
      </c>
      <c r="L2423" s="78">
        <v>11128</v>
      </c>
      <c r="M2423" s="78">
        <v>4742</v>
      </c>
    </row>
    <row r="2424" spans="2:13" ht="14.1" customHeight="1" x14ac:dyDescent="0.25">
      <c r="B2424" s="78" t="str">
        <f t="shared" si="40"/>
        <v>2102-50-205202</v>
      </c>
      <c r="C2424" s="79">
        <v>44232</v>
      </c>
      <c r="D2424" s="78">
        <v>50</v>
      </c>
      <c r="E2424" s="78">
        <v>1</v>
      </c>
      <c r="F2424" s="78">
        <v>205202</v>
      </c>
      <c r="G2424" s="80" t="s">
        <v>1132</v>
      </c>
      <c r="H2424" s="79">
        <v>44232</v>
      </c>
      <c r="I2424" s="78">
        <v>51541</v>
      </c>
      <c r="J2424" s="78">
        <v>1</v>
      </c>
      <c r="K2424" s="79">
        <v>44235</v>
      </c>
      <c r="L2424" s="78">
        <v>11132</v>
      </c>
      <c r="M2424" s="78">
        <v>1</v>
      </c>
    </row>
    <row r="2425" spans="2:13" ht="14.1" customHeight="1" x14ac:dyDescent="0.25">
      <c r="B2425" s="78" t="str">
        <f t="shared" si="40"/>
        <v>2102-51-303184</v>
      </c>
      <c r="C2425" s="79">
        <v>44235</v>
      </c>
      <c r="D2425" s="78">
        <v>51</v>
      </c>
      <c r="E2425" s="78">
        <v>2</v>
      </c>
      <c r="F2425" s="78">
        <v>303184</v>
      </c>
      <c r="G2425" s="80" t="s">
        <v>1593</v>
      </c>
      <c r="H2425" s="79">
        <v>44236</v>
      </c>
      <c r="I2425" s="78">
        <v>51571</v>
      </c>
      <c r="J2425" s="78">
        <v>2</v>
      </c>
      <c r="K2425" s="79">
        <v>44237</v>
      </c>
      <c r="L2425" s="78">
        <v>11151</v>
      </c>
      <c r="M2425" s="78">
        <v>2</v>
      </c>
    </row>
    <row r="2426" spans="2:13" ht="14.1" customHeight="1" x14ac:dyDescent="0.25">
      <c r="B2426" s="78" t="str">
        <f t="shared" si="40"/>
        <v>2102-52-311022</v>
      </c>
      <c r="C2426" s="79">
        <v>44235</v>
      </c>
      <c r="D2426" s="78">
        <v>52</v>
      </c>
      <c r="E2426" s="78">
        <v>6</v>
      </c>
      <c r="F2426" s="78">
        <v>311022</v>
      </c>
      <c r="G2426" s="80" t="s">
        <v>1594</v>
      </c>
      <c r="H2426" s="79">
        <v>44257</v>
      </c>
      <c r="I2426" s="78">
        <v>51914</v>
      </c>
      <c r="J2426" s="78">
        <v>6</v>
      </c>
      <c r="K2426" s="79">
        <v>44263</v>
      </c>
      <c r="L2426" s="78">
        <v>11435</v>
      </c>
      <c r="M2426" s="78">
        <v>6</v>
      </c>
    </row>
    <row r="2427" spans="2:13" ht="14.1" customHeight="1" x14ac:dyDescent="0.25">
      <c r="B2427" s="78" t="str">
        <f t="shared" si="40"/>
        <v>2102-55-203825</v>
      </c>
      <c r="C2427" s="79">
        <v>44235</v>
      </c>
      <c r="D2427" s="78">
        <v>55</v>
      </c>
      <c r="E2427" s="78">
        <v>15</v>
      </c>
      <c r="F2427" s="78">
        <v>203825</v>
      </c>
      <c r="G2427" s="80" t="s">
        <v>86</v>
      </c>
      <c r="H2427" s="79">
        <v>44236</v>
      </c>
      <c r="I2427" s="78">
        <v>51590</v>
      </c>
      <c r="J2427" s="78">
        <v>15</v>
      </c>
      <c r="K2427" s="79">
        <v>44246</v>
      </c>
      <c r="L2427" s="78">
        <v>11268</v>
      </c>
      <c r="M2427" s="78">
        <v>15</v>
      </c>
    </row>
    <row r="2428" spans="2:13" ht="14.1" customHeight="1" x14ac:dyDescent="0.25">
      <c r="B2428" s="78" t="str">
        <f t="shared" si="40"/>
        <v>2102-55-319562</v>
      </c>
      <c r="C2428" s="79">
        <v>44235</v>
      </c>
      <c r="D2428" s="78">
        <v>55</v>
      </c>
      <c r="E2428" s="78">
        <v>15</v>
      </c>
      <c r="F2428" s="78">
        <v>319562</v>
      </c>
      <c r="G2428" s="80" t="s">
        <v>1595</v>
      </c>
      <c r="H2428" s="79">
        <v>44236</v>
      </c>
      <c r="I2428" s="78">
        <v>51590</v>
      </c>
      <c r="J2428" s="78">
        <v>15</v>
      </c>
      <c r="K2428" s="79">
        <v>44246</v>
      </c>
      <c r="L2428" s="78">
        <v>11268</v>
      </c>
      <c r="M2428" s="78">
        <v>15</v>
      </c>
    </row>
    <row r="2429" spans="2:13" ht="14.1" customHeight="1" x14ac:dyDescent="0.25">
      <c r="B2429" s="78" t="str">
        <f t="shared" si="40"/>
        <v>2102-55-200534</v>
      </c>
      <c r="C2429" s="79">
        <v>44235</v>
      </c>
      <c r="D2429" s="78">
        <v>55</v>
      </c>
      <c r="E2429" s="78">
        <v>10</v>
      </c>
      <c r="F2429" s="78">
        <v>200534</v>
      </c>
      <c r="G2429" s="80" t="s">
        <v>90</v>
      </c>
      <c r="H2429" s="79">
        <v>44236</v>
      </c>
      <c r="I2429" s="78">
        <v>51590</v>
      </c>
      <c r="J2429" s="78">
        <v>10</v>
      </c>
      <c r="K2429" s="79">
        <v>44246</v>
      </c>
      <c r="L2429" s="78">
        <v>11268</v>
      </c>
      <c r="M2429" s="78">
        <v>10</v>
      </c>
    </row>
    <row r="2430" spans="2:13" ht="14.1" customHeight="1" x14ac:dyDescent="0.25">
      <c r="B2430" s="78" t="str">
        <f t="shared" si="40"/>
        <v>2102-58-319688</v>
      </c>
      <c r="C2430" s="79">
        <v>44235</v>
      </c>
      <c r="D2430" s="78">
        <v>58</v>
      </c>
      <c r="E2430" s="78">
        <v>2000</v>
      </c>
      <c r="F2430" s="78">
        <v>319688</v>
      </c>
      <c r="G2430" s="80" t="s">
        <v>281</v>
      </c>
      <c r="H2430" s="79">
        <v>44236</v>
      </c>
      <c r="I2430" s="78">
        <v>51570</v>
      </c>
      <c r="J2430" s="78">
        <v>2000</v>
      </c>
      <c r="K2430" s="79">
        <v>44237</v>
      </c>
      <c r="L2430" s="78">
        <v>11156</v>
      </c>
      <c r="M2430" s="78">
        <v>2000</v>
      </c>
    </row>
    <row r="2431" spans="2:13" ht="14.1" customHeight="1" x14ac:dyDescent="0.25">
      <c r="B2431" s="78" t="str">
        <f t="shared" si="40"/>
        <v>2102-61-205094</v>
      </c>
      <c r="C2431" s="79">
        <v>44235</v>
      </c>
      <c r="D2431" s="78">
        <v>61</v>
      </c>
      <c r="E2431" s="78">
        <v>2</v>
      </c>
      <c r="F2431" s="78">
        <v>205094</v>
      </c>
      <c r="G2431" s="80" t="s">
        <v>1596</v>
      </c>
      <c r="H2431" s="79">
        <v>44235</v>
      </c>
      <c r="I2431" s="78">
        <v>51536</v>
      </c>
      <c r="J2431" s="78">
        <v>2</v>
      </c>
      <c r="K2431" s="79">
        <v>44271</v>
      </c>
      <c r="L2431" s="78">
        <v>11539</v>
      </c>
      <c r="M2431" s="78">
        <v>2</v>
      </c>
    </row>
    <row r="2432" spans="2:13" ht="14.1" customHeight="1" x14ac:dyDescent="0.25">
      <c r="B2432" s="78" t="str">
        <f t="shared" si="40"/>
        <v>2102-62-320743</v>
      </c>
      <c r="C2432" s="79">
        <v>44235</v>
      </c>
      <c r="D2432" s="78">
        <v>62</v>
      </c>
      <c r="E2432" s="78">
        <v>14</v>
      </c>
      <c r="F2432" s="78">
        <v>320743</v>
      </c>
      <c r="G2432" s="80" t="s">
        <v>1598</v>
      </c>
      <c r="H2432" s="79">
        <v>44244</v>
      </c>
      <c r="I2432" s="78">
        <v>51655</v>
      </c>
      <c r="J2432" s="78">
        <v>14</v>
      </c>
      <c r="K2432" s="79">
        <v>44257</v>
      </c>
      <c r="L2432" s="78">
        <v>11376</v>
      </c>
      <c r="M2432" s="78">
        <v>14</v>
      </c>
    </row>
    <row r="2433" spans="2:13" ht="14.1" customHeight="1" x14ac:dyDescent="0.25">
      <c r="B2433" s="78" t="str">
        <f t="shared" si="40"/>
        <v>2102-62-320742</v>
      </c>
      <c r="C2433" s="79">
        <v>44235</v>
      </c>
      <c r="D2433" s="78">
        <v>62</v>
      </c>
      <c r="E2433" s="78">
        <v>35</v>
      </c>
      <c r="F2433" s="78">
        <v>320742</v>
      </c>
      <c r="G2433" s="80" t="s">
        <v>1597</v>
      </c>
      <c r="H2433" s="79">
        <v>44244</v>
      </c>
      <c r="I2433" s="78">
        <v>51655</v>
      </c>
      <c r="J2433" s="78">
        <v>35</v>
      </c>
      <c r="K2433" s="79">
        <v>44257</v>
      </c>
      <c r="L2433" s="78">
        <v>11376</v>
      </c>
      <c r="M2433" s="78">
        <v>35</v>
      </c>
    </row>
    <row r="2434" spans="2:13" ht="14.1" customHeight="1" x14ac:dyDescent="0.25">
      <c r="B2434" s="78" t="str">
        <f t="shared" si="40"/>
        <v>2102-62-320744</v>
      </c>
      <c r="C2434" s="79">
        <v>44235</v>
      </c>
      <c r="D2434" s="78">
        <v>62</v>
      </c>
      <c r="E2434" s="78">
        <v>15</v>
      </c>
      <c r="F2434" s="78">
        <v>320744</v>
      </c>
      <c r="G2434" s="80" t="s">
        <v>1599</v>
      </c>
      <c r="H2434" s="79">
        <v>44244</v>
      </c>
      <c r="I2434" s="78">
        <v>51655</v>
      </c>
      <c r="J2434" s="78">
        <v>15</v>
      </c>
      <c r="K2434" s="79">
        <v>44257</v>
      </c>
      <c r="L2434" s="78">
        <v>11376</v>
      </c>
      <c r="M2434" s="78">
        <v>15</v>
      </c>
    </row>
    <row r="2435" spans="2:13" ht="14.1" customHeight="1" x14ac:dyDescent="0.25">
      <c r="B2435" s="78" t="str">
        <f t="shared" si="40"/>
        <v>2102-62-320746</v>
      </c>
      <c r="C2435" s="79">
        <v>44235</v>
      </c>
      <c r="D2435" s="78">
        <v>62</v>
      </c>
      <c r="E2435" s="78">
        <v>30</v>
      </c>
      <c r="F2435" s="78">
        <v>320746</v>
      </c>
      <c r="G2435" s="80" t="s">
        <v>1601</v>
      </c>
      <c r="H2435" s="79">
        <v>44244</v>
      </c>
      <c r="I2435" s="78">
        <v>51655</v>
      </c>
      <c r="J2435" s="78">
        <v>30</v>
      </c>
      <c r="K2435" s="79">
        <v>44257</v>
      </c>
      <c r="L2435" s="78">
        <v>11376</v>
      </c>
      <c r="M2435" s="78">
        <v>30</v>
      </c>
    </row>
    <row r="2436" spans="2:13" ht="14.1" customHeight="1" x14ac:dyDescent="0.25">
      <c r="B2436" s="78" t="str">
        <f t="shared" si="40"/>
        <v>2102-62-320745</v>
      </c>
      <c r="C2436" s="79">
        <v>44235</v>
      </c>
      <c r="D2436" s="78">
        <v>62</v>
      </c>
      <c r="E2436" s="78">
        <v>20</v>
      </c>
      <c r="F2436" s="78">
        <v>320745</v>
      </c>
      <c r="G2436" s="80" t="s">
        <v>1600</v>
      </c>
      <c r="H2436" s="79">
        <v>44244</v>
      </c>
      <c r="I2436" s="78">
        <v>51655</v>
      </c>
      <c r="J2436" s="78">
        <v>20</v>
      </c>
      <c r="K2436" s="79">
        <v>44257</v>
      </c>
      <c r="L2436" s="78">
        <v>11376</v>
      </c>
      <c r="M2436" s="78">
        <v>20</v>
      </c>
    </row>
    <row r="2437" spans="2:13" ht="14.1" customHeight="1" x14ac:dyDescent="0.25">
      <c r="B2437" s="78" t="str">
        <f t="shared" si="40"/>
        <v>2102-65-306195</v>
      </c>
      <c r="C2437" s="79">
        <v>44235</v>
      </c>
      <c r="D2437" s="78">
        <v>65</v>
      </c>
      <c r="E2437" s="78">
        <v>1</v>
      </c>
      <c r="F2437" s="78">
        <v>306195</v>
      </c>
      <c r="G2437" s="80" t="s">
        <v>1602</v>
      </c>
      <c r="H2437" s="79">
        <v>44236</v>
      </c>
      <c r="I2437" s="78">
        <v>51592</v>
      </c>
      <c r="J2437" s="78">
        <v>1</v>
      </c>
      <c r="K2437" s="79"/>
      <c r="L2437" s="78">
        <v>0</v>
      </c>
      <c r="M2437" s="78">
        <v>0</v>
      </c>
    </row>
    <row r="2438" spans="2:13" ht="14.1" customHeight="1" x14ac:dyDescent="0.25">
      <c r="B2438" s="78" t="str">
        <f t="shared" si="40"/>
        <v>2102-66-315665</v>
      </c>
      <c r="C2438" s="79">
        <v>44235</v>
      </c>
      <c r="D2438" s="78">
        <v>66</v>
      </c>
      <c r="E2438" s="78">
        <v>200</v>
      </c>
      <c r="F2438" s="78">
        <v>315665</v>
      </c>
      <c r="G2438" s="80" t="s">
        <v>116</v>
      </c>
      <c r="H2438" s="79">
        <v>44237</v>
      </c>
      <c r="I2438" s="78">
        <v>51601</v>
      </c>
      <c r="J2438" s="78">
        <v>76</v>
      </c>
      <c r="K2438" s="79">
        <v>44244</v>
      </c>
      <c r="L2438" s="78">
        <v>11231</v>
      </c>
      <c r="M2438" s="78">
        <v>24</v>
      </c>
    </row>
    <row r="2439" spans="2:13" ht="14.1" customHeight="1" x14ac:dyDescent="0.25">
      <c r="B2439" s="78" t="str">
        <f t="shared" si="40"/>
        <v>2102-66-315665</v>
      </c>
      <c r="C2439" s="79">
        <v>44235</v>
      </c>
      <c r="D2439" s="78">
        <v>66</v>
      </c>
      <c r="E2439" s="78">
        <v>200</v>
      </c>
      <c r="F2439" s="78">
        <v>315665</v>
      </c>
      <c r="G2439" s="80" t="s">
        <v>116</v>
      </c>
      <c r="H2439" s="79">
        <v>44237</v>
      </c>
      <c r="I2439" s="78">
        <v>51601</v>
      </c>
      <c r="J2439" s="78">
        <v>76</v>
      </c>
      <c r="K2439" s="79">
        <v>44244</v>
      </c>
      <c r="L2439" s="78">
        <v>11232</v>
      </c>
      <c r="M2439" s="78">
        <v>24</v>
      </c>
    </row>
    <row r="2440" spans="2:13" ht="14.1" customHeight="1" x14ac:dyDescent="0.25">
      <c r="B2440" s="78" t="str">
        <f t="shared" si="40"/>
        <v>2102-66-315665</v>
      </c>
      <c r="C2440" s="79">
        <v>44235</v>
      </c>
      <c r="D2440" s="78">
        <v>66</v>
      </c>
      <c r="E2440" s="78">
        <v>200</v>
      </c>
      <c r="F2440" s="78">
        <v>315665</v>
      </c>
      <c r="G2440" s="80" t="s">
        <v>116</v>
      </c>
      <c r="H2440" s="79">
        <v>44237</v>
      </c>
      <c r="I2440" s="78">
        <v>51601</v>
      </c>
      <c r="J2440" s="78">
        <v>76</v>
      </c>
      <c r="K2440" s="79">
        <v>44244</v>
      </c>
      <c r="L2440" s="78">
        <v>11233</v>
      </c>
      <c r="M2440" s="78">
        <v>18</v>
      </c>
    </row>
    <row r="2441" spans="2:13" ht="14.1" customHeight="1" x14ac:dyDescent="0.25">
      <c r="B2441" s="78" t="str">
        <f t="shared" si="40"/>
        <v>2102-66-315665</v>
      </c>
      <c r="C2441" s="79">
        <v>44235</v>
      </c>
      <c r="D2441" s="78">
        <v>66</v>
      </c>
      <c r="E2441" s="78">
        <v>200</v>
      </c>
      <c r="F2441" s="78">
        <v>315665</v>
      </c>
      <c r="G2441" s="80" t="s">
        <v>116</v>
      </c>
      <c r="H2441" s="79">
        <v>44237</v>
      </c>
      <c r="I2441" s="78">
        <v>51601</v>
      </c>
      <c r="J2441" s="78">
        <v>76</v>
      </c>
      <c r="K2441" s="79">
        <v>44244</v>
      </c>
      <c r="L2441" s="78">
        <v>11235</v>
      </c>
      <c r="M2441" s="78">
        <v>40</v>
      </c>
    </row>
    <row r="2442" spans="2:13" ht="14.1" customHeight="1" x14ac:dyDescent="0.25">
      <c r="B2442" s="78" t="str">
        <f t="shared" si="40"/>
        <v>2102-66-315665</v>
      </c>
      <c r="C2442" s="79">
        <v>44235</v>
      </c>
      <c r="D2442" s="78">
        <v>66</v>
      </c>
      <c r="E2442" s="78">
        <v>200</v>
      </c>
      <c r="F2442" s="78">
        <v>315665</v>
      </c>
      <c r="G2442" s="80" t="s">
        <v>116</v>
      </c>
      <c r="H2442" s="79">
        <v>44237</v>
      </c>
      <c r="I2442" s="78">
        <v>51601</v>
      </c>
      <c r="J2442" s="78">
        <v>76</v>
      </c>
      <c r="K2442" s="79">
        <v>44244</v>
      </c>
      <c r="L2442" s="78">
        <v>11236</v>
      </c>
      <c r="M2442" s="78">
        <v>24</v>
      </c>
    </row>
    <row r="2443" spans="2:13" ht="14.1" customHeight="1" x14ac:dyDescent="0.25">
      <c r="B2443" s="78" t="str">
        <f t="shared" si="40"/>
        <v>2102-66-315665</v>
      </c>
      <c r="C2443" s="79">
        <v>44235</v>
      </c>
      <c r="D2443" s="78">
        <v>66</v>
      </c>
      <c r="E2443" s="78">
        <v>200</v>
      </c>
      <c r="F2443" s="78">
        <v>315665</v>
      </c>
      <c r="G2443" s="80" t="s">
        <v>116</v>
      </c>
      <c r="H2443" s="79">
        <v>44237</v>
      </c>
      <c r="I2443" s="78">
        <v>51601</v>
      </c>
      <c r="J2443" s="78">
        <v>76</v>
      </c>
      <c r="K2443" s="79">
        <v>44244</v>
      </c>
      <c r="L2443" s="78">
        <v>11239</v>
      </c>
      <c r="M2443" s="78">
        <v>20</v>
      </c>
    </row>
    <row r="2444" spans="2:13" ht="14.1" customHeight="1" x14ac:dyDescent="0.25">
      <c r="B2444" s="78" t="str">
        <f t="shared" si="40"/>
        <v>2102-66-315665</v>
      </c>
      <c r="C2444" s="79">
        <v>44235</v>
      </c>
      <c r="D2444" s="78">
        <v>66</v>
      </c>
      <c r="E2444" s="78">
        <v>200</v>
      </c>
      <c r="F2444" s="78">
        <v>315665</v>
      </c>
      <c r="G2444" s="80" t="s">
        <v>116</v>
      </c>
      <c r="H2444" s="79">
        <v>44237</v>
      </c>
      <c r="I2444" s="78">
        <v>51601</v>
      </c>
      <c r="J2444" s="78">
        <v>76</v>
      </c>
      <c r="K2444" s="79">
        <v>44249</v>
      </c>
      <c r="L2444" s="78">
        <v>11274</v>
      </c>
      <c r="M2444" s="78">
        <v>40</v>
      </c>
    </row>
    <row r="2445" spans="2:13" ht="14.1" customHeight="1" x14ac:dyDescent="0.25">
      <c r="B2445" s="78" t="str">
        <f t="shared" si="40"/>
        <v>2102-66-315665</v>
      </c>
      <c r="C2445" s="79">
        <v>44235</v>
      </c>
      <c r="D2445" s="78">
        <v>66</v>
      </c>
      <c r="E2445" s="78">
        <v>200</v>
      </c>
      <c r="F2445" s="78">
        <v>315665</v>
      </c>
      <c r="G2445" s="80" t="s">
        <v>116</v>
      </c>
      <c r="H2445" s="79">
        <v>44237</v>
      </c>
      <c r="I2445" s="78">
        <v>51601</v>
      </c>
      <c r="J2445" s="78">
        <v>76</v>
      </c>
      <c r="K2445" s="79">
        <v>44250</v>
      </c>
      <c r="L2445" s="78">
        <v>11299</v>
      </c>
      <c r="M2445" s="78">
        <v>8</v>
      </c>
    </row>
    <row r="2446" spans="2:13" ht="14.1" customHeight="1" x14ac:dyDescent="0.25">
      <c r="B2446" s="78" t="str">
        <f t="shared" si="40"/>
        <v>2102-66-315665</v>
      </c>
      <c r="C2446" s="79">
        <v>44235</v>
      </c>
      <c r="D2446" s="78">
        <v>66</v>
      </c>
      <c r="E2446" s="78">
        <v>200</v>
      </c>
      <c r="F2446" s="78">
        <v>315665</v>
      </c>
      <c r="G2446" s="80" t="s">
        <v>116</v>
      </c>
      <c r="H2446" s="79">
        <v>44244</v>
      </c>
      <c r="I2446" s="78">
        <v>51657</v>
      </c>
      <c r="J2446" s="78">
        <v>40</v>
      </c>
      <c r="K2446" s="79">
        <v>44244</v>
      </c>
      <c r="L2446" s="78">
        <v>11231</v>
      </c>
      <c r="M2446" s="78">
        <v>24</v>
      </c>
    </row>
    <row r="2447" spans="2:13" ht="14.1" customHeight="1" x14ac:dyDescent="0.25">
      <c r="B2447" s="78" t="str">
        <f t="shared" si="40"/>
        <v>2102-66-315665</v>
      </c>
      <c r="C2447" s="79">
        <v>44235</v>
      </c>
      <c r="D2447" s="78">
        <v>66</v>
      </c>
      <c r="E2447" s="78">
        <v>200</v>
      </c>
      <c r="F2447" s="78">
        <v>315665</v>
      </c>
      <c r="G2447" s="80" t="s">
        <v>116</v>
      </c>
      <c r="H2447" s="79">
        <v>44244</v>
      </c>
      <c r="I2447" s="78">
        <v>51657</v>
      </c>
      <c r="J2447" s="78">
        <v>40</v>
      </c>
      <c r="K2447" s="79">
        <v>44244</v>
      </c>
      <c r="L2447" s="78">
        <v>11232</v>
      </c>
      <c r="M2447" s="78">
        <v>24</v>
      </c>
    </row>
    <row r="2448" spans="2:13" ht="14.1" customHeight="1" x14ac:dyDescent="0.25">
      <c r="B2448" s="78" t="str">
        <f t="shared" si="40"/>
        <v>2102-66-315665</v>
      </c>
      <c r="C2448" s="79">
        <v>44235</v>
      </c>
      <c r="D2448" s="78">
        <v>66</v>
      </c>
      <c r="E2448" s="78">
        <v>200</v>
      </c>
      <c r="F2448" s="78">
        <v>315665</v>
      </c>
      <c r="G2448" s="80" t="s">
        <v>116</v>
      </c>
      <c r="H2448" s="79">
        <v>44244</v>
      </c>
      <c r="I2448" s="78">
        <v>51657</v>
      </c>
      <c r="J2448" s="78">
        <v>40</v>
      </c>
      <c r="K2448" s="79">
        <v>44244</v>
      </c>
      <c r="L2448" s="78">
        <v>11233</v>
      </c>
      <c r="M2448" s="78">
        <v>18</v>
      </c>
    </row>
    <row r="2449" spans="2:13" ht="14.1" customHeight="1" x14ac:dyDescent="0.25">
      <c r="B2449" s="78" t="str">
        <f t="shared" si="40"/>
        <v>2102-66-315665</v>
      </c>
      <c r="C2449" s="79">
        <v>44235</v>
      </c>
      <c r="D2449" s="78">
        <v>66</v>
      </c>
      <c r="E2449" s="78">
        <v>200</v>
      </c>
      <c r="F2449" s="78">
        <v>315665</v>
      </c>
      <c r="G2449" s="80" t="s">
        <v>116</v>
      </c>
      <c r="H2449" s="79">
        <v>44244</v>
      </c>
      <c r="I2449" s="78">
        <v>51657</v>
      </c>
      <c r="J2449" s="78">
        <v>40</v>
      </c>
      <c r="K2449" s="79">
        <v>44244</v>
      </c>
      <c r="L2449" s="78">
        <v>11235</v>
      </c>
      <c r="M2449" s="78">
        <v>40</v>
      </c>
    </row>
    <row r="2450" spans="2:13" ht="14.1" customHeight="1" x14ac:dyDescent="0.25">
      <c r="B2450" s="78" t="str">
        <f t="shared" si="40"/>
        <v>2102-66-315665</v>
      </c>
      <c r="C2450" s="79">
        <v>44235</v>
      </c>
      <c r="D2450" s="78">
        <v>66</v>
      </c>
      <c r="E2450" s="78">
        <v>200</v>
      </c>
      <c r="F2450" s="78">
        <v>315665</v>
      </c>
      <c r="G2450" s="80" t="s">
        <v>116</v>
      </c>
      <c r="H2450" s="79">
        <v>44244</v>
      </c>
      <c r="I2450" s="78">
        <v>51657</v>
      </c>
      <c r="J2450" s="78">
        <v>40</v>
      </c>
      <c r="K2450" s="79">
        <v>44244</v>
      </c>
      <c r="L2450" s="78">
        <v>11236</v>
      </c>
      <c r="M2450" s="78">
        <v>24</v>
      </c>
    </row>
    <row r="2451" spans="2:13" ht="14.1" customHeight="1" x14ac:dyDescent="0.25">
      <c r="B2451" s="78" t="str">
        <f t="shared" si="40"/>
        <v>2102-66-315665</v>
      </c>
      <c r="C2451" s="79">
        <v>44235</v>
      </c>
      <c r="D2451" s="78">
        <v>66</v>
      </c>
      <c r="E2451" s="78">
        <v>200</v>
      </c>
      <c r="F2451" s="78">
        <v>315665</v>
      </c>
      <c r="G2451" s="80" t="s">
        <v>116</v>
      </c>
      <c r="H2451" s="79">
        <v>44244</v>
      </c>
      <c r="I2451" s="78">
        <v>51657</v>
      </c>
      <c r="J2451" s="78">
        <v>40</v>
      </c>
      <c r="K2451" s="79">
        <v>44244</v>
      </c>
      <c r="L2451" s="78">
        <v>11239</v>
      </c>
      <c r="M2451" s="78">
        <v>20</v>
      </c>
    </row>
    <row r="2452" spans="2:13" ht="14.1" customHeight="1" x14ac:dyDescent="0.25">
      <c r="B2452" s="78" t="str">
        <f t="shared" si="40"/>
        <v>2102-66-315665</v>
      </c>
      <c r="C2452" s="79">
        <v>44235</v>
      </c>
      <c r="D2452" s="78">
        <v>66</v>
      </c>
      <c r="E2452" s="78">
        <v>200</v>
      </c>
      <c r="F2452" s="78">
        <v>315665</v>
      </c>
      <c r="G2452" s="80" t="s">
        <v>116</v>
      </c>
      <c r="H2452" s="79">
        <v>44244</v>
      </c>
      <c r="I2452" s="78">
        <v>51657</v>
      </c>
      <c r="J2452" s="78">
        <v>40</v>
      </c>
      <c r="K2452" s="79">
        <v>44249</v>
      </c>
      <c r="L2452" s="78">
        <v>11274</v>
      </c>
      <c r="M2452" s="78">
        <v>40</v>
      </c>
    </row>
    <row r="2453" spans="2:13" ht="14.1" customHeight="1" x14ac:dyDescent="0.25">
      <c r="B2453" s="78" t="str">
        <f t="shared" si="40"/>
        <v>2102-66-315665</v>
      </c>
      <c r="C2453" s="79">
        <v>44235</v>
      </c>
      <c r="D2453" s="78">
        <v>66</v>
      </c>
      <c r="E2453" s="78">
        <v>200</v>
      </c>
      <c r="F2453" s="78">
        <v>315665</v>
      </c>
      <c r="G2453" s="80" t="s">
        <v>116</v>
      </c>
      <c r="H2453" s="79">
        <v>44244</v>
      </c>
      <c r="I2453" s="78">
        <v>51657</v>
      </c>
      <c r="J2453" s="78">
        <v>40</v>
      </c>
      <c r="K2453" s="79">
        <v>44250</v>
      </c>
      <c r="L2453" s="78">
        <v>11299</v>
      </c>
      <c r="M2453" s="78">
        <v>8</v>
      </c>
    </row>
    <row r="2454" spans="2:13" ht="14.1" customHeight="1" x14ac:dyDescent="0.25">
      <c r="B2454" s="78" t="str">
        <f t="shared" ref="B2454:B2517" si="41">TEXT(C2454,"yy") &amp; TEXT(C2454,"mm") &amp;"-"&amp;(D2454) &amp;"-"&amp;(F2454)</f>
        <v>2102-66-315665</v>
      </c>
      <c r="C2454" s="79">
        <v>44235</v>
      </c>
      <c r="D2454" s="78">
        <v>66</v>
      </c>
      <c r="E2454" s="78">
        <v>200</v>
      </c>
      <c r="F2454" s="78">
        <v>315665</v>
      </c>
      <c r="G2454" s="80" t="s">
        <v>116</v>
      </c>
      <c r="H2454" s="79">
        <v>44244</v>
      </c>
      <c r="I2454" s="78">
        <v>51658</v>
      </c>
      <c r="J2454" s="78">
        <v>18</v>
      </c>
      <c r="K2454" s="79">
        <v>44244</v>
      </c>
      <c r="L2454" s="78">
        <v>11231</v>
      </c>
      <c r="M2454" s="78">
        <v>24</v>
      </c>
    </row>
    <row r="2455" spans="2:13" ht="14.1" customHeight="1" x14ac:dyDescent="0.25">
      <c r="B2455" s="78" t="str">
        <f t="shared" si="41"/>
        <v>2102-66-315665</v>
      </c>
      <c r="C2455" s="79">
        <v>44235</v>
      </c>
      <c r="D2455" s="78">
        <v>66</v>
      </c>
      <c r="E2455" s="78">
        <v>200</v>
      </c>
      <c r="F2455" s="78">
        <v>315665</v>
      </c>
      <c r="G2455" s="80" t="s">
        <v>116</v>
      </c>
      <c r="H2455" s="79">
        <v>44244</v>
      </c>
      <c r="I2455" s="78">
        <v>51658</v>
      </c>
      <c r="J2455" s="78">
        <v>18</v>
      </c>
      <c r="K2455" s="79">
        <v>44244</v>
      </c>
      <c r="L2455" s="78">
        <v>11232</v>
      </c>
      <c r="M2455" s="78">
        <v>24</v>
      </c>
    </row>
    <row r="2456" spans="2:13" ht="14.1" customHeight="1" x14ac:dyDescent="0.25">
      <c r="B2456" s="78" t="str">
        <f t="shared" si="41"/>
        <v>2102-66-315665</v>
      </c>
      <c r="C2456" s="79">
        <v>44235</v>
      </c>
      <c r="D2456" s="78">
        <v>66</v>
      </c>
      <c r="E2456" s="78">
        <v>200</v>
      </c>
      <c r="F2456" s="78">
        <v>315665</v>
      </c>
      <c r="G2456" s="80" t="s">
        <v>116</v>
      </c>
      <c r="H2456" s="79">
        <v>44244</v>
      </c>
      <c r="I2456" s="78">
        <v>51658</v>
      </c>
      <c r="J2456" s="78">
        <v>18</v>
      </c>
      <c r="K2456" s="79">
        <v>44244</v>
      </c>
      <c r="L2456" s="78">
        <v>11233</v>
      </c>
      <c r="M2456" s="78">
        <v>18</v>
      </c>
    </row>
    <row r="2457" spans="2:13" ht="14.1" customHeight="1" x14ac:dyDescent="0.25">
      <c r="B2457" s="78" t="str">
        <f t="shared" si="41"/>
        <v>2102-66-315665</v>
      </c>
      <c r="C2457" s="79">
        <v>44235</v>
      </c>
      <c r="D2457" s="78">
        <v>66</v>
      </c>
      <c r="E2457" s="78">
        <v>200</v>
      </c>
      <c r="F2457" s="78">
        <v>315665</v>
      </c>
      <c r="G2457" s="80" t="s">
        <v>116</v>
      </c>
      <c r="H2457" s="79">
        <v>44244</v>
      </c>
      <c r="I2457" s="78">
        <v>51658</v>
      </c>
      <c r="J2457" s="78">
        <v>18</v>
      </c>
      <c r="K2457" s="79">
        <v>44244</v>
      </c>
      <c r="L2457" s="78">
        <v>11235</v>
      </c>
      <c r="M2457" s="78">
        <v>40</v>
      </c>
    </row>
    <row r="2458" spans="2:13" ht="14.1" customHeight="1" x14ac:dyDescent="0.25">
      <c r="B2458" s="78" t="str">
        <f t="shared" si="41"/>
        <v>2102-66-315665</v>
      </c>
      <c r="C2458" s="79">
        <v>44235</v>
      </c>
      <c r="D2458" s="78">
        <v>66</v>
      </c>
      <c r="E2458" s="78">
        <v>200</v>
      </c>
      <c r="F2458" s="78">
        <v>315665</v>
      </c>
      <c r="G2458" s="80" t="s">
        <v>116</v>
      </c>
      <c r="H2458" s="79">
        <v>44244</v>
      </c>
      <c r="I2458" s="78">
        <v>51658</v>
      </c>
      <c r="J2458" s="78">
        <v>18</v>
      </c>
      <c r="K2458" s="79">
        <v>44244</v>
      </c>
      <c r="L2458" s="78">
        <v>11236</v>
      </c>
      <c r="M2458" s="78">
        <v>24</v>
      </c>
    </row>
    <row r="2459" spans="2:13" ht="14.1" customHeight="1" x14ac:dyDescent="0.25">
      <c r="B2459" s="78" t="str">
        <f t="shared" si="41"/>
        <v>2102-66-315665</v>
      </c>
      <c r="C2459" s="79">
        <v>44235</v>
      </c>
      <c r="D2459" s="78">
        <v>66</v>
      </c>
      <c r="E2459" s="78">
        <v>200</v>
      </c>
      <c r="F2459" s="78">
        <v>315665</v>
      </c>
      <c r="G2459" s="80" t="s">
        <v>116</v>
      </c>
      <c r="H2459" s="79">
        <v>44244</v>
      </c>
      <c r="I2459" s="78">
        <v>51658</v>
      </c>
      <c r="J2459" s="78">
        <v>18</v>
      </c>
      <c r="K2459" s="79">
        <v>44244</v>
      </c>
      <c r="L2459" s="78">
        <v>11239</v>
      </c>
      <c r="M2459" s="78">
        <v>20</v>
      </c>
    </row>
    <row r="2460" spans="2:13" ht="14.1" customHeight="1" x14ac:dyDescent="0.25">
      <c r="B2460" s="78" t="str">
        <f t="shared" si="41"/>
        <v>2102-66-315665</v>
      </c>
      <c r="C2460" s="79">
        <v>44235</v>
      </c>
      <c r="D2460" s="78">
        <v>66</v>
      </c>
      <c r="E2460" s="78">
        <v>200</v>
      </c>
      <c r="F2460" s="78">
        <v>315665</v>
      </c>
      <c r="G2460" s="80" t="s">
        <v>116</v>
      </c>
      <c r="H2460" s="79">
        <v>44244</v>
      </c>
      <c r="I2460" s="78">
        <v>51658</v>
      </c>
      <c r="J2460" s="78">
        <v>18</v>
      </c>
      <c r="K2460" s="79">
        <v>44249</v>
      </c>
      <c r="L2460" s="78">
        <v>11274</v>
      </c>
      <c r="M2460" s="78">
        <v>40</v>
      </c>
    </row>
    <row r="2461" spans="2:13" ht="14.1" customHeight="1" x14ac:dyDescent="0.25">
      <c r="B2461" s="78" t="str">
        <f t="shared" si="41"/>
        <v>2102-66-315665</v>
      </c>
      <c r="C2461" s="79">
        <v>44235</v>
      </c>
      <c r="D2461" s="78">
        <v>66</v>
      </c>
      <c r="E2461" s="78">
        <v>200</v>
      </c>
      <c r="F2461" s="78">
        <v>315665</v>
      </c>
      <c r="G2461" s="80" t="s">
        <v>116</v>
      </c>
      <c r="H2461" s="79">
        <v>44244</v>
      </c>
      <c r="I2461" s="78">
        <v>51658</v>
      </c>
      <c r="J2461" s="78">
        <v>18</v>
      </c>
      <c r="K2461" s="79">
        <v>44250</v>
      </c>
      <c r="L2461" s="78">
        <v>11299</v>
      </c>
      <c r="M2461" s="78">
        <v>8</v>
      </c>
    </row>
    <row r="2462" spans="2:13" ht="14.1" customHeight="1" x14ac:dyDescent="0.25">
      <c r="B2462" s="78" t="str">
        <f t="shared" si="41"/>
        <v>2102-66-315665</v>
      </c>
      <c r="C2462" s="79">
        <v>44235</v>
      </c>
      <c r="D2462" s="78">
        <v>66</v>
      </c>
      <c r="E2462" s="78">
        <v>200</v>
      </c>
      <c r="F2462" s="78">
        <v>315665</v>
      </c>
      <c r="G2462" s="80" t="s">
        <v>116</v>
      </c>
      <c r="H2462" s="79">
        <v>44247</v>
      </c>
      <c r="I2462" s="78">
        <v>51769</v>
      </c>
      <c r="J2462" s="78">
        <v>40</v>
      </c>
      <c r="K2462" s="79">
        <v>44244</v>
      </c>
      <c r="L2462" s="78">
        <v>11231</v>
      </c>
      <c r="M2462" s="78">
        <v>24</v>
      </c>
    </row>
    <row r="2463" spans="2:13" ht="14.1" customHeight="1" x14ac:dyDescent="0.25">
      <c r="B2463" s="78" t="str">
        <f t="shared" si="41"/>
        <v>2102-66-315665</v>
      </c>
      <c r="C2463" s="79">
        <v>44235</v>
      </c>
      <c r="D2463" s="78">
        <v>66</v>
      </c>
      <c r="E2463" s="78">
        <v>200</v>
      </c>
      <c r="F2463" s="78">
        <v>315665</v>
      </c>
      <c r="G2463" s="80" t="s">
        <v>116</v>
      </c>
      <c r="H2463" s="79">
        <v>44247</v>
      </c>
      <c r="I2463" s="78">
        <v>51769</v>
      </c>
      <c r="J2463" s="78">
        <v>40</v>
      </c>
      <c r="K2463" s="79">
        <v>44244</v>
      </c>
      <c r="L2463" s="78">
        <v>11232</v>
      </c>
      <c r="M2463" s="78">
        <v>24</v>
      </c>
    </row>
    <row r="2464" spans="2:13" ht="14.1" customHeight="1" x14ac:dyDescent="0.25">
      <c r="B2464" s="78" t="str">
        <f t="shared" si="41"/>
        <v>2102-66-315665</v>
      </c>
      <c r="C2464" s="79">
        <v>44235</v>
      </c>
      <c r="D2464" s="78">
        <v>66</v>
      </c>
      <c r="E2464" s="78">
        <v>200</v>
      </c>
      <c r="F2464" s="78">
        <v>315665</v>
      </c>
      <c r="G2464" s="80" t="s">
        <v>116</v>
      </c>
      <c r="H2464" s="79">
        <v>44247</v>
      </c>
      <c r="I2464" s="78">
        <v>51769</v>
      </c>
      <c r="J2464" s="78">
        <v>40</v>
      </c>
      <c r="K2464" s="79">
        <v>44244</v>
      </c>
      <c r="L2464" s="78">
        <v>11233</v>
      </c>
      <c r="M2464" s="78">
        <v>18</v>
      </c>
    </row>
    <row r="2465" spans="2:13" ht="14.1" customHeight="1" x14ac:dyDescent="0.25">
      <c r="B2465" s="78" t="str">
        <f t="shared" si="41"/>
        <v>2102-66-315665</v>
      </c>
      <c r="C2465" s="79">
        <v>44235</v>
      </c>
      <c r="D2465" s="78">
        <v>66</v>
      </c>
      <c r="E2465" s="78">
        <v>200</v>
      </c>
      <c r="F2465" s="78">
        <v>315665</v>
      </c>
      <c r="G2465" s="80" t="s">
        <v>116</v>
      </c>
      <c r="H2465" s="79">
        <v>44247</v>
      </c>
      <c r="I2465" s="78">
        <v>51769</v>
      </c>
      <c r="J2465" s="78">
        <v>40</v>
      </c>
      <c r="K2465" s="79">
        <v>44244</v>
      </c>
      <c r="L2465" s="78">
        <v>11235</v>
      </c>
      <c r="M2465" s="78">
        <v>40</v>
      </c>
    </row>
    <row r="2466" spans="2:13" ht="14.1" customHeight="1" x14ac:dyDescent="0.25">
      <c r="B2466" s="78" t="str">
        <f t="shared" si="41"/>
        <v>2102-66-315665</v>
      </c>
      <c r="C2466" s="79">
        <v>44235</v>
      </c>
      <c r="D2466" s="78">
        <v>66</v>
      </c>
      <c r="E2466" s="78">
        <v>200</v>
      </c>
      <c r="F2466" s="78">
        <v>315665</v>
      </c>
      <c r="G2466" s="80" t="s">
        <v>116</v>
      </c>
      <c r="H2466" s="79">
        <v>44247</v>
      </c>
      <c r="I2466" s="78">
        <v>51769</v>
      </c>
      <c r="J2466" s="78">
        <v>40</v>
      </c>
      <c r="K2466" s="79">
        <v>44244</v>
      </c>
      <c r="L2466" s="78">
        <v>11236</v>
      </c>
      <c r="M2466" s="78">
        <v>24</v>
      </c>
    </row>
    <row r="2467" spans="2:13" ht="14.1" customHeight="1" x14ac:dyDescent="0.25">
      <c r="B2467" s="78" t="str">
        <f t="shared" si="41"/>
        <v>2102-66-315665</v>
      </c>
      <c r="C2467" s="79">
        <v>44235</v>
      </c>
      <c r="D2467" s="78">
        <v>66</v>
      </c>
      <c r="E2467" s="78">
        <v>200</v>
      </c>
      <c r="F2467" s="78">
        <v>315665</v>
      </c>
      <c r="G2467" s="80" t="s">
        <v>116</v>
      </c>
      <c r="H2467" s="79">
        <v>44247</v>
      </c>
      <c r="I2467" s="78">
        <v>51769</v>
      </c>
      <c r="J2467" s="78">
        <v>40</v>
      </c>
      <c r="K2467" s="79">
        <v>44244</v>
      </c>
      <c r="L2467" s="78">
        <v>11239</v>
      </c>
      <c r="M2467" s="78">
        <v>20</v>
      </c>
    </row>
    <row r="2468" spans="2:13" ht="14.1" customHeight="1" x14ac:dyDescent="0.25">
      <c r="B2468" s="78" t="str">
        <f t="shared" si="41"/>
        <v>2102-66-315665</v>
      </c>
      <c r="C2468" s="79">
        <v>44235</v>
      </c>
      <c r="D2468" s="78">
        <v>66</v>
      </c>
      <c r="E2468" s="78">
        <v>200</v>
      </c>
      <c r="F2468" s="78">
        <v>315665</v>
      </c>
      <c r="G2468" s="80" t="s">
        <v>116</v>
      </c>
      <c r="H2468" s="79">
        <v>44247</v>
      </c>
      <c r="I2468" s="78">
        <v>51769</v>
      </c>
      <c r="J2468" s="78">
        <v>40</v>
      </c>
      <c r="K2468" s="79">
        <v>44249</v>
      </c>
      <c r="L2468" s="78">
        <v>11274</v>
      </c>
      <c r="M2468" s="78">
        <v>40</v>
      </c>
    </row>
    <row r="2469" spans="2:13" ht="14.1" customHeight="1" x14ac:dyDescent="0.25">
      <c r="B2469" s="78" t="str">
        <f t="shared" si="41"/>
        <v>2102-66-315665</v>
      </c>
      <c r="C2469" s="79">
        <v>44235</v>
      </c>
      <c r="D2469" s="78">
        <v>66</v>
      </c>
      <c r="E2469" s="78">
        <v>200</v>
      </c>
      <c r="F2469" s="78">
        <v>315665</v>
      </c>
      <c r="G2469" s="80" t="s">
        <v>116</v>
      </c>
      <c r="H2469" s="79">
        <v>44247</v>
      </c>
      <c r="I2469" s="78">
        <v>51769</v>
      </c>
      <c r="J2469" s="78">
        <v>40</v>
      </c>
      <c r="K2469" s="79">
        <v>44250</v>
      </c>
      <c r="L2469" s="78">
        <v>11299</v>
      </c>
      <c r="M2469" s="78">
        <v>8</v>
      </c>
    </row>
    <row r="2470" spans="2:13" ht="14.1" customHeight="1" x14ac:dyDescent="0.25">
      <c r="B2470" s="78" t="str">
        <f t="shared" si="41"/>
        <v>2102-67-202492</v>
      </c>
      <c r="C2470" s="79">
        <v>44235</v>
      </c>
      <c r="D2470" s="78">
        <v>67</v>
      </c>
      <c r="E2470" s="78">
        <v>1</v>
      </c>
      <c r="F2470" s="78">
        <v>202492</v>
      </c>
      <c r="G2470" s="80" t="s">
        <v>1119</v>
      </c>
      <c r="H2470" s="79">
        <v>44250</v>
      </c>
      <c r="I2470" s="78">
        <v>51807</v>
      </c>
      <c r="J2470" s="78">
        <v>1</v>
      </c>
      <c r="K2470" s="79">
        <v>44238</v>
      </c>
      <c r="L2470" s="78">
        <v>11168</v>
      </c>
      <c r="M2470" s="78">
        <v>1</v>
      </c>
    </row>
    <row r="2471" spans="2:13" ht="14.1" customHeight="1" x14ac:dyDescent="0.25">
      <c r="B2471" s="78" t="str">
        <f t="shared" si="41"/>
        <v>2102-68-301117</v>
      </c>
      <c r="C2471" s="79">
        <v>44235</v>
      </c>
      <c r="D2471" s="78">
        <v>68</v>
      </c>
      <c r="E2471" s="78">
        <v>30</v>
      </c>
      <c r="F2471" s="78">
        <v>301117</v>
      </c>
      <c r="G2471" s="80" t="s">
        <v>1603</v>
      </c>
      <c r="H2471" s="79">
        <v>44238</v>
      </c>
      <c r="I2471" s="78">
        <v>51635</v>
      </c>
      <c r="J2471" s="78">
        <v>30</v>
      </c>
      <c r="K2471" s="79">
        <v>44243</v>
      </c>
      <c r="L2471" s="78">
        <v>11206</v>
      </c>
      <c r="M2471" s="78">
        <v>30</v>
      </c>
    </row>
    <row r="2472" spans="2:13" ht="14.1" customHeight="1" x14ac:dyDescent="0.25">
      <c r="B2472" s="78" t="str">
        <f t="shared" si="41"/>
        <v>2102-68-200265</v>
      </c>
      <c r="C2472" s="79">
        <v>44235</v>
      </c>
      <c r="D2472" s="78">
        <v>68</v>
      </c>
      <c r="E2472" s="78">
        <v>12</v>
      </c>
      <c r="F2472" s="78">
        <v>200265</v>
      </c>
      <c r="G2472" s="80" t="s">
        <v>489</v>
      </c>
      <c r="H2472" s="79">
        <v>44238</v>
      </c>
      <c r="I2472" s="78">
        <v>51635</v>
      </c>
      <c r="J2472" s="78">
        <v>12</v>
      </c>
      <c r="K2472" s="79">
        <v>44243</v>
      </c>
      <c r="L2472" s="78">
        <v>11206</v>
      </c>
      <c r="M2472" s="78">
        <v>12</v>
      </c>
    </row>
    <row r="2473" spans="2:13" ht="14.1" customHeight="1" x14ac:dyDescent="0.25">
      <c r="B2473" s="78" t="str">
        <f t="shared" si="41"/>
        <v>2102-68-104070</v>
      </c>
      <c r="C2473" s="79">
        <v>44235</v>
      </c>
      <c r="D2473" s="78">
        <v>68</v>
      </c>
      <c r="E2473" s="78">
        <v>2</v>
      </c>
      <c r="F2473" s="78">
        <v>104070</v>
      </c>
      <c r="G2473" s="80" t="s">
        <v>1529</v>
      </c>
      <c r="H2473" s="79"/>
      <c r="I2473" s="78">
        <v>0</v>
      </c>
      <c r="J2473" s="78">
        <v>0</v>
      </c>
      <c r="K2473" s="79"/>
      <c r="L2473" s="78">
        <v>0</v>
      </c>
      <c r="M2473" s="78">
        <v>0</v>
      </c>
    </row>
    <row r="2474" spans="2:13" ht="14.1" customHeight="1" x14ac:dyDescent="0.25">
      <c r="B2474" s="78" t="str">
        <f t="shared" si="41"/>
        <v>2102-68-203928</v>
      </c>
      <c r="C2474" s="79">
        <v>44235</v>
      </c>
      <c r="D2474" s="78">
        <v>68</v>
      </c>
      <c r="E2474" s="78">
        <v>1</v>
      </c>
      <c r="F2474" s="78">
        <v>203928</v>
      </c>
      <c r="G2474" s="80" t="s">
        <v>1604</v>
      </c>
      <c r="H2474" s="79">
        <v>44238</v>
      </c>
      <c r="I2474" s="78">
        <v>51635</v>
      </c>
      <c r="J2474" s="78">
        <v>1</v>
      </c>
      <c r="K2474" s="79">
        <v>44243</v>
      </c>
      <c r="L2474" s="78">
        <v>11206</v>
      </c>
      <c r="M2474" s="78">
        <v>1</v>
      </c>
    </row>
    <row r="2475" spans="2:13" ht="14.1" customHeight="1" x14ac:dyDescent="0.25">
      <c r="B2475" s="78" t="str">
        <f t="shared" si="41"/>
        <v>2102-68-301851</v>
      </c>
      <c r="C2475" s="79">
        <v>44235</v>
      </c>
      <c r="D2475" s="78">
        <v>68</v>
      </c>
      <c r="E2475" s="78">
        <v>2</v>
      </c>
      <c r="F2475" s="78">
        <v>301851</v>
      </c>
      <c r="G2475" s="80" t="s">
        <v>133</v>
      </c>
      <c r="H2475" s="79">
        <v>44238</v>
      </c>
      <c r="I2475" s="78">
        <v>51635</v>
      </c>
      <c r="J2475" s="78">
        <v>2</v>
      </c>
      <c r="K2475" s="79">
        <v>44243</v>
      </c>
      <c r="L2475" s="78">
        <v>11206</v>
      </c>
      <c r="M2475" s="78">
        <v>2</v>
      </c>
    </row>
    <row r="2476" spans="2:13" ht="14.1" customHeight="1" x14ac:dyDescent="0.25">
      <c r="B2476" s="78" t="str">
        <f t="shared" si="41"/>
        <v>2102-68-311883</v>
      </c>
      <c r="C2476" s="79">
        <v>44235</v>
      </c>
      <c r="D2476" s="78">
        <v>68</v>
      </c>
      <c r="E2476" s="78">
        <v>1</v>
      </c>
      <c r="F2476" s="78">
        <v>311883</v>
      </c>
      <c r="G2476" s="80" t="s">
        <v>1605</v>
      </c>
      <c r="H2476" s="79">
        <v>44238</v>
      </c>
      <c r="I2476" s="78">
        <v>51635</v>
      </c>
      <c r="J2476" s="78">
        <v>1</v>
      </c>
      <c r="K2476" s="79">
        <v>44243</v>
      </c>
      <c r="L2476" s="78">
        <v>11206</v>
      </c>
      <c r="M2476" s="78">
        <v>1</v>
      </c>
    </row>
    <row r="2477" spans="2:13" ht="14.1" customHeight="1" x14ac:dyDescent="0.25">
      <c r="B2477" s="78" t="str">
        <f t="shared" si="41"/>
        <v>2102-69-203928</v>
      </c>
      <c r="C2477" s="79">
        <v>44235</v>
      </c>
      <c r="D2477" s="78">
        <v>69</v>
      </c>
      <c r="E2477" s="78">
        <v>1</v>
      </c>
      <c r="F2477" s="78">
        <v>203928</v>
      </c>
      <c r="G2477" s="80" t="s">
        <v>1604</v>
      </c>
      <c r="H2477" s="79">
        <v>44238</v>
      </c>
      <c r="I2477" s="78">
        <v>51636</v>
      </c>
      <c r="J2477" s="78">
        <v>1</v>
      </c>
      <c r="K2477" s="79">
        <v>44243</v>
      </c>
      <c r="L2477" s="78">
        <v>11208</v>
      </c>
      <c r="M2477" s="78">
        <v>1</v>
      </c>
    </row>
    <row r="2478" spans="2:13" ht="14.1" customHeight="1" x14ac:dyDescent="0.25">
      <c r="B2478" s="78" t="str">
        <f t="shared" si="41"/>
        <v>2102-69-200683</v>
      </c>
      <c r="C2478" s="79">
        <v>44235</v>
      </c>
      <c r="D2478" s="78">
        <v>69</v>
      </c>
      <c r="E2478" s="78">
        <v>20</v>
      </c>
      <c r="F2478" s="78">
        <v>200683</v>
      </c>
      <c r="G2478" s="80" t="s">
        <v>493</v>
      </c>
      <c r="H2478" s="79">
        <v>44238</v>
      </c>
      <c r="I2478" s="78">
        <v>51636</v>
      </c>
      <c r="J2478" s="78">
        <v>20</v>
      </c>
      <c r="K2478" s="79">
        <v>44243</v>
      </c>
      <c r="L2478" s="78">
        <v>11208</v>
      </c>
      <c r="M2478" s="78">
        <v>20</v>
      </c>
    </row>
    <row r="2479" spans="2:13" ht="14.1" customHeight="1" x14ac:dyDescent="0.25">
      <c r="B2479" s="78" t="str">
        <f t="shared" si="41"/>
        <v>2102-69-203743</v>
      </c>
      <c r="C2479" s="79">
        <v>44235</v>
      </c>
      <c r="D2479" s="78">
        <v>69</v>
      </c>
      <c r="E2479" s="78">
        <v>12</v>
      </c>
      <c r="F2479" s="78">
        <v>203743</v>
      </c>
      <c r="G2479" s="80" t="s">
        <v>1606</v>
      </c>
      <c r="H2479" s="79">
        <v>44238</v>
      </c>
      <c r="I2479" s="78">
        <v>51636</v>
      </c>
      <c r="J2479" s="78">
        <v>12</v>
      </c>
      <c r="K2479" s="79">
        <v>44243</v>
      </c>
      <c r="L2479" s="78">
        <v>11208</v>
      </c>
      <c r="M2479" s="78">
        <v>11</v>
      </c>
    </row>
    <row r="2480" spans="2:13" ht="14.1" customHeight="1" x14ac:dyDescent="0.25">
      <c r="B2480" s="78" t="str">
        <f t="shared" si="41"/>
        <v>2102-69-301851</v>
      </c>
      <c r="C2480" s="79">
        <v>44235</v>
      </c>
      <c r="D2480" s="78">
        <v>69</v>
      </c>
      <c r="E2480" s="78">
        <v>2</v>
      </c>
      <c r="F2480" s="78">
        <v>301851</v>
      </c>
      <c r="G2480" s="80" t="s">
        <v>133</v>
      </c>
      <c r="H2480" s="79">
        <v>44238</v>
      </c>
      <c r="I2480" s="78">
        <v>51636</v>
      </c>
      <c r="J2480" s="78">
        <v>2</v>
      </c>
      <c r="K2480" s="79">
        <v>44243</v>
      </c>
      <c r="L2480" s="78">
        <v>11208</v>
      </c>
      <c r="M2480" s="78">
        <v>2</v>
      </c>
    </row>
    <row r="2481" spans="2:13" ht="14.1" customHeight="1" x14ac:dyDescent="0.25">
      <c r="B2481" s="78" t="str">
        <f t="shared" si="41"/>
        <v>2102-70-200751</v>
      </c>
      <c r="C2481" s="79">
        <v>44235</v>
      </c>
      <c r="D2481" s="78">
        <v>70</v>
      </c>
      <c r="E2481" s="78">
        <v>50000</v>
      </c>
      <c r="F2481" s="78">
        <v>200751</v>
      </c>
      <c r="G2481" s="80" t="s">
        <v>151</v>
      </c>
      <c r="H2481" s="79">
        <v>44238</v>
      </c>
      <c r="I2481" s="78">
        <v>51614</v>
      </c>
      <c r="J2481" s="78">
        <v>10000</v>
      </c>
      <c r="K2481" s="79">
        <v>44236</v>
      </c>
      <c r="L2481" s="78">
        <v>11149</v>
      </c>
      <c r="M2481" s="78">
        <v>10000</v>
      </c>
    </row>
    <row r="2482" spans="2:13" ht="14.1" customHeight="1" x14ac:dyDescent="0.25">
      <c r="B2482" s="78" t="str">
        <f t="shared" si="41"/>
        <v>2102-70-200751</v>
      </c>
      <c r="C2482" s="79">
        <v>44235</v>
      </c>
      <c r="D2482" s="78">
        <v>70</v>
      </c>
      <c r="E2482" s="78">
        <v>50000</v>
      </c>
      <c r="F2482" s="78">
        <v>200751</v>
      </c>
      <c r="G2482" s="80" t="s">
        <v>151</v>
      </c>
      <c r="H2482" s="79">
        <v>44238</v>
      </c>
      <c r="I2482" s="78">
        <v>51614</v>
      </c>
      <c r="J2482" s="78">
        <v>10000</v>
      </c>
      <c r="K2482" s="79">
        <v>44236</v>
      </c>
      <c r="L2482" s="78">
        <v>11150</v>
      </c>
      <c r="M2482" s="78">
        <v>10000</v>
      </c>
    </row>
    <row r="2483" spans="2:13" ht="14.1" customHeight="1" x14ac:dyDescent="0.25">
      <c r="B2483" s="78" t="str">
        <f t="shared" si="41"/>
        <v>2102-70-200751</v>
      </c>
      <c r="C2483" s="79">
        <v>44235</v>
      </c>
      <c r="D2483" s="78">
        <v>70</v>
      </c>
      <c r="E2483" s="78">
        <v>50000</v>
      </c>
      <c r="F2483" s="78">
        <v>200751</v>
      </c>
      <c r="G2483" s="80" t="s">
        <v>151</v>
      </c>
      <c r="H2483" s="79">
        <v>44238</v>
      </c>
      <c r="I2483" s="78">
        <v>51614</v>
      </c>
      <c r="J2483" s="78">
        <v>10000</v>
      </c>
      <c r="K2483" s="79">
        <v>44238</v>
      </c>
      <c r="L2483" s="78">
        <v>11164</v>
      </c>
      <c r="M2483" s="78">
        <v>10000</v>
      </c>
    </row>
    <row r="2484" spans="2:13" ht="14.1" customHeight="1" x14ac:dyDescent="0.25">
      <c r="B2484" s="78" t="str">
        <f t="shared" si="41"/>
        <v>2102-70-200751</v>
      </c>
      <c r="C2484" s="79">
        <v>44235</v>
      </c>
      <c r="D2484" s="78">
        <v>70</v>
      </c>
      <c r="E2484" s="78">
        <v>50000</v>
      </c>
      <c r="F2484" s="78">
        <v>200751</v>
      </c>
      <c r="G2484" s="80" t="s">
        <v>151</v>
      </c>
      <c r="H2484" s="79">
        <v>44238</v>
      </c>
      <c r="I2484" s="78">
        <v>51614</v>
      </c>
      <c r="J2484" s="78">
        <v>10000</v>
      </c>
      <c r="K2484" s="79">
        <v>44239</v>
      </c>
      <c r="L2484" s="78">
        <v>11175</v>
      </c>
      <c r="M2484" s="78">
        <v>10000</v>
      </c>
    </row>
    <row r="2485" spans="2:13" ht="14.1" customHeight="1" x14ac:dyDescent="0.25">
      <c r="B2485" s="78" t="str">
        <f t="shared" si="41"/>
        <v>2102-70-200751</v>
      </c>
      <c r="C2485" s="79">
        <v>44235</v>
      </c>
      <c r="D2485" s="78">
        <v>70</v>
      </c>
      <c r="E2485" s="78">
        <v>50000</v>
      </c>
      <c r="F2485" s="78">
        <v>200751</v>
      </c>
      <c r="G2485" s="80" t="s">
        <v>151</v>
      </c>
      <c r="H2485" s="79">
        <v>44238</v>
      </c>
      <c r="I2485" s="78">
        <v>51614</v>
      </c>
      <c r="J2485" s="78">
        <v>10000</v>
      </c>
      <c r="K2485" s="79">
        <v>44239</v>
      </c>
      <c r="L2485" s="78">
        <v>11178</v>
      </c>
      <c r="M2485" s="78">
        <v>10000</v>
      </c>
    </row>
    <row r="2486" spans="2:13" ht="14.1" customHeight="1" x14ac:dyDescent="0.25">
      <c r="B2486" s="78" t="str">
        <f t="shared" si="41"/>
        <v>2102-70-200751</v>
      </c>
      <c r="C2486" s="79">
        <v>44235</v>
      </c>
      <c r="D2486" s="78">
        <v>70</v>
      </c>
      <c r="E2486" s="78">
        <v>50000</v>
      </c>
      <c r="F2486" s="78">
        <v>200751</v>
      </c>
      <c r="G2486" s="80" t="s">
        <v>151</v>
      </c>
      <c r="H2486" s="79">
        <v>44238</v>
      </c>
      <c r="I2486" s="78">
        <v>51616</v>
      </c>
      <c r="J2486" s="78">
        <v>10000</v>
      </c>
      <c r="K2486" s="79">
        <v>44236</v>
      </c>
      <c r="L2486" s="78">
        <v>11149</v>
      </c>
      <c r="M2486" s="78">
        <v>10000</v>
      </c>
    </row>
    <row r="2487" spans="2:13" ht="14.1" customHeight="1" x14ac:dyDescent="0.25">
      <c r="B2487" s="78" t="str">
        <f t="shared" si="41"/>
        <v>2102-70-200751</v>
      </c>
      <c r="C2487" s="79">
        <v>44235</v>
      </c>
      <c r="D2487" s="78">
        <v>70</v>
      </c>
      <c r="E2487" s="78">
        <v>50000</v>
      </c>
      <c r="F2487" s="78">
        <v>200751</v>
      </c>
      <c r="G2487" s="80" t="s">
        <v>151</v>
      </c>
      <c r="H2487" s="79">
        <v>44238</v>
      </c>
      <c r="I2487" s="78">
        <v>51616</v>
      </c>
      <c r="J2487" s="78">
        <v>10000</v>
      </c>
      <c r="K2487" s="79">
        <v>44236</v>
      </c>
      <c r="L2487" s="78">
        <v>11150</v>
      </c>
      <c r="M2487" s="78">
        <v>10000</v>
      </c>
    </row>
    <row r="2488" spans="2:13" ht="14.1" customHeight="1" x14ac:dyDescent="0.25">
      <c r="B2488" s="78" t="str">
        <f t="shared" si="41"/>
        <v>2102-70-200751</v>
      </c>
      <c r="C2488" s="79">
        <v>44235</v>
      </c>
      <c r="D2488" s="78">
        <v>70</v>
      </c>
      <c r="E2488" s="78">
        <v>50000</v>
      </c>
      <c r="F2488" s="78">
        <v>200751</v>
      </c>
      <c r="G2488" s="80" t="s">
        <v>151</v>
      </c>
      <c r="H2488" s="79">
        <v>44238</v>
      </c>
      <c r="I2488" s="78">
        <v>51616</v>
      </c>
      <c r="J2488" s="78">
        <v>10000</v>
      </c>
      <c r="K2488" s="79">
        <v>44238</v>
      </c>
      <c r="L2488" s="78">
        <v>11164</v>
      </c>
      <c r="M2488" s="78">
        <v>10000</v>
      </c>
    </row>
    <row r="2489" spans="2:13" ht="14.1" customHeight="1" x14ac:dyDescent="0.25">
      <c r="B2489" s="78" t="str">
        <f t="shared" si="41"/>
        <v>2102-70-200751</v>
      </c>
      <c r="C2489" s="79">
        <v>44235</v>
      </c>
      <c r="D2489" s="78">
        <v>70</v>
      </c>
      <c r="E2489" s="78">
        <v>50000</v>
      </c>
      <c r="F2489" s="78">
        <v>200751</v>
      </c>
      <c r="G2489" s="80" t="s">
        <v>151</v>
      </c>
      <c r="H2489" s="79">
        <v>44238</v>
      </c>
      <c r="I2489" s="78">
        <v>51616</v>
      </c>
      <c r="J2489" s="78">
        <v>10000</v>
      </c>
      <c r="K2489" s="79">
        <v>44239</v>
      </c>
      <c r="L2489" s="78">
        <v>11175</v>
      </c>
      <c r="M2489" s="78">
        <v>10000</v>
      </c>
    </row>
    <row r="2490" spans="2:13" ht="14.1" customHeight="1" x14ac:dyDescent="0.25">
      <c r="B2490" s="78" t="str">
        <f t="shared" si="41"/>
        <v>2102-70-200751</v>
      </c>
      <c r="C2490" s="79">
        <v>44235</v>
      </c>
      <c r="D2490" s="78">
        <v>70</v>
      </c>
      <c r="E2490" s="78">
        <v>50000</v>
      </c>
      <c r="F2490" s="78">
        <v>200751</v>
      </c>
      <c r="G2490" s="80" t="s">
        <v>151</v>
      </c>
      <c r="H2490" s="79">
        <v>44238</v>
      </c>
      <c r="I2490" s="78">
        <v>51616</v>
      </c>
      <c r="J2490" s="78">
        <v>10000</v>
      </c>
      <c r="K2490" s="79">
        <v>44239</v>
      </c>
      <c r="L2490" s="78">
        <v>11178</v>
      </c>
      <c r="M2490" s="78">
        <v>10000</v>
      </c>
    </row>
    <row r="2491" spans="2:13" ht="14.1" customHeight="1" x14ac:dyDescent="0.25">
      <c r="B2491" s="78" t="str">
        <f t="shared" si="41"/>
        <v>2102-70-200751</v>
      </c>
      <c r="C2491" s="79">
        <v>44235</v>
      </c>
      <c r="D2491" s="78">
        <v>70</v>
      </c>
      <c r="E2491" s="78">
        <v>50000</v>
      </c>
      <c r="F2491" s="78">
        <v>200751</v>
      </c>
      <c r="G2491" s="80" t="s">
        <v>151</v>
      </c>
      <c r="H2491" s="79">
        <v>44238</v>
      </c>
      <c r="I2491" s="78">
        <v>51618</v>
      </c>
      <c r="J2491" s="78">
        <v>10000</v>
      </c>
      <c r="K2491" s="79">
        <v>44236</v>
      </c>
      <c r="L2491" s="78">
        <v>11149</v>
      </c>
      <c r="M2491" s="78">
        <v>10000</v>
      </c>
    </row>
    <row r="2492" spans="2:13" ht="14.1" customHeight="1" x14ac:dyDescent="0.25">
      <c r="B2492" s="78" t="str">
        <f t="shared" si="41"/>
        <v>2102-70-200751</v>
      </c>
      <c r="C2492" s="79">
        <v>44235</v>
      </c>
      <c r="D2492" s="78">
        <v>70</v>
      </c>
      <c r="E2492" s="78">
        <v>50000</v>
      </c>
      <c r="F2492" s="78">
        <v>200751</v>
      </c>
      <c r="G2492" s="80" t="s">
        <v>151</v>
      </c>
      <c r="H2492" s="79">
        <v>44238</v>
      </c>
      <c r="I2492" s="78">
        <v>51618</v>
      </c>
      <c r="J2492" s="78">
        <v>10000</v>
      </c>
      <c r="K2492" s="79">
        <v>44236</v>
      </c>
      <c r="L2492" s="78">
        <v>11150</v>
      </c>
      <c r="M2492" s="78">
        <v>10000</v>
      </c>
    </row>
    <row r="2493" spans="2:13" ht="14.1" customHeight="1" x14ac:dyDescent="0.25">
      <c r="B2493" s="78" t="str">
        <f t="shared" si="41"/>
        <v>2102-70-200751</v>
      </c>
      <c r="C2493" s="79">
        <v>44235</v>
      </c>
      <c r="D2493" s="78">
        <v>70</v>
      </c>
      <c r="E2493" s="78">
        <v>50000</v>
      </c>
      <c r="F2493" s="78">
        <v>200751</v>
      </c>
      <c r="G2493" s="80" t="s">
        <v>151</v>
      </c>
      <c r="H2493" s="79">
        <v>44238</v>
      </c>
      <c r="I2493" s="78">
        <v>51618</v>
      </c>
      <c r="J2493" s="78">
        <v>10000</v>
      </c>
      <c r="K2493" s="79">
        <v>44238</v>
      </c>
      <c r="L2493" s="78">
        <v>11164</v>
      </c>
      <c r="M2493" s="78">
        <v>10000</v>
      </c>
    </row>
    <row r="2494" spans="2:13" ht="14.1" customHeight="1" x14ac:dyDescent="0.25">
      <c r="B2494" s="78" t="str">
        <f t="shared" si="41"/>
        <v>2102-70-200751</v>
      </c>
      <c r="C2494" s="79">
        <v>44235</v>
      </c>
      <c r="D2494" s="78">
        <v>70</v>
      </c>
      <c r="E2494" s="78">
        <v>50000</v>
      </c>
      <c r="F2494" s="78">
        <v>200751</v>
      </c>
      <c r="G2494" s="80" t="s">
        <v>151</v>
      </c>
      <c r="H2494" s="79">
        <v>44238</v>
      </c>
      <c r="I2494" s="78">
        <v>51618</v>
      </c>
      <c r="J2494" s="78">
        <v>10000</v>
      </c>
      <c r="K2494" s="79">
        <v>44239</v>
      </c>
      <c r="L2494" s="78">
        <v>11175</v>
      </c>
      <c r="M2494" s="78">
        <v>10000</v>
      </c>
    </row>
    <row r="2495" spans="2:13" ht="14.1" customHeight="1" x14ac:dyDescent="0.25">
      <c r="B2495" s="78" t="str">
        <f t="shared" si="41"/>
        <v>2102-70-200751</v>
      </c>
      <c r="C2495" s="79">
        <v>44235</v>
      </c>
      <c r="D2495" s="78">
        <v>70</v>
      </c>
      <c r="E2495" s="78">
        <v>50000</v>
      </c>
      <c r="F2495" s="78">
        <v>200751</v>
      </c>
      <c r="G2495" s="80" t="s">
        <v>151</v>
      </c>
      <c r="H2495" s="79">
        <v>44238</v>
      </c>
      <c r="I2495" s="78">
        <v>51618</v>
      </c>
      <c r="J2495" s="78">
        <v>10000</v>
      </c>
      <c r="K2495" s="79">
        <v>44239</v>
      </c>
      <c r="L2495" s="78">
        <v>11178</v>
      </c>
      <c r="M2495" s="78">
        <v>10000</v>
      </c>
    </row>
    <row r="2496" spans="2:13" ht="14.1" customHeight="1" x14ac:dyDescent="0.25">
      <c r="B2496" s="78" t="str">
        <f t="shared" si="41"/>
        <v>2102-70-200751</v>
      </c>
      <c r="C2496" s="79">
        <v>44235</v>
      </c>
      <c r="D2496" s="78">
        <v>70</v>
      </c>
      <c r="E2496" s="78">
        <v>50000</v>
      </c>
      <c r="F2496" s="78">
        <v>200751</v>
      </c>
      <c r="G2496" s="80" t="s">
        <v>151</v>
      </c>
      <c r="H2496" s="79">
        <v>44239</v>
      </c>
      <c r="I2496" s="78">
        <v>51678</v>
      </c>
      <c r="J2496" s="78">
        <v>10000</v>
      </c>
      <c r="K2496" s="79">
        <v>44236</v>
      </c>
      <c r="L2496" s="78">
        <v>11149</v>
      </c>
      <c r="M2496" s="78">
        <v>10000</v>
      </c>
    </row>
    <row r="2497" spans="2:13" ht="14.1" customHeight="1" x14ac:dyDescent="0.25">
      <c r="B2497" s="78" t="str">
        <f t="shared" si="41"/>
        <v>2102-70-200751</v>
      </c>
      <c r="C2497" s="79">
        <v>44235</v>
      </c>
      <c r="D2497" s="78">
        <v>70</v>
      </c>
      <c r="E2497" s="78">
        <v>50000</v>
      </c>
      <c r="F2497" s="78">
        <v>200751</v>
      </c>
      <c r="G2497" s="80" t="s">
        <v>151</v>
      </c>
      <c r="H2497" s="79">
        <v>44239</v>
      </c>
      <c r="I2497" s="78">
        <v>51678</v>
      </c>
      <c r="J2497" s="78">
        <v>10000</v>
      </c>
      <c r="K2497" s="79">
        <v>44236</v>
      </c>
      <c r="L2497" s="78">
        <v>11150</v>
      </c>
      <c r="M2497" s="78">
        <v>10000</v>
      </c>
    </row>
    <row r="2498" spans="2:13" ht="14.1" customHeight="1" x14ac:dyDescent="0.25">
      <c r="B2498" s="78" t="str">
        <f t="shared" si="41"/>
        <v>2102-70-200751</v>
      </c>
      <c r="C2498" s="79">
        <v>44235</v>
      </c>
      <c r="D2498" s="78">
        <v>70</v>
      </c>
      <c r="E2498" s="78">
        <v>50000</v>
      </c>
      <c r="F2498" s="78">
        <v>200751</v>
      </c>
      <c r="G2498" s="80" t="s">
        <v>151</v>
      </c>
      <c r="H2498" s="79">
        <v>44239</v>
      </c>
      <c r="I2498" s="78">
        <v>51678</v>
      </c>
      <c r="J2498" s="78">
        <v>10000</v>
      </c>
      <c r="K2498" s="79">
        <v>44238</v>
      </c>
      <c r="L2498" s="78">
        <v>11164</v>
      </c>
      <c r="M2498" s="78">
        <v>10000</v>
      </c>
    </row>
    <row r="2499" spans="2:13" ht="14.1" customHeight="1" x14ac:dyDescent="0.25">
      <c r="B2499" s="78" t="str">
        <f t="shared" si="41"/>
        <v>2102-70-200751</v>
      </c>
      <c r="C2499" s="79">
        <v>44235</v>
      </c>
      <c r="D2499" s="78">
        <v>70</v>
      </c>
      <c r="E2499" s="78">
        <v>50000</v>
      </c>
      <c r="F2499" s="78">
        <v>200751</v>
      </c>
      <c r="G2499" s="80" t="s">
        <v>151</v>
      </c>
      <c r="H2499" s="79">
        <v>44239</v>
      </c>
      <c r="I2499" s="78">
        <v>51678</v>
      </c>
      <c r="J2499" s="78">
        <v>10000</v>
      </c>
      <c r="K2499" s="79">
        <v>44239</v>
      </c>
      <c r="L2499" s="78">
        <v>11175</v>
      </c>
      <c r="M2499" s="78">
        <v>10000</v>
      </c>
    </row>
    <row r="2500" spans="2:13" ht="14.1" customHeight="1" x14ac:dyDescent="0.25">
      <c r="B2500" s="78" t="str">
        <f t="shared" si="41"/>
        <v>2102-70-200751</v>
      </c>
      <c r="C2500" s="79">
        <v>44235</v>
      </c>
      <c r="D2500" s="78">
        <v>70</v>
      </c>
      <c r="E2500" s="78">
        <v>50000</v>
      </c>
      <c r="F2500" s="78">
        <v>200751</v>
      </c>
      <c r="G2500" s="80" t="s">
        <v>151</v>
      </c>
      <c r="H2500" s="79">
        <v>44239</v>
      </c>
      <c r="I2500" s="78">
        <v>51678</v>
      </c>
      <c r="J2500" s="78">
        <v>10000</v>
      </c>
      <c r="K2500" s="79">
        <v>44239</v>
      </c>
      <c r="L2500" s="78">
        <v>11178</v>
      </c>
      <c r="M2500" s="78">
        <v>10000</v>
      </c>
    </row>
    <row r="2501" spans="2:13" ht="14.1" customHeight="1" x14ac:dyDescent="0.25">
      <c r="B2501" s="78" t="str">
        <f t="shared" si="41"/>
        <v>2102-70-200751</v>
      </c>
      <c r="C2501" s="79">
        <v>44235</v>
      </c>
      <c r="D2501" s="78">
        <v>70</v>
      </c>
      <c r="E2501" s="78">
        <v>50000</v>
      </c>
      <c r="F2501" s="78">
        <v>200751</v>
      </c>
      <c r="G2501" s="80" t="s">
        <v>151</v>
      </c>
      <c r="H2501" s="79">
        <v>44245</v>
      </c>
      <c r="I2501" s="78">
        <v>51676</v>
      </c>
      <c r="J2501" s="78">
        <v>10000</v>
      </c>
      <c r="K2501" s="79">
        <v>44236</v>
      </c>
      <c r="L2501" s="78">
        <v>11149</v>
      </c>
      <c r="M2501" s="78">
        <v>10000</v>
      </c>
    </row>
    <row r="2502" spans="2:13" ht="14.1" customHeight="1" x14ac:dyDescent="0.25">
      <c r="B2502" s="78" t="str">
        <f t="shared" si="41"/>
        <v>2102-70-200751</v>
      </c>
      <c r="C2502" s="79">
        <v>44235</v>
      </c>
      <c r="D2502" s="78">
        <v>70</v>
      </c>
      <c r="E2502" s="78">
        <v>50000</v>
      </c>
      <c r="F2502" s="78">
        <v>200751</v>
      </c>
      <c r="G2502" s="80" t="s">
        <v>151</v>
      </c>
      <c r="H2502" s="79">
        <v>44245</v>
      </c>
      <c r="I2502" s="78">
        <v>51676</v>
      </c>
      <c r="J2502" s="78">
        <v>10000</v>
      </c>
      <c r="K2502" s="79">
        <v>44236</v>
      </c>
      <c r="L2502" s="78">
        <v>11150</v>
      </c>
      <c r="M2502" s="78">
        <v>10000</v>
      </c>
    </row>
    <row r="2503" spans="2:13" ht="14.1" customHeight="1" x14ac:dyDescent="0.25">
      <c r="B2503" s="78" t="str">
        <f t="shared" si="41"/>
        <v>2102-70-200751</v>
      </c>
      <c r="C2503" s="79">
        <v>44235</v>
      </c>
      <c r="D2503" s="78">
        <v>70</v>
      </c>
      <c r="E2503" s="78">
        <v>50000</v>
      </c>
      <c r="F2503" s="78">
        <v>200751</v>
      </c>
      <c r="G2503" s="80" t="s">
        <v>151</v>
      </c>
      <c r="H2503" s="79">
        <v>44245</v>
      </c>
      <c r="I2503" s="78">
        <v>51676</v>
      </c>
      <c r="J2503" s="78">
        <v>10000</v>
      </c>
      <c r="K2503" s="79">
        <v>44238</v>
      </c>
      <c r="L2503" s="78">
        <v>11164</v>
      </c>
      <c r="M2503" s="78">
        <v>10000</v>
      </c>
    </row>
    <row r="2504" spans="2:13" ht="14.1" customHeight="1" x14ac:dyDescent="0.25">
      <c r="B2504" s="78" t="str">
        <f t="shared" si="41"/>
        <v>2102-70-200751</v>
      </c>
      <c r="C2504" s="79">
        <v>44235</v>
      </c>
      <c r="D2504" s="78">
        <v>70</v>
      </c>
      <c r="E2504" s="78">
        <v>50000</v>
      </c>
      <c r="F2504" s="78">
        <v>200751</v>
      </c>
      <c r="G2504" s="80" t="s">
        <v>151</v>
      </c>
      <c r="H2504" s="79">
        <v>44245</v>
      </c>
      <c r="I2504" s="78">
        <v>51676</v>
      </c>
      <c r="J2504" s="78">
        <v>10000</v>
      </c>
      <c r="K2504" s="79">
        <v>44239</v>
      </c>
      <c r="L2504" s="78">
        <v>11175</v>
      </c>
      <c r="M2504" s="78">
        <v>10000</v>
      </c>
    </row>
    <row r="2505" spans="2:13" ht="14.1" customHeight="1" x14ac:dyDescent="0.25">
      <c r="B2505" s="78" t="str">
        <f t="shared" si="41"/>
        <v>2102-70-200751</v>
      </c>
      <c r="C2505" s="79">
        <v>44235</v>
      </c>
      <c r="D2505" s="78">
        <v>70</v>
      </c>
      <c r="E2505" s="78">
        <v>50000</v>
      </c>
      <c r="F2505" s="78">
        <v>200751</v>
      </c>
      <c r="G2505" s="80" t="s">
        <v>151</v>
      </c>
      <c r="H2505" s="79">
        <v>44245</v>
      </c>
      <c r="I2505" s="78">
        <v>51676</v>
      </c>
      <c r="J2505" s="78">
        <v>10000</v>
      </c>
      <c r="K2505" s="79">
        <v>44239</v>
      </c>
      <c r="L2505" s="78">
        <v>11178</v>
      </c>
      <c r="M2505" s="78">
        <v>10000</v>
      </c>
    </row>
    <row r="2506" spans="2:13" ht="14.1" customHeight="1" x14ac:dyDescent="0.25">
      <c r="B2506" s="78" t="str">
        <f t="shared" si="41"/>
        <v>2102-71-206710</v>
      </c>
      <c r="C2506" s="79">
        <v>44235</v>
      </c>
      <c r="D2506" s="78">
        <v>71</v>
      </c>
      <c r="E2506" s="78">
        <v>4</v>
      </c>
      <c r="F2506" s="78">
        <v>206710</v>
      </c>
      <c r="G2506" s="80" t="s">
        <v>1607</v>
      </c>
      <c r="H2506" s="79">
        <v>44238</v>
      </c>
      <c r="I2506" s="78">
        <v>51620</v>
      </c>
      <c r="J2506" s="78">
        <v>4</v>
      </c>
      <c r="K2506" s="79">
        <v>44243</v>
      </c>
      <c r="L2506" s="78">
        <v>11205</v>
      </c>
      <c r="M2506" s="78">
        <v>4</v>
      </c>
    </row>
    <row r="2507" spans="2:13" ht="14.1" customHeight="1" x14ac:dyDescent="0.25">
      <c r="B2507" s="78" t="str">
        <f t="shared" si="41"/>
        <v>2102-71-203029</v>
      </c>
      <c r="C2507" s="79">
        <v>44235</v>
      </c>
      <c r="D2507" s="78">
        <v>71</v>
      </c>
      <c r="E2507" s="78">
        <v>2</v>
      </c>
      <c r="F2507" s="78">
        <v>203029</v>
      </c>
      <c r="G2507" s="80" t="s">
        <v>1608</v>
      </c>
      <c r="H2507" s="79">
        <v>44238</v>
      </c>
      <c r="I2507" s="78">
        <v>51620</v>
      </c>
      <c r="J2507" s="78">
        <v>1</v>
      </c>
      <c r="K2507" s="79">
        <v>44243</v>
      </c>
      <c r="L2507" s="78">
        <v>11205</v>
      </c>
      <c r="M2507" s="78">
        <v>2</v>
      </c>
    </row>
    <row r="2508" spans="2:13" ht="14.1" customHeight="1" x14ac:dyDescent="0.25">
      <c r="B2508" s="78" t="str">
        <f t="shared" si="41"/>
        <v>2102-72-319279</v>
      </c>
      <c r="C2508" s="79">
        <v>44235</v>
      </c>
      <c r="D2508" s="78">
        <v>72</v>
      </c>
      <c r="E2508" s="78">
        <v>1</v>
      </c>
      <c r="F2508" s="78">
        <v>319279</v>
      </c>
      <c r="G2508" s="80" t="s">
        <v>1609</v>
      </c>
      <c r="H2508" s="79">
        <v>44265</v>
      </c>
      <c r="I2508" s="78">
        <v>52050</v>
      </c>
      <c r="J2508" s="78">
        <v>1</v>
      </c>
      <c r="K2508" s="79">
        <v>44272</v>
      </c>
      <c r="L2508" s="78">
        <v>11543</v>
      </c>
      <c r="M2508" s="78">
        <v>1</v>
      </c>
    </row>
    <row r="2509" spans="2:13" ht="14.1" customHeight="1" x14ac:dyDescent="0.25">
      <c r="B2509" s="78" t="str">
        <f t="shared" si="41"/>
        <v>2102-74-300500</v>
      </c>
      <c r="C2509" s="79">
        <v>44236</v>
      </c>
      <c r="D2509" s="78">
        <v>74</v>
      </c>
      <c r="E2509" s="78">
        <v>20</v>
      </c>
      <c r="F2509" s="78">
        <v>300500</v>
      </c>
      <c r="G2509" s="80" t="s">
        <v>346</v>
      </c>
      <c r="H2509" s="79">
        <v>44237</v>
      </c>
      <c r="I2509" s="78">
        <v>51604</v>
      </c>
      <c r="J2509" s="78">
        <v>20</v>
      </c>
      <c r="K2509" s="79">
        <v>44243</v>
      </c>
      <c r="L2509" s="78">
        <v>11211</v>
      </c>
      <c r="M2509" s="78">
        <v>20</v>
      </c>
    </row>
    <row r="2510" spans="2:13" ht="14.1" customHeight="1" x14ac:dyDescent="0.25">
      <c r="B2510" s="78" t="str">
        <f t="shared" si="41"/>
        <v>2102-75-308520</v>
      </c>
      <c r="C2510" s="79">
        <v>44236</v>
      </c>
      <c r="D2510" s="78">
        <v>75</v>
      </c>
      <c r="E2510" s="78">
        <v>105</v>
      </c>
      <c r="F2510" s="78">
        <v>308520</v>
      </c>
      <c r="G2510" s="80" t="s">
        <v>270</v>
      </c>
      <c r="H2510" s="79">
        <v>44250</v>
      </c>
      <c r="I2510" s="78">
        <v>51814</v>
      </c>
      <c r="J2510" s="78">
        <v>105</v>
      </c>
      <c r="K2510" s="79">
        <v>44251</v>
      </c>
      <c r="L2510" s="78">
        <v>11319</v>
      </c>
      <c r="M2510" s="78">
        <v>105</v>
      </c>
    </row>
    <row r="2511" spans="2:13" ht="14.1" customHeight="1" x14ac:dyDescent="0.25">
      <c r="B2511" s="78" t="str">
        <f t="shared" si="41"/>
        <v>2102-76-319327</v>
      </c>
      <c r="C2511" s="79">
        <v>44236</v>
      </c>
      <c r="D2511" s="78">
        <v>76</v>
      </c>
      <c r="E2511" s="78">
        <v>8</v>
      </c>
      <c r="F2511" s="78">
        <v>319327</v>
      </c>
      <c r="G2511" s="80" t="s">
        <v>80</v>
      </c>
      <c r="H2511" s="79">
        <v>44259</v>
      </c>
      <c r="I2511" s="78">
        <v>51987</v>
      </c>
      <c r="J2511" s="78">
        <v>8</v>
      </c>
      <c r="K2511" s="79">
        <v>44260</v>
      </c>
      <c r="L2511" s="78">
        <v>11415</v>
      </c>
      <c r="M2511" s="78">
        <v>8</v>
      </c>
    </row>
    <row r="2512" spans="2:13" ht="14.1" customHeight="1" x14ac:dyDescent="0.25">
      <c r="B2512" s="78" t="str">
        <f t="shared" si="41"/>
        <v>2102-78-304055</v>
      </c>
      <c r="C2512" s="79">
        <v>44236</v>
      </c>
      <c r="D2512" s="78">
        <v>78</v>
      </c>
      <c r="E2512" s="78">
        <v>6</v>
      </c>
      <c r="F2512" s="78">
        <v>304055</v>
      </c>
      <c r="G2512" s="80" t="s">
        <v>1615</v>
      </c>
      <c r="H2512" s="79">
        <v>44236</v>
      </c>
      <c r="I2512" s="78">
        <v>51585</v>
      </c>
      <c r="J2512" s="78">
        <v>6</v>
      </c>
      <c r="K2512" s="79">
        <v>44239</v>
      </c>
      <c r="L2512" s="78">
        <v>11177</v>
      </c>
      <c r="M2512" s="78">
        <v>6</v>
      </c>
    </row>
    <row r="2513" spans="2:13" ht="14.1" customHeight="1" x14ac:dyDescent="0.25">
      <c r="B2513" s="78" t="str">
        <f t="shared" si="41"/>
        <v>2102-78-317241</v>
      </c>
      <c r="C2513" s="79">
        <v>44236</v>
      </c>
      <c r="D2513" s="78">
        <v>78</v>
      </c>
      <c r="E2513" s="78">
        <v>1</v>
      </c>
      <c r="F2513" s="78">
        <v>317241</v>
      </c>
      <c r="G2513" s="80" t="s">
        <v>1612</v>
      </c>
      <c r="H2513" s="79">
        <v>44236</v>
      </c>
      <c r="I2513" s="78">
        <v>51583</v>
      </c>
      <c r="J2513" s="78">
        <v>1</v>
      </c>
      <c r="K2513" s="79"/>
      <c r="L2513" s="78">
        <v>0</v>
      </c>
      <c r="M2513" s="78">
        <v>0</v>
      </c>
    </row>
    <row r="2514" spans="2:13" ht="14.1" customHeight="1" x14ac:dyDescent="0.25">
      <c r="B2514" s="78" t="str">
        <f t="shared" si="41"/>
        <v>2102-78-317243</v>
      </c>
      <c r="C2514" s="79">
        <v>44236</v>
      </c>
      <c r="D2514" s="78">
        <v>78</v>
      </c>
      <c r="E2514" s="78">
        <v>2</v>
      </c>
      <c r="F2514" s="78">
        <v>317243</v>
      </c>
      <c r="G2514" s="80" t="s">
        <v>1613</v>
      </c>
      <c r="H2514" s="79">
        <v>44236</v>
      </c>
      <c r="I2514" s="78">
        <v>51583</v>
      </c>
      <c r="J2514" s="78">
        <v>1</v>
      </c>
      <c r="K2514" s="79">
        <v>44239</v>
      </c>
      <c r="L2514" s="78">
        <v>11180</v>
      </c>
      <c r="M2514" s="78">
        <v>1</v>
      </c>
    </row>
    <row r="2515" spans="2:13" ht="14.1" customHeight="1" x14ac:dyDescent="0.25">
      <c r="B2515" s="78" t="str">
        <f t="shared" si="41"/>
        <v>2102-78-317243</v>
      </c>
      <c r="C2515" s="79">
        <v>44236</v>
      </c>
      <c r="D2515" s="78">
        <v>78</v>
      </c>
      <c r="E2515" s="78">
        <v>2</v>
      </c>
      <c r="F2515" s="78">
        <v>317243</v>
      </c>
      <c r="G2515" s="80" t="s">
        <v>1613</v>
      </c>
      <c r="H2515" s="79">
        <v>44236</v>
      </c>
      <c r="I2515" s="78">
        <v>51583</v>
      </c>
      <c r="J2515" s="78">
        <v>1</v>
      </c>
      <c r="K2515" s="79">
        <v>44284</v>
      </c>
      <c r="L2515" s="78">
        <v>11674</v>
      </c>
      <c r="M2515" s="78">
        <v>1</v>
      </c>
    </row>
    <row r="2516" spans="2:13" ht="14.1" customHeight="1" x14ac:dyDescent="0.25">
      <c r="B2516" s="78" t="str">
        <f t="shared" si="41"/>
        <v>2102-78-200948</v>
      </c>
      <c r="C2516" s="79">
        <v>44236</v>
      </c>
      <c r="D2516" s="78">
        <v>78</v>
      </c>
      <c r="E2516" s="78">
        <v>2</v>
      </c>
      <c r="F2516" s="78">
        <v>200948</v>
      </c>
      <c r="G2516" s="80" t="s">
        <v>1611</v>
      </c>
      <c r="H2516" s="79">
        <v>44236</v>
      </c>
      <c r="I2516" s="78">
        <v>51583</v>
      </c>
      <c r="J2516" s="78">
        <v>1</v>
      </c>
      <c r="K2516" s="79">
        <v>44243</v>
      </c>
      <c r="L2516" s="78">
        <v>11213</v>
      </c>
      <c r="M2516" s="78">
        <v>1</v>
      </c>
    </row>
    <row r="2517" spans="2:13" ht="14.1" customHeight="1" x14ac:dyDescent="0.25">
      <c r="B2517" s="78" t="str">
        <f t="shared" si="41"/>
        <v>2102-78-205957</v>
      </c>
      <c r="C2517" s="79">
        <v>44236</v>
      </c>
      <c r="D2517" s="78">
        <v>78</v>
      </c>
      <c r="E2517" s="78">
        <v>8</v>
      </c>
      <c r="F2517" s="78">
        <v>205957</v>
      </c>
      <c r="G2517" s="80" t="s">
        <v>43</v>
      </c>
      <c r="H2517" s="79">
        <v>44236</v>
      </c>
      <c r="I2517" s="78">
        <v>51591</v>
      </c>
      <c r="J2517" s="78">
        <v>8</v>
      </c>
      <c r="K2517" s="79">
        <v>44239</v>
      </c>
      <c r="L2517" s="78">
        <v>11186</v>
      </c>
      <c r="M2517" s="78">
        <v>8</v>
      </c>
    </row>
    <row r="2518" spans="2:13" ht="14.1" customHeight="1" x14ac:dyDescent="0.25">
      <c r="B2518" s="78" t="str">
        <f t="shared" ref="B2518:B2581" si="42">TEXT(C2518,"yy") &amp; TEXT(C2518,"mm") &amp;"-"&amp;(D2518) &amp;"-"&amp;(F2518)</f>
        <v>2102-78-317242</v>
      </c>
      <c r="C2518" s="79">
        <v>44236</v>
      </c>
      <c r="D2518" s="78">
        <v>78</v>
      </c>
      <c r="E2518" s="78">
        <v>2</v>
      </c>
      <c r="F2518" s="78">
        <v>317242</v>
      </c>
      <c r="G2518" s="80" t="s">
        <v>1614</v>
      </c>
      <c r="H2518" s="79">
        <v>44236</v>
      </c>
      <c r="I2518" s="78">
        <v>51583</v>
      </c>
      <c r="J2518" s="78">
        <v>2</v>
      </c>
      <c r="K2518" s="79">
        <v>44284</v>
      </c>
      <c r="L2518" s="78">
        <v>11674</v>
      </c>
      <c r="M2518" s="78">
        <v>2</v>
      </c>
    </row>
    <row r="2519" spans="2:13" ht="14.1" customHeight="1" x14ac:dyDescent="0.25">
      <c r="B2519" s="78" t="str">
        <f t="shared" si="42"/>
        <v>2102-78-100080</v>
      </c>
      <c r="C2519" s="79">
        <v>44236</v>
      </c>
      <c r="D2519" s="78">
        <v>78</v>
      </c>
      <c r="E2519" s="78">
        <v>1</v>
      </c>
      <c r="F2519" s="78">
        <v>100080</v>
      </c>
      <c r="G2519" s="80" t="s">
        <v>1610</v>
      </c>
      <c r="H2519" s="79">
        <v>44236</v>
      </c>
      <c r="I2519" s="78">
        <v>51582</v>
      </c>
      <c r="J2519" s="78">
        <v>1</v>
      </c>
      <c r="K2519" s="79">
        <v>44238</v>
      </c>
      <c r="L2519" s="78">
        <v>11167</v>
      </c>
      <c r="M2519" s="78">
        <v>1</v>
      </c>
    </row>
    <row r="2520" spans="2:13" ht="14.1" customHeight="1" x14ac:dyDescent="0.25">
      <c r="B2520" s="78" t="str">
        <f t="shared" si="42"/>
        <v>2102-79-303552</v>
      </c>
      <c r="C2520" s="79">
        <v>44236</v>
      </c>
      <c r="D2520" s="78">
        <v>79</v>
      </c>
      <c r="E2520" s="78">
        <v>2</v>
      </c>
      <c r="F2520" s="78">
        <v>303552</v>
      </c>
      <c r="G2520" s="80" t="s">
        <v>1616</v>
      </c>
      <c r="H2520" s="79">
        <v>44238</v>
      </c>
      <c r="I2520" s="78">
        <v>51612</v>
      </c>
      <c r="J2520" s="78">
        <v>2</v>
      </c>
      <c r="K2520" s="79">
        <v>44243</v>
      </c>
      <c r="L2520" s="78">
        <v>11209</v>
      </c>
      <c r="M2520" s="78">
        <v>2</v>
      </c>
    </row>
    <row r="2521" spans="2:13" ht="14.1" customHeight="1" x14ac:dyDescent="0.25">
      <c r="B2521" s="78" t="str">
        <f t="shared" si="42"/>
        <v>2102-79-206168</v>
      </c>
      <c r="C2521" s="79">
        <v>44236</v>
      </c>
      <c r="D2521" s="78">
        <v>79</v>
      </c>
      <c r="E2521" s="78">
        <v>10</v>
      </c>
      <c r="F2521" s="78">
        <v>206168</v>
      </c>
      <c r="G2521" s="80" t="s">
        <v>1121</v>
      </c>
      <c r="H2521" s="79">
        <v>44238</v>
      </c>
      <c r="I2521" s="78">
        <v>51612</v>
      </c>
      <c r="J2521" s="78">
        <v>1</v>
      </c>
      <c r="K2521" s="79">
        <v>44243</v>
      </c>
      <c r="L2521" s="78">
        <v>11209</v>
      </c>
      <c r="M2521" s="78">
        <v>1</v>
      </c>
    </row>
    <row r="2522" spans="2:13" ht="14.1" customHeight="1" x14ac:dyDescent="0.25">
      <c r="B2522" s="78" t="str">
        <f t="shared" si="42"/>
        <v>2102-79-202478</v>
      </c>
      <c r="C2522" s="79">
        <v>44236</v>
      </c>
      <c r="D2522" s="78">
        <v>79</v>
      </c>
      <c r="E2522" s="78">
        <v>10</v>
      </c>
      <c r="F2522" s="78">
        <v>202478</v>
      </c>
      <c r="G2522" s="80" t="s">
        <v>1122</v>
      </c>
      <c r="H2522" s="79">
        <v>44238</v>
      </c>
      <c r="I2522" s="78">
        <v>51612</v>
      </c>
      <c r="J2522" s="78">
        <v>4</v>
      </c>
      <c r="K2522" s="79">
        <v>44243</v>
      </c>
      <c r="L2522" s="78">
        <v>11209</v>
      </c>
      <c r="M2522" s="78">
        <v>4</v>
      </c>
    </row>
    <row r="2523" spans="2:13" ht="14.1" customHeight="1" x14ac:dyDescent="0.25">
      <c r="B2523" s="78" t="str">
        <f t="shared" si="42"/>
        <v>2102-80-319688</v>
      </c>
      <c r="C2523" s="79">
        <v>44236</v>
      </c>
      <c r="D2523" s="78">
        <v>80</v>
      </c>
      <c r="E2523" s="78">
        <v>2000</v>
      </c>
      <c r="F2523" s="78">
        <v>319688</v>
      </c>
      <c r="G2523" s="80" t="s">
        <v>281</v>
      </c>
      <c r="H2523" s="79">
        <v>44236</v>
      </c>
      <c r="I2523" s="78">
        <v>51584</v>
      </c>
      <c r="J2523" s="78">
        <v>2000</v>
      </c>
      <c r="K2523" s="79">
        <v>44237</v>
      </c>
      <c r="L2523" s="78">
        <v>11157</v>
      </c>
      <c r="M2523" s="78">
        <v>2000</v>
      </c>
    </row>
    <row r="2524" spans="2:13" ht="14.1" customHeight="1" x14ac:dyDescent="0.25">
      <c r="B2524" s="78" t="str">
        <f t="shared" si="42"/>
        <v>2102-81-300314</v>
      </c>
      <c r="C2524" s="79">
        <v>44236</v>
      </c>
      <c r="D2524" s="78">
        <v>81</v>
      </c>
      <c r="E2524" s="78">
        <v>3</v>
      </c>
      <c r="F2524" s="78">
        <v>300314</v>
      </c>
      <c r="G2524" s="80" t="s">
        <v>1448</v>
      </c>
      <c r="H2524" s="79">
        <v>44237</v>
      </c>
      <c r="I2524" s="78">
        <v>51608</v>
      </c>
      <c r="J2524" s="78">
        <v>3</v>
      </c>
      <c r="K2524" s="79">
        <v>44246</v>
      </c>
      <c r="L2524" s="78">
        <v>11264</v>
      </c>
      <c r="M2524" s="78">
        <v>3</v>
      </c>
    </row>
    <row r="2525" spans="2:13" ht="14.1" customHeight="1" x14ac:dyDescent="0.25">
      <c r="B2525" s="78" t="str">
        <f t="shared" si="42"/>
        <v>2102-82-320750</v>
      </c>
      <c r="C2525" s="79">
        <v>44236</v>
      </c>
      <c r="D2525" s="78">
        <v>82</v>
      </c>
      <c r="E2525" s="78">
        <v>1</v>
      </c>
      <c r="F2525" s="78">
        <v>320750</v>
      </c>
      <c r="G2525" s="80" t="s">
        <v>1619</v>
      </c>
      <c r="H2525" s="79">
        <v>44238</v>
      </c>
      <c r="I2525" s="78">
        <v>51613</v>
      </c>
      <c r="J2525" s="78">
        <v>1</v>
      </c>
      <c r="K2525" s="79">
        <v>44243</v>
      </c>
      <c r="L2525" s="78">
        <v>11202</v>
      </c>
      <c r="M2525" s="78">
        <v>1</v>
      </c>
    </row>
    <row r="2526" spans="2:13" ht="14.1" customHeight="1" x14ac:dyDescent="0.25">
      <c r="B2526" s="78" t="str">
        <f t="shared" si="42"/>
        <v>2102-82-205785</v>
      </c>
      <c r="C2526" s="79">
        <v>44236</v>
      </c>
      <c r="D2526" s="78">
        <v>82</v>
      </c>
      <c r="E2526" s="78">
        <v>16</v>
      </c>
      <c r="F2526" s="78">
        <v>205785</v>
      </c>
      <c r="G2526" s="80" t="s">
        <v>1617</v>
      </c>
      <c r="H2526" s="79">
        <v>44238</v>
      </c>
      <c r="I2526" s="78">
        <v>51613</v>
      </c>
      <c r="J2526" s="78">
        <v>16</v>
      </c>
      <c r="K2526" s="79">
        <v>44243</v>
      </c>
      <c r="L2526" s="78">
        <v>11202</v>
      </c>
      <c r="M2526" s="78">
        <v>16</v>
      </c>
    </row>
    <row r="2527" spans="2:13" ht="14.1" customHeight="1" x14ac:dyDescent="0.25">
      <c r="B2527" s="78" t="str">
        <f t="shared" si="42"/>
        <v>2102-82-200210</v>
      </c>
      <c r="C2527" s="79">
        <v>44236</v>
      </c>
      <c r="D2527" s="78">
        <v>82</v>
      </c>
      <c r="E2527" s="78">
        <v>10</v>
      </c>
      <c r="F2527" s="78">
        <v>200210</v>
      </c>
      <c r="G2527" s="80" t="s">
        <v>227</v>
      </c>
      <c r="H2527" s="79">
        <v>44238</v>
      </c>
      <c r="I2527" s="78">
        <v>51613</v>
      </c>
      <c r="J2527" s="78">
        <v>10</v>
      </c>
      <c r="K2527" s="79">
        <v>44243</v>
      </c>
      <c r="L2527" s="78">
        <v>11202</v>
      </c>
      <c r="M2527" s="78">
        <v>10</v>
      </c>
    </row>
    <row r="2528" spans="2:13" ht="14.1" customHeight="1" x14ac:dyDescent="0.25">
      <c r="B2528" s="78" t="str">
        <f t="shared" si="42"/>
        <v>2102-82-320747</v>
      </c>
      <c r="C2528" s="79">
        <v>44236</v>
      </c>
      <c r="D2528" s="78">
        <v>82</v>
      </c>
      <c r="E2528" s="78">
        <v>1</v>
      </c>
      <c r="F2528" s="78">
        <v>320747</v>
      </c>
      <c r="G2528" s="80" t="s">
        <v>1618</v>
      </c>
      <c r="H2528" s="79">
        <v>44244</v>
      </c>
      <c r="I2528" s="78">
        <v>51656</v>
      </c>
      <c r="J2528" s="78">
        <v>1</v>
      </c>
      <c r="K2528" s="79">
        <v>44263</v>
      </c>
      <c r="L2528" s="78">
        <v>11431</v>
      </c>
      <c r="M2528" s="78">
        <v>1</v>
      </c>
    </row>
    <row r="2529" spans="2:13" ht="14.1" customHeight="1" x14ac:dyDescent="0.25">
      <c r="B2529" s="78" t="str">
        <f t="shared" si="42"/>
        <v>2102-82-200209</v>
      </c>
      <c r="C2529" s="79">
        <v>44236</v>
      </c>
      <c r="D2529" s="78">
        <v>82</v>
      </c>
      <c r="E2529" s="78">
        <v>10</v>
      </c>
      <c r="F2529" s="78">
        <v>200209</v>
      </c>
      <c r="G2529" s="80" t="s">
        <v>228</v>
      </c>
      <c r="H2529" s="79">
        <v>44238</v>
      </c>
      <c r="I2529" s="78">
        <v>51613</v>
      </c>
      <c r="J2529" s="78">
        <v>10</v>
      </c>
      <c r="K2529" s="79">
        <v>44243</v>
      </c>
      <c r="L2529" s="78">
        <v>11202</v>
      </c>
      <c r="M2529" s="78">
        <v>10</v>
      </c>
    </row>
    <row r="2530" spans="2:13" ht="14.1" customHeight="1" x14ac:dyDescent="0.25">
      <c r="B2530" s="78" t="str">
        <f t="shared" si="42"/>
        <v>2102-83-306953</v>
      </c>
      <c r="C2530" s="79">
        <v>44237</v>
      </c>
      <c r="D2530" s="78">
        <v>83</v>
      </c>
      <c r="E2530" s="78">
        <v>110</v>
      </c>
      <c r="F2530" s="78">
        <v>306953</v>
      </c>
      <c r="G2530" s="80" t="s">
        <v>412</v>
      </c>
      <c r="H2530" s="79">
        <v>44237</v>
      </c>
      <c r="I2530" s="78">
        <v>51596</v>
      </c>
      <c r="J2530" s="78">
        <v>110</v>
      </c>
      <c r="K2530" s="79">
        <v>44243</v>
      </c>
      <c r="L2530" s="78">
        <v>11210</v>
      </c>
      <c r="M2530" s="78">
        <v>110</v>
      </c>
    </row>
    <row r="2531" spans="2:13" ht="14.1" customHeight="1" x14ac:dyDescent="0.25">
      <c r="B2531" s="78" t="str">
        <f t="shared" si="42"/>
        <v>2102-84-320019</v>
      </c>
      <c r="C2531" s="79">
        <v>44237</v>
      </c>
      <c r="D2531" s="78">
        <v>84</v>
      </c>
      <c r="E2531" s="78">
        <v>2</v>
      </c>
      <c r="F2531" s="78">
        <v>320019</v>
      </c>
      <c r="G2531" s="80" t="s">
        <v>367</v>
      </c>
      <c r="H2531" s="79">
        <v>44244</v>
      </c>
      <c r="I2531" s="78">
        <v>51660</v>
      </c>
      <c r="J2531" s="78">
        <v>2</v>
      </c>
      <c r="K2531" s="79">
        <v>44249</v>
      </c>
      <c r="L2531" s="78">
        <v>11277</v>
      </c>
      <c r="M2531" s="78">
        <v>2</v>
      </c>
    </row>
    <row r="2532" spans="2:13" ht="14.1" customHeight="1" x14ac:dyDescent="0.25">
      <c r="B2532" s="78" t="str">
        <f t="shared" si="42"/>
        <v>2102-85-105386</v>
      </c>
      <c r="C2532" s="79">
        <v>44237</v>
      </c>
      <c r="D2532" s="78">
        <v>85</v>
      </c>
      <c r="E2532" s="78">
        <v>1</v>
      </c>
      <c r="F2532" s="78">
        <v>105386</v>
      </c>
      <c r="G2532" s="80" t="s">
        <v>1646</v>
      </c>
      <c r="H2532" s="79">
        <v>44245</v>
      </c>
      <c r="I2532" s="78">
        <v>51675</v>
      </c>
      <c r="J2532" s="78">
        <v>1</v>
      </c>
      <c r="K2532" s="79">
        <v>44237</v>
      </c>
      <c r="L2532" s="78">
        <v>11159</v>
      </c>
      <c r="M2532" s="78">
        <v>1</v>
      </c>
    </row>
    <row r="2533" spans="2:13" ht="14.1" customHeight="1" x14ac:dyDescent="0.25">
      <c r="B2533" s="78" t="str">
        <f t="shared" si="42"/>
        <v>2102-85-205115</v>
      </c>
      <c r="C2533" s="79">
        <v>44237</v>
      </c>
      <c r="D2533" s="78">
        <v>85</v>
      </c>
      <c r="E2533" s="78">
        <v>1</v>
      </c>
      <c r="F2533" s="78">
        <v>205115</v>
      </c>
      <c r="G2533" s="80" t="s">
        <v>282</v>
      </c>
      <c r="H2533" s="79">
        <v>44245</v>
      </c>
      <c r="I2533" s="78">
        <v>51675</v>
      </c>
      <c r="J2533" s="78">
        <v>1</v>
      </c>
      <c r="K2533" s="79">
        <v>44237</v>
      </c>
      <c r="L2533" s="78">
        <v>11159</v>
      </c>
      <c r="M2533" s="78">
        <v>1</v>
      </c>
    </row>
    <row r="2534" spans="2:13" ht="14.1" customHeight="1" x14ac:dyDescent="0.25">
      <c r="B2534" s="78" t="str">
        <f t="shared" si="42"/>
        <v>2102-90-320657</v>
      </c>
      <c r="C2534" s="79">
        <v>44237</v>
      </c>
      <c r="D2534" s="78">
        <v>90</v>
      </c>
      <c r="E2534" s="78">
        <v>125</v>
      </c>
      <c r="F2534" s="78">
        <v>320657</v>
      </c>
      <c r="G2534" s="80" t="s">
        <v>1437</v>
      </c>
      <c r="H2534" s="79">
        <v>44237</v>
      </c>
      <c r="I2534" s="78">
        <v>51610</v>
      </c>
      <c r="J2534" s="78">
        <v>125</v>
      </c>
      <c r="K2534" s="79">
        <v>44239</v>
      </c>
      <c r="L2534" s="78">
        <v>11170</v>
      </c>
      <c r="M2534" s="78">
        <v>125</v>
      </c>
    </row>
    <row r="2535" spans="2:13" ht="14.1" customHeight="1" x14ac:dyDescent="0.25">
      <c r="B2535" s="78" t="str">
        <f t="shared" si="42"/>
        <v>2102-90-304023</v>
      </c>
      <c r="C2535" s="79">
        <v>44237</v>
      </c>
      <c r="D2535" s="78">
        <v>90</v>
      </c>
      <c r="E2535" s="78">
        <v>5200</v>
      </c>
      <c r="F2535" s="78">
        <v>304023</v>
      </c>
      <c r="G2535" s="80" t="s">
        <v>1533</v>
      </c>
      <c r="H2535" s="79">
        <v>44237</v>
      </c>
      <c r="I2535" s="78">
        <v>51609</v>
      </c>
      <c r="J2535" s="78">
        <v>5200</v>
      </c>
      <c r="K2535" s="79">
        <v>44239</v>
      </c>
      <c r="L2535" s="78">
        <v>11176</v>
      </c>
      <c r="M2535" s="78">
        <v>5000</v>
      </c>
    </row>
    <row r="2536" spans="2:13" ht="14.1" customHeight="1" x14ac:dyDescent="0.25">
      <c r="B2536" s="78" t="str">
        <f t="shared" si="42"/>
        <v>2102-90-304023</v>
      </c>
      <c r="C2536" s="79">
        <v>44237</v>
      </c>
      <c r="D2536" s="78">
        <v>90</v>
      </c>
      <c r="E2536" s="78">
        <v>5200</v>
      </c>
      <c r="F2536" s="78">
        <v>304023</v>
      </c>
      <c r="G2536" s="80" t="s">
        <v>1533</v>
      </c>
      <c r="H2536" s="79">
        <v>44237</v>
      </c>
      <c r="I2536" s="78">
        <v>51609</v>
      </c>
      <c r="J2536" s="78">
        <v>5200</v>
      </c>
      <c r="K2536" s="79">
        <v>44244</v>
      </c>
      <c r="L2536" s="78">
        <v>11227</v>
      </c>
      <c r="M2536" s="78">
        <v>200</v>
      </c>
    </row>
    <row r="2537" spans="2:13" ht="14.1" customHeight="1" x14ac:dyDescent="0.25">
      <c r="B2537" s="78" t="str">
        <f t="shared" si="42"/>
        <v>2102-90-320658</v>
      </c>
      <c r="C2537" s="79">
        <v>44237</v>
      </c>
      <c r="D2537" s="78">
        <v>90</v>
      </c>
      <c r="E2537" s="78">
        <v>200</v>
      </c>
      <c r="F2537" s="78">
        <v>320658</v>
      </c>
      <c r="G2537" s="80" t="s">
        <v>1438</v>
      </c>
      <c r="H2537" s="79">
        <v>44237</v>
      </c>
      <c r="I2537" s="78">
        <v>51610</v>
      </c>
      <c r="J2537" s="78">
        <v>200</v>
      </c>
      <c r="K2537" s="79">
        <v>44239</v>
      </c>
      <c r="L2537" s="78">
        <v>11170</v>
      </c>
      <c r="M2537" s="78">
        <v>200</v>
      </c>
    </row>
    <row r="2538" spans="2:13" ht="14.1" customHeight="1" x14ac:dyDescent="0.25">
      <c r="B2538" s="78" t="str">
        <f t="shared" si="42"/>
        <v>2102-90-320659</v>
      </c>
      <c r="C2538" s="79">
        <v>44237</v>
      </c>
      <c r="D2538" s="78">
        <v>90</v>
      </c>
      <c r="E2538" s="78">
        <v>500</v>
      </c>
      <c r="F2538" s="78">
        <v>320659</v>
      </c>
      <c r="G2538" s="80" t="s">
        <v>1439</v>
      </c>
      <c r="H2538" s="79">
        <v>44237</v>
      </c>
      <c r="I2538" s="78">
        <v>51610</v>
      </c>
      <c r="J2538" s="78">
        <v>500</v>
      </c>
      <c r="K2538" s="79">
        <v>44239</v>
      </c>
      <c r="L2538" s="78">
        <v>11170</v>
      </c>
      <c r="M2538" s="78">
        <v>500</v>
      </c>
    </row>
    <row r="2539" spans="2:13" ht="14.1" customHeight="1" x14ac:dyDescent="0.25">
      <c r="B2539" s="78" t="str">
        <f t="shared" si="42"/>
        <v>2102-91-318422</v>
      </c>
      <c r="C2539" s="79">
        <v>44238</v>
      </c>
      <c r="D2539" s="78">
        <v>91</v>
      </c>
      <c r="E2539" s="78">
        <v>2</v>
      </c>
      <c r="F2539" s="78">
        <v>318422</v>
      </c>
      <c r="G2539" s="80" t="s">
        <v>1648</v>
      </c>
      <c r="H2539" s="79">
        <v>44239</v>
      </c>
      <c r="I2539" s="78">
        <v>51651</v>
      </c>
      <c r="J2539" s="78">
        <v>1</v>
      </c>
      <c r="K2539" s="79">
        <v>44250</v>
      </c>
      <c r="L2539" s="78">
        <v>11315</v>
      </c>
      <c r="M2539" s="78">
        <v>1</v>
      </c>
    </row>
    <row r="2540" spans="2:13" ht="14.1" customHeight="1" x14ac:dyDescent="0.25">
      <c r="B2540" s="78" t="str">
        <f t="shared" si="42"/>
        <v>2102-91-316263</v>
      </c>
      <c r="C2540" s="79">
        <v>44238</v>
      </c>
      <c r="D2540" s="78">
        <v>91</v>
      </c>
      <c r="E2540" s="78">
        <v>2</v>
      </c>
      <c r="F2540" s="78">
        <v>316263</v>
      </c>
      <c r="G2540" s="80" t="s">
        <v>1647</v>
      </c>
      <c r="H2540" s="79">
        <v>44249</v>
      </c>
      <c r="I2540" s="78">
        <v>51782</v>
      </c>
      <c r="J2540" s="78">
        <v>1</v>
      </c>
      <c r="K2540" s="79">
        <v>44251</v>
      </c>
      <c r="L2540" s="78">
        <v>11316</v>
      </c>
      <c r="M2540" s="78">
        <v>1</v>
      </c>
    </row>
    <row r="2541" spans="2:13" ht="14.1" customHeight="1" x14ac:dyDescent="0.25">
      <c r="B2541" s="78" t="str">
        <f t="shared" si="42"/>
        <v>2102-92-304466</v>
      </c>
      <c r="C2541" s="79">
        <v>44238</v>
      </c>
      <c r="D2541" s="78">
        <v>92</v>
      </c>
      <c r="E2541" s="78">
        <v>3</v>
      </c>
      <c r="F2541" s="78">
        <v>304466</v>
      </c>
      <c r="G2541" s="80" t="s">
        <v>1649</v>
      </c>
      <c r="H2541" s="79">
        <v>44239</v>
      </c>
      <c r="I2541" s="78">
        <v>51650</v>
      </c>
      <c r="J2541" s="78">
        <v>3</v>
      </c>
      <c r="K2541" s="79">
        <v>44249</v>
      </c>
      <c r="L2541" s="78">
        <v>11287</v>
      </c>
      <c r="M2541" s="78">
        <v>3</v>
      </c>
    </row>
    <row r="2542" spans="2:13" ht="14.1" customHeight="1" x14ac:dyDescent="0.25">
      <c r="B2542" s="78" t="str">
        <f t="shared" si="42"/>
        <v>2102-92-320106</v>
      </c>
      <c r="C2542" s="79">
        <v>44238</v>
      </c>
      <c r="D2542" s="78">
        <v>92</v>
      </c>
      <c r="E2542" s="78">
        <v>3</v>
      </c>
      <c r="F2542" s="78">
        <v>320106</v>
      </c>
      <c r="G2542" s="80" t="s">
        <v>944</v>
      </c>
      <c r="H2542" s="79">
        <v>44239</v>
      </c>
      <c r="I2542" s="78">
        <v>51650</v>
      </c>
      <c r="J2542" s="78">
        <v>3</v>
      </c>
      <c r="K2542" s="79">
        <v>44249</v>
      </c>
      <c r="L2542" s="78">
        <v>11287</v>
      </c>
      <c r="M2542" s="78">
        <v>3</v>
      </c>
    </row>
    <row r="2543" spans="2:13" ht="14.1" customHeight="1" x14ac:dyDescent="0.25">
      <c r="B2543" s="78" t="str">
        <f t="shared" si="42"/>
        <v>2102-93-106121</v>
      </c>
      <c r="C2543" s="79">
        <v>44238</v>
      </c>
      <c r="D2543" s="78">
        <v>93</v>
      </c>
      <c r="E2543" s="78">
        <v>1</v>
      </c>
      <c r="F2543" s="78">
        <v>106121</v>
      </c>
      <c r="G2543" s="80" t="s">
        <v>401</v>
      </c>
      <c r="H2543" s="79">
        <v>44238</v>
      </c>
      <c r="I2543" s="78">
        <v>51628</v>
      </c>
      <c r="J2543" s="78">
        <v>1</v>
      </c>
      <c r="K2543" s="79">
        <v>44239</v>
      </c>
      <c r="L2543" s="78">
        <v>11171</v>
      </c>
      <c r="M2543" s="78">
        <v>1</v>
      </c>
    </row>
    <row r="2544" spans="2:13" ht="14.1" customHeight="1" x14ac:dyDescent="0.25">
      <c r="B2544" s="78" t="str">
        <f t="shared" si="42"/>
        <v>2102-93-204542</v>
      </c>
      <c r="C2544" s="79">
        <v>44238</v>
      </c>
      <c r="D2544" s="78">
        <v>93</v>
      </c>
      <c r="E2544" s="78">
        <v>1</v>
      </c>
      <c r="F2544" s="78">
        <v>204542</v>
      </c>
      <c r="G2544" s="80" t="s">
        <v>148</v>
      </c>
      <c r="H2544" s="79">
        <v>44238</v>
      </c>
      <c r="I2544" s="78">
        <v>51628</v>
      </c>
      <c r="J2544" s="78">
        <v>1</v>
      </c>
      <c r="K2544" s="79">
        <v>44239</v>
      </c>
      <c r="L2544" s="78">
        <v>11171</v>
      </c>
      <c r="M2544" s="78">
        <v>1</v>
      </c>
    </row>
    <row r="2545" spans="2:13" ht="14.1" customHeight="1" x14ac:dyDescent="0.25">
      <c r="B2545" s="78" t="str">
        <f t="shared" si="42"/>
        <v>2102-93-300470</v>
      </c>
      <c r="C2545" s="79">
        <v>44238</v>
      </c>
      <c r="D2545" s="78">
        <v>93</v>
      </c>
      <c r="E2545" s="78">
        <v>1</v>
      </c>
      <c r="F2545" s="78">
        <v>300470</v>
      </c>
      <c r="G2545" s="80" t="s">
        <v>1650</v>
      </c>
      <c r="H2545" s="79">
        <v>44238</v>
      </c>
      <c r="I2545" s="78">
        <v>51628</v>
      </c>
      <c r="J2545" s="78">
        <v>1</v>
      </c>
      <c r="K2545" s="79">
        <v>44239</v>
      </c>
      <c r="L2545" s="78">
        <v>11171</v>
      </c>
      <c r="M2545" s="78">
        <v>1</v>
      </c>
    </row>
    <row r="2546" spans="2:13" ht="14.1" customHeight="1" x14ac:dyDescent="0.25">
      <c r="B2546" s="78" t="str">
        <f t="shared" si="42"/>
        <v>2102-94-106576</v>
      </c>
      <c r="C2546" s="79">
        <v>44238</v>
      </c>
      <c r="D2546" s="78">
        <v>94</v>
      </c>
      <c r="E2546" s="78">
        <v>2</v>
      </c>
      <c r="F2546" s="78">
        <v>106576</v>
      </c>
      <c r="G2546" s="80" t="s">
        <v>145</v>
      </c>
      <c r="H2546" s="79">
        <v>44238</v>
      </c>
      <c r="I2546" s="78">
        <v>51629</v>
      </c>
      <c r="J2546" s="78">
        <v>2</v>
      </c>
      <c r="K2546" s="79">
        <v>44239</v>
      </c>
      <c r="L2546" s="78">
        <v>11172</v>
      </c>
      <c r="M2546" s="78">
        <v>2</v>
      </c>
    </row>
    <row r="2547" spans="2:13" ht="14.1" customHeight="1" x14ac:dyDescent="0.25">
      <c r="B2547" s="78" t="str">
        <f t="shared" si="42"/>
        <v>2102-96-200751</v>
      </c>
      <c r="C2547" s="79">
        <v>44238</v>
      </c>
      <c r="D2547" s="78">
        <v>96</v>
      </c>
      <c r="E2547" s="78">
        <v>40000</v>
      </c>
      <c r="F2547" s="78">
        <v>200751</v>
      </c>
      <c r="G2547" s="80" t="s">
        <v>151</v>
      </c>
      <c r="H2547" s="79">
        <v>44239</v>
      </c>
      <c r="I2547" s="78">
        <v>51681</v>
      </c>
      <c r="J2547" s="78">
        <v>10000</v>
      </c>
      <c r="K2547" s="79">
        <v>44243</v>
      </c>
      <c r="L2547" s="78">
        <v>11198</v>
      </c>
      <c r="M2547" s="78">
        <v>10000</v>
      </c>
    </row>
    <row r="2548" spans="2:13" ht="14.1" customHeight="1" x14ac:dyDescent="0.25">
      <c r="B2548" s="78" t="str">
        <f t="shared" si="42"/>
        <v>2102-96-200751</v>
      </c>
      <c r="C2548" s="79">
        <v>44238</v>
      </c>
      <c r="D2548" s="78">
        <v>96</v>
      </c>
      <c r="E2548" s="78">
        <v>40000</v>
      </c>
      <c r="F2548" s="78">
        <v>200751</v>
      </c>
      <c r="G2548" s="80" t="s">
        <v>151</v>
      </c>
      <c r="H2548" s="79">
        <v>44239</v>
      </c>
      <c r="I2548" s="78">
        <v>51681</v>
      </c>
      <c r="J2548" s="78">
        <v>10000</v>
      </c>
      <c r="K2548" s="79">
        <v>44245</v>
      </c>
      <c r="L2548" s="78">
        <v>11248</v>
      </c>
      <c r="M2548" s="78">
        <v>10000</v>
      </c>
    </row>
    <row r="2549" spans="2:13" ht="14.1" customHeight="1" x14ac:dyDescent="0.25">
      <c r="B2549" s="78" t="str">
        <f t="shared" si="42"/>
        <v>2102-96-200751</v>
      </c>
      <c r="C2549" s="79">
        <v>44238</v>
      </c>
      <c r="D2549" s="78">
        <v>96</v>
      </c>
      <c r="E2549" s="78">
        <v>40000</v>
      </c>
      <c r="F2549" s="78">
        <v>200751</v>
      </c>
      <c r="G2549" s="80" t="s">
        <v>151</v>
      </c>
      <c r="H2549" s="79">
        <v>44239</v>
      </c>
      <c r="I2549" s="78">
        <v>51681</v>
      </c>
      <c r="J2549" s="78">
        <v>10000</v>
      </c>
      <c r="K2549" s="79">
        <v>44245</v>
      </c>
      <c r="L2549" s="78">
        <v>11249</v>
      </c>
      <c r="M2549" s="78">
        <v>10000</v>
      </c>
    </row>
    <row r="2550" spans="2:13" ht="14.1" customHeight="1" x14ac:dyDescent="0.25">
      <c r="B2550" s="78" t="str">
        <f t="shared" si="42"/>
        <v>2102-96-200751</v>
      </c>
      <c r="C2550" s="79">
        <v>44238</v>
      </c>
      <c r="D2550" s="78">
        <v>96</v>
      </c>
      <c r="E2550" s="78">
        <v>40000</v>
      </c>
      <c r="F2550" s="78">
        <v>200751</v>
      </c>
      <c r="G2550" s="80" t="s">
        <v>151</v>
      </c>
      <c r="H2550" s="79">
        <v>44239</v>
      </c>
      <c r="I2550" s="78">
        <v>51681</v>
      </c>
      <c r="J2550" s="78">
        <v>10000</v>
      </c>
      <c r="K2550" s="79">
        <v>44245</v>
      </c>
      <c r="L2550" s="78">
        <v>11250</v>
      </c>
      <c r="M2550" s="78">
        <v>10000</v>
      </c>
    </row>
    <row r="2551" spans="2:13" ht="14.1" customHeight="1" x14ac:dyDescent="0.25">
      <c r="B2551" s="78" t="str">
        <f t="shared" si="42"/>
        <v>2102-96-200751</v>
      </c>
      <c r="C2551" s="79">
        <v>44238</v>
      </c>
      <c r="D2551" s="78">
        <v>96</v>
      </c>
      <c r="E2551" s="78">
        <v>40000</v>
      </c>
      <c r="F2551" s="78">
        <v>200751</v>
      </c>
      <c r="G2551" s="80" t="s">
        <v>151</v>
      </c>
      <c r="H2551" s="79">
        <v>44239</v>
      </c>
      <c r="I2551" s="78">
        <v>51717</v>
      </c>
      <c r="J2551" s="78">
        <v>10000</v>
      </c>
      <c r="K2551" s="79">
        <v>44243</v>
      </c>
      <c r="L2551" s="78">
        <v>11198</v>
      </c>
      <c r="M2551" s="78">
        <v>10000</v>
      </c>
    </row>
    <row r="2552" spans="2:13" ht="14.1" customHeight="1" x14ac:dyDescent="0.25">
      <c r="B2552" s="78" t="str">
        <f t="shared" si="42"/>
        <v>2102-96-200751</v>
      </c>
      <c r="C2552" s="79">
        <v>44238</v>
      </c>
      <c r="D2552" s="78">
        <v>96</v>
      </c>
      <c r="E2552" s="78">
        <v>40000</v>
      </c>
      <c r="F2552" s="78">
        <v>200751</v>
      </c>
      <c r="G2552" s="80" t="s">
        <v>151</v>
      </c>
      <c r="H2552" s="79">
        <v>44239</v>
      </c>
      <c r="I2552" s="78">
        <v>51717</v>
      </c>
      <c r="J2552" s="78">
        <v>10000</v>
      </c>
      <c r="K2552" s="79">
        <v>44245</v>
      </c>
      <c r="L2552" s="78">
        <v>11248</v>
      </c>
      <c r="M2552" s="78">
        <v>10000</v>
      </c>
    </row>
    <row r="2553" spans="2:13" ht="14.1" customHeight="1" x14ac:dyDescent="0.25">
      <c r="B2553" s="78" t="str">
        <f t="shared" si="42"/>
        <v>2102-96-200751</v>
      </c>
      <c r="C2553" s="79">
        <v>44238</v>
      </c>
      <c r="D2553" s="78">
        <v>96</v>
      </c>
      <c r="E2553" s="78">
        <v>40000</v>
      </c>
      <c r="F2553" s="78">
        <v>200751</v>
      </c>
      <c r="G2553" s="80" t="s">
        <v>151</v>
      </c>
      <c r="H2553" s="79">
        <v>44239</v>
      </c>
      <c r="I2553" s="78">
        <v>51717</v>
      </c>
      <c r="J2553" s="78">
        <v>10000</v>
      </c>
      <c r="K2553" s="79">
        <v>44245</v>
      </c>
      <c r="L2553" s="78">
        <v>11249</v>
      </c>
      <c r="M2553" s="78">
        <v>10000</v>
      </c>
    </row>
    <row r="2554" spans="2:13" ht="14.1" customHeight="1" x14ac:dyDescent="0.25">
      <c r="B2554" s="78" t="str">
        <f t="shared" si="42"/>
        <v>2102-96-200751</v>
      </c>
      <c r="C2554" s="79">
        <v>44238</v>
      </c>
      <c r="D2554" s="78">
        <v>96</v>
      </c>
      <c r="E2554" s="78">
        <v>40000</v>
      </c>
      <c r="F2554" s="78">
        <v>200751</v>
      </c>
      <c r="G2554" s="80" t="s">
        <v>151</v>
      </c>
      <c r="H2554" s="79">
        <v>44239</v>
      </c>
      <c r="I2554" s="78">
        <v>51717</v>
      </c>
      <c r="J2554" s="78">
        <v>10000</v>
      </c>
      <c r="K2554" s="79">
        <v>44245</v>
      </c>
      <c r="L2554" s="78">
        <v>11250</v>
      </c>
      <c r="M2554" s="78">
        <v>10000</v>
      </c>
    </row>
    <row r="2555" spans="2:13" ht="14.1" customHeight="1" x14ac:dyDescent="0.25">
      <c r="B2555" s="78" t="str">
        <f t="shared" si="42"/>
        <v>2102-96-200751</v>
      </c>
      <c r="C2555" s="79">
        <v>44238</v>
      </c>
      <c r="D2555" s="78">
        <v>96</v>
      </c>
      <c r="E2555" s="78">
        <v>40000</v>
      </c>
      <c r="F2555" s="78">
        <v>200751</v>
      </c>
      <c r="G2555" s="80" t="s">
        <v>151</v>
      </c>
      <c r="H2555" s="79">
        <v>44244</v>
      </c>
      <c r="I2555" s="78">
        <v>51733</v>
      </c>
      <c r="J2555" s="78">
        <v>10000</v>
      </c>
      <c r="K2555" s="79">
        <v>44243</v>
      </c>
      <c r="L2555" s="78">
        <v>11198</v>
      </c>
      <c r="M2555" s="78">
        <v>10000</v>
      </c>
    </row>
    <row r="2556" spans="2:13" ht="14.1" customHeight="1" x14ac:dyDescent="0.25">
      <c r="B2556" s="78" t="str">
        <f t="shared" si="42"/>
        <v>2102-96-200751</v>
      </c>
      <c r="C2556" s="79">
        <v>44238</v>
      </c>
      <c r="D2556" s="78">
        <v>96</v>
      </c>
      <c r="E2556" s="78">
        <v>40000</v>
      </c>
      <c r="F2556" s="78">
        <v>200751</v>
      </c>
      <c r="G2556" s="80" t="s">
        <v>151</v>
      </c>
      <c r="H2556" s="79">
        <v>44244</v>
      </c>
      <c r="I2556" s="78">
        <v>51733</v>
      </c>
      <c r="J2556" s="78">
        <v>10000</v>
      </c>
      <c r="K2556" s="79">
        <v>44245</v>
      </c>
      <c r="L2556" s="78">
        <v>11248</v>
      </c>
      <c r="M2556" s="78">
        <v>10000</v>
      </c>
    </row>
    <row r="2557" spans="2:13" ht="14.1" customHeight="1" x14ac:dyDescent="0.25">
      <c r="B2557" s="78" t="str">
        <f t="shared" si="42"/>
        <v>2102-96-200751</v>
      </c>
      <c r="C2557" s="79">
        <v>44238</v>
      </c>
      <c r="D2557" s="78">
        <v>96</v>
      </c>
      <c r="E2557" s="78">
        <v>40000</v>
      </c>
      <c r="F2557" s="78">
        <v>200751</v>
      </c>
      <c r="G2557" s="80" t="s">
        <v>151</v>
      </c>
      <c r="H2557" s="79">
        <v>44244</v>
      </c>
      <c r="I2557" s="78">
        <v>51733</v>
      </c>
      <c r="J2557" s="78">
        <v>10000</v>
      </c>
      <c r="K2557" s="79">
        <v>44245</v>
      </c>
      <c r="L2557" s="78">
        <v>11249</v>
      </c>
      <c r="M2557" s="78">
        <v>10000</v>
      </c>
    </row>
    <row r="2558" spans="2:13" ht="14.1" customHeight="1" x14ac:dyDescent="0.25">
      <c r="B2558" s="78" t="str">
        <f t="shared" si="42"/>
        <v>2102-96-200751</v>
      </c>
      <c r="C2558" s="79">
        <v>44238</v>
      </c>
      <c r="D2558" s="78">
        <v>96</v>
      </c>
      <c r="E2558" s="78">
        <v>40000</v>
      </c>
      <c r="F2558" s="78">
        <v>200751</v>
      </c>
      <c r="G2558" s="80" t="s">
        <v>151</v>
      </c>
      <c r="H2558" s="79">
        <v>44244</v>
      </c>
      <c r="I2558" s="78">
        <v>51733</v>
      </c>
      <c r="J2558" s="78">
        <v>10000</v>
      </c>
      <c r="K2558" s="79">
        <v>44245</v>
      </c>
      <c r="L2558" s="78">
        <v>11250</v>
      </c>
      <c r="M2558" s="78">
        <v>10000</v>
      </c>
    </row>
    <row r="2559" spans="2:13" ht="14.1" customHeight="1" x14ac:dyDescent="0.25">
      <c r="B2559" s="78" t="str">
        <f t="shared" si="42"/>
        <v>2102-96-200751</v>
      </c>
      <c r="C2559" s="79">
        <v>44238</v>
      </c>
      <c r="D2559" s="78">
        <v>96</v>
      </c>
      <c r="E2559" s="78">
        <v>40000</v>
      </c>
      <c r="F2559" s="78">
        <v>200751</v>
      </c>
      <c r="G2559" s="80" t="s">
        <v>151</v>
      </c>
      <c r="H2559" s="79">
        <v>44246</v>
      </c>
      <c r="I2559" s="78">
        <v>51731</v>
      </c>
      <c r="J2559" s="78">
        <v>10000</v>
      </c>
      <c r="K2559" s="79">
        <v>44243</v>
      </c>
      <c r="L2559" s="78">
        <v>11198</v>
      </c>
      <c r="M2559" s="78">
        <v>10000</v>
      </c>
    </row>
    <row r="2560" spans="2:13" ht="14.1" customHeight="1" x14ac:dyDescent="0.25">
      <c r="B2560" s="78" t="str">
        <f t="shared" si="42"/>
        <v>2102-96-200751</v>
      </c>
      <c r="C2560" s="79">
        <v>44238</v>
      </c>
      <c r="D2560" s="78">
        <v>96</v>
      </c>
      <c r="E2560" s="78">
        <v>40000</v>
      </c>
      <c r="F2560" s="78">
        <v>200751</v>
      </c>
      <c r="G2560" s="80" t="s">
        <v>151</v>
      </c>
      <c r="H2560" s="79">
        <v>44246</v>
      </c>
      <c r="I2560" s="78">
        <v>51731</v>
      </c>
      <c r="J2560" s="78">
        <v>10000</v>
      </c>
      <c r="K2560" s="79">
        <v>44245</v>
      </c>
      <c r="L2560" s="78">
        <v>11248</v>
      </c>
      <c r="M2560" s="78">
        <v>10000</v>
      </c>
    </row>
    <row r="2561" spans="2:13" ht="14.1" customHeight="1" x14ac:dyDescent="0.25">
      <c r="B2561" s="78" t="str">
        <f t="shared" si="42"/>
        <v>2102-96-200751</v>
      </c>
      <c r="C2561" s="79">
        <v>44238</v>
      </c>
      <c r="D2561" s="78">
        <v>96</v>
      </c>
      <c r="E2561" s="78">
        <v>40000</v>
      </c>
      <c r="F2561" s="78">
        <v>200751</v>
      </c>
      <c r="G2561" s="80" t="s">
        <v>151</v>
      </c>
      <c r="H2561" s="79">
        <v>44246</v>
      </c>
      <c r="I2561" s="78">
        <v>51731</v>
      </c>
      <c r="J2561" s="78">
        <v>10000</v>
      </c>
      <c r="K2561" s="79">
        <v>44245</v>
      </c>
      <c r="L2561" s="78">
        <v>11249</v>
      </c>
      <c r="M2561" s="78">
        <v>10000</v>
      </c>
    </row>
    <row r="2562" spans="2:13" ht="14.1" customHeight="1" x14ac:dyDescent="0.25">
      <c r="B2562" s="78" t="str">
        <f t="shared" si="42"/>
        <v>2102-96-200751</v>
      </c>
      <c r="C2562" s="79">
        <v>44238</v>
      </c>
      <c r="D2562" s="78">
        <v>96</v>
      </c>
      <c r="E2562" s="78">
        <v>40000</v>
      </c>
      <c r="F2562" s="78">
        <v>200751</v>
      </c>
      <c r="G2562" s="80" t="s">
        <v>151</v>
      </c>
      <c r="H2562" s="79">
        <v>44246</v>
      </c>
      <c r="I2562" s="78">
        <v>51731</v>
      </c>
      <c r="J2562" s="78">
        <v>10000</v>
      </c>
      <c r="K2562" s="79">
        <v>44245</v>
      </c>
      <c r="L2562" s="78">
        <v>11250</v>
      </c>
      <c r="M2562" s="78">
        <v>10000</v>
      </c>
    </row>
    <row r="2563" spans="2:13" ht="14.1" customHeight="1" x14ac:dyDescent="0.25">
      <c r="B2563" s="78" t="str">
        <f t="shared" si="42"/>
        <v>2102-97-319688</v>
      </c>
      <c r="C2563" s="79">
        <v>44238</v>
      </c>
      <c r="D2563" s="78">
        <v>97</v>
      </c>
      <c r="E2563" s="78">
        <v>2000</v>
      </c>
      <c r="F2563" s="78">
        <v>319688</v>
      </c>
      <c r="G2563" s="80" t="s">
        <v>281</v>
      </c>
      <c r="H2563" s="79">
        <v>44238</v>
      </c>
      <c r="I2563" s="78">
        <v>51632</v>
      </c>
      <c r="J2563" s="78">
        <v>2000</v>
      </c>
      <c r="K2563" s="79">
        <v>44239</v>
      </c>
      <c r="L2563" s="78">
        <v>11195</v>
      </c>
      <c r="M2563" s="78">
        <v>2000</v>
      </c>
    </row>
    <row r="2564" spans="2:13" ht="14.1" customHeight="1" x14ac:dyDescent="0.25">
      <c r="B2564" s="78" t="str">
        <f t="shared" si="42"/>
        <v>2102-98-319688</v>
      </c>
      <c r="C2564" s="79">
        <v>44238</v>
      </c>
      <c r="D2564" s="78">
        <v>98</v>
      </c>
      <c r="E2564" s="78">
        <v>2000</v>
      </c>
      <c r="F2564" s="78">
        <v>319688</v>
      </c>
      <c r="G2564" s="80" t="s">
        <v>281</v>
      </c>
      <c r="H2564" s="79">
        <v>44238</v>
      </c>
      <c r="I2564" s="78">
        <v>51631</v>
      </c>
      <c r="J2564" s="78">
        <v>2000</v>
      </c>
      <c r="K2564" s="79">
        <v>44239</v>
      </c>
      <c r="L2564" s="78">
        <v>11197</v>
      </c>
      <c r="M2564" s="78">
        <v>2000</v>
      </c>
    </row>
    <row r="2565" spans="2:13" ht="14.1" customHeight="1" x14ac:dyDescent="0.25">
      <c r="B2565" s="78" t="str">
        <f t="shared" si="42"/>
        <v>2102-99-300460</v>
      </c>
      <c r="C2565" s="79">
        <v>44239</v>
      </c>
      <c r="D2565" s="78">
        <v>99</v>
      </c>
      <c r="E2565" s="78">
        <v>3</v>
      </c>
      <c r="F2565" s="78">
        <v>300460</v>
      </c>
      <c r="G2565" s="80" t="s">
        <v>600</v>
      </c>
      <c r="H2565" s="79">
        <v>44239</v>
      </c>
      <c r="I2565" s="78">
        <v>51647</v>
      </c>
      <c r="J2565" s="78">
        <v>3</v>
      </c>
      <c r="K2565" s="79">
        <v>44243</v>
      </c>
      <c r="L2565" s="78">
        <v>11215</v>
      </c>
      <c r="M2565" s="78">
        <v>3</v>
      </c>
    </row>
    <row r="2566" spans="2:13" ht="14.1" customHeight="1" x14ac:dyDescent="0.25">
      <c r="B2566" s="78" t="str">
        <f t="shared" si="42"/>
        <v>2102-100-300685</v>
      </c>
      <c r="C2566" s="79">
        <v>44239</v>
      </c>
      <c r="D2566" s="78">
        <v>100</v>
      </c>
      <c r="E2566" s="78">
        <v>2000</v>
      </c>
      <c r="F2566" s="78">
        <v>300685</v>
      </c>
      <c r="G2566" s="80" t="s">
        <v>108</v>
      </c>
      <c r="H2566" s="79">
        <v>44239</v>
      </c>
      <c r="I2566" s="78">
        <v>51646</v>
      </c>
      <c r="J2566" s="78">
        <v>2000</v>
      </c>
      <c r="K2566" s="79">
        <v>44243</v>
      </c>
      <c r="L2566" s="78">
        <v>11220</v>
      </c>
      <c r="M2566" s="78">
        <v>2000</v>
      </c>
    </row>
    <row r="2567" spans="2:13" ht="14.1" customHeight="1" x14ac:dyDescent="0.25">
      <c r="B2567" s="78" t="str">
        <f t="shared" si="42"/>
        <v>2102-100-315721</v>
      </c>
      <c r="C2567" s="79">
        <v>44239</v>
      </c>
      <c r="D2567" s="78">
        <v>100</v>
      </c>
      <c r="E2567" s="78">
        <v>2000</v>
      </c>
      <c r="F2567" s="78">
        <v>315721</v>
      </c>
      <c r="G2567" s="80" t="s">
        <v>107</v>
      </c>
      <c r="H2567" s="79">
        <v>44239</v>
      </c>
      <c r="I2567" s="78">
        <v>51646</v>
      </c>
      <c r="J2567" s="78">
        <v>2000</v>
      </c>
      <c r="K2567" s="79">
        <v>44243</v>
      </c>
      <c r="L2567" s="78">
        <v>11220</v>
      </c>
      <c r="M2567" s="78">
        <v>2000</v>
      </c>
    </row>
    <row r="2568" spans="2:13" ht="14.1" customHeight="1" x14ac:dyDescent="0.25">
      <c r="B2568" s="78" t="str">
        <f t="shared" si="42"/>
        <v>2102-100-315720</v>
      </c>
      <c r="C2568" s="79">
        <v>44239</v>
      </c>
      <c r="D2568" s="78">
        <v>100</v>
      </c>
      <c r="E2568" s="78">
        <v>2000</v>
      </c>
      <c r="F2568" s="78">
        <v>315720</v>
      </c>
      <c r="G2568" s="80" t="s">
        <v>105</v>
      </c>
      <c r="H2568" s="79">
        <v>44239</v>
      </c>
      <c r="I2568" s="78">
        <v>51646</v>
      </c>
      <c r="J2568" s="78">
        <v>2000</v>
      </c>
      <c r="K2568" s="79">
        <v>44243</v>
      </c>
      <c r="L2568" s="78">
        <v>11220</v>
      </c>
      <c r="M2568" s="78">
        <v>2000</v>
      </c>
    </row>
    <row r="2569" spans="2:13" ht="14.1" customHeight="1" x14ac:dyDescent="0.25">
      <c r="B2569" s="78" t="str">
        <f t="shared" si="42"/>
        <v>2102-100-311533</v>
      </c>
      <c r="C2569" s="79">
        <v>44239</v>
      </c>
      <c r="D2569" s="78">
        <v>100</v>
      </c>
      <c r="E2569" s="78">
        <v>2000</v>
      </c>
      <c r="F2569" s="78">
        <v>311533</v>
      </c>
      <c r="G2569" s="80" t="s">
        <v>106</v>
      </c>
      <c r="H2569" s="79">
        <v>44239</v>
      </c>
      <c r="I2569" s="78">
        <v>51646</v>
      </c>
      <c r="J2569" s="78">
        <v>2000</v>
      </c>
      <c r="K2569" s="79">
        <v>44243</v>
      </c>
      <c r="L2569" s="78">
        <v>11220</v>
      </c>
      <c r="M2569" s="78">
        <v>2000</v>
      </c>
    </row>
    <row r="2570" spans="2:13" ht="14.1" customHeight="1" x14ac:dyDescent="0.25">
      <c r="B2570" s="78" t="str">
        <f t="shared" si="42"/>
        <v>2102-101-203593</v>
      </c>
      <c r="C2570" s="79">
        <v>44239</v>
      </c>
      <c r="D2570" s="78">
        <v>101</v>
      </c>
      <c r="E2570" s="78">
        <v>2000</v>
      </c>
      <c r="F2570" s="78">
        <v>203593</v>
      </c>
      <c r="G2570" s="80" t="s">
        <v>211</v>
      </c>
      <c r="H2570" s="79">
        <v>44245</v>
      </c>
      <c r="I2570" s="78">
        <v>51680</v>
      </c>
      <c r="J2570" s="78">
        <v>2000</v>
      </c>
      <c r="K2570" s="79">
        <v>44239</v>
      </c>
      <c r="L2570" s="78">
        <v>11187</v>
      </c>
      <c r="M2570" s="78">
        <v>2000</v>
      </c>
    </row>
    <row r="2571" spans="2:13" ht="14.1" customHeight="1" x14ac:dyDescent="0.25">
      <c r="B2571" s="78" t="str">
        <f t="shared" si="42"/>
        <v>2102-102-302931</v>
      </c>
      <c r="C2571" s="79">
        <v>44239</v>
      </c>
      <c r="D2571" s="78">
        <v>102</v>
      </c>
      <c r="E2571" s="78">
        <v>1</v>
      </c>
      <c r="F2571" s="78">
        <v>302931</v>
      </c>
      <c r="G2571" s="80" t="s">
        <v>1723</v>
      </c>
      <c r="H2571" s="79">
        <v>44250</v>
      </c>
      <c r="I2571" s="78">
        <v>51806</v>
      </c>
      <c r="J2571" s="78">
        <v>1</v>
      </c>
      <c r="K2571" s="79">
        <v>44239</v>
      </c>
      <c r="L2571" s="78">
        <v>11188</v>
      </c>
      <c r="M2571" s="78">
        <v>1</v>
      </c>
    </row>
    <row r="2572" spans="2:13" ht="14.1" customHeight="1" x14ac:dyDescent="0.25">
      <c r="B2572" s="78" t="str">
        <f t="shared" si="42"/>
        <v>2102-103-204272</v>
      </c>
      <c r="C2572" s="79">
        <v>44239</v>
      </c>
      <c r="D2572" s="78">
        <v>103</v>
      </c>
      <c r="E2572" s="78">
        <v>1</v>
      </c>
      <c r="F2572" s="78">
        <v>204272</v>
      </c>
      <c r="G2572" s="80" t="s">
        <v>532</v>
      </c>
      <c r="H2572" s="79">
        <v>44250</v>
      </c>
      <c r="I2572" s="78">
        <v>51833</v>
      </c>
      <c r="J2572" s="78">
        <v>1</v>
      </c>
      <c r="K2572" s="79">
        <v>44260</v>
      </c>
      <c r="L2572" s="78">
        <v>11419</v>
      </c>
      <c r="M2572" s="78">
        <v>1</v>
      </c>
    </row>
    <row r="2573" spans="2:13" ht="14.1" customHeight="1" x14ac:dyDescent="0.25">
      <c r="B2573" s="78" t="str">
        <f t="shared" si="42"/>
        <v>2102-104-200720</v>
      </c>
      <c r="C2573" s="79">
        <v>44239</v>
      </c>
      <c r="D2573" s="78">
        <v>104</v>
      </c>
      <c r="E2573" s="78">
        <v>55</v>
      </c>
      <c r="F2573" s="78">
        <v>200720</v>
      </c>
      <c r="G2573" s="80" t="s">
        <v>1651</v>
      </c>
      <c r="H2573" s="79">
        <v>44257</v>
      </c>
      <c r="I2573" s="78">
        <v>51916</v>
      </c>
      <c r="J2573" s="78">
        <v>55</v>
      </c>
      <c r="K2573" s="79">
        <v>44274</v>
      </c>
      <c r="L2573" s="78">
        <v>11575</v>
      </c>
      <c r="M2573" s="78">
        <v>55</v>
      </c>
    </row>
    <row r="2574" spans="2:13" ht="14.1" customHeight="1" x14ac:dyDescent="0.25">
      <c r="B2574" s="78" t="str">
        <f t="shared" si="42"/>
        <v>2102-111-205526</v>
      </c>
      <c r="C2574" s="79">
        <v>44239</v>
      </c>
      <c r="D2574" s="78">
        <v>111</v>
      </c>
      <c r="E2574" s="78">
        <v>2</v>
      </c>
      <c r="F2574" s="78">
        <v>205526</v>
      </c>
      <c r="G2574" s="80" t="s">
        <v>1652</v>
      </c>
      <c r="H2574" s="79">
        <v>44257</v>
      </c>
      <c r="I2574" s="78">
        <v>51907</v>
      </c>
      <c r="J2574" s="78">
        <v>2</v>
      </c>
      <c r="K2574" s="79">
        <v>44263</v>
      </c>
      <c r="L2574" s="78">
        <v>11426</v>
      </c>
      <c r="M2574" s="78">
        <v>2</v>
      </c>
    </row>
    <row r="2575" spans="2:13" ht="14.1" customHeight="1" x14ac:dyDescent="0.25">
      <c r="B2575" s="78" t="str">
        <f t="shared" si="42"/>
        <v>2102-112-301225</v>
      </c>
      <c r="C2575" s="79">
        <v>44239</v>
      </c>
      <c r="D2575" s="78">
        <v>112</v>
      </c>
      <c r="E2575" s="78">
        <v>8</v>
      </c>
      <c r="F2575" s="78">
        <v>301225</v>
      </c>
      <c r="G2575" s="80" t="s">
        <v>304</v>
      </c>
      <c r="H2575" s="79">
        <v>44257</v>
      </c>
      <c r="I2575" s="78">
        <v>51911</v>
      </c>
      <c r="J2575" s="78">
        <v>8</v>
      </c>
      <c r="K2575" s="79">
        <v>44263</v>
      </c>
      <c r="L2575" s="78">
        <v>11425</v>
      </c>
      <c r="M2575" s="78">
        <v>8</v>
      </c>
    </row>
    <row r="2576" spans="2:13" ht="14.1" customHeight="1" x14ac:dyDescent="0.25">
      <c r="B2576" s="78" t="str">
        <f t="shared" si="42"/>
        <v>2102-112-301224</v>
      </c>
      <c r="C2576" s="79">
        <v>44239</v>
      </c>
      <c r="D2576" s="78">
        <v>112</v>
      </c>
      <c r="E2576" s="78">
        <v>2</v>
      </c>
      <c r="F2576" s="78">
        <v>301224</v>
      </c>
      <c r="G2576" s="80" t="s">
        <v>132</v>
      </c>
      <c r="H2576" s="79">
        <v>44257</v>
      </c>
      <c r="I2576" s="78">
        <v>51911</v>
      </c>
      <c r="J2576" s="78">
        <v>2</v>
      </c>
      <c r="K2576" s="79">
        <v>44263</v>
      </c>
      <c r="L2576" s="78">
        <v>11425</v>
      </c>
      <c r="M2576" s="78">
        <v>2</v>
      </c>
    </row>
    <row r="2577" spans="2:13" ht="14.1" customHeight="1" x14ac:dyDescent="0.25">
      <c r="B2577" s="78" t="str">
        <f t="shared" si="42"/>
        <v>2102-113-203593</v>
      </c>
      <c r="C2577" s="79">
        <v>44243</v>
      </c>
      <c r="D2577" s="78">
        <v>113</v>
      </c>
      <c r="E2577" s="78">
        <v>9000</v>
      </c>
      <c r="F2577" s="78">
        <v>203593</v>
      </c>
      <c r="G2577" s="80" t="s">
        <v>211</v>
      </c>
      <c r="H2577" s="79">
        <v>44245</v>
      </c>
      <c r="I2577" s="78">
        <v>51683</v>
      </c>
      <c r="J2577" s="78">
        <v>9000</v>
      </c>
      <c r="K2577" s="79">
        <v>44243</v>
      </c>
      <c r="L2577" s="78">
        <v>11221</v>
      </c>
      <c r="M2577" s="78">
        <v>9000</v>
      </c>
    </row>
    <row r="2578" spans="2:13" ht="14.1" customHeight="1" x14ac:dyDescent="0.25">
      <c r="B2578" s="78" t="str">
        <f t="shared" si="42"/>
        <v>2102-114-203593</v>
      </c>
      <c r="C2578" s="79">
        <v>44243</v>
      </c>
      <c r="D2578" s="78">
        <v>114</v>
      </c>
      <c r="E2578" s="78">
        <v>13893</v>
      </c>
      <c r="F2578" s="78">
        <v>203593</v>
      </c>
      <c r="G2578" s="80" t="s">
        <v>211</v>
      </c>
      <c r="H2578" s="79">
        <v>44245</v>
      </c>
      <c r="I2578" s="78">
        <v>51684</v>
      </c>
      <c r="J2578" s="78">
        <v>13893</v>
      </c>
      <c r="K2578" s="79">
        <v>44243</v>
      </c>
      <c r="L2578" s="78">
        <v>11222</v>
      </c>
      <c r="M2578" s="78">
        <v>13893</v>
      </c>
    </row>
    <row r="2579" spans="2:13" ht="14.1" customHeight="1" x14ac:dyDescent="0.25">
      <c r="B2579" s="78" t="str">
        <f t="shared" si="42"/>
        <v>2102-115-204518</v>
      </c>
      <c r="C2579" s="79">
        <v>44244</v>
      </c>
      <c r="D2579" s="78">
        <v>115</v>
      </c>
      <c r="E2579" s="78">
        <v>60</v>
      </c>
      <c r="F2579" s="78">
        <v>204518</v>
      </c>
      <c r="G2579" s="80" t="s">
        <v>216</v>
      </c>
      <c r="H2579" s="79">
        <v>44257</v>
      </c>
      <c r="I2579" s="78">
        <v>51913</v>
      </c>
      <c r="J2579" s="78">
        <v>60</v>
      </c>
      <c r="K2579" s="79">
        <v>44264</v>
      </c>
      <c r="L2579" s="78">
        <v>11440</v>
      </c>
      <c r="M2579" s="78">
        <v>60</v>
      </c>
    </row>
    <row r="2580" spans="2:13" ht="14.1" customHeight="1" x14ac:dyDescent="0.25">
      <c r="B2580" s="78" t="str">
        <f t="shared" si="42"/>
        <v>2102-115-107280</v>
      </c>
      <c r="C2580" s="79">
        <v>44244</v>
      </c>
      <c r="D2580" s="78">
        <v>115</v>
      </c>
      <c r="E2580" s="78">
        <v>5000</v>
      </c>
      <c r="F2580" s="78">
        <v>107280</v>
      </c>
      <c r="G2580" s="80" t="s">
        <v>131</v>
      </c>
      <c r="H2580" s="79">
        <v>44257</v>
      </c>
      <c r="I2580" s="78">
        <v>51913</v>
      </c>
      <c r="J2580" s="78">
        <v>5000</v>
      </c>
      <c r="K2580" s="79">
        <v>44264</v>
      </c>
      <c r="L2580" s="78">
        <v>11440</v>
      </c>
      <c r="M2580" s="78">
        <v>5000</v>
      </c>
    </row>
    <row r="2581" spans="2:13" ht="14.1" customHeight="1" x14ac:dyDescent="0.25">
      <c r="B2581" s="78" t="str">
        <f t="shared" si="42"/>
        <v>2102-116-205512</v>
      </c>
      <c r="C2581" s="79">
        <v>44244</v>
      </c>
      <c r="D2581" s="78">
        <v>116</v>
      </c>
      <c r="E2581" s="78">
        <v>20</v>
      </c>
      <c r="F2581" s="78">
        <v>205512</v>
      </c>
      <c r="G2581" s="80" t="s">
        <v>104</v>
      </c>
      <c r="H2581" s="79">
        <v>44255</v>
      </c>
      <c r="I2581" s="78">
        <v>51893</v>
      </c>
      <c r="J2581" s="78">
        <v>20</v>
      </c>
      <c r="K2581" s="79">
        <v>44259</v>
      </c>
      <c r="L2581" s="78">
        <v>11411</v>
      </c>
      <c r="M2581" s="78">
        <v>20</v>
      </c>
    </row>
    <row r="2582" spans="2:13" ht="14.1" customHeight="1" x14ac:dyDescent="0.25">
      <c r="B2582" s="78" t="str">
        <f t="shared" ref="B2582:B2645" si="43">TEXT(C2582,"yy") &amp; TEXT(C2582,"mm") &amp;"-"&amp;(D2582) &amp;"-"&amp;(F2582)</f>
        <v>2102-117-200720</v>
      </c>
      <c r="C2582" s="79">
        <v>44244</v>
      </c>
      <c r="D2582" s="78">
        <v>117</v>
      </c>
      <c r="E2582" s="78">
        <v>165</v>
      </c>
      <c r="F2582" s="78">
        <v>200720</v>
      </c>
      <c r="G2582" s="80" t="s">
        <v>1651</v>
      </c>
      <c r="H2582" s="79">
        <v>44257</v>
      </c>
      <c r="I2582" s="78">
        <v>51915</v>
      </c>
      <c r="J2582" s="78">
        <v>165</v>
      </c>
      <c r="K2582" s="79">
        <v>44274</v>
      </c>
      <c r="L2582" s="78">
        <v>11574</v>
      </c>
      <c r="M2582" s="78">
        <v>165</v>
      </c>
    </row>
    <row r="2583" spans="2:13" ht="14.1" customHeight="1" x14ac:dyDescent="0.25">
      <c r="B2583" s="78" t="str">
        <f t="shared" si="43"/>
        <v>2102-118-312189</v>
      </c>
      <c r="C2583" s="79">
        <v>44244</v>
      </c>
      <c r="D2583" s="78">
        <v>118</v>
      </c>
      <c r="E2583" s="78">
        <v>6</v>
      </c>
      <c r="F2583" s="78">
        <v>312189</v>
      </c>
      <c r="G2583" s="80" t="s">
        <v>806</v>
      </c>
      <c r="H2583" s="79"/>
      <c r="I2583" s="78">
        <v>0</v>
      </c>
      <c r="J2583" s="78">
        <v>0</v>
      </c>
      <c r="K2583" s="79"/>
      <c r="L2583" s="78">
        <v>0</v>
      </c>
      <c r="M2583" s="78">
        <v>0</v>
      </c>
    </row>
    <row r="2584" spans="2:13" ht="14.1" customHeight="1" x14ac:dyDescent="0.25">
      <c r="B2584" s="78" t="str">
        <f t="shared" si="43"/>
        <v>2102-118-202077</v>
      </c>
      <c r="C2584" s="79">
        <v>44244</v>
      </c>
      <c r="D2584" s="78">
        <v>118</v>
      </c>
      <c r="E2584" s="78">
        <v>6</v>
      </c>
      <c r="F2584" s="78">
        <v>202077</v>
      </c>
      <c r="G2584" s="80" t="s">
        <v>1653</v>
      </c>
      <c r="H2584" s="79"/>
      <c r="I2584" s="78">
        <v>0</v>
      </c>
      <c r="J2584" s="78">
        <v>0</v>
      </c>
      <c r="K2584" s="79"/>
      <c r="L2584" s="78">
        <v>0</v>
      </c>
      <c r="M2584" s="78">
        <v>0</v>
      </c>
    </row>
    <row r="2585" spans="2:13" ht="14.1" customHeight="1" x14ac:dyDescent="0.25">
      <c r="B2585" s="78" t="str">
        <f t="shared" si="43"/>
        <v>2102-119-303557</v>
      </c>
      <c r="C2585" s="79">
        <v>44244</v>
      </c>
      <c r="D2585" s="78">
        <v>119</v>
      </c>
      <c r="E2585" s="78">
        <v>2</v>
      </c>
      <c r="F2585" s="78">
        <v>303557</v>
      </c>
      <c r="G2585" s="80" t="s">
        <v>1654</v>
      </c>
      <c r="H2585" s="79">
        <v>44249</v>
      </c>
      <c r="I2585" s="78">
        <v>51777</v>
      </c>
      <c r="J2585" s="78">
        <v>2</v>
      </c>
      <c r="K2585" s="79">
        <v>44250</v>
      </c>
      <c r="L2585" s="78">
        <v>11309</v>
      </c>
      <c r="M2585" s="78">
        <v>2</v>
      </c>
    </row>
    <row r="2586" spans="2:13" ht="14.1" customHeight="1" x14ac:dyDescent="0.25">
      <c r="B2586" s="78" t="str">
        <f t="shared" si="43"/>
        <v>2102-120-306021</v>
      </c>
      <c r="C2586" s="79">
        <v>44244</v>
      </c>
      <c r="D2586" s="78">
        <v>120</v>
      </c>
      <c r="E2586" s="78">
        <v>3</v>
      </c>
      <c r="F2586" s="78">
        <v>306021</v>
      </c>
      <c r="G2586" s="80" t="s">
        <v>64</v>
      </c>
      <c r="H2586" s="79">
        <v>44246</v>
      </c>
      <c r="I2586" s="78">
        <v>51753</v>
      </c>
      <c r="J2586" s="78">
        <v>3</v>
      </c>
      <c r="K2586" s="79">
        <v>44249</v>
      </c>
      <c r="L2586" s="78">
        <v>11282</v>
      </c>
      <c r="M2586" s="78">
        <v>3</v>
      </c>
    </row>
    <row r="2587" spans="2:13" ht="14.1" customHeight="1" x14ac:dyDescent="0.25">
      <c r="B2587" s="78" t="str">
        <f t="shared" si="43"/>
        <v>2102-120-300360</v>
      </c>
      <c r="C2587" s="79">
        <v>44244</v>
      </c>
      <c r="D2587" s="78">
        <v>120</v>
      </c>
      <c r="E2587" s="78">
        <v>50</v>
      </c>
      <c r="F2587" s="78">
        <v>300360</v>
      </c>
      <c r="G2587" s="80" t="s">
        <v>70</v>
      </c>
      <c r="H2587" s="79">
        <v>44246</v>
      </c>
      <c r="I2587" s="78">
        <v>51722</v>
      </c>
      <c r="J2587" s="78">
        <v>50</v>
      </c>
      <c r="K2587" s="79">
        <v>44251</v>
      </c>
      <c r="L2587" s="78">
        <v>11320</v>
      </c>
      <c r="M2587" s="78">
        <v>50</v>
      </c>
    </row>
    <row r="2588" spans="2:13" ht="14.1" customHeight="1" x14ac:dyDescent="0.25">
      <c r="B2588" s="78" t="str">
        <f t="shared" si="43"/>
        <v>2102-120-202486</v>
      </c>
      <c r="C2588" s="79">
        <v>44244</v>
      </c>
      <c r="D2588" s="78">
        <v>120</v>
      </c>
      <c r="E2588" s="78">
        <v>2</v>
      </c>
      <c r="F2588" s="78">
        <v>202486</v>
      </c>
      <c r="G2588" s="80" t="s">
        <v>1656</v>
      </c>
      <c r="H2588" s="79">
        <v>44246</v>
      </c>
      <c r="I2588" s="78">
        <v>51723</v>
      </c>
      <c r="J2588" s="78">
        <v>2</v>
      </c>
      <c r="K2588" s="79">
        <v>44249</v>
      </c>
      <c r="L2588" s="78">
        <v>11281</v>
      </c>
      <c r="M2588" s="78">
        <v>2</v>
      </c>
    </row>
    <row r="2589" spans="2:13" ht="14.1" customHeight="1" x14ac:dyDescent="0.25">
      <c r="B2589" s="78" t="str">
        <f t="shared" si="43"/>
        <v>2102-120-313446</v>
      </c>
      <c r="C2589" s="79">
        <v>44244</v>
      </c>
      <c r="D2589" s="78">
        <v>120</v>
      </c>
      <c r="E2589" s="78">
        <v>1</v>
      </c>
      <c r="F2589" s="78">
        <v>313446</v>
      </c>
      <c r="G2589" s="80" t="s">
        <v>1655</v>
      </c>
      <c r="H2589" s="79">
        <v>44245</v>
      </c>
      <c r="I2589" s="78">
        <v>51709</v>
      </c>
      <c r="J2589" s="78">
        <v>1</v>
      </c>
      <c r="K2589" s="79">
        <v>44250</v>
      </c>
      <c r="L2589" s="78">
        <v>11311</v>
      </c>
      <c r="M2589" s="78">
        <v>1</v>
      </c>
    </row>
    <row r="2590" spans="2:13" ht="14.1" customHeight="1" x14ac:dyDescent="0.25">
      <c r="B2590" s="78" t="str">
        <f t="shared" si="43"/>
        <v>2102-120-305820</v>
      </c>
      <c r="C2590" s="79">
        <v>44244</v>
      </c>
      <c r="D2590" s="78">
        <v>120</v>
      </c>
      <c r="E2590" s="78">
        <v>2</v>
      </c>
      <c r="F2590" s="78">
        <v>305820</v>
      </c>
      <c r="G2590" s="80" t="s">
        <v>701</v>
      </c>
      <c r="H2590" s="79">
        <v>44245</v>
      </c>
      <c r="I2590" s="78">
        <v>51709</v>
      </c>
      <c r="J2590" s="78">
        <v>1.82</v>
      </c>
      <c r="K2590" s="79">
        <v>44250</v>
      </c>
      <c r="L2590" s="78">
        <v>11311</v>
      </c>
      <c r="M2590" s="78">
        <v>2</v>
      </c>
    </row>
    <row r="2591" spans="2:13" ht="14.1" customHeight="1" x14ac:dyDescent="0.25">
      <c r="B2591" s="78" t="str">
        <f t="shared" si="43"/>
        <v>2102-120-319327</v>
      </c>
      <c r="C2591" s="79">
        <v>44244</v>
      </c>
      <c r="D2591" s="78">
        <v>120</v>
      </c>
      <c r="E2591" s="78">
        <v>2</v>
      </c>
      <c r="F2591" s="78">
        <v>319327</v>
      </c>
      <c r="G2591" s="80" t="s">
        <v>80</v>
      </c>
      <c r="H2591" s="79">
        <v>44246</v>
      </c>
      <c r="I2591" s="78">
        <v>51723</v>
      </c>
      <c r="J2591" s="78">
        <v>2</v>
      </c>
      <c r="K2591" s="79">
        <v>44298</v>
      </c>
      <c r="L2591" s="78">
        <v>11782</v>
      </c>
      <c r="M2591" s="78">
        <v>2</v>
      </c>
    </row>
    <row r="2592" spans="2:13" ht="14.1" customHeight="1" x14ac:dyDescent="0.25">
      <c r="B2592" s="78" t="str">
        <f t="shared" si="43"/>
        <v>2102-120-300337</v>
      </c>
      <c r="C2592" s="79">
        <v>44244</v>
      </c>
      <c r="D2592" s="78">
        <v>120</v>
      </c>
      <c r="E2592" s="78">
        <v>50</v>
      </c>
      <c r="F2592" s="78">
        <v>300337</v>
      </c>
      <c r="G2592" s="80" t="s">
        <v>117</v>
      </c>
      <c r="H2592" s="79">
        <v>44246</v>
      </c>
      <c r="I2592" s="78">
        <v>51722</v>
      </c>
      <c r="J2592" s="78">
        <v>50</v>
      </c>
      <c r="K2592" s="79">
        <v>44251</v>
      </c>
      <c r="L2592" s="78">
        <v>11320</v>
      </c>
      <c r="M2592" s="78">
        <v>50</v>
      </c>
    </row>
    <row r="2593" spans="2:13" ht="14.1" customHeight="1" x14ac:dyDescent="0.25">
      <c r="B2593" s="78" t="str">
        <f t="shared" si="43"/>
        <v>2102-120-203639</v>
      </c>
      <c r="C2593" s="79">
        <v>44244</v>
      </c>
      <c r="D2593" s="78">
        <v>120</v>
      </c>
      <c r="E2593" s="78">
        <v>3</v>
      </c>
      <c r="F2593" s="78">
        <v>203639</v>
      </c>
      <c r="G2593" s="80" t="s">
        <v>266</v>
      </c>
      <c r="H2593" s="79">
        <v>44246</v>
      </c>
      <c r="I2593" s="78">
        <v>51753</v>
      </c>
      <c r="J2593" s="78">
        <v>3</v>
      </c>
      <c r="K2593" s="79">
        <v>44249</v>
      </c>
      <c r="L2593" s="78">
        <v>11282</v>
      </c>
      <c r="M2593" s="78">
        <v>3</v>
      </c>
    </row>
    <row r="2594" spans="2:13" ht="14.1" customHeight="1" x14ac:dyDescent="0.25">
      <c r="B2594" s="78" t="str">
        <f t="shared" si="43"/>
        <v>2102-120-106644</v>
      </c>
      <c r="C2594" s="79">
        <v>44244</v>
      </c>
      <c r="D2594" s="78">
        <v>120</v>
      </c>
      <c r="E2594" s="78">
        <v>50</v>
      </c>
      <c r="F2594" s="78">
        <v>106644</v>
      </c>
      <c r="G2594" s="80" t="s">
        <v>83</v>
      </c>
      <c r="H2594" s="79">
        <v>44246</v>
      </c>
      <c r="I2594" s="78">
        <v>51722</v>
      </c>
      <c r="J2594" s="78">
        <v>50</v>
      </c>
      <c r="K2594" s="79">
        <v>44251</v>
      </c>
      <c r="L2594" s="78">
        <v>11320</v>
      </c>
      <c r="M2594" s="78">
        <v>50</v>
      </c>
    </row>
    <row r="2595" spans="2:13" ht="14.1" customHeight="1" x14ac:dyDescent="0.25">
      <c r="B2595" s="78" t="str">
        <f t="shared" si="43"/>
        <v>2102-121-320791</v>
      </c>
      <c r="C2595" s="79">
        <v>44244</v>
      </c>
      <c r="D2595" s="78">
        <v>121</v>
      </c>
      <c r="E2595" s="78">
        <v>2</v>
      </c>
      <c r="F2595" s="78">
        <v>320791</v>
      </c>
      <c r="G2595" s="80" t="s">
        <v>1657</v>
      </c>
      <c r="H2595" s="79">
        <v>44244</v>
      </c>
      <c r="I2595" s="78">
        <v>51669</v>
      </c>
      <c r="J2595" s="78">
        <v>2</v>
      </c>
      <c r="K2595" s="79">
        <v>44273</v>
      </c>
      <c r="L2595" s="78">
        <v>11564</v>
      </c>
      <c r="M2595" s="78">
        <v>2</v>
      </c>
    </row>
    <row r="2596" spans="2:13" ht="14.1" customHeight="1" x14ac:dyDescent="0.25">
      <c r="B2596" s="78" t="str">
        <f t="shared" si="43"/>
        <v>2102-121-317830</v>
      </c>
      <c r="C2596" s="79">
        <v>44244</v>
      </c>
      <c r="D2596" s="78">
        <v>121</v>
      </c>
      <c r="E2596" s="78">
        <v>2</v>
      </c>
      <c r="F2596" s="78">
        <v>317830</v>
      </c>
      <c r="G2596" s="80" t="s">
        <v>1658</v>
      </c>
      <c r="H2596" s="79">
        <v>44244</v>
      </c>
      <c r="I2596" s="78">
        <v>51669</v>
      </c>
      <c r="J2596" s="78">
        <v>2</v>
      </c>
      <c r="K2596" s="79">
        <v>44273</v>
      </c>
      <c r="L2596" s="78">
        <v>11564</v>
      </c>
      <c r="M2596" s="78">
        <v>2</v>
      </c>
    </row>
    <row r="2597" spans="2:13" ht="14.1" customHeight="1" x14ac:dyDescent="0.25">
      <c r="B2597" s="78" t="str">
        <f t="shared" si="43"/>
        <v>2102-122-203593</v>
      </c>
      <c r="C2597" s="79">
        <v>44244</v>
      </c>
      <c r="D2597" s="78">
        <v>122</v>
      </c>
      <c r="E2597" s="78">
        <v>5948</v>
      </c>
      <c r="F2597" s="78">
        <v>203593</v>
      </c>
      <c r="G2597" s="80" t="s">
        <v>211</v>
      </c>
      <c r="H2597" s="79">
        <v>44245</v>
      </c>
      <c r="I2597" s="78">
        <v>51686</v>
      </c>
      <c r="J2597" s="78">
        <v>5948</v>
      </c>
      <c r="K2597" s="79">
        <v>44244</v>
      </c>
      <c r="L2597" s="78">
        <v>11226</v>
      </c>
      <c r="M2597" s="78">
        <v>5948</v>
      </c>
    </row>
    <row r="2598" spans="2:13" ht="14.1" customHeight="1" x14ac:dyDescent="0.25">
      <c r="B2598" s="78" t="str">
        <f t="shared" si="43"/>
        <v>2102-123-204172</v>
      </c>
      <c r="C2598" s="79">
        <v>44244</v>
      </c>
      <c r="D2598" s="78">
        <v>123</v>
      </c>
      <c r="E2598" s="78">
        <v>6</v>
      </c>
      <c r="F2598" s="78">
        <v>204172</v>
      </c>
      <c r="G2598" s="80" t="s">
        <v>527</v>
      </c>
      <c r="H2598" s="79">
        <v>44245</v>
      </c>
      <c r="I2598" s="78">
        <v>51708</v>
      </c>
      <c r="J2598" s="78">
        <v>6</v>
      </c>
      <c r="K2598" s="79">
        <v>44250</v>
      </c>
      <c r="L2598" s="78">
        <v>11312</v>
      </c>
      <c r="M2598" s="78">
        <v>6</v>
      </c>
    </row>
    <row r="2599" spans="2:13" ht="14.1" customHeight="1" x14ac:dyDescent="0.25">
      <c r="B2599" s="78" t="str">
        <f t="shared" si="43"/>
        <v>2102-123-102033</v>
      </c>
      <c r="C2599" s="79">
        <v>44244</v>
      </c>
      <c r="D2599" s="78">
        <v>123</v>
      </c>
      <c r="E2599" s="78">
        <v>4</v>
      </c>
      <c r="F2599" s="78">
        <v>102033</v>
      </c>
      <c r="G2599" s="80" t="s">
        <v>421</v>
      </c>
      <c r="H2599" s="79">
        <v>44245</v>
      </c>
      <c r="I2599" s="78">
        <v>51708</v>
      </c>
      <c r="J2599" s="78">
        <v>4</v>
      </c>
      <c r="K2599" s="79">
        <v>44250</v>
      </c>
      <c r="L2599" s="78">
        <v>11312</v>
      </c>
      <c r="M2599" s="78">
        <v>4</v>
      </c>
    </row>
    <row r="2600" spans="2:13" ht="14.1" customHeight="1" x14ac:dyDescent="0.25">
      <c r="B2600" s="78" t="str">
        <f t="shared" si="43"/>
        <v>2102-123-105240</v>
      </c>
      <c r="C2600" s="79">
        <v>44244</v>
      </c>
      <c r="D2600" s="78">
        <v>123</v>
      </c>
      <c r="E2600" s="78">
        <v>6</v>
      </c>
      <c r="F2600" s="78">
        <v>105240</v>
      </c>
      <c r="G2600" s="80" t="s">
        <v>429</v>
      </c>
      <c r="H2600" s="79">
        <v>44245</v>
      </c>
      <c r="I2600" s="78">
        <v>51708</v>
      </c>
      <c r="J2600" s="78">
        <v>6</v>
      </c>
      <c r="K2600" s="79">
        <v>44250</v>
      </c>
      <c r="L2600" s="78">
        <v>11312</v>
      </c>
      <c r="M2600" s="78">
        <v>6</v>
      </c>
    </row>
    <row r="2601" spans="2:13" ht="14.1" customHeight="1" x14ac:dyDescent="0.25">
      <c r="B2601" s="78" t="str">
        <f t="shared" si="43"/>
        <v>2102-123-201642</v>
      </c>
      <c r="C2601" s="79">
        <v>44244</v>
      </c>
      <c r="D2601" s="78">
        <v>123</v>
      </c>
      <c r="E2601" s="78">
        <v>2</v>
      </c>
      <c r="F2601" s="78">
        <v>201642</v>
      </c>
      <c r="G2601" s="80" t="s">
        <v>1254</v>
      </c>
      <c r="H2601" s="79">
        <v>44245</v>
      </c>
      <c r="I2601" s="78">
        <v>51708</v>
      </c>
      <c r="J2601" s="78">
        <v>2</v>
      </c>
      <c r="K2601" s="79">
        <v>44250</v>
      </c>
      <c r="L2601" s="78">
        <v>11312</v>
      </c>
      <c r="M2601" s="78">
        <v>2</v>
      </c>
    </row>
    <row r="2602" spans="2:13" ht="14.1" customHeight="1" x14ac:dyDescent="0.25">
      <c r="B2602" s="78" t="str">
        <f t="shared" si="43"/>
        <v>2102-124-315665</v>
      </c>
      <c r="C2602" s="79">
        <v>44244</v>
      </c>
      <c r="D2602" s="78">
        <v>124</v>
      </c>
      <c r="E2602" s="78">
        <v>50</v>
      </c>
      <c r="F2602" s="78">
        <v>315665</v>
      </c>
      <c r="G2602" s="80" t="s">
        <v>116</v>
      </c>
      <c r="H2602" s="79">
        <v>44245</v>
      </c>
      <c r="I2602" s="78">
        <v>51687</v>
      </c>
      <c r="J2602" s="78">
        <v>50</v>
      </c>
      <c r="K2602" s="79">
        <v>44244</v>
      </c>
      <c r="L2602" s="78">
        <v>11229</v>
      </c>
      <c r="M2602" s="78">
        <v>40</v>
      </c>
    </row>
    <row r="2603" spans="2:13" ht="14.1" customHeight="1" x14ac:dyDescent="0.25">
      <c r="B2603" s="78" t="str">
        <f t="shared" si="43"/>
        <v>2102-124-315665</v>
      </c>
      <c r="C2603" s="79">
        <v>44244</v>
      </c>
      <c r="D2603" s="78">
        <v>124</v>
      </c>
      <c r="E2603" s="78">
        <v>50</v>
      </c>
      <c r="F2603" s="78">
        <v>315665</v>
      </c>
      <c r="G2603" s="80" t="s">
        <v>116</v>
      </c>
      <c r="H2603" s="79">
        <v>44245</v>
      </c>
      <c r="I2603" s="78">
        <v>51687</v>
      </c>
      <c r="J2603" s="78">
        <v>50</v>
      </c>
      <c r="K2603" s="79">
        <v>44244</v>
      </c>
      <c r="L2603" s="78">
        <v>11230</v>
      </c>
      <c r="M2603" s="78">
        <v>10</v>
      </c>
    </row>
    <row r="2604" spans="2:13" ht="14.1" customHeight="1" x14ac:dyDescent="0.25">
      <c r="B2604" s="78" t="str">
        <f t="shared" si="43"/>
        <v>2102-128-315665</v>
      </c>
      <c r="C2604" s="79">
        <v>44244</v>
      </c>
      <c r="D2604" s="78">
        <v>128</v>
      </c>
      <c r="E2604" s="78">
        <v>20</v>
      </c>
      <c r="F2604" s="78">
        <v>315665</v>
      </c>
      <c r="G2604" s="80" t="s">
        <v>116</v>
      </c>
      <c r="H2604" s="79">
        <v>44245</v>
      </c>
      <c r="I2604" s="78">
        <v>51685</v>
      </c>
      <c r="J2604" s="78">
        <v>20</v>
      </c>
      <c r="K2604" s="79">
        <v>44244</v>
      </c>
      <c r="L2604" s="78">
        <v>11240</v>
      </c>
      <c r="M2604" s="78">
        <v>20</v>
      </c>
    </row>
    <row r="2605" spans="2:13" ht="14.1" customHeight="1" x14ac:dyDescent="0.25">
      <c r="B2605" s="78" t="str">
        <f t="shared" si="43"/>
        <v>2102-131-316099</v>
      </c>
      <c r="C2605" s="79">
        <v>44244</v>
      </c>
      <c r="D2605" s="78">
        <v>131</v>
      </c>
      <c r="E2605" s="78">
        <v>2</v>
      </c>
      <c r="F2605" s="78">
        <v>316099</v>
      </c>
      <c r="G2605" s="80" t="s">
        <v>1659</v>
      </c>
      <c r="H2605" s="79">
        <v>44246</v>
      </c>
      <c r="I2605" s="78">
        <v>51721</v>
      </c>
      <c r="J2605" s="78">
        <v>2</v>
      </c>
      <c r="K2605" s="79">
        <v>44251</v>
      </c>
      <c r="L2605" s="78">
        <v>11317</v>
      </c>
      <c r="M2605" s="78">
        <v>2</v>
      </c>
    </row>
    <row r="2606" spans="2:13" ht="14.1" customHeight="1" x14ac:dyDescent="0.25">
      <c r="B2606" s="78" t="str">
        <f t="shared" si="43"/>
        <v>2102-135-203593</v>
      </c>
      <c r="C2606" s="79">
        <v>44244</v>
      </c>
      <c r="D2606" s="78">
        <v>135</v>
      </c>
      <c r="E2606" s="78">
        <v>8269</v>
      </c>
      <c r="F2606" s="78">
        <v>203593</v>
      </c>
      <c r="G2606" s="80" t="s">
        <v>211</v>
      </c>
      <c r="H2606" s="79">
        <v>44245</v>
      </c>
      <c r="I2606" s="78">
        <v>51688</v>
      </c>
      <c r="J2606" s="78">
        <v>8269</v>
      </c>
      <c r="K2606" s="79">
        <v>44244</v>
      </c>
      <c r="L2606" s="78">
        <v>11246</v>
      </c>
      <c r="M2606" s="78">
        <v>8269</v>
      </c>
    </row>
    <row r="2607" spans="2:13" ht="14.1" customHeight="1" x14ac:dyDescent="0.25">
      <c r="B2607" s="78" t="str">
        <f t="shared" si="43"/>
        <v>2102-136-203593</v>
      </c>
      <c r="C2607" s="79">
        <v>44244</v>
      </c>
      <c r="D2607" s="78">
        <v>136</v>
      </c>
      <c r="E2607" s="78">
        <v>5318</v>
      </c>
      <c r="F2607" s="78">
        <v>203593</v>
      </c>
      <c r="G2607" s="80" t="s">
        <v>211</v>
      </c>
      <c r="H2607" s="79">
        <v>44245</v>
      </c>
      <c r="I2607" s="78">
        <v>51689</v>
      </c>
      <c r="J2607" s="78">
        <v>5318</v>
      </c>
      <c r="K2607" s="79">
        <v>44244</v>
      </c>
      <c r="L2607" s="78">
        <v>11247</v>
      </c>
      <c r="M2607" s="78">
        <v>5318</v>
      </c>
    </row>
    <row r="2608" spans="2:13" ht="14.1" customHeight="1" x14ac:dyDescent="0.25">
      <c r="B2608" s="78" t="str">
        <f t="shared" si="43"/>
        <v>2102-137-205752</v>
      </c>
      <c r="C2608" s="79">
        <v>44244</v>
      </c>
      <c r="D2608" s="78">
        <v>137</v>
      </c>
      <c r="E2608" s="78">
        <v>30</v>
      </c>
      <c r="F2608" s="78">
        <v>205752</v>
      </c>
      <c r="G2608" s="80" t="s">
        <v>197</v>
      </c>
      <c r="H2608" s="79">
        <v>44245</v>
      </c>
      <c r="I2608" s="78">
        <v>51705</v>
      </c>
      <c r="J2608" s="78">
        <v>30</v>
      </c>
      <c r="K2608" s="79">
        <v>44249</v>
      </c>
      <c r="L2608" s="78">
        <v>11278</v>
      </c>
      <c r="M2608" s="78">
        <v>30</v>
      </c>
    </row>
    <row r="2609" spans="2:13" ht="14.1" customHeight="1" x14ac:dyDescent="0.25">
      <c r="B2609" s="78" t="str">
        <f t="shared" si="43"/>
        <v>2102-138-204532</v>
      </c>
      <c r="C2609" s="79">
        <v>44245</v>
      </c>
      <c r="D2609" s="78">
        <v>138</v>
      </c>
      <c r="E2609" s="78">
        <v>1</v>
      </c>
      <c r="F2609" s="78">
        <v>204532</v>
      </c>
      <c r="G2609" s="80" t="s">
        <v>331</v>
      </c>
      <c r="H2609" s="79">
        <v>44246</v>
      </c>
      <c r="I2609" s="78">
        <v>51724</v>
      </c>
      <c r="J2609" s="78">
        <v>1</v>
      </c>
      <c r="K2609" s="79">
        <v>44249</v>
      </c>
      <c r="L2609" s="78">
        <v>11273</v>
      </c>
      <c r="M2609" s="78">
        <v>1</v>
      </c>
    </row>
    <row r="2610" spans="2:13" ht="14.1" customHeight="1" x14ac:dyDescent="0.25">
      <c r="B2610" s="78" t="str">
        <f t="shared" si="43"/>
        <v>2102-138-105127</v>
      </c>
      <c r="C2610" s="79">
        <v>44245</v>
      </c>
      <c r="D2610" s="78">
        <v>138</v>
      </c>
      <c r="E2610" s="78">
        <v>1</v>
      </c>
      <c r="F2610" s="78">
        <v>105127</v>
      </c>
      <c r="G2610" s="80" t="s">
        <v>1660</v>
      </c>
      <c r="H2610" s="79">
        <v>44246</v>
      </c>
      <c r="I2610" s="78">
        <v>51724</v>
      </c>
      <c r="J2610" s="78">
        <v>1</v>
      </c>
      <c r="K2610" s="79">
        <v>44249</v>
      </c>
      <c r="L2610" s="78">
        <v>11273</v>
      </c>
      <c r="M2610" s="78">
        <v>1</v>
      </c>
    </row>
    <row r="2611" spans="2:13" ht="14.1" customHeight="1" x14ac:dyDescent="0.25">
      <c r="B2611" s="78" t="str">
        <f t="shared" si="43"/>
        <v>2102-138-204531</v>
      </c>
      <c r="C2611" s="79">
        <v>44245</v>
      </c>
      <c r="D2611" s="78">
        <v>138</v>
      </c>
      <c r="E2611" s="78">
        <v>1</v>
      </c>
      <c r="F2611" s="78">
        <v>204531</v>
      </c>
      <c r="G2611" s="80" t="s">
        <v>330</v>
      </c>
      <c r="H2611" s="79">
        <v>44246</v>
      </c>
      <c r="I2611" s="78">
        <v>51724</v>
      </c>
      <c r="J2611" s="78">
        <v>1</v>
      </c>
      <c r="K2611" s="79">
        <v>44249</v>
      </c>
      <c r="L2611" s="78">
        <v>11273</v>
      </c>
      <c r="M2611" s="78">
        <v>1</v>
      </c>
    </row>
    <row r="2612" spans="2:13" ht="14.1" customHeight="1" x14ac:dyDescent="0.25">
      <c r="B2612" s="78" t="str">
        <f t="shared" si="43"/>
        <v>2102-138-105523</v>
      </c>
      <c r="C2612" s="79">
        <v>44245</v>
      </c>
      <c r="D2612" s="78">
        <v>138</v>
      </c>
      <c r="E2612" s="78">
        <v>1</v>
      </c>
      <c r="F2612" s="78">
        <v>105523</v>
      </c>
      <c r="G2612" s="80" t="s">
        <v>1661</v>
      </c>
      <c r="H2612" s="79">
        <v>44246</v>
      </c>
      <c r="I2612" s="78">
        <v>51724</v>
      </c>
      <c r="J2612" s="78">
        <v>1</v>
      </c>
      <c r="K2612" s="79">
        <v>44249</v>
      </c>
      <c r="L2612" s="78">
        <v>11273</v>
      </c>
      <c r="M2612" s="78">
        <v>1</v>
      </c>
    </row>
    <row r="2613" spans="2:13" ht="14.1" customHeight="1" x14ac:dyDescent="0.25">
      <c r="B2613" s="78" t="str">
        <f t="shared" si="43"/>
        <v>2102-139-308927</v>
      </c>
      <c r="C2613" s="79">
        <v>44245</v>
      </c>
      <c r="D2613" s="78">
        <v>139</v>
      </c>
      <c r="E2613" s="78">
        <v>16</v>
      </c>
      <c r="F2613" s="78">
        <v>308927</v>
      </c>
      <c r="G2613" s="80" t="s">
        <v>1662</v>
      </c>
      <c r="H2613" s="79">
        <v>44245</v>
      </c>
      <c r="I2613" s="78">
        <v>51706</v>
      </c>
      <c r="J2613" s="78">
        <v>16</v>
      </c>
      <c r="K2613" s="79">
        <v>44265</v>
      </c>
      <c r="L2613" s="78">
        <v>11456</v>
      </c>
      <c r="M2613" s="78">
        <v>16</v>
      </c>
    </row>
    <row r="2614" spans="2:13" ht="14.1" customHeight="1" x14ac:dyDescent="0.25">
      <c r="B2614" s="78" t="str">
        <f t="shared" si="43"/>
        <v>2102-141-300334</v>
      </c>
      <c r="C2614" s="79">
        <v>44245</v>
      </c>
      <c r="D2614" s="78">
        <v>141</v>
      </c>
      <c r="E2614" s="78">
        <v>4</v>
      </c>
      <c r="F2614" s="78">
        <v>300334</v>
      </c>
      <c r="G2614" s="80" t="s">
        <v>46</v>
      </c>
      <c r="H2614" s="79">
        <v>44251</v>
      </c>
      <c r="I2614" s="78">
        <v>51842</v>
      </c>
      <c r="J2614" s="78">
        <v>4</v>
      </c>
      <c r="K2614" s="79">
        <v>44253</v>
      </c>
      <c r="L2614" s="78">
        <v>11352</v>
      </c>
      <c r="M2614" s="78">
        <v>4</v>
      </c>
    </row>
    <row r="2615" spans="2:13" ht="14.1" customHeight="1" x14ac:dyDescent="0.25">
      <c r="B2615" s="78" t="str">
        <f t="shared" si="43"/>
        <v>2102-141-205958</v>
      </c>
      <c r="C2615" s="79">
        <v>44245</v>
      </c>
      <c r="D2615" s="78">
        <v>141</v>
      </c>
      <c r="E2615" s="78">
        <v>6</v>
      </c>
      <c r="F2615" s="78">
        <v>205958</v>
      </c>
      <c r="G2615" s="80" t="s">
        <v>122</v>
      </c>
      <c r="H2615" s="79">
        <v>44251</v>
      </c>
      <c r="I2615" s="78">
        <v>51841</v>
      </c>
      <c r="J2615" s="78">
        <v>6</v>
      </c>
      <c r="K2615" s="79">
        <v>44253</v>
      </c>
      <c r="L2615" s="78">
        <v>11357</v>
      </c>
      <c r="M2615" s="78">
        <v>1</v>
      </c>
    </row>
    <row r="2616" spans="2:13" ht="14.1" customHeight="1" x14ac:dyDescent="0.25">
      <c r="B2616" s="78" t="str">
        <f t="shared" si="43"/>
        <v>2102-141-205958</v>
      </c>
      <c r="C2616" s="79">
        <v>44245</v>
      </c>
      <c r="D2616" s="78">
        <v>141</v>
      </c>
      <c r="E2616" s="78">
        <v>6</v>
      </c>
      <c r="F2616" s="78">
        <v>205958</v>
      </c>
      <c r="G2616" s="80" t="s">
        <v>122</v>
      </c>
      <c r="H2616" s="79">
        <v>44251</v>
      </c>
      <c r="I2616" s="78">
        <v>51841</v>
      </c>
      <c r="J2616" s="78">
        <v>6</v>
      </c>
      <c r="K2616" s="79">
        <v>44253</v>
      </c>
      <c r="L2616" s="78">
        <v>11358</v>
      </c>
      <c r="M2616" s="78">
        <v>5</v>
      </c>
    </row>
    <row r="2617" spans="2:13" ht="14.1" customHeight="1" x14ac:dyDescent="0.25">
      <c r="B2617" s="78" t="str">
        <f t="shared" si="43"/>
        <v>2102-141-301170</v>
      </c>
      <c r="C2617" s="79">
        <v>44245</v>
      </c>
      <c r="D2617" s="78">
        <v>141</v>
      </c>
      <c r="E2617" s="78">
        <v>6</v>
      </c>
      <c r="F2617" s="78">
        <v>301170</v>
      </c>
      <c r="G2617" s="80" t="s">
        <v>1671</v>
      </c>
      <c r="H2617" s="79">
        <v>44251</v>
      </c>
      <c r="I2617" s="78">
        <v>51841</v>
      </c>
      <c r="J2617" s="78">
        <v>6</v>
      </c>
      <c r="K2617" s="79">
        <v>44253</v>
      </c>
      <c r="L2617" s="78">
        <v>11357</v>
      </c>
      <c r="M2617" s="78">
        <v>6</v>
      </c>
    </row>
    <row r="2618" spans="2:13" ht="14.1" customHeight="1" x14ac:dyDescent="0.25">
      <c r="B2618" s="78" t="str">
        <f t="shared" si="43"/>
        <v>2102-141-310223</v>
      </c>
      <c r="C2618" s="79">
        <v>44245</v>
      </c>
      <c r="D2618" s="78">
        <v>141</v>
      </c>
      <c r="E2618" s="78">
        <v>3</v>
      </c>
      <c r="F2618" s="78">
        <v>310223</v>
      </c>
      <c r="G2618" s="80" t="s">
        <v>1193</v>
      </c>
      <c r="H2618" s="79">
        <v>44251</v>
      </c>
      <c r="I2618" s="78">
        <v>51841</v>
      </c>
      <c r="J2618" s="78">
        <v>3</v>
      </c>
      <c r="K2618" s="79">
        <v>44253</v>
      </c>
      <c r="L2618" s="78">
        <v>11359</v>
      </c>
      <c r="M2618" s="78">
        <v>3</v>
      </c>
    </row>
    <row r="2619" spans="2:13" ht="14.1" customHeight="1" x14ac:dyDescent="0.25">
      <c r="B2619" s="78" t="str">
        <f t="shared" si="43"/>
        <v>2102-141-306465</v>
      </c>
      <c r="C2619" s="79">
        <v>44245</v>
      </c>
      <c r="D2619" s="78">
        <v>141</v>
      </c>
      <c r="E2619" s="78">
        <v>3</v>
      </c>
      <c r="F2619" s="78">
        <v>306465</v>
      </c>
      <c r="G2619" s="80" t="s">
        <v>1194</v>
      </c>
      <c r="H2619" s="79">
        <v>44251</v>
      </c>
      <c r="I2619" s="78">
        <v>51841</v>
      </c>
      <c r="J2619" s="78">
        <v>3</v>
      </c>
      <c r="K2619" s="79">
        <v>44253</v>
      </c>
      <c r="L2619" s="78">
        <v>11359</v>
      </c>
      <c r="M2619" s="78">
        <v>3</v>
      </c>
    </row>
    <row r="2620" spans="2:13" ht="14.1" customHeight="1" x14ac:dyDescent="0.25">
      <c r="B2620" s="78" t="str">
        <f t="shared" si="43"/>
        <v>2102-141-303535</v>
      </c>
      <c r="C2620" s="79">
        <v>44245</v>
      </c>
      <c r="D2620" s="78">
        <v>141</v>
      </c>
      <c r="E2620" s="78">
        <v>4</v>
      </c>
      <c r="F2620" s="78">
        <v>303535</v>
      </c>
      <c r="G2620" s="80" t="s">
        <v>1669</v>
      </c>
      <c r="H2620" s="79">
        <v>44251</v>
      </c>
      <c r="I2620" s="78">
        <v>51842</v>
      </c>
      <c r="J2620" s="78">
        <v>4</v>
      </c>
      <c r="K2620" s="79">
        <v>44253</v>
      </c>
      <c r="L2620" s="78">
        <v>11352</v>
      </c>
      <c r="M2620" s="78">
        <v>4</v>
      </c>
    </row>
    <row r="2621" spans="2:13" ht="14.1" customHeight="1" x14ac:dyDescent="0.25">
      <c r="B2621" s="78" t="str">
        <f t="shared" si="43"/>
        <v>2102-141-300331</v>
      </c>
      <c r="C2621" s="79">
        <v>44245</v>
      </c>
      <c r="D2621" s="78">
        <v>141</v>
      </c>
      <c r="E2621" s="78">
        <v>8</v>
      </c>
      <c r="F2621" s="78">
        <v>300331</v>
      </c>
      <c r="G2621" s="80" t="s">
        <v>293</v>
      </c>
      <c r="H2621" s="79">
        <v>44251</v>
      </c>
      <c r="I2621" s="78">
        <v>51842</v>
      </c>
      <c r="J2621" s="78">
        <v>8</v>
      </c>
      <c r="K2621" s="79">
        <v>44253</v>
      </c>
      <c r="L2621" s="78">
        <v>11352</v>
      </c>
      <c r="M2621" s="78">
        <v>8</v>
      </c>
    </row>
    <row r="2622" spans="2:13" ht="14.1" customHeight="1" x14ac:dyDescent="0.25">
      <c r="B2622" s="78" t="str">
        <f t="shared" si="43"/>
        <v>2102-141-107115</v>
      </c>
      <c r="C2622" s="79">
        <v>44245</v>
      </c>
      <c r="D2622" s="78">
        <v>141</v>
      </c>
      <c r="E2622" s="78">
        <v>3</v>
      </c>
      <c r="F2622" s="78">
        <v>107115</v>
      </c>
      <c r="G2622" s="80" t="s">
        <v>1667</v>
      </c>
      <c r="H2622" s="79">
        <v>44251</v>
      </c>
      <c r="I2622" s="78">
        <v>51843</v>
      </c>
      <c r="J2622" s="78">
        <v>3</v>
      </c>
      <c r="K2622" s="79">
        <v>44253</v>
      </c>
      <c r="L2622" s="78">
        <v>11353</v>
      </c>
      <c r="M2622" s="78">
        <v>3</v>
      </c>
    </row>
    <row r="2623" spans="2:13" ht="14.1" customHeight="1" x14ac:dyDescent="0.25">
      <c r="B2623" s="78" t="str">
        <f t="shared" si="43"/>
        <v>2102-141-303381</v>
      </c>
      <c r="C2623" s="79">
        <v>44245</v>
      </c>
      <c r="D2623" s="78">
        <v>141</v>
      </c>
      <c r="E2623" s="78">
        <v>3</v>
      </c>
      <c r="F2623" s="78">
        <v>303381</v>
      </c>
      <c r="G2623" s="81" t="s">
        <v>1668</v>
      </c>
      <c r="H2623" s="79">
        <v>44251</v>
      </c>
      <c r="I2623" s="78">
        <v>51843</v>
      </c>
      <c r="J2623" s="78">
        <v>3</v>
      </c>
      <c r="K2623" s="79">
        <v>44253</v>
      </c>
      <c r="L2623" s="78">
        <v>11353</v>
      </c>
      <c r="M2623" s="78">
        <v>3</v>
      </c>
    </row>
    <row r="2624" spans="2:13" ht="14.1" customHeight="1" x14ac:dyDescent="0.25">
      <c r="B2624" s="78" t="str">
        <f t="shared" si="43"/>
        <v>2102-141-205657</v>
      </c>
      <c r="C2624" s="79">
        <v>44245</v>
      </c>
      <c r="D2624" s="78">
        <v>141</v>
      </c>
      <c r="E2624" s="78">
        <v>6</v>
      </c>
      <c r="F2624" s="78">
        <v>205657</v>
      </c>
      <c r="G2624" s="80" t="s">
        <v>1670</v>
      </c>
      <c r="H2624" s="79">
        <v>44251</v>
      </c>
      <c r="I2624" s="78">
        <v>51841</v>
      </c>
      <c r="J2624" s="78">
        <v>6</v>
      </c>
      <c r="K2624" s="79">
        <v>44253</v>
      </c>
      <c r="L2624" s="78">
        <v>11357</v>
      </c>
      <c r="M2624" s="78">
        <v>6</v>
      </c>
    </row>
    <row r="2625" spans="2:13" ht="14.1" customHeight="1" x14ac:dyDescent="0.25">
      <c r="B2625" s="78" t="str">
        <f t="shared" si="43"/>
        <v>2102-141-301856</v>
      </c>
      <c r="C2625" s="79">
        <v>44245</v>
      </c>
      <c r="D2625" s="78">
        <v>141</v>
      </c>
      <c r="E2625" s="78">
        <v>6</v>
      </c>
      <c r="F2625" s="78">
        <v>301856</v>
      </c>
      <c r="G2625" s="80" t="s">
        <v>1347</v>
      </c>
      <c r="H2625" s="79">
        <v>44251</v>
      </c>
      <c r="I2625" s="78">
        <v>51842</v>
      </c>
      <c r="J2625" s="78">
        <v>6</v>
      </c>
      <c r="K2625" s="79">
        <v>44253</v>
      </c>
      <c r="L2625" s="78">
        <v>11352</v>
      </c>
      <c r="M2625" s="78">
        <v>6</v>
      </c>
    </row>
    <row r="2626" spans="2:13" ht="14.1" customHeight="1" x14ac:dyDescent="0.25">
      <c r="B2626" s="78" t="str">
        <f t="shared" si="43"/>
        <v>2102-141-107222</v>
      </c>
      <c r="C2626" s="79">
        <v>44245</v>
      </c>
      <c r="D2626" s="78">
        <v>141</v>
      </c>
      <c r="E2626" s="78">
        <v>6</v>
      </c>
      <c r="F2626" s="78">
        <v>107222</v>
      </c>
      <c r="G2626" s="80" t="s">
        <v>84</v>
      </c>
      <c r="H2626" s="79">
        <v>44251</v>
      </c>
      <c r="I2626" s="78">
        <v>51841</v>
      </c>
      <c r="J2626" s="78">
        <v>6</v>
      </c>
      <c r="K2626" s="79">
        <v>44253</v>
      </c>
      <c r="L2626" s="78">
        <v>11357</v>
      </c>
      <c r="M2626" s="78">
        <v>6</v>
      </c>
    </row>
    <row r="2627" spans="2:13" ht="14.1" customHeight="1" x14ac:dyDescent="0.25">
      <c r="B2627" s="78" t="str">
        <f t="shared" si="43"/>
        <v>2102-141-205645</v>
      </c>
      <c r="C2627" s="79">
        <v>44245</v>
      </c>
      <c r="D2627" s="78">
        <v>141</v>
      </c>
      <c r="E2627" s="78">
        <v>4</v>
      </c>
      <c r="F2627" s="78">
        <v>205645</v>
      </c>
      <c r="G2627" s="80" t="s">
        <v>85</v>
      </c>
      <c r="H2627" s="79">
        <v>44251</v>
      </c>
      <c r="I2627" s="78">
        <v>51841</v>
      </c>
      <c r="J2627" s="78">
        <v>4</v>
      </c>
      <c r="K2627" s="79">
        <v>44253</v>
      </c>
      <c r="L2627" s="78">
        <v>11357</v>
      </c>
      <c r="M2627" s="78">
        <v>4</v>
      </c>
    </row>
    <row r="2628" spans="2:13" ht="14.1" customHeight="1" x14ac:dyDescent="0.25">
      <c r="B2628" s="78" t="str">
        <f t="shared" si="43"/>
        <v>2102-145-304023</v>
      </c>
      <c r="C2628" s="79">
        <v>44246</v>
      </c>
      <c r="D2628" s="78">
        <v>145</v>
      </c>
      <c r="E2628" s="78">
        <v>3000</v>
      </c>
      <c r="F2628" s="78">
        <v>304023</v>
      </c>
      <c r="G2628" s="80" t="s">
        <v>1533</v>
      </c>
      <c r="H2628" s="79">
        <v>44246</v>
      </c>
      <c r="I2628" s="78">
        <v>51739</v>
      </c>
      <c r="J2628" s="78">
        <v>3000</v>
      </c>
      <c r="K2628" s="79">
        <v>44249</v>
      </c>
      <c r="L2628" s="78">
        <v>11280</v>
      </c>
      <c r="M2628" s="78">
        <v>3000</v>
      </c>
    </row>
    <row r="2629" spans="2:13" ht="14.1" customHeight="1" x14ac:dyDescent="0.25">
      <c r="B2629" s="78" t="str">
        <f t="shared" si="43"/>
        <v>2102-149-100058</v>
      </c>
      <c r="C2629" s="79">
        <v>44246</v>
      </c>
      <c r="D2629" s="78">
        <v>149</v>
      </c>
      <c r="E2629" s="78">
        <v>2</v>
      </c>
      <c r="F2629" s="78">
        <v>100058</v>
      </c>
      <c r="G2629" s="80" t="s">
        <v>1672</v>
      </c>
      <c r="H2629" s="79">
        <v>44249</v>
      </c>
      <c r="I2629" s="78">
        <v>51779</v>
      </c>
      <c r="J2629" s="78">
        <v>2</v>
      </c>
      <c r="K2629" s="79">
        <v>44252</v>
      </c>
      <c r="L2629" s="78">
        <v>11333</v>
      </c>
      <c r="M2629" s="78">
        <v>2</v>
      </c>
    </row>
    <row r="2630" spans="2:13" ht="14.1" customHeight="1" x14ac:dyDescent="0.25">
      <c r="B2630" s="78" t="str">
        <f t="shared" si="43"/>
        <v>2102-151-105717</v>
      </c>
      <c r="C2630" s="79">
        <v>44246</v>
      </c>
      <c r="D2630" s="78">
        <v>151</v>
      </c>
      <c r="E2630" s="78">
        <v>1</v>
      </c>
      <c r="F2630" s="78">
        <v>105717</v>
      </c>
      <c r="G2630" s="80" t="s">
        <v>1673</v>
      </c>
      <c r="H2630" s="79">
        <v>44246</v>
      </c>
      <c r="I2630" s="78">
        <v>51740</v>
      </c>
      <c r="J2630" s="78">
        <v>1</v>
      </c>
      <c r="K2630" s="79">
        <v>44250</v>
      </c>
      <c r="L2630" s="78">
        <v>11313</v>
      </c>
      <c r="M2630" s="78">
        <v>1</v>
      </c>
    </row>
    <row r="2631" spans="2:13" ht="14.1" customHeight="1" x14ac:dyDescent="0.25">
      <c r="B2631" s="78" t="str">
        <f t="shared" si="43"/>
        <v>2102-157-312007</v>
      </c>
      <c r="C2631" s="79">
        <v>44246</v>
      </c>
      <c r="D2631" s="78">
        <v>157</v>
      </c>
      <c r="E2631" s="78">
        <v>2</v>
      </c>
      <c r="F2631" s="78">
        <v>312007</v>
      </c>
      <c r="G2631" s="81" t="s">
        <v>795</v>
      </c>
      <c r="H2631" s="79">
        <v>44256</v>
      </c>
      <c r="I2631" s="78">
        <v>51968</v>
      </c>
      <c r="J2631" s="78">
        <v>2</v>
      </c>
      <c r="K2631" s="79">
        <v>44258</v>
      </c>
      <c r="L2631" s="78">
        <v>11383</v>
      </c>
      <c r="M2631" s="78">
        <v>2</v>
      </c>
    </row>
    <row r="2632" spans="2:13" ht="14.1" customHeight="1" x14ac:dyDescent="0.25">
      <c r="B2632" s="78" t="str">
        <f t="shared" si="43"/>
        <v>2102-157-312007</v>
      </c>
      <c r="C2632" s="79">
        <v>44246</v>
      </c>
      <c r="D2632" s="78">
        <v>157</v>
      </c>
      <c r="E2632" s="78">
        <v>2</v>
      </c>
      <c r="F2632" s="78">
        <v>312007</v>
      </c>
      <c r="G2632" s="81" t="s">
        <v>795</v>
      </c>
      <c r="H2632" s="79">
        <v>44256</v>
      </c>
      <c r="I2632" s="78">
        <v>51968</v>
      </c>
      <c r="J2632" s="78">
        <v>2</v>
      </c>
      <c r="K2632" s="79">
        <v>44258</v>
      </c>
      <c r="L2632" s="78">
        <v>11383</v>
      </c>
      <c r="M2632" s="78">
        <v>2</v>
      </c>
    </row>
    <row r="2633" spans="2:13" ht="14.1" customHeight="1" x14ac:dyDescent="0.25">
      <c r="B2633" s="78" t="str">
        <f t="shared" si="43"/>
        <v>2102-157-310144</v>
      </c>
      <c r="C2633" s="79">
        <v>44246</v>
      </c>
      <c r="D2633" s="78">
        <v>157</v>
      </c>
      <c r="E2633" s="78">
        <v>3</v>
      </c>
      <c r="F2633" s="78">
        <v>310144</v>
      </c>
      <c r="G2633" s="81" t="s">
        <v>1674</v>
      </c>
      <c r="H2633" s="79">
        <v>44256</v>
      </c>
      <c r="I2633" s="78">
        <v>51968</v>
      </c>
      <c r="J2633" s="78">
        <v>3</v>
      </c>
      <c r="K2633" s="79">
        <v>44258</v>
      </c>
      <c r="L2633" s="78">
        <v>11383</v>
      </c>
      <c r="M2633" s="78">
        <v>3</v>
      </c>
    </row>
    <row r="2634" spans="2:13" ht="14.1" customHeight="1" x14ac:dyDescent="0.25">
      <c r="B2634" s="78" t="str">
        <f t="shared" si="43"/>
        <v>2102-158-105451</v>
      </c>
      <c r="C2634" s="79">
        <v>44246</v>
      </c>
      <c r="D2634" s="78">
        <v>158</v>
      </c>
      <c r="E2634" s="78">
        <v>2</v>
      </c>
      <c r="F2634" s="78">
        <v>105451</v>
      </c>
      <c r="G2634" s="81" t="s">
        <v>1681</v>
      </c>
      <c r="H2634" s="79">
        <v>44249</v>
      </c>
      <c r="I2634" s="78">
        <v>51780</v>
      </c>
      <c r="J2634" s="78">
        <v>2</v>
      </c>
      <c r="K2634" s="79">
        <v>44252</v>
      </c>
      <c r="L2634" s="78">
        <v>11338</v>
      </c>
      <c r="M2634" s="78">
        <v>2</v>
      </c>
    </row>
    <row r="2635" spans="2:13" ht="14.1" customHeight="1" x14ac:dyDescent="0.25">
      <c r="B2635" s="78" t="str">
        <f t="shared" si="43"/>
        <v>2102-158-106726</v>
      </c>
      <c r="C2635" s="79">
        <v>44246</v>
      </c>
      <c r="D2635" s="78">
        <v>158</v>
      </c>
      <c r="E2635" s="78">
        <v>1</v>
      </c>
      <c r="F2635" s="78">
        <v>106726</v>
      </c>
      <c r="G2635" s="81" t="s">
        <v>1677</v>
      </c>
      <c r="H2635" s="79">
        <v>44249</v>
      </c>
      <c r="I2635" s="78">
        <v>51781</v>
      </c>
      <c r="J2635" s="78">
        <v>1</v>
      </c>
      <c r="K2635" s="79">
        <v>44252</v>
      </c>
      <c r="L2635" s="78">
        <v>11341</v>
      </c>
      <c r="M2635" s="78">
        <v>1</v>
      </c>
    </row>
    <row r="2636" spans="2:13" ht="14.1" customHeight="1" x14ac:dyDescent="0.25">
      <c r="B2636" s="78" t="str">
        <f t="shared" si="43"/>
        <v>2102-158-312584</v>
      </c>
      <c r="C2636" s="79">
        <v>44246</v>
      </c>
      <c r="D2636" s="78">
        <v>158</v>
      </c>
      <c r="E2636" s="78">
        <v>20</v>
      </c>
      <c r="F2636" s="78">
        <v>312584</v>
      </c>
      <c r="G2636" s="80" t="s">
        <v>813</v>
      </c>
      <c r="H2636" s="79">
        <v>44249</v>
      </c>
      <c r="I2636" s="78">
        <v>51781</v>
      </c>
      <c r="J2636" s="78">
        <v>20</v>
      </c>
      <c r="K2636" s="79">
        <v>44252</v>
      </c>
      <c r="L2636" s="78">
        <v>11341</v>
      </c>
      <c r="M2636" s="78">
        <v>20</v>
      </c>
    </row>
    <row r="2637" spans="2:13" ht="14.1" customHeight="1" x14ac:dyDescent="0.25">
      <c r="B2637" s="78" t="str">
        <f t="shared" si="43"/>
        <v>2102-158-304091</v>
      </c>
      <c r="C2637" s="79">
        <v>44246</v>
      </c>
      <c r="D2637" s="78">
        <v>158</v>
      </c>
      <c r="E2637" s="78">
        <v>10</v>
      </c>
      <c r="F2637" s="78">
        <v>304091</v>
      </c>
      <c r="G2637" s="80" t="s">
        <v>1675</v>
      </c>
      <c r="H2637" s="79">
        <v>44249</v>
      </c>
      <c r="I2637" s="78">
        <v>51781</v>
      </c>
      <c r="J2637" s="78">
        <v>10</v>
      </c>
      <c r="K2637" s="79">
        <v>44252</v>
      </c>
      <c r="L2637" s="78">
        <v>11341</v>
      </c>
      <c r="M2637" s="78">
        <v>10</v>
      </c>
    </row>
    <row r="2638" spans="2:13" ht="14.1" customHeight="1" x14ac:dyDescent="0.25">
      <c r="B2638" s="78" t="str">
        <f t="shared" si="43"/>
        <v>2102-158-105945</v>
      </c>
      <c r="C2638" s="79">
        <v>44246</v>
      </c>
      <c r="D2638" s="78">
        <v>158</v>
      </c>
      <c r="E2638" s="78">
        <v>3</v>
      </c>
      <c r="F2638" s="78">
        <v>105945</v>
      </c>
      <c r="G2638" s="80" t="s">
        <v>37</v>
      </c>
      <c r="H2638" s="79">
        <v>44249</v>
      </c>
      <c r="I2638" s="78">
        <v>51781</v>
      </c>
      <c r="J2638" s="78">
        <v>3</v>
      </c>
      <c r="K2638" s="79">
        <v>44252</v>
      </c>
      <c r="L2638" s="78">
        <v>11341</v>
      </c>
      <c r="M2638" s="78">
        <v>3</v>
      </c>
    </row>
    <row r="2639" spans="2:13" ht="14.1" customHeight="1" x14ac:dyDescent="0.25">
      <c r="B2639" s="78" t="str">
        <f t="shared" si="43"/>
        <v>2102-158-309682</v>
      </c>
      <c r="C2639" s="79">
        <v>44246</v>
      </c>
      <c r="D2639" s="78">
        <v>158</v>
      </c>
      <c r="E2639" s="78">
        <v>3</v>
      </c>
      <c r="F2639" s="78">
        <v>309682</v>
      </c>
      <c r="G2639" s="80" t="s">
        <v>758</v>
      </c>
      <c r="H2639" s="79">
        <v>44249</v>
      </c>
      <c r="I2639" s="78">
        <v>51781</v>
      </c>
      <c r="J2639" s="78">
        <v>3</v>
      </c>
      <c r="K2639" s="79">
        <v>44252</v>
      </c>
      <c r="L2639" s="78">
        <v>11341</v>
      </c>
      <c r="M2639" s="78">
        <v>3</v>
      </c>
    </row>
    <row r="2640" spans="2:13" ht="14.1" customHeight="1" x14ac:dyDescent="0.25">
      <c r="B2640" s="78" t="str">
        <f t="shared" si="43"/>
        <v>2102-158-203924</v>
      </c>
      <c r="C2640" s="79">
        <v>44246</v>
      </c>
      <c r="D2640" s="78">
        <v>158</v>
      </c>
      <c r="E2640" s="78">
        <v>3</v>
      </c>
      <c r="F2640" s="78">
        <v>203924</v>
      </c>
      <c r="G2640" s="80" t="s">
        <v>1130</v>
      </c>
      <c r="H2640" s="79">
        <v>44249</v>
      </c>
      <c r="I2640" s="78">
        <v>51780</v>
      </c>
      <c r="J2640" s="78">
        <v>3</v>
      </c>
      <c r="K2640" s="79">
        <v>44252</v>
      </c>
      <c r="L2640" s="78">
        <v>11338</v>
      </c>
      <c r="M2640" s="78">
        <v>3</v>
      </c>
    </row>
    <row r="2641" spans="2:13" ht="14.1" customHeight="1" x14ac:dyDescent="0.25">
      <c r="B2641" s="78" t="str">
        <f t="shared" si="43"/>
        <v>2102-158-200208</v>
      </c>
      <c r="C2641" s="79">
        <v>44246</v>
      </c>
      <c r="D2641" s="78">
        <v>158</v>
      </c>
      <c r="E2641" s="78">
        <v>2</v>
      </c>
      <c r="F2641" s="78">
        <v>200208</v>
      </c>
      <c r="G2641" s="80" t="s">
        <v>1679</v>
      </c>
      <c r="H2641" s="79">
        <v>44249</v>
      </c>
      <c r="I2641" s="78">
        <v>51781</v>
      </c>
      <c r="J2641" s="78">
        <v>2</v>
      </c>
      <c r="K2641" s="79"/>
      <c r="L2641" s="78">
        <v>0</v>
      </c>
      <c r="M2641" s="78">
        <v>0</v>
      </c>
    </row>
    <row r="2642" spans="2:13" ht="14.1" customHeight="1" x14ac:dyDescent="0.25">
      <c r="B2642" s="78" t="str">
        <f t="shared" si="43"/>
        <v>2102-158-106735</v>
      </c>
      <c r="C2642" s="79">
        <v>44246</v>
      </c>
      <c r="D2642" s="78">
        <v>158</v>
      </c>
      <c r="E2642" s="78">
        <v>2</v>
      </c>
      <c r="F2642" s="78">
        <v>106735</v>
      </c>
      <c r="G2642" s="80" t="s">
        <v>473</v>
      </c>
      <c r="H2642" s="79">
        <v>44249</v>
      </c>
      <c r="I2642" s="78">
        <v>51781</v>
      </c>
      <c r="J2642" s="78">
        <v>2</v>
      </c>
      <c r="K2642" s="79">
        <v>44252</v>
      </c>
      <c r="L2642" s="78">
        <v>11341</v>
      </c>
      <c r="M2642" s="78">
        <v>2</v>
      </c>
    </row>
    <row r="2643" spans="2:13" ht="14.1" customHeight="1" x14ac:dyDescent="0.25">
      <c r="B2643" s="78" t="str">
        <f t="shared" si="43"/>
        <v>2102-158-309793</v>
      </c>
      <c r="C2643" s="79">
        <v>44246</v>
      </c>
      <c r="D2643" s="78">
        <v>158</v>
      </c>
      <c r="E2643" s="78">
        <v>12</v>
      </c>
      <c r="F2643" s="78">
        <v>309793</v>
      </c>
      <c r="G2643" s="80" t="s">
        <v>762</v>
      </c>
      <c r="H2643" s="79">
        <v>44252</v>
      </c>
      <c r="I2643" s="78">
        <v>51868</v>
      </c>
      <c r="J2643" s="78">
        <v>12</v>
      </c>
      <c r="K2643" s="79">
        <v>44257</v>
      </c>
      <c r="L2643" s="78">
        <v>11371</v>
      </c>
      <c r="M2643" s="78">
        <v>12</v>
      </c>
    </row>
    <row r="2644" spans="2:13" ht="14.1" customHeight="1" x14ac:dyDescent="0.25">
      <c r="B2644" s="78" t="str">
        <f t="shared" si="43"/>
        <v>2102-158-309793</v>
      </c>
      <c r="C2644" s="79">
        <v>44246</v>
      </c>
      <c r="D2644" s="78">
        <v>158</v>
      </c>
      <c r="E2644" s="78">
        <v>1</v>
      </c>
      <c r="F2644" s="78">
        <v>309793</v>
      </c>
      <c r="G2644" s="80" t="s">
        <v>762</v>
      </c>
      <c r="H2644" s="79"/>
      <c r="I2644" s="78">
        <v>0</v>
      </c>
      <c r="J2644" s="78">
        <v>0</v>
      </c>
      <c r="K2644" s="79"/>
      <c r="L2644" s="78">
        <v>0</v>
      </c>
      <c r="M2644" s="78">
        <v>0</v>
      </c>
    </row>
    <row r="2645" spans="2:13" ht="14.1" customHeight="1" x14ac:dyDescent="0.25">
      <c r="B2645" s="78" t="str">
        <f t="shared" si="43"/>
        <v>2102-158-312588</v>
      </c>
      <c r="C2645" s="79">
        <v>44246</v>
      </c>
      <c r="D2645" s="78">
        <v>158</v>
      </c>
      <c r="E2645" s="78">
        <v>6</v>
      </c>
      <c r="F2645" s="78">
        <v>312588</v>
      </c>
      <c r="G2645" s="80" t="s">
        <v>1676</v>
      </c>
      <c r="H2645" s="79">
        <v>44249</v>
      </c>
      <c r="I2645" s="78">
        <v>51781</v>
      </c>
      <c r="J2645" s="78">
        <v>6</v>
      </c>
      <c r="K2645" s="79">
        <v>44252</v>
      </c>
      <c r="L2645" s="78">
        <v>11341</v>
      </c>
      <c r="M2645" s="78">
        <v>6</v>
      </c>
    </row>
    <row r="2646" spans="2:13" ht="14.1" customHeight="1" x14ac:dyDescent="0.25">
      <c r="B2646" s="78" t="str">
        <f t="shared" ref="B2646:B2709" si="44">TEXT(C2646,"yy") &amp; TEXT(C2646,"mm") &amp;"-"&amp;(D2646) &amp;"-"&amp;(F2646)</f>
        <v>2102-158-201015</v>
      </c>
      <c r="C2646" s="79">
        <v>44246</v>
      </c>
      <c r="D2646" s="78">
        <v>158</v>
      </c>
      <c r="E2646" s="78">
        <v>1</v>
      </c>
      <c r="F2646" s="78">
        <v>201015</v>
      </c>
      <c r="G2646" s="80" t="s">
        <v>1680</v>
      </c>
      <c r="H2646" s="79">
        <v>44249</v>
      </c>
      <c r="I2646" s="78">
        <v>51780</v>
      </c>
      <c r="J2646" s="78">
        <v>1</v>
      </c>
      <c r="K2646" s="79">
        <v>44252</v>
      </c>
      <c r="L2646" s="78">
        <v>11338</v>
      </c>
      <c r="M2646" s="78">
        <v>1</v>
      </c>
    </row>
    <row r="2647" spans="2:13" ht="14.1" customHeight="1" x14ac:dyDescent="0.25">
      <c r="B2647" s="78" t="str">
        <f t="shared" si="44"/>
        <v>2102-158-308988</v>
      </c>
      <c r="C2647" s="79">
        <v>44246</v>
      </c>
      <c r="D2647" s="78">
        <v>158</v>
      </c>
      <c r="E2647" s="78">
        <v>2</v>
      </c>
      <c r="F2647" s="78">
        <v>308988</v>
      </c>
      <c r="G2647" s="80" t="s">
        <v>751</v>
      </c>
      <c r="H2647" s="79">
        <v>44249</v>
      </c>
      <c r="I2647" s="78">
        <v>51780</v>
      </c>
      <c r="J2647" s="78">
        <v>2</v>
      </c>
      <c r="K2647" s="79">
        <v>44252</v>
      </c>
      <c r="L2647" s="78">
        <v>11338</v>
      </c>
      <c r="M2647" s="78">
        <v>2</v>
      </c>
    </row>
    <row r="2648" spans="2:13" ht="14.1" customHeight="1" x14ac:dyDescent="0.25">
      <c r="B2648" s="78" t="str">
        <f t="shared" si="44"/>
        <v>2102-158-203694</v>
      </c>
      <c r="C2648" s="79">
        <v>44246</v>
      </c>
      <c r="D2648" s="78">
        <v>158</v>
      </c>
      <c r="E2648" s="78">
        <v>3</v>
      </c>
      <c r="F2648" s="78">
        <v>203694</v>
      </c>
      <c r="G2648" s="80" t="s">
        <v>1678</v>
      </c>
      <c r="H2648" s="79">
        <v>44249</v>
      </c>
      <c r="I2648" s="78">
        <v>51781</v>
      </c>
      <c r="J2648" s="78">
        <v>1</v>
      </c>
      <c r="K2648" s="79">
        <v>44252</v>
      </c>
      <c r="L2648" s="78">
        <v>11341</v>
      </c>
      <c r="M2648" s="78">
        <v>1</v>
      </c>
    </row>
    <row r="2649" spans="2:13" ht="14.1" customHeight="1" x14ac:dyDescent="0.25">
      <c r="B2649" s="78" t="str">
        <f t="shared" si="44"/>
        <v>2102-159-205645</v>
      </c>
      <c r="C2649" s="79">
        <v>44246</v>
      </c>
      <c r="D2649" s="78">
        <v>159</v>
      </c>
      <c r="E2649" s="78">
        <v>3</v>
      </c>
      <c r="F2649" s="78">
        <v>205645</v>
      </c>
      <c r="G2649" s="80" t="s">
        <v>85</v>
      </c>
      <c r="H2649" s="79">
        <v>44249</v>
      </c>
      <c r="I2649" s="78">
        <v>51775</v>
      </c>
      <c r="J2649" s="78">
        <v>3</v>
      </c>
      <c r="K2649" s="79">
        <v>44250</v>
      </c>
      <c r="L2649" s="78">
        <v>11314</v>
      </c>
      <c r="M2649" s="78">
        <v>3</v>
      </c>
    </row>
    <row r="2650" spans="2:13" ht="14.1" customHeight="1" x14ac:dyDescent="0.25">
      <c r="B2650" s="78" t="str">
        <f t="shared" si="44"/>
        <v>2102-159-312511</v>
      </c>
      <c r="C2650" s="79">
        <v>44246</v>
      </c>
      <c r="D2650" s="78">
        <v>159</v>
      </c>
      <c r="E2650" s="78">
        <v>1</v>
      </c>
      <c r="F2650" s="78">
        <v>312511</v>
      </c>
      <c r="G2650" s="80" t="s">
        <v>990</v>
      </c>
      <c r="H2650" s="79">
        <v>44249</v>
      </c>
      <c r="I2650" s="78">
        <v>51775</v>
      </c>
      <c r="J2650" s="78">
        <v>1</v>
      </c>
      <c r="K2650" s="79">
        <v>44250</v>
      </c>
      <c r="L2650" s="78">
        <v>11314</v>
      </c>
      <c r="M2650" s="78">
        <v>1</v>
      </c>
    </row>
    <row r="2651" spans="2:13" ht="14.1" customHeight="1" x14ac:dyDescent="0.25">
      <c r="B2651" s="78" t="str">
        <f t="shared" si="44"/>
        <v>2102-159-205858</v>
      </c>
      <c r="C2651" s="79">
        <v>44246</v>
      </c>
      <c r="D2651" s="78">
        <v>159</v>
      </c>
      <c r="E2651" s="78">
        <v>30</v>
      </c>
      <c r="F2651" s="78">
        <v>205858</v>
      </c>
      <c r="G2651" s="80" t="s">
        <v>1682</v>
      </c>
      <c r="H2651" s="79">
        <v>44250</v>
      </c>
      <c r="I2651" s="78">
        <v>51821</v>
      </c>
      <c r="J2651" s="78">
        <v>30</v>
      </c>
      <c r="K2651" s="79">
        <v>44252</v>
      </c>
      <c r="L2651" s="78">
        <v>11337</v>
      </c>
      <c r="M2651" s="78">
        <v>30</v>
      </c>
    </row>
    <row r="2652" spans="2:13" ht="14.1" customHeight="1" x14ac:dyDescent="0.25">
      <c r="B2652" s="78" t="str">
        <f t="shared" si="44"/>
        <v>2102-160-300311</v>
      </c>
      <c r="C2652" s="79">
        <v>44246</v>
      </c>
      <c r="D2652" s="78">
        <v>160</v>
      </c>
      <c r="E2652" s="78">
        <v>1000</v>
      </c>
      <c r="F2652" s="78">
        <v>300311</v>
      </c>
      <c r="G2652" s="80" t="s">
        <v>128</v>
      </c>
      <c r="H2652" s="79">
        <v>44258</v>
      </c>
      <c r="I2652" s="78">
        <v>51938</v>
      </c>
      <c r="J2652" s="78">
        <v>1000</v>
      </c>
      <c r="K2652" s="79">
        <v>44246</v>
      </c>
      <c r="L2652" s="78">
        <v>11269</v>
      </c>
      <c r="M2652" s="78">
        <v>1000</v>
      </c>
    </row>
    <row r="2653" spans="2:13" ht="14.1" customHeight="1" x14ac:dyDescent="0.25">
      <c r="B2653" s="78" t="str">
        <f t="shared" si="44"/>
        <v>2102-160-300312</v>
      </c>
      <c r="C2653" s="79">
        <v>44246</v>
      </c>
      <c r="D2653" s="78">
        <v>160</v>
      </c>
      <c r="E2653" s="78">
        <v>750</v>
      </c>
      <c r="F2653" s="78">
        <v>300312</v>
      </c>
      <c r="G2653" s="80" t="s">
        <v>186</v>
      </c>
      <c r="H2653" s="79">
        <v>44258</v>
      </c>
      <c r="I2653" s="78">
        <v>51938</v>
      </c>
      <c r="J2653" s="78">
        <v>750</v>
      </c>
      <c r="K2653" s="79">
        <v>44246</v>
      </c>
      <c r="L2653" s="78">
        <v>11269</v>
      </c>
      <c r="M2653" s="78">
        <v>750</v>
      </c>
    </row>
    <row r="2654" spans="2:13" ht="14.1" customHeight="1" x14ac:dyDescent="0.25">
      <c r="B2654" s="78" t="str">
        <f t="shared" si="44"/>
        <v>2102-160-304159</v>
      </c>
      <c r="C2654" s="79">
        <v>44246</v>
      </c>
      <c r="D2654" s="78">
        <v>160</v>
      </c>
      <c r="E2654" s="78">
        <v>1200</v>
      </c>
      <c r="F2654" s="78">
        <v>304159</v>
      </c>
      <c r="G2654" s="80" t="s">
        <v>152</v>
      </c>
      <c r="H2654" s="79">
        <v>44258</v>
      </c>
      <c r="I2654" s="78">
        <v>51938</v>
      </c>
      <c r="J2654" s="78">
        <v>1200</v>
      </c>
      <c r="K2654" s="79">
        <v>44246</v>
      </c>
      <c r="L2654" s="78">
        <v>11269</v>
      </c>
      <c r="M2654" s="78">
        <v>1200</v>
      </c>
    </row>
    <row r="2655" spans="2:13" ht="14.1" customHeight="1" x14ac:dyDescent="0.25">
      <c r="B2655" s="78" t="str">
        <f t="shared" si="44"/>
        <v>2102-161-200751</v>
      </c>
      <c r="C2655" s="79">
        <v>44246</v>
      </c>
      <c r="D2655" s="78">
        <v>161</v>
      </c>
      <c r="E2655" s="78">
        <v>50000</v>
      </c>
      <c r="F2655" s="78">
        <v>200751</v>
      </c>
      <c r="G2655" s="80" t="s">
        <v>151</v>
      </c>
      <c r="H2655" s="79">
        <v>44249</v>
      </c>
      <c r="I2655" s="78">
        <v>51784</v>
      </c>
      <c r="J2655" s="78">
        <v>10000</v>
      </c>
      <c r="K2655" s="79">
        <v>44246</v>
      </c>
      <c r="L2655" s="78">
        <v>11272</v>
      </c>
      <c r="M2655" s="78">
        <v>10000</v>
      </c>
    </row>
    <row r="2656" spans="2:13" ht="14.1" customHeight="1" x14ac:dyDescent="0.25">
      <c r="B2656" s="78" t="str">
        <f t="shared" si="44"/>
        <v>2102-161-200751</v>
      </c>
      <c r="C2656" s="79">
        <v>44246</v>
      </c>
      <c r="D2656" s="78">
        <v>161</v>
      </c>
      <c r="E2656" s="78">
        <v>50000</v>
      </c>
      <c r="F2656" s="78">
        <v>200751</v>
      </c>
      <c r="G2656" s="80" t="s">
        <v>151</v>
      </c>
      <c r="H2656" s="79">
        <v>44249</v>
      </c>
      <c r="I2656" s="78">
        <v>51784</v>
      </c>
      <c r="J2656" s="78">
        <v>10000</v>
      </c>
      <c r="K2656" s="79">
        <v>44246</v>
      </c>
      <c r="L2656" s="78">
        <v>11271</v>
      </c>
      <c r="M2656" s="78">
        <v>10000</v>
      </c>
    </row>
    <row r="2657" spans="2:13" ht="14.1" customHeight="1" x14ac:dyDescent="0.25">
      <c r="B2657" s="78" t="str">
        <f t="shared" si="44"/>
        <v>2102-161-200751</v>
      </c>
      <c r="C2657" s="79">
        <v>44246</v>
      </c>
      <c r="D2657" s="78">
        <v>161</v>
      </c>
      <c r="E2657" s="78">
        <v>50000</v>
      </c>
      <c r="F2657" s="78">
        <v>200751</v>
      </c>
      <c r="G2657" s="80" t="s">
        <v>151</v>
      </c>
      <c r="H2657" s="79">
        <v>44249</v>
      </c>
      <c r="I2657" s="78">
        <v>51784</v>
      </c>
      <c r="J2657" s="78">
        <v>10000</v>
      </c>
      <c r="K2657" s="79">
        <v>44246</v>
      </c>
      <c r="L2657" s="78">
        <v>11270</v>
      </c>
      <c r="M2657" s="78">
        <v>10000</v>
      </c>
    </row>
    <row r="2658" spans="2:13" ht="14.1" customHeight="1" x14ac:dyDescent="0.25">
      <c r="B2658" s="78" t="str">
        <f t="shared" si="44"/>
        <v>2102-161-200751</v>
      </c>
      <c r="C2658" s="79">
        <v>44246</v>
      </c>
      <c r="D2658" s="78">
        <v>161</v>
      </c>
      <c r="E2658" s="78">
        <v>50000</v>
      </c>
      <c r="F2658" s="78">
        <v>200751</v>
      </c>
      <c r="G2658" s="80" t="s">
        <v>151</v>
      </c>
      <c r="H2658" s="79">
        <v>44249</v>
      </c>
      <c r="I2658" s="78">
        <v>51784</v>
      </c>
      <c r="J2658" s="78">
        <v>10000</v>
      </c>
      <c r="K2658" s="79">
        <v>44247</v>
      </c>
      <c r="L2658" s="78">
        <v>11293</v>
      </c>
      <c r="M2658" s="78">
        <v>10000</v>
      </c>
    </row>
    <row r="2659" spans="2:13" ht="14.1" customHeight="1" x14ac:dyDescent="0.25">
      <c r="B2659" s="78" t="str">
        <f t="shared" si="44"/>
        <v>2102-161-200751</v>
      </c>
      <c r="C2659" s="79">
        <v>44246</v>
      </c>
      <c r="D2659" s="78">
        <v>161</v>
      </c>
      <c r="E2659" s="78">
        <v>50000</v>
      </c>
      <c r="F2659" s="78">
        <v>200751</v>
      </c>
      <c r="G2659" s="80" t="s">
        <v>151</v>
      </c>
      <c r="H2659" s="79">
        <v>44249</v>
      </c>
      <c r="I2659" s="78">
        <v>51784</v>
      </c>
      <c r="J2659" s="78">
        <v>10000</v>
      </c>
      <c r="K2659" s="79">
        <v>44249</v>
      </c>
      <c r="L2659" s="78">
        <v>11294</v>
      </c>
      <c r="M2659" s="78">
        <v>10000</v>
      </c>
    </row>
    <row r="2660" spans="2:13" ht="14.1" customHeight="1" x14ac:dyDescent="0.25">
      <c r="B2660" s="78" t="str">
        <f t="shared" si="44"/>
        <v>2102-161-200751</v>
      </c>
      <c r="C2660" s="79">
        <v>44246</v>
      </c>
      <c r="D2660" s="78">
        <v>161</v>
      </c>
      <c r="E2660" s="78">
        <v>50000</v>
      </c>
      <c r="F2660" s="78">
        <v>200751</v>
      </c>
      <c r="G2660" s="80" t="s">
        <v>151</v>
      </c>
      <c r="H2660" s="79">
        <v>44249</v>
      </c>
      <c r="I2660" s="78">
        <v>51786</v>
      </c>
      <c r="J2660" s="78">
        <v>10000</v>
      </c>
      <c r="K2660" s="79">
        <v>44246</v>
      </c>
      <c r="L2660" s="78">
        <v>11272</v>
      </c>
      <c r="M2660" s="78">
        <v>10000</v>
      </c>
    </row>
    <row r="2661" spans="2:13" ht="14.1" customHeight="1" x14ac:dyDescent="0.25">
      <c r="B2661" s="78" t="str">
        <f t="shared" si="44"/>
        <v>2102-161-200751</v>
      </c>
      <c r="C2661" s="79">
        <v>44246</v>
      </c>
      <c r="D2661" s="78">
        <v>161</v>
      </c>
      <c r="E2661" s="78">
        <v>50000</v>
      </c>
      <c r="F2661" s="78">
        <v>200751</v>
      </c>
      <c r="G2661" s="80" t="s">
        <v>151</v>
      </c>
      <c r="H2661" s="79">
        <v>44249</v>
      </c>
      <c r="I2661" s="78">
        <v>51786</v>
      </c>
      <c r="J2661" s="78">
        <v>10000</v>
      </c>
      <c r="K2661" s="79">
        <v>44246</v>
      </c>
      <c r="L2661" s="78">
        <v>11271</v>
      </c>
      <c r="M2661" s="78">
        <v>10000</v>
      </c>
    </row>
    <row r="2662" spans="2:13" ht="14.1" customHeight="1" x14ac:dyDescent="0.25">
      <c r="B2662" s="78" t="str">
        <f t="shared" si="44"/>
        <v>2102-161-200751</v>
      </c>
      <c r="C2662" s="79">
        <v>44246</v>
      </c>
      <c r="D2662" s="78">
        <v>161</v>
      </c>
      <c r="E2662" s="78">
        <v>50000</v>
      </c>
      <c r="F2662" s="78">
        <v>200751</v>
      </c>
      <c r="G2662" s="80" t="s">
        <v>151</v>
      </c>
      <c r="H2662" s="79">
        <v>44249</v>
      </c>
      <c r="I2662" s="78">
        <v>51786</v>
      </c>
      <c r="J2662" s="78">
        <v>10000</v>
      </c>
      <c r="K2662" s="79">
        <v>44246</v>
      </c>
      <c r="L2662" s="78">
        <v>11270</v>
      </c>
      <c r="M2662" s="78">
        <v>10000</v>
      </c>
    </row>
    <row r="2663" spans="2:13" ht="14.1" customHeight="1" x14ac:dyDescent="0.25">
      <c r="B2663" s="78" t="str">
        <f t="shared" si="44"/>
        <v>2102-161-200751</v>
      </c>
      <c r="C2663" s="79">
        <v>44246</v>
      </c>
      <c r="D2663" s="78">
        <v>161</v>
      </c>
      <c r="E2663" s="78">
        <v>50000</v>
      </c>
      <c r="F2663" s="78">
        <v>200751</v>
      </c>
      <c r="G2663" s="80" t="s">
        <v>151</v>
      </c>
      <c r="H2663" s="79">
        <v>44249</v>
      </c>
      <c r="I2663" s="78">
        <v>51786</v>
      </c>
      <c r="J2663" s="78">
        <v>10000</v>
      </c>
      <c r="K2663" s="79">
        <v>44247</v>
      </c>
      <c r="L2663" s="78">
        <v>11293</v>
      </c>
      <c r="M2663" s="78">
        <v>10000</v>
      </c>
    </row>
    <row r="2664" spans="2:13" ht="14.1" customHeight="1" x14ac:dyDescent="0.25">
      <c r="B2664" s="78" t="str">
        <f t="shared" si="44"/>
        <v>2102-161-200751</v>
      </c>
      <c r="C2664" s="79">
        <v>44246</v>
      </c>
      <c r="D2664" s="78">
        <v>161</v>
      </c>
      <c r="E2664" s="78">
        <v>50000</v>
      </c>
      <c r="F2664" s="78">
        <v>200751</v>
      </c>
      <c r="G2664" s="80" t="s">
        <v>151</v>
      </c>
      <c r="H2664" s="79">
        <v>44249</v>
      </c>
      <c r="I2664" s="78">
        <v>51786</v>
      </c>
      <c r="J2664" s="78">
        <v>10000</v>
      </c>
      <c r="K2664" s="79">
        <v>44249</v>
      </c>
      <c r="L2664" s="78">
        <v>11294</v>
      </c>
      <c r="M2664" s="78">
        <v>10000</v>
      </c>
    </row>
    <row r="2665" spans="2:13" ht="14.1" customHeight="1" x14ac:dyDescent="0.25">
      <c r="B2665" s="78" t="str">
        <f t="shared" si="44"/>
        <v>2102-161-200751</v>
      </c>
      <c r="C2665" s="79">
        <v>44246</v>
      </c>
      <c r="D2665" s="78">
        <v>161</v>
      </c>
      <c r="E2665" s="78">
        <v>50000</v>
      </c>
      <c r="F2665" s="78">
        <v>200751</v>
      </c>
      <c r="G2665" s="80" t="s">
        <v>151</v>
      </c>
      <c r="H2665" s="79">
        <v>44249</v>
      </c>
      <c r="I2665" s="78">
        <v>51795</v>
      </c>
      <c r="J2665" s="78">
        <v>10000</v>
      </c>
      <c r="K2665" s="79">
        <v>44246</v>
      </c>
      <c r="L2665" s="78">
        <v>11272</v>
      </c>
      <c r="M2665" s="78">
        <v>10000</v>
      </c>
    </row>
    <row r="2666" spans="2:13" ht="14.1" customHeight="1" x14ac:dyDescent="0.25">
      <c r="B2666" s="78" t="str">
        <f t="shared" si="44"/>
        <v>2102-161-200751</v>
      </c>
      <c r="C2666" s="79">
        <v>44246</v>
      </c>
      <c r="D2666" s="78">
        <v>161</v>
      </c>
      <c r="E2666" s="78">
        <v>50000</v>
      </c>
      <c r="F2666" s="78">
        <v>200751</v>
      </c>
      <c r="G2666" s="80" t="s">
        <v>151</v>
      </c>
      <c r="H2666" s="79">
        <v>44249</v>
      </c>
      <c r="I2666" s="78">
        <v>51795</v>
      </c>
      <c r="J2666" s="78">
        <v>10000</v>
      </c>
      <c r="K2666" s="79">
        <v>44246</v>
      </c>
      <c r="L2666" s="78">
        <v>11271</v>
      </c>
      <c r="M2666" s="78">
        <v>10000</v>
      </c>
    </row>
    <row r="2667" spans="2:13" ht="14.1" customHeight="1" x14ac:dyDescent="0.25">
      <c r="B2667" s="78" t="str">
        <f t="shared" si="44"/>
        <v>2102-161-200751</v>
      </c>
      <c r="C2667" s="79">
        <v>44246</v>
      </c>
      <c r="D2667" s="78">
        <v>161</v>
      </c>
      <c r="E2667" s="78">
        <v>50000</v>
      </c>
      <c r="F2667" s="78">
        <v>200751</v>
      </c>
      <c r="G2667" s="80" t="s">
        <v>151</v>
      </c>
      <c r="H2667" s="79">
        <v>44249</v>
      </c>
      <c r="I2667" s="78">
        <v>51795</v>
      </c>
      <c r="J2667" s="78">
        <v>10000</v>
      </c>
      <c r="K2667" s="79">
        <v>44246</v>
      </c>
      <c r="L2667" s="78">
        <v>11270</v>
      </c>
      <c r="M2667" s="78">
        <v>10000</v>
      </c>
    </row>
    <row r="2668" spans="2:13" ht="14.1" customHeight="1" x14ac:dyDescent="0.25">
      <c r="B2668" s="78" t="str">
        <f t="shared" si="44"/>
        <v>2102-161-200751</v>
      </c>
      <c r="C2668" s="79">
        <v>44246</v>
      </c>
      <c r="D2668" s="78">
        <v>161</v>
      </c>
      <c r="E2668" s="78">
        <v>50000</v>
      </c>
      <c r="F2668" s="78">
        <v>200751</v>
      </c>
      <c r="G2668" s="80" t="s">
        <v>151</v>
      </c>
      <c r="H2668" s="79">
        <v>44249</v>
      </c>
      <c r="I2668" s="78">
        <v>51795</v>
      </c>
      <c r="J2668" s="78">
        <v>10000</v>
      </c>
      <c r="K2668" s="79">
        <v>44247</v>
      </c>
      <c r="L2668" s="78">
        <v>11293</v>
      </c>
      <c r="M2668" s="78">
        <v>10000</v>
      </c>
    </row>
    <row r="2669" spans="2:13" ht="14.1" customHeight="1" x14ac:dyDescent="0.25">
      <c r="B2669" s="78" t="str">
        <f t="shared" si="44"/>
        <v>2102-161-200751</v>
      </c>
      <c r="C2669" s="79">
        <v>44246</v>
      </c>
      <c r="D2669" s="78">
        <v>161</v>
      </c>
      <c r="E2669" s="78">
        <v>50000</v>
      </c>
      <c r="F2669" s="78">
        <v>200751</v>
      </c>
      <c r="G2669" s="80" t="s">
        <v>151</v>
      </c>
      <c r="H2669" s="79">
        <v>44249</v>
      </c>
      <c r="I2669" s="78">
        <v>51795</v>
      </c>
      <c r="J2669" s="78">
        <v>10000</v>
      </c>
      <c r="K2669" s="79">
        <v>44249</v>
      </c>
      <c r="L2669" s="78">
        <v>11294</v>
      </c>
      <c r="M2669" s="78">
        <v>10000</v>
      </c>
    </row>
    <row r="2670" spans="2:13" ht="14.1" customHeight="1" x14ac:dyDescent="0.25">
      <c r="B2670" s="78" t="str">
        <f t="shared" si="44"/>
        <v>2102-161-200751</v>
      </c>
      <c r="C2670" s="79">
        <v>44246</v>
      </c>
      <c r="D2670" s="78">
        <v>161</v>
      </c>
      <c r="E2670" s="78">
        <v>50000</v>
      </c>
      <c r="F2670" s="78">
        <v>200751</v>
      </c>
      <c r="G2670" s="80" t="s">
        <v>151</v>
      </c>
      <c r="H2670" s="79">
        <v>44249</v>
      </c>
      <c r="I2670" s="78">
        <v>51788</v>
      </c>
      <c r="J2670" s="78">
        <v>10000</v>
      </c>
      <c r="K2670" s="79">
        <v>44246</v>
      </c>
      <c r="L2670" s="78">
        <v>11272</v>
      </c>
      <c r="M2670" s="78">
        <v>10000</v>
      </c>
    </row>
    <row r="2671" spans="2:13" ht="14.1" customHeight="1" x14ac:dyDescent="0.25">
      <c r="B2671" s="78" t="str">
        <f t="shared" si="44"/>
        <v>2102-161-200751</v>
      </c>
      <c r="C2671" s="79">
        <v>44246</v>
      </c>
      <c r="D2671" s="78">
        <v>161</v>
      </c>
      <c r="E2671" s="78">
        <v>50000</v>
      </c>
      <c r="F2671" s="78">
        <v>200751</v>
      </c>
      <c r="G2671" s="80" t="s">
        <v>151</v>
      </c>
      <c r="H2671" s="79">
        <v>44249</v>
      </c>
      <c r="I2671" s="78">
        <v>51788</v>
      </c>
      <c r="J2671" s="78">
        <v>10000</v>
      </c>
      <c r="K2671" s="79">
        <v>44246</v>
      </c>
      <c r="L2671" s="78">
        <v>11271</v>
      </c>
      <c r="M2671" s="78">
        <v>10000</v>
      </c>
    </row>
    <row r="2672" spans="2:13" ht="14.1" customHeight="1" x14ac:dyDescent="0.25">
      <c r="B2672" s="78" t="str">
        <f t="shared" si="44"/>
        <v>2102-161-200751</v>
      </c>
      <c r="C2672" s="79">
        <v>44246</v>
      </c>
      <c r="D2672" s="78">
        <v>161</v>
      </c>
      <c r="E2672" s="78">
        <v>50000</v>
      </c>
      <c r="F2672" s="78">
        <v>200751</v>
      </c>
      <c r="G2672" s="80" t="s">
        <v>151</v>
      </c>
      <c r="H2672" s="79">
        <v>44249</v>
      </c>
      <c r="I2672" s="78">
        <v>51788</v>
      </c>
      <c r="J2672" s="78">
        <v>10000</v>
      </c>
      <c r="K2672" s="79">
        <v>44246</v>
      </c>
      <c r="L2672" s="78">
        <v>11270</v>
      </c>
      <c r="M2672" s="78">
        <v>10000</v>
      </c>
    </row>
    <row r="2673" spans="2:13" ht="14.1" customHeight="1" x14ac:dyDescent="0.25">
      <c r="B2673" s="78" t="str">
        <f t="shared" si="44"/>
        <v>2102-161-200751</v>
      </c>
      <c r="C2673" s="79">
        <v>44246</v>
      </c>
      <c r="D2673" s="78">
        <v>161</v>
      </c>
      <c r="E2673" s="78">
        <v>50000</v>
      </c>
      <c r="F2673" s="78">
        <v>200751</v>
      </c>
      <c r="G2673" s="80" t="s">
        <v>151</v>
      </c>
      <c r="H2673" s="79">
        <v>44249</v>
      </c>
      <c r="I2673" s="78">
        <v>51788</v>
      </c>
      <c r="J2673" s="78">
        <v>10000</v>
      </c>
      <c r="K2673" s="79">
        <v>44247</v>
      </c>
      <c r="L2673" s="78">
        <v>11293</v>
      </c>
      <c r="M2673" s="78">
        <v>10000</v>
      </c>
    </row>
    <row r="2674" spans="2:13" ht="14.1" customHeight="1" x14ac:dyDescent="0.25">
      <c r="B2674" s="78" t="str">
        <f t="shared" si="44"/>
        <v>2102-161-200751</v>
      </c>
      <c r="C2674" s="79">
        <v>44246</v>
      </c>
      <c r="D2674" s="78">
        <v>161</v>
      </c>
      <c r="E2674" s="78">
        <v>50000</v>
      </c>
      <c r="F2674" s="78">
        <v>200751</v>
      </c>
      <c r="G2674" s="80" t="s">
        <v>151</v>
      </c>
      <c r="H2674" s="79">
        <v>44249</v>
      </c>
      <c r="I2674" s="78">
        <v>51788</v>
      </c>
      <c r="J2674" s="78">
        <v>10000</v>
      </c>
      <c r="K2674" s="79">
        <v>44249</v>
      </c>
      <c r="L2674" s="78">
        <v>11294</v>
      </c>
      <c r="M2674" s="78">
        <v>10000</v>
      </c>
    </row>
    <row r="2675" spans="2:13" ht="14.1" customHeight="1" x14ac:dyDescent="0.25">
      <c r="B2675" s="78" t="str">
        <f t="shared" si="44"/>
        <v>2102-161-200751</v>
      </c>
      <c r="C2675" s="79">
        <v>44246</v>
      </c>
      <c r="D2675" s="78">
        <v>161</v>
      </c>
      <c r="E2675" s="78">
        <v>50000</v>
      </c>
      <c r="F2675" s="78">
        <v>200751</v>
      </c>
      <c r="G2675" s="80" t="s">
        <v>151</v>
      </c>
      <c r="H2675" s="79">
        <v>44250</v>
      </c>
      <c r="I2675" s="78">
        <v>51799</v>
      </c>
      <c r="J2675" s="78">
        <v>10000</v>
      </c>
      <c r="K2675" s="79">
        <v>44246</v>
      </c>
      <c r="L2675" s="78">
        <v>11272</v>
      </c>
      <c r="M2675" s="78">
        <v>10000</v>
      </c>
    </row>
    <row r="2676" spans="2:13" ht="14.1" customHeight="1" x14ac:dyDescent="0.25">
      <c r="B2676" s="78" t="str">
        <f t="shared" si="44"/>
        <v>2102-161-200751</v>
      </c>
      <c r="C2676" s="79">
        <v>44246</v>
      </c>
      <c r="D2676" s="78">
        <v>161</v>
      </c>
      <c r="E2676" s="78">
        <v>50000</v>
      </c>
      <c r="F2676" s="78">
        <v>200751</v>
      </c>
      <c r="G2676" s="80" t="s">
        <v>151</v>
      </c>
      <c r="H2676" s="79">
        <v>44250</v>
      </c>
      <c r="I2676" s="78">
        <v>51799</v>
      </c>
      <c r="J2676" s="78">
        <v>10000</v>
      </c>
      <c r="K2676" s="79">
        <v>44246</v>
      </c>
      <c r="L2676" s="78">
        <v>11271</v>
      </c>
      <c r="M2676" s="78">
        <v>10000</v>
      </c>
    </row>
    <row r="2677" spans="2:13" ht="14.1" customHeight="1" x14ac:dyDescent="0.25">
      <c r="B2677" s="78" t="str">
        <f t="shared" si="44"/>
        <v>2102-161-200751</v>
      </c>
      <c r="C2677" s="79">
        <v>44246</v>
      </c>
      <c r="D2677" s="78">
        <v>161</v>
      </c>
      <c r="E2677" s="78">
        <v>50000</v>
      </c>
      <c r="F2677" s="78">
        <v>200751</v>
      </c>
      <c r="G2677" s="80" t="s">
        <v>151</v>
      </c>
      <c r="H2677" s="79">
        <v>44250</v>
      </c>
      <c r="I2677" s="78">
        <v>51799</v>
      </c>
      <c r="J2677" s="78">
        <v>10000</v>
      </c>
      <c r="K2677" s="79">
        <v>44246</v>
      </c>
      <c r="L2677" s="78">
        <v>11270</v>
      </c>
      <c r="M2677" s="78">
        <v>10000</v>
      </c>
    </row>
    <row r="2678" spans="2:13" ht="14.1" customHeight="1" x14ac:dyDescent="0.25">
      <c r="B2678" s="78" t="str">
        <f t="shared" si="44"/>
        <v>2102-161-200751</v>
      </c>
      <c r="C2678" s="79">
        <v>44246</v>
      </c>
      <c r="D2678" s="78">
        <v>161</v>
      </c>
      <c r="E2678" s="78">
        <v>50000</v>
      </c>
      <c r="F2678" s="78">
        <v>200751</v>
      </c>
      <c r="G2678" s="80" t="s">
        <v>151</v>
      </c>
      <c r="H2678" s="79">
        <v>44250</v>
      </c>
      <c r="I2678" s="78">
        <v>51799</v>
      </c>
      <c r="J2678" s="78">
        <v>10000</v>
      </c>
      <c r="K2678" s="79">
        <v>44247</v>
      </c>
      <c r="L2678" s="78">
        <v>11293</v>
      </c>
      <c r="M2678" s="78">
        <v>10000</v>
      </c>
    </row>
    <row r="2679" spans="2:13" ht="14.1" customHeight="1" x14ac:dyDescent="0.25">
      <c r="B2679" s="78" t="str">
        <f t="shared" si="44"/>
        <v>2102-161-200751</v>
      </c>
      <c r="C2679" s="79">
        <v>44246</v>
      </c>
      <c r="D2679" s="78">
        <v>161</v>
      </c>
      <c r="E2679" s="78">
        <v>50000</v>
      </c>
      <c r="F2679" s="78">
        <v>200751</v>
      </c>
      <c r="G2679" s="80" t="s">
        <v>151</v>
      </c>
      <c r="H2679" s="79">
        <v>44250</v>
      </c>
      <c r="I2679" s="78">
        <v>51799</v>
      </c>
      <c r="J2679" s="78">
        <v>10000</v>
      </c>
      <c r="K2679" s="79">
        <v>44249</v>
      </c>
      <c r="L2679" s="78">
        <v>11294</v>
      </c>
      <c r="M2679" s="78">
        <v>10000</v>
      </c>
    </row>
    <row r="2680" spans="2:13" ht="14.1" customHeight="1" x14ac:dyDescent="0.25">
      <c r="B2680" s="78" t="str">
        <f t="shared" si="44"/>
        <v>2102-162-305860</v>
      </c>
      <c r="C2680" s="79">
        <v>44248</v>
      </c>
      <c r="D2680" s="78">
        <v>162</v>
      </c>
      <c r="E2680" s="78">
        <v>3</v>
      </c>
      <c r="F2680" s="78">
        <v>305860</v>
      </c>
      <c r="G2680" s="80" t="s">
        <v>1684</v>
      </c>
      <c r="H2680" s="79">
        <v>44251</v>
      </c>
      <c r="I2680" s="78">
        <v>51838</v>
      </c>
      <c r="J2680" s="78">
        <v>3</v>
      </c>
      <c r="K2680" s="79">
        <v>44252</v>
      </c>
      <c r="L2680" s="78">
        <v>11332</v>
      </c>
      <c r="M2680" s="78">
        <v>3</v>
      </c>
    </row>
    <row r="2681" spans="2:13" ht="14.1" customHeight="1" x14ac:dyDescent="0.25">
      <c r="B2681" s="78" t="str">
        <f t="shared" si="44"/>
        <v>2102-162-310769</v>
      </c>
      <c r="C2681" s="79">
        <v>44248</v>
      </c>
      <c r="D2681" s="78">
        <v>162</v>
      </c>
      <c r="E2681" s="78">
        <v>3</v>
      </c>
      <c r="F2681" s="78">
        <v>310769</v>
      </c>
      <c r="G2681" s="80" t="s">
        <v>1683</v>
      </c>
      <c r="H2681" s="79">
        <v>44251</v>
      </c>
      <c r="I2681" s="78">
        <v>51838</v>
      </c>
      <c r="J2681" s="78">
        <v>3</v>
      </c>
      <c r="K2681" s="79">
        <v>44252</v>
      </c>
      <c r="L2681" s="78">
        <v>11332</v>
      </c>
      <c r="M2681" s="78">
        <v>3</v>
      </c>
    </row>
    <row r="2682" spans="2:13" ht="14.1" customHeight="1" x14ac:dyDescent="0.25">
      <c r="B2682" s="78" t="str">
        <f t="shared" si="44"/>
        <v>2102-163-308248</v>
      </c>
      <c r="C2682" s="79">
        <v>44248</v>
      </c>
      <c r="D2682" s="78">
        <v>163</v>
      </c>
      <c r="E2682" s="78">
        <v>15</v>
      </c>
      <c r="F2682" s="78">
        <v>308248</v>
      </c>
      <c r="G2682" s="80" t="s">
        <v>1685</v>
      </c>
      <c r="H2682" s="79">
        <v>44249</v>
      </c>
      <c r="I2682" s="78">
        <v>51767</v>
      </c>
      <c r="J2682" s="78">
        <v>15</v>
      </c>
      <c r="K2682" s="79">
        <v>44250</v>
      </c>
      <c r="L2682" s="78">
        <v>11310</v>
      </c>
      <c r="M2682" s="78">
        <v>15</v>
      </c>
    </row>
    <row r="2683" spans="2:13" ht="14.1" customHeight="1" x14ac:dyDescent="0.25">
      <c r="B2683" s="78" t="str">
        <f t="shared" si="44"/>
        <v>2102-163-204192</v>
      </c>
      <c r="C2683" s="79">
        <v>44248</v>
      </c>
      <c r="D2683" s="78">
        <v>163</v>
      </c>
      <c r="E2683" s="78">
        <v>200</v>
      </c>
      <c r="F2683" s="78">
        <v>204192</v>
      </c>
      <c r="G2683" s="80" t="s">
        <v>59</v>
      </c>
      <c r="H2683" s="79">
        <v>44249</v>
      </c>
      <c r="I2683" s="78">
        <v>51773</v>
      </c>
      <c r="J2683" s="78">
        <v>200</v>
      </c>
      <c r="K2683" s="79">
        <v>44251</v>
      </c>
      <c r="L2683" s="78">
        <v>11318</v>
      </c>
      <c r="M2683" s="78">
        <v>200</v>
      </c>
    </row>
    <row r="2684" spans="2:13" ht="14.1" customHeight="1" x14ac:dyDescent="0.25">
      <c r="B2684" s="78" t="str">
        <f t="shared" si="44"/>
        <v>2102-163-107222</v>
      </c>
      <c r="C2684" s="79">
        <v>44248</v>
      </c>
      <c r="D2684" s="78">
        <v>163</v>
      </c>
      <c r="E2684" s="78">
        <v>15</v>
      </c>
      <c r="F2684" s="78">
        <v>107222</v>
      </c>
      <c r="G2684" s="80" t="s">
        <v>84</v>
      </c>
      <c r="H2684" s="79">
        <v>44249</v>
      </c>
      <c r="I2684" s="78">
        <v>51767</v>
      </c>
      <c r="J2684" s="78">
        <v>15</v>
      </c>
      <c r="K2684" s="79">
        <v>44250</v>
      </c>
      <c r="L2684" s="78">
        <v>11310</v>
      </c>
      <c r="M2684" s="78">
        <v>15</v>
      </c>
    </row>
    <row r="2685" spans="2:13" ht="14.1" customHeight="1" x14ac:dyDescent="0.25">
      <c r="B2685" s="78" t="str">
        <f t="shared" si="44"/>
        <v>2102-164-304242</v>
      </c>
      <c r="C2685" s="79">
        <v>44248</v>
      </c>
      <c r="D2685" s="78">
        <v>164</v>
      </c>
      <c r="E2685" s="78">
        <v>1</v>
      </c>
      <c r="F2685" s="78">
        <v>304242</v>
      </c>
      <c r="G2685" s="80" t="s">
        <v>1686</v>
      </c>
      <c r="H2685" s="79">
        <v>44249</v>
      </c>
      <c r="I2685" s="78">
        <v>51776</v>
      </c>
      <c r="J2685" s="78">
        <v>1</v>
      </c>
      <c r="K2685" s="79">
        <v>44250</v>
      </c>
      <c r="L2685" s="78">
        <v>11306</v>
      </c>
      <c r="M2685" s="78">
        <v>1</v>
      </c>
    </row>
    <row r="2686" spans="2:13" ht="14.1" customHeight="1" x14ac:dyDescent="0.25">
      <c r="B2686" s="78" t="str">
        <f t="shared" si="44"/>
        <v>2102-165-314372</v>
      </c>
      <c r="C2686" s="79">
        <v>44248</v>
      </c>
      <c r="D2686" s="78">
        <v>165</v>
      </c>
      <c r="E2686" s="78">
        <v>60</v>
      </c>
      <c r="F2686" s="78">
        <v>314372</v>
      </c>
      <c r="G2686" s="80" t="s">
        <v>1375</v>
      </c>
      <c r="H2686" s="79">
        <v>44250</v>
      </c>
      <c r="I2686" s="78">
        <v>51803</v>
      </c>
      <c r="J2686" s="78">
        <v>60</v>
      </c>
      <c r="K2686" s="79"/>
      <c r="L2686" s="78">
        <v>0</v>
      </c>
      <c r="M2686" s="78">
        <v>0</v>
      </c>
    </row>
    <row r="2687" spans="2:13" ht="14.1" customHeight="1" x14ac:dyDescent="0.25">
      <c r="B2687" s="78" t="str">
        <f t="shared" si="44"/>
        <v>2102-166-304023</v>
      </c>
      <c r="C2687" s="79">
        <v>44249</v>
      </c>
      <c r="D2687" s="78">
        <v>166</v>
      </c>
      <c r="E2687" s="78">
        <v>3000</v>
      </c>
      <c r="F2687" s="78">
        <v>304023</v>
      </c>
      <c r="G2687" s="80" t="s">
        <v>1533</v>
      </c>
      <c r="H2687" s="79"/>
      <c r="I2687" s="78">
        <v>0</v>
      </c>
      <c r="J2687" s="78">
        <v>0</v>
      </c>
      <c r="K2687" s="79"/>
      <c r="L2687" s="78">
        <v>0</v>
      </c>
      <c r="M2687" s="78">
        <v>0</v>
      </c>
    </row>
    <row r="2688" spans="2:13" ht="14.1" customHeight="1" x14ac:dyDescent="0.25">
      <c r="B2688" s="78" t="str">
        <f t="shared" si="44"/>
        <v>2102-167-304095</v>
      </c>
      <c r="C2688" s="79">
        <v>44249</v>
      </c>
      <c r="D2688" s="78">
        <v>167</v>
      </c>
      <c r="E2688" s="78">
        <v>10</v>
      </c>
      <c r="F2688" s="78">
        <v>304095</v>
      </c>
      <c r="G2688" s="80" t="s">
        <v>1690</v>
      </c>
      <c r="H2688" s="79">
        <v>44250</v>
      </c>
      <c r="I2688" s="78">
        <v>51819</v>
      </c>
      <c r="J2688" s="78">
        <v>10</v>
      </c>
      <c r="K2688" s="79">
        <v>44252</v>
      </c>
      <c r="L2688" s="78">
        <v>11334</v>
      </c>
      <c r="M2688" s="78">
        <v>10</v>
      </c>
    </row>
    <row r="2689" spans="2:13" ht="14.1" customHeight="1" x14ac:dyDescent="0.25">
      <c r="B2689" s="78" t="str">
        <f t="shared" si="44"/>
        <v>2102-167-301474</v>
      </c>
      <c r="C2689" s="79">
        <v>44249</v>
      </c>
      <c r="D2689" s="78">
        <v>167</v>
      </c>
      <c r="E2689" s="78">
        <v>3</v>
      </c>
      <c r="F2689" s="78">
        <v>301474</v>
      </c>
      <c r="G2689" s="80" t="s">
        <v>1689</v>
      </c>
      <c r="H2689" s="79">
        <v>44250</v>
      </c>
      <c r="I2689" s="78">
        <v>51819</v>
      </c>
      <c r="J2689" s="78">
        <v>3</v>
      </c>
      <c r="K2689" s="79">
        <v>44252</v>
      </c>
      <c r="L2689" s="78">
        <v>11334</v>
      </c>
      <c r="M2689" s="78">
        <v>3</v>
      </c>
    </row>
    <row r="2690" spans="2:13" ht="14.1" customHeight="1" x14ac:dyDescent="0.25">
      <c r="B2690" s="78" t="str">
        <f t="shared" si="44"/>
        <v>2102-167-301409</v>
      </c>
      <c r="C2690" s="79">
        <v>44249</v>
      </c>
      <c r="D2690" s="78">
        <v>167</v>
      </c>
      <c r="E2690" s="78">
        <v>12</v>
      </c>
      <c r="F2690" s="78">
        <v>301409</v>
      </c>
      <c r="G2690" s="80" t="s">
        <v>1687</v>
      </c>
      <c r="H2690" s="79">
        <v>44250</v>
      </c>
      <c r="I2690" s="78">
        <v>51819</v>
      </c>
      <c r="J2690" s="78">
        <v>12</v>
      </c>
      <c r="K2690" s="79">
        <v>44252</v>
      </c>
      <c r="L2690" s="78">
        <v>11334</v>
      </c>
      <c r="M2690" s="78">
        <v>12</v>
      </c>
    </row>
    <row r="2691" spans="2:13" ht="14.1" customHeight="1" x14ac:dyDescent="0.25">
      <c r="B2691" s="78" t="str">
        <f t="shared" si="44"/>
        <v>2102-167-300941</v>
      </c>
      <c r="C2691" s="79">
        <v>44249</v>
      </c>
      <c r="D2691" s="78">
        <v>167</v>
      </c>
      <c r="E2691" s="78">
        <v>2</v>
      </c>
      <c r="F2691" s="78">
        <v>300941</v>
      </c>
      <c r="G2691" s="80" t="s">
        <v>1691</v>
      </c>
      <c r="H2691" s="79">
        <v>44250</v>
      </c>
      <c r="I2691" s="78">
        <v>51820</v>
      </c>
      <c r="J2691" s="78">
        <v>2</v>
      </c>
      <c r="K2691" s="79">
        <v>44253</v>
      </c>
      <c r="L2691" s="78">
        <v>11354</v>
      </c>
      <c r="M2691" s="78">
        <v>2</v>
      </c>
    </row>
    <row r="2692" spans="2:13" ht="14.1" customHeight="1" x14ac:dyDescent="0.25">
      <c r="B2692" s="78" t="str">
        <f t="shared" si="44"/>
        <v>2102-167-203946</v>
      </c>
      <c r="C2692" s="79">
        <v>44249</v>
      </c>
      <c r="D2692" s="78">
        <v>167</v>
      </c>
      <c r="E2692" s="78">
        <v>1</v>
      </c>
      <c r="F2692" s="78">
        <v>203946</v>
      </c>
      <c r="G2692" s="80" t="s">
        <v>1692</v>
      </c>
      <c r="H2692" s="79"/>
      <c r="I2692" s="78">
        <v>0</v>
      </c>
      <c r="J2692" s="78">
        <v>0</v>
      </c>
      <c r="K2692" s="79"/>
      <c r="L2692" s="78">
        <v>0</v>
      </c>
      <c r="M2692" s="78">
        <v>0</v>
      </c>
    </row>
    <row r="2693" spans="2:13" ht="14.1" customHeight="1" x14ac:dyDescent="0.25">
      <c r="B2693" s="78" t="str">
        <f t="shared" si="44"/>
        <v>2102-167-304449</v>
      </c>
      <c r="C2693" s="79">
        <v>44249</v>
      </c>
      <c r="D2693" s="78">
        <v>167</v>
      </c>
      <c r="E2693" s="78">
        <v>14</v>
      </c>
      <c r="F2693" s="78">
        <v>304449</v>
      </c>
      <c r="G2693" s="80" t="s">
        <v>1688</v>
      </c>
      <c r="H2693" s="79">
        <v>44250</v>
      </c>
      <c r="I2693" s="78">
        <v>51819</v>
      </c>
      <c r="J2693" s="78">
        <v>14</v>
      </c>
      <c r="K2693" s="79">
        <v>44252</v>
      </c>
      <c r="L2693" s="78">
        <v>11334</v>
      </c>
      <c r="M2693" s="78">
        <v>14</v>
      </c>
    </row>
    <row r="2694" spans="2:13" ht="14.1" customHeight="1" x14ac:dyDescent="0.25">
      <c r="B2694" s="78" t="str">
        <f t="shared" si="44"/>
        <v>2102-168-107693</v>
      </c>
      <c r="C2694" s="79">
        <v>44249</v>
      </c>
      <c r="D2694" s="78">
        <v>168</v>
      </c>
      <c r="E2694" s="78">
        <v>10</v>
      </c>
      <c r="F2694" s="78">
        <v>107693</v>
      </c>
      <c r="G2694" s="80" t="s">
        <v>1693</v>
      </c>
      <c r="H2694" s="79"/>
      <c r="I2694" s="78">
        <v>0</v>
      </c>
      <c r="J2694" s="78">
        <v>0</v>
      </c>
      <c r="K2694" s="79"/>
      <c r="L2694" s="78">
        <v>0</v>
      </c>
      <c r="M2694" s="78">
        <v>0</v>
      </c>
    </row>
    <row r="2695" spans="2:13" ht="14.1" customHeight="1" x14ac:dyDescent="0.25">
      <c r="B2695" s="78" t="str">
        <f t="shared" si="44"/>
        <v>2102-168-304114</v>
      </c>
      <c r="C2695" s="79">
        <v>44249</v>
      </c>
      <c r="D2695" s="78">
        <v>168</v>
      </c>
      <c r="E2695" s="78">
        <v>2</v>
      </c>
      <c r="F2695" s="78">
        <v>304114</v>
      </c>
      <c r="G2695" s="80" t="s">
        <v>1219</v>
      </c>
      <c r="H2695" s="79"/>
      <c r="I2695" s="78">
        <v>0</v>
      </c>
      <c r="J2695" s="78">
        <v>0</v>
      </c>
      <c r="K2695" s="79"/>
      <c r="L2695" s="78">
        <v>0</v>
      </c>
      <c r="M2695" s="78">
        <v>0</v>
      </c>
    </row>
    <row r="2696" spans="2:13" ht="14.1" customHeight="1" x14ac:dyDescent="0.25">
      <c r="B2696" s="78" t="str">
        <f t="shared" si="44"/>
        <v>2102-169-317060</v>
      </c>
      <c r="C2696" s="79">
        <v>44249</v>
      </c>
      <c r="D2696" s="78">
        <v>169</v>
      </c>
      <c r="E2696" s="78">
        <v>1</v>
      </c>
      <c r="F2696" s="78">
        <v>317060</v>
      </c>
      <c r="G2696" s="80" t="s">
        <v>1694</v>
      </c>
      <c r="H2696" s="79">
        <v>44240</v>
      </c>
      <c r="I2696" s="78">
        <v>51766</v>
      </c>
      <c r="J2696" s="78">
        <v>1</v>
      </c>
      <c r="K2696" s="79">
        <v>44249</v>
      </c>
      <c r="L2696" s="78">
        <v>11276</v>
      </c>
      <c r="M2696" s="78">
        <v>1</v>
      </c>
    </row>
    <row r="2697" spans="2:13" ht="14.1" customHeight="1" x14ac:dyDescent="0.25">
      <c r="B2697" s="78" t="str">
        <f t="shared" si="44"/>
        <v>2102-170-105513</v>
      </c>
      <c r="C2697" s="79">
        <v>44249</v>
      </c>
      <c r="D2697" s="78">
        <v>170</v>
      </c>
      <c r="E2697" s="78">
        <v>1</v>
      </c>
      <c r="F2697" s="78">
        <v>105513</v>
      </c>
      <c r="G2697" s="80" t="s">
        <v>1695</v>
      </c>
      <c r="H2697" s="79">
        <v>44258</v>
      </c>
      <c r="I2697" s="78">
        <v>51966</v>
      </c>
      <c r="J2697" s="78">
        <v>1</v>
      </c>
      <c r="K2697" s="79">
        <v>44258</v>
      </c>
      <c r="L2697" s="78">
        <v>11381</v>
      </c>
      <c r="M2697" s="78">
        <v>1</v>
      </c>
    </row>
    <row r="2698" spans="2:13" ht="14.1" customHeight="1" x14ac:dyDescent="0.25">
      <c r="B2698" s="78" t="str">
        <f t="shared" si="44"/>
        <v>2102-171-303671</v>
      </c>
      <c r="C2698" s="79">
        <v>44249</v>
      </c>
      <c r="D2698" s="78">
        <v>171</v>
      </c>
      <c r="E2698" s="78">
        <v>4</v>
      </c>
      <c r="F2698" s="78">
        <v>303671</v>
      </c>
      <c r="G2698" s="80" t="s">
        <v>660</v>
      </c>
      <c r="H2698" s="79">
        <v>44253</v>
      </c>
      <c r="I2698" s="78">
        <v>51873</v>
      </c>
      <c r="J2698" s="78">
        <v>4</v>
      </c>
      <c r="K2698" s="79">
        <v>44257</v>
      </c>
      <c r="L2698" s="78">
        <v>11367</v>
      </c>
      <c r="M2698" s="78">
        <v>4</v>
      </c>
    </row>
    <row r="2699" spans="2:13" ht="14.1" customHeight="1" x14ac:dyDescent="0.25">
      <c r="B2699" s="78" t="str">
        <f t="shared" si="44"/>
        <v>2102-171-307922</v>
      </c>
      <c r="C2699" s="79">
        <v>44249</v>
      </c>
      <c r="D2699" s="78">
        <v>171</v>
      </c>
      <c r="E2699" s="78">
        <v>4</v>
      </c>
      <c r="F2699" s="78">
        <v>307922</v>
      </c>
      <c r="G2699" s="80" t="s">
        <v>1554</v>
      </c>
      <c r="H2699" s="79">
        <v>44253</v>
      </c>
      <c r="I2699" s="78">
        <v>51873</v>
      </c>
      <c r="J2699" s="78">
        <v>4</v>
      </c>
      <c r="K2699" s="79">
        <v>44257</v>
      </c>
      <c r="L2699" s="78">
        <v>11367</v>
      </c>
      <c r="M2699" s="78">
        <v>4</v>
      </c>
    </row>
    <row r="2700" spans="2:13" ht="14.1" customHeight="1" x14ac:dyDescent="0.25">
      <c r="B2700" s="78" t="str">
        <f t="shared" si="44"/>
        <v>2102-171-303670</v>
      </c>
      <c r="C2700" s="79">
        <v>44249</v>
      </c>
      <c r="D2700" s="78">
        <v>171</v>
      </c>
      <c r="E2700" s="78">
        <v>4</v>
      </c>
      <c r="F2700" s="78">
        <v>303670</v>
      </c>
      <c r="G2700" s="80" t="s">
        <v>1698</v>
      </c>
      <c r="H2700" s="79">
        <v>44253</v>
      </c>
      <c r="I2700" s="78">
        <v>51873</v>
      </c>
      <c r="J2700" s="78">
        <v>4</v>
      </c>
      <c r="K2700" s="79">
        <v>44257</v>
      </c>
      <c r="L2700" s="78">
        <v>11367</v>
      </c>
      <c r="M2700" s="78">
        <v>4</v>
      </c>
    </row>
    <row r="2701" spans="2:13" ht="14.1" customHeight="1" x14ac:dyDescent="0.25">
      <c r="B2701" s="78" t="str">
        <f t="shared" si="44"/>
        <v>2102-171-307306</v>
      </c>
      <c r="C2701" s="79">
        <v>44249</v>
      </c>
      <c r="D2701" s="78">
        <v>171</v>
      </c>
      <c r="E2701" s="78">
        <v>4</v>
      </c>
      <c r="F2701" s="78">
        <v>307306</v>
      </c>
      <c r="G2701" s="80" t="s">
        <v>1696</v>
      </c>
      <c r="H2701" s="79">
        <v>44253</v>
      </c>
      <c r="I2701" s="78">
        <v>51873</v>
      </c>
      <c r="J2701" s="78">
        <v>4</v>
      </c>
      <c r="K2701" s="79">
        <v>44257</v>
      </c>
      <c r="L2701" s="78">
        <v>11367</v>
      </c>
      <c r="M2701" s="78">
        <v>4</v>
      </c>
    </row>
    <row r="2702" spans="2:13" ht="14.1" customHeight="1" x14ac:dyDescent="0.25">
      <c r="B2702" s="78" t="str">
        <f t="shared" si="44"/>
        <v>2102-171-303669</v>
      </c>
      <c r="C2702" s="79">
        <v>44249</v>
      </c>
      <c r="D2702" s="78">
        <v>171</v>
      </c>
      <c r="E2702" s="78">
        <v>4</v>
      </c>
      <c r="F2702" s="78">
        <v>303669</v>
      </c>
      <c r="G2702" s="80" t="s">
        <v>1699</v>
      </c>
      <c r="H2702" s="79">
        <v>44253</v>
      </c>
      <c r="I2702" s="78">
        <v>51873</v>
      </c>
      <c r="J2702" s="78">
        <v>4</v>
      </c>
      <c r="K2702" s="79">
        <v>44257</v>
      </c>
      <c r="L2702" s="78">
        <v>11367</v>
      </c>
      <c r="M2702" s="78">
        <v>4</v>
      </c>
    </row>
    <row r="2703" spans="2:13" ht="14.1" customHeight="1" x14ac:dyDescent="0.25">
      <c r="B2703" s="78" t="str">
        <f t="shared" si="44"/>
        <v>2102-171-303672</v>
      </c>
      <c r="C2703" s="79">
        <v>44249</v>
      </c>
      <c r="D2703" s="78">
        <v>171</v>
      </c>
      <c r="E2703" s="78">
        <v>4</v>
      </c>
      <c r="F2703" s="78">
        <v>303672</v>
      </c>
      <c r="G2703" s="80" t="s">
        <v>1697</v>
      </c>
      <c r="H2703" s="79">
        <v>44253</v>
      </c>
      <c r="I2703" s="78">
        <v>51873</v>
      </c>
      <c r="J2703" s="78">
        <v>4</v>
      </c>
      <c r="K2703" s="79">
        <v>44257</v>
      </c>
      <c r="L2703" s="78">
        <v>11367</v>
      </c>
      <c r="M2703" s="78">
        <v>4</v>
      </c>
    </row>
    <row r="2704" spans="2:13" ht="14.1" customHeight="1" x14ac:dyDescent="0.25">
      <c r="B2704" s="78" t="str">
        <f t="shared" si="44"/>
        <v>2102-172-320811</v>
      </c>
      <c r="C2704" s="79">
        <v>44249</v>
      </c>
      <c r="D2704" s="78">
        <v>172</v>
      </c>
      <c r="E2704" s="78">
        <v>2</v>
      </c>
      <c r="F2704" s="78">
        <v>320811</v>
      </c>
      <c r="G2704" s="80" t="s">
        <v>1700</v>
      </c>
      <c r="H2704" s="79">
        <v>44251</v>
      </c>
      <c r="I2704" s="78">
        <v>51845</v>
      </c>
      <c r="J2704" s="78">
        <v>2</v>
      </c>
      <c r="K2704" s="79">
        <v>44257</v>
      </c>
      <c r="L2704" s="78">
        <v>11374</v>
      </c>
      <c r="M2704" s="78">
        <v>2</v>
      </c>
    </row>
    <row r="2705" spans="2:13" ht="14.1" customHeight="1" x14ac:dyDescent="0.25">
      <c r="B2705" s="78" t="str">
        <f t="shared" si="44"/>
        <v>2102-173-106582</v>
      </c>
      <c r="C2705" s="79">
        <v>44249</v>
      </c>
      <c r="D2705" s="78">
        <v>173</v>
      </c>
      <c r="E2705" s="78">
        <v>1</v>
      </c>
      <c r="F2705" s="78">
        <v>106582</v>
      </c>
      <c r="G2705" s="80" t="s">
        <v>176</v>
      </c>
      <c r="H2705" s="79">
        <v>44253</v>
      </c>
      <c r="I2705" s="78">
        <v>51878</v>
      </c>
      <c r="J2705" s="78">
        <v>1</v>
      </c>
      <c r="K2705" s="79">
        <v>44258</v>
      </c>
      <c r="L2705" s="78">
        <v>11386</v>
      </c>
      <c r="M2705" s="78">
        <v>1</v>
      </c>
    </row>
    <row r="2706" spans="2:13" ht="14.1" customHeight="1" x14ac:dyDescent="0.25">
      <c r="B2706" s="78" t="str">
        <f t="shared" si="44"/>
        <v>2102-173-204139</v>
      </c>
      <c r="C2706" s="79">
        <v>44249</v>
      </c>
      <c r="D2706" s="78">
        <v>173</v>
      </c>
      <c r="E2706" s="78">
        <v>1</v>
      </c>
      <c r="F2706" s="78">
        <v>204139</v>
      </c>
      <c r="G2706" s="80" t="s">
        <v>1232</v>
      </c>
      <c r="H2706" s="79"/>
      <c r="I2706" s="78">
        <v>0</v>
      </c>
      <c r="J2706" s="78">
        <v>0</v>
      </c>
      <c r="K2706" s="79"/>
      <c r="L2706" s="78">
        <v>0</v>
      </c>
      <c r="M2706" s="78">
        <v>0</v>
      </c>
    </row>
    <row r="2707" spans="2:13" ht="14.1" customHeight="1" x14ac:dyDescent="0.25">
      <c r="B2707" s="78" t="str">
        <f t="shared" si="44"/>
        <v>2102-173-104993</v>
      </c>
      <c r="C2707" s="79">
        <v>44249</v>
      </c>
      <c r="D2707" s="78">
        <v>173</v>
      </c>
      <c r="E2707" s="78">
        <v>300</v>
      </c>
      <c r="F2707" s="78">
        <v>104993</v>
      </c>
      <c r="G2707" s="80" t="s">
        <v>1701</v>
      </c>
      <c r="H2707" s="79">
        <v>44253</v>
      </c>
      <c r="I2707" s="78">
        <v>51875</v>
      </c>
      <c r="J2707" s="78">
        <v>300</v>
      </c>
      <c r="K2707" s="79">
        <v>44257</v>
      </c>
      <c r="L2707" s="78">
        <v>11368</v>
      </c>
      <c r="M2707" s="78">
        <v>300</v>
      </c>
    </row>
    <row r="2708" spans="2:13" ht="14.1" customHeight="1" x14ac:dyDescent="0.25">
      <c r="B2708" s="78" t="str">
        <f t="shared" si="44"/>
        <v>2102-173-107200</v>
      </c>
      <c r="C2708" s="79">
        <v>44249</v>
      </c>
      <c r="D2708" s="78">
        <v>173</v>
      </c>
      <c r="E2708" s="78">
        <v>300</v>
      </c>
      <c r="F2708" s="78">
        <v>107200</v>
      </c>
      <c r="G2708" s="80" t="s">
        <v>481</v>
      </c>
      <c r="H2708" s="79">
        <v>44253</v>
      </c>
      <c r="I2708" s="78">
        <v>51875</v>
      </c>
      <c r="J2708" s="78">
        <v>300</v>
      </c>
      <c r="K2708" s="79">
        <v>44257</v>
      </c>
      <c r="L2708" s="78">
        <v>11368</v>
      </c>
      <c r="M2708" s="78">
        <v>300</v>
      </c>
    </row>
    <row r="2709" spans="2:13" ht="14.1" customHeight="1" x14ac:dyDescent="0.25">
      <c r="B2709" s="78" t="str">
        <f t="shared" si="44"/>
        <v>2102-174-320824</v>
      </c>
      <c r="C2709" s="79">
        <v>44249</v>
      </c>
      <c r="D2709" s="78">
        <v>174</v>
      </c>
      <c r="E2709" s="78">
        <v>1</v>
      </c>
      <c r="F2709" s="78">
        <v>320824</v>
      </c>
      <c r="G2709" s="80" t="s">
        <v>1704</v>
      </c>
      <c r="H2709" s="79">
        <v>44252</v>
      </c>
      <c r="I2709" s="78">
        <v>51857</v>
      </c>
      <c r="J2709" s="78">
        <v>1</v>
      </c>
      <c r="K2709" s="79">
        <v>44257</v>
      </c>
      <c r="L2709" s="78">
        <v>11372</v>
      </c>
      <c r="M2709" s="78">
        <v>1</v>
      </c>
    </row>
    <row r="2710" spans="2:13" ht="14.1" customHeight="1" x14ac:dyDescent="0.25">
      <c r="B2710" s="78" t="str">
        <f t="shared" ref="B2710:B2773" si="45">TEXT(C2710,"yy") &amp; TEXT(C2710,"mm") &amp;"-"&amp;(D2710) &amp;"-"&amp;(F2710)</f>
        <v>2102-174-320822</v>
      </c>
      <c r="C2710" s="79">
        <v>44249</v>
      </c>
      <c r="D2710" s="78">
        <v>174</v>
      </c>
      <c r="E2710" s="78">
        <v>1</v>
      </c>
      <c r="F2710" s="78">
        <v>320822</v>
      </c>
      <c r="G2710" s="80" t="s">
        <v>1702</v>
      </c>
      <c r="H2710" s="79">
        <v>44252</v>
      </c>
      <c r="I2710" s="78">
        <v>51857</v>
      </c>
      <c r="J2710" s="78">
        <v>1</v>
      </c>
      <c r="K2710" s="79">
        <v>44257</v>
      </c>
      <c r="L2710" s="78">
        <v>11372</v>
      </c>
      <c r="M2710" s="78">
        <v>1</v>
      </c>
    </row>
    <row r="2711" spans="2:13" ht="14.1" customHeight="1" x14ac:dyDescent="0.25">
      <c r="B2711" s="78" t="str">
        <f t="shared" si="45"/>
        <v>2102-174-320823</v>
      </c>
      <c r="C2711" s="79">
        <v>44249</v>
      </c>
      <c r="D2711" s="78">
        <v>174</v>
      </c>
      <c r="E2711" s="78">
        <v>1</v>
      </c>
      <c r="F2711" s="78">
        <v>320823</v>
      </c>
      <c r="G2711" s="80" t="s">
        <v>1703</v>
      </c>
      <c r="H2711" s="79">
        <v>44252</v>
      </c>
      <c r="I2711" s="78">
        <v>51857</v>
      </c>
      <c r="J2711" s="78">
        <v>1</v>
      </c>
      <c r="K2711" s="79">
        <v>44257</v>
      </c>
      <c r="L2711" s="78">
        <v>11372</v>
      </c>
      <c r="M2711" s="78">
        <v>1</v>
      </c>
    </row>
    <row r="2712" spans="2:13" ht="14.1" customHeight="1" x14ac:dyDescent="0.25">
      <c r="B2712" s="78" t="str">
        <f t="shared" si="45"/>
        <v>2102-175-314082</v>
      </c>
      <c r="C2712" s="79">
        <v>44249</v>
      </c>
      <c r="D2712" s="78">
        <v>175</v>
      </c>
      <c r="E2712" s="78">
        <v>80</v>
      </c>
      <c r="F2712" s="78">
        <v>314082</v>
      </c>
      <c r="G2712" s="80" t="s">
        <v>408</v>
      </c>
      <c r="H2712" s="79">
        <v>44281</v>
      </c>
      <c r="I2712" s="78">
        <v>52289</v>
      </c>
      <c r="J2712" s="78">
        <v>80</v>
      </c>
      <c r="K2712" s="79">
        <v>44292</v>
      </c>
      <c r="L2712" s="78">
        <v>11712</v>
      </c>
      <c r="M2712" s="78">
        <v>75</v>
      </c>
    </row>
    <row r="2713" spans="2:13" ht="14.1" customHeight="1" x14ac:dyDescent="0.25">
      <c r="B2713" s="78" t="str">
        <f t="shared" si="45"/>
        <v>2102-175-314116</v>
      </c>
      <c r="C2713" s="79">
        <v>44249</v>
      </c>
      <c r="D2713" s="78">
        <v>175</v>
      </c>
      <c r="E2713" s="78">
        <v>2</v>
      </c>
      <c r="F2713" s="78">
        <v>314116</v>
      </c>
      <c r="G2713" s="80" t="s">
        <v>99</v>
      </c>
      <c r="H2713" s="79">
        <v>44281</v>
      </c>
      <c r="I2713" s="78">
        <v>52289</v>
      </c>
      <c r="J2713" s="78">
        <v>2</v>
      </c>
      <c r="K2713" s="79">
        <v>44292</v>
      </c>
      <c r="L2713" s="78">
        <v>11712</v>
      </c>
      <c r="M2713" s="78">
        <v>2</v>
      </c>
    </row>
    <row r="2714" spans="2:13" ht="14.1" customHeight="1" x14ac:dyDescent="0.25">
      <c r="B2714" s="78" t="str">
        <f t="shared" si="45"/>
        <v>2102-175-320828</v>
      </c>
      <c r="C2714" s="79">
        <v>44249</v>
      </c>
      <c r="D2714" s="78">
        <v>175</v>
      </c>
      <c r="E2714" s="78">
        <v>10</v>
      </c>
      <c r="F2714" s="78">
        <v>320828</v>
      </c>
      <c r="G2714" s="80" t="s">
        <v>1708</v>
      </c>
      <c r="H2714" s="79">
        <v>44281</v>
      </c>
      <c r="I2714" s="78">
        <v>52288</v>
      </c>
      <c r="J2714" s="78">
        <v>10</v>
      </c>
      <c r="K2714" s="79"/>
      <c r="L2714" s="78">
        <v>0</v>
      </c>
      <c r="M2714" s="78">
        <v>0</v>
      </c>
    </row>
    <row r="2715" spans="2:13" ht="14.1" customHeight="1" x14ac:dyDescent="0.25">
      <c r="B2715" s="78" t="str">
        <f t="shared" si="45"/>
        <v>2102-175-320826</v>
      </c>
      <c r="C2715" s="79">
        <v>44249</v>
      </c>
      <c r="D2715" s="78">
        <v>175</v>
      </c>
      <c r="E2715" s="78">
        <v>1</v>
      </c>
      <c r="F2715" s="78">
        <v>320826</v>
      </c>
      <c r="G2715" s="80" t="s">
        <v>1706</v>
      </c>
      <c r="H2715" s="79">
        <v>44281</v>
      </c>
      <c r="I2715" s="78">
        <v>52288</v>
      </c>
      <c r="J2715" s="78">
        <v>1</v>
      </c>
      <c r="K2715" s="79"/>
      <c r="L2715" s="78">
        <v>0</v>
      </c>
      <c r="M2715" s="78">
        <v>0</v>
      </c>
    </row>
    <row r="2716" spans="2:13" ht="14.1" customHeight="1" x14ac:dyDescent="0.25">
      <c r="B2716" s="78" t="str">
        <f t="shared" si="45"/>
        <v>2102-175-320827</v>
      </c>
      <c r="C2716" s="79">
        <v>44249</v>
      </c>
      <c r="D2716" s="78">
        <v>175</v>
      </c>
      <c r="E2716" s="78">
        <v>9</v>
      </c>
      <c r="F2716" s="78">
        <v>320827</v>
      </c>
      <c r="G2716" s="80" t="s">
        <v>1707</v>
      </c>
      <c r="H2716" s="79">
        <v>44281</v>
      </c>
      <c r="I2716" s="78">
        <v>52288</v>
      </c>
      <c r="J2716" s="78">
        <v>9</v>
      </c>
      <c r="K2716" s="79"/>
      <c r="L2716" s="78">
        <v>0</v>
      </c>
      <c r="M2716" s="78">
        <v>0</v>
      </c>
    </row>
    <row r="2717" spans="2:13" ht="14.1" customHeight="1" x14ac:dyDescent="0.25">
      <c r="B2717" s="78" t="str">
        <f t="shared" si="45"/>
        <v>2102-175-320830</v>
      </c>
      <c r="C2717" s="79">
        <v>44249</v>
      </c>
      <c r="D2717" s="78">
        <v>175</v>
      </c>
      <c r="E2717" s="78">
        <v>2</v>
      </c>
      <c r="F2717" s="78">
        <v>320830</v>
      </c>
      <c r="G2717" s="80" t="s">
        <v>1710</v>
      </c>
      <c r="H2717" s="79">
        <v>44281</v>
      </c>
      <c r="I2717" s="78">
        <v>52288</v>
      </c>
      <c r="J2717" s="78">
        <v>2</v>
      </c>
      <c r="K2717" s="79"/>
      <c r="L2717" s="78">
        <v>0</v>
      </c>
      <c r="M2717" s="78">
        <v>0</v>
      </c>
    </row>
    <row r="2718" spans="2:13" ht="14.1" customHeight="1" x14ac:dyDescent="0.25">
      <c r="B2718" s="78" t="str">
        <f t="shared" si="45"/>
        <v>2102-175-320831</v>
      </c>
      <c r="C2718" s="79">
        <v>44249</v>
      </c>
      <c r="D2718" s="78">
        <v>175</v>
      </c>
      <c r="E2718" s="78">
        <v>5</v>
      </c>
      <c r="F2718" s="78">
        <v>320831</v>
      </c>
      <c r="G2718" s="80" t="s">
        <v>1711</v>
      </c>
      <c r="H2718" s="79">
        <v>44281</v>
      </c>
      <c r="I2718" s="78">
        <v>52288</v>
      </c>
      <c r="J2718" s="78">
        <v>5</v>
      </c>
      <c r="K2718" s="79"/>
      <c r="L2718" s="78">
        <v>0</v>
      </c>
      <c r="M2718" s="78">
        <v>0</v>
      </c>
    </row>
    <row r="2719" spans="2:13" ht="14.1" customHeight="1" x14ac:dyDescent="0.25">
      <c r="B2719" s="78" t="str">
        <f t="shared" si="45"/>
        <v>2102-175-320822</v>
      </c>
      <c r="C2719" s="79">
        <v>44249</v>
      </c>
      <c r="D2719" s="78">
        <v>175</v>
      </c>
      <c r="E2719" s="78">
        <v>9</v>
      </c>
      <c r="F2719" s="78">
        <v>320822</v>
      </c>
      <c r="G2719" s="80" t="s">
        <v>1702</v>
      </c>
      <c r="H2719" s="79">
        <v>44281</v>
      </c>
      <c r="I2719" s="78">
        <v>52288</v>
      </c>
      <c r="J2719" s="78">
        <v>9</v>
      </c>
      <c r="K2719" s="79"/>
      <c r="L2719" s="78">
        <v>0</v>
      </c>
      <c r="M2719" s="78">
        <v>0</v>
      </c>
    </row>
    <row r="2720" spans="2:13" ht="14.1" customHeight="1" x14ac:dyDescent="0.25">
      <c r="B2720" s="78" t="str">
        <f t="shared" si="45"/>
        <v>2102-175-320833</v>
      </c>
      <c r="C2720" s="79">
        <v>44249</v>
      </c>
      <c r="D2720" s="78">
        <v>175</v>
      </c>
      <c r="E2720" s="78">
        <v>4</v>
      </c>
      <c r="F2720" s="78">
        <v>320833</v>
      </c>
      <c r="G2720" s="80" t="s">
        <v>1713</v>
      </c>
      <c r="H2720" s="79">
        <v>44281</v>
      </c>
      <c r="I2720" s="78">
        <v>52288</v>
      </c>
      <c r="J2720" s="78">
        <v>4</v>
      </c>
      <c r="K2720" s="79"/>
      <c r="L2720" s="78">
        <v>0</v>
      </c>
      <c r="M2720" s="78">
        <v>0</v>
      </c>
    </row>
    <row r="2721" spans="2:13" ht="14.1" customHeight="1" x14ac:dyDescent="0.25">
      <c r="B2721" s="78" t="str">
        <f t="shared" si="45"/>
        <v>2102-175-320832</v>
      </c>
      <c r="C2721" s="79">
        <v>44249</v>
      </c>
      <c r="D2721" s="78">
        <v>175</v>
      </c>
      <c r="E2721" s="78">
        <v>4</v>
      </c>
      <c r="F2721" s="78">
        <v>320832</v>
      </c>
      <c r="G2721" s="80" t="s">
        <v>1712</v>
      </c>
      <c r="H2721" s="79">
        <v>44281</v>
      </c>
      <c r="I2721" s="78">
        <v>52288</v>
      </c>
      <c r="J2721" s="78">
        <v>4</v>
      </c>
      <c r="K2721" s="79"/>
      <c r="L2721" s="78">
        <v>0</v>
      </c>
      <c r="M2721" s="78">
        <v>0</v>
      </c>
    </row>
    <row r="2722" spans="2:13" ht="14.1" customHeight="1" x14ac:dyDescent="0.25">
      <c r="B2722" s="78" t="str">
        <f t="shared" si="45"/>
        <v>2102-175-320829</v>
      </c>
      <c r="C2722" s="79">
        <v>44249</v>
      </c>
      <c r="D2722" s="78">
        <v>175</v>
      </c>
      <c r="E2722" s="78">
        <v>10</v>
      </c>
      <c r="F2722" s="78">
        <v>320829</v>
      </c>
      <c r="G2722" s="80" t="s">
        <v>1709</v>
      </c>
      <c r="H2722" s="79">
        <v>44281</v>
      </c>
      <c r="I2722" s="78">
        <v>52288</v>
      </c>
      <c r="J2722" s="78">
        <v>10</v>
      </c>
      <c r="K2722" s="79"/>
      <c r="L2722" s="78">
        <v>0</v>
      </c>
      <c r="M2722" s="78">
        <v>0</v>
      </c>
    </row>
    <row r="2723" spans="2:13" ht="14.1" customHeight="1" x14ac:dyDescent="0.25">
      <c r="B2723" s="78" t="str">
        <f t="shared" si="45"/>
        <v>2102-175-320825</v>
      </c>
      <c r="C2723" s="79">
        <v>44249</v>
      </c>
      <c r="D2723" s="78">
        <v>175</v>
      </c>
      <c r="E2723" s="78">
        <v>2</v>
      </c>
      <c r="F2723" s="78">
        <v>320825</v>
      </c>
      <c r="G2723" s="80" t="s">
        <v>1705</v>
      </c>
      <c r="H2723" s="79">
        <v>44281</v>
      </c>
      <c r="I2723" s="78">
        <v>52288</v>
      </c>
      <c r="J2723" s="78">
        <v>2</v>
      </c>
      <c r="K2723" s="79"/>
      <c r="L2723" s="78">
        <v>0</v>
      </c>
      <c r="M2723" s="78">
        <v>0</v>
      </c>
    </row>
    <row r="2724" spans="2:13" ht="14.1" customHeight="1" x14ac:dyDescent="0.25">
      <c r="B2724" s="78" t="str">
        <f t="shared" si="45"/>
        <v>2102-175-320834</v>
      </c>
      <c r="C2724" s="79">
        <v>44249</v>
      </c>
      <c r="D2724" s="78">
        <v>175</v>
      </c>
      <c r="E2724" s="78">
        <v>2</v>
      </c>
      <c r="F2724" s="78">
        <v>320834</v>
      </c>
      <c r="G2724" s="80" t="s">
        <v>1714</v>
      </c>
      <c r="H2724" s="79">
        <v>44281</v>
      </c>
      <c r="I2724" s="78">
        <v>52289</v>
      </c>
      <c r="J2724" s="78">
        <v>2</v>
      </c>
      <c r="K2724" s="79">
        <v>44292</v>
      </c>
      <c r="L2724" s="78">
        <v>11712</v>
      </c>
      <c r="M2724" s="78">
        <v>2</v>
      </c>
    </row>
    <row r="2725" spans="2:13" ht="14.1" customHeight="1" x14ac:dyDescent="0.25">
      <c r="B2725" s="78" t="str">
        <f t="shared" si="45"/>
        <v>2102-177-314646</v>
      </c>
      <c r="C2725" s="79">
        <v>44249</v>
      </c>
      <c r="D2725" s="78">
        <v>177</v>
      </c>
      <c r="E2725" s="78">
        <v>1</v>
      </c>
      <c r="F2725" s="78">
        <v>314646</v>
      </c>
      <c r="G2725" s="80" t="s">
        <v>1724</v>
      </c>
      <c r="H2725" s="79">
        <v>44249</v>
      </c>
      <c r="I2725" s="78">
        <v>51790</v>
      </c>
      <c r="J2725" s="78">
        <v>1</v>
      </c>
      <c r="K2725" s="79">
        <v>44249</v>
      </c>
      <c r="L2725" s="78">
        <v>11288</v>
      </c>
      <c r="M2725" s="78">
        <v>1</v>
      </c>
    </row>
    <row r="2726" spans="2:13" ht="14.1" customHeight="1" x14ac:dyDescent="0.25">
      <c r="B2726" s="78" t="str">
        <f t="shared" si="45"/>
        <v>2102-182-106527</v>
      </c>
      <c r="C2726" s="79">
        <v>44249</v>
      </c>
      <c r="D2726" s="78">
        <v>182</v>
      </c>
      <c r="E2726" s="78">
        <v>4</v>
      </c>
      <c r="F2726" s="78">
        <v>106527</v>
      </c>
      <c r="G2726" s="80" t="s">
        <v>464</v>
      </c>
      <c r="H2726" s="79">
        <v>44252</v>
      </c>
      <c r="I2726" s="78">
        <v>51860</v>
      </c>
      <c r="J2726" s="78">
        <v>4</v>
      </c>
      <c r="K2726" s="79">
        <v>44253</v>
      </c>
      <c r="L2726" s="78">
        <v>11355</v>
      </c>
      <c r="M2726" s="78">
        <v>4</v>
      </c>
    </row>
    <row r="2727" spans="2:13" ht="14.1" customHeight="1" x14ac:dyDescent="0.25">
      <c r="B2727" s="78" t="str">
        <f t="shared" si="45"/>
        <v>2102-182-204172</v>
      </c>
      <c r="C2727" s="79">
        <v>44249</v>
      </c>
      <c r="D2727" s="78">
        <v>182</v>
      </c>
      <c r="E2727" s="78">
        <v>12</v>
      </c>
      <c r="F2727" s="78">
        <v>204172</v>
      </c>
      <c r="G2727" s="80" t="s">
        <v>527</v>
      </c>
      <c r="H2727" s="79">
        <v>44252</v>
      </c>
      <c r="I2727" s="78">
        <v>51860</v>
      </c>
      <c r="J2727" s="78">
        <v>12</v>
      </c>
      <c r="K2727" s="79">
        <v>44253</v>
      </c>
      <c r="L2727" s="78">
        <v>11355</v>
      </c>
      <c r="M2727" s="78">
        <v>12</v>
      </c>
    </row>
    <row r="2728" spans="2:13" ht="14.1" customHeight="1" x14ac:dyDescent="0.25">
      <c r="B2728" s="78" t="str">
        <f t="shared" si="45"/>
        <v>2102-182-102033</v>
      </c>
      <c r="C2728" s="79">
        <v>44249</v>
      </c>
      <c r="D2728" s="78">
        <v>182</v>
      </c>
      <c r="E2728" s="78">
        <v>6</v>
      </c>
      <c r="F2728" s="78">
        <v>102033</v>
      </c>
      <c r="G2728" s="80" t="s">
        <v>421</v>
      </c>
      <c r="H2728" s="79">
        <v>44252</v>
      </c>
      <c r="I2728" s="78">
        <v>51860</v>
      </c>
      <c r="J2728" s="78">
        <v>6</v>
      </c>
      <c r="K2728" s="79">
        <v>44253</v>
      </c>
      <c r="L2728" s="78">
        <v>11355</v>
      </c>
      <c r="M2728" s="78">
        <v>6</v>
      </c>
    </row>
    <row r="2729" spans="2:13" ht="14.1" customHeight="1" x14ac:dyDescent="0.25">
      <c r="B2729" s="78" t="str">
        <f t="shared" si="45"/>
        <v>2102-182-312338</v>
      </c>
      <c r="C2729" s="79">
        <v>44249</v>
      </c>
      <c r="D2729" s="78">
        <v>182</v>
      </c>
      <c r="E2729" s="78">
        <v>8</v>
      </c>
      <c r="F2729" s="78">
        <v>312338</v>
      </c>
      <c r="G2729" s="80" t="s">
        <v>1725</v>
      </c>
      <c r="H2729" s="79">
        <v>44253</v>
      </c>
      <c r="I2729" s="78">
        <v>51872</v>
      </c>
      <c r="J2729" s="78">
        <v>8</v>
      </c>
      <c r="K2729" s="79">
        <v>44257</v>
      </c>
      <c r="L2729" s="78">
        <v>11370</v>
      </c>
      <c r="M2729" s="78">
        <v>8</v>
      </c>
    </row>
    <row r="2730" spans="2:13" ht="14.1" customHeight="1" x14ac:dyDescent="0.25">
      <c r="B2730" s="78" t="str">
        <f t="shared" si="45"/>
        <v>2102-182-201642</v>
      </c>
      <c r="C2730" s="79">
        <v>44249</v>
      </c>
      <c r="D2730" s="78">
        <v>182</v>
      </c>
      <c r="E2730" s="78">
        <v>4</v>
      </c>
      <c r="F2730" s="78">
        <v>201642</v>
      </c>
      <c r="G2730" s="80" t="s">
        <v>1254</v>
      </c>
      <c r="H2730" s="79">
        <v>44252</v>
      </c>
      <c r="I2730" s="78">
        <v>51860</v>
      </c>
      <c r="J2730" s="78">
        <v>4</v>
      </c>
      <c r="K2730" s="79">
        <v>44253</v>
      </c>
      <c r="L2730" s="78">
        <v>11355</v>
      </c>
      <c r="M2730" s="78">
        <v>4</v>
      </c>
    </row>
    <row r="2731" spans="2:13" ht="14.1" customHeight="1" x14ac:dyDescent="0.25">
      <c r="B2731" s="78" t="str">
        <f t="shared" si="45"/>
        <v>2102-183-310430</v>
      </c>
      <c r="C2731" s="79">
        <v>44249</v>
      </c>
      <c r="D2731" s="78">
        <v>183</v>
      </c>
      <c r="E2731" s="78">
        <v>2</v>
      </c>
      <c r="F2731" s="78">
        <v>310430</v>
      </c>
      <c r="G2731" s="80" t="s">
        <v>1727</v>
      </c>
      <c r="H2731" s="79">
        <v>44256</v>
      </c>
      <c r="I2731" s="78">
        <v>51967</v>
      </c>
      <c r="J2731" s="78">
        <v>2</v>
      </c>
      <c r="K2731" s="79">
        <v>44258</v>
      </c>
      <c r="L2731" s="78">
        <v>11382</v>
      </c>
      <c r="M2731" s="78">
        <v>2</v>
      </c>
    </row>
    <row r="2732" spans="2:13" ht="14.1" customHeight="1" x14ac:dyDescent="0.25">
      <c r="B2732" s="78" t="str">
        <f t="shared" si="45"/>
        <v>2102-183-310431</v>
      </c>
      <c r="C2732" s="79">
        <v>44249</v>
      </c>
      <c r="D2732" s="78">
        <v>183</v>
      </c>
      <c r="E2732" s="78">
        <v>4</v>
      </c>
      <c r="F2732" s="78">
        <v>310431</v>
      </c>
      <c r="G2732" s="80" t="s">
        <v>1726</v>
      </c>
      <c r="H2732" s="79">
        <v>44256</v>
      </c>
      <c r="I2732" s="78">
        <v>51967</v>
      </c>
      <c r="J2732" s="78">
        <v>4</v>
      </c>
      <c r="K2732" s="79">
        <v>44258</v>
      </c>
      <c r="L2732" s="78">
        <v>11382</v>
      </c>
      <c r="M2732" s="78">
        <v>4</v>
      </c>
    </row>
    <row r="2733" spans="2:13" ht="14.1" customHeight="1" x14ac:dyDescent="0.25">
      <c r="B2733" s="78" t="str">
        <f t="shared" si="45"/>
        <v>2102-184-205632</v>
      </c>
      <c r="C2733" s="79">
        <v>44249</v>
      </c>
      <c r="D2733" s="78">
        <v>184</v>
      </c>
      <c r="E2733" s="78">
        <v>1</v>
      </c>
      <c r="F2733" s="78">
        <v>205632</v>
      </c>
      <c r="G2733" s="80" t="s">
        <v>1728</v>
      </c>
      <c r="H2733" s="79">
        <v>44258</v>
      </c>
      <c r="I2733" s="78">
        <v>51962</v>
      </c>
      <c r="J2733" s="78">
        <v>1</v>
      </c>
      <c r="K2733" s="79">
        <v>44258</v>
      </c>
      <c r="L2733" s="78">
        <v>11384</v>
      </c>
      <c r="M2733" s="78">
        <v>1</v>
      </c>
    </row>
    <row r="2734" spans="2:13" ht="14.1" customHeight="1" x14ac:dyDescent="0.25">
      <c r="B2734" s="78" t="str">
        <f t="shared" si="45"/>
        <v>2102-185-313587</v>
      </c>
      <c r="C2734" s="79">
        <v>44250</v>
      </c>
      <c r="D2734" s="78">
        <v>185</v>
      </c>
      <c r="E2734" s="78">
        <v>1</v>
      </c>
      <c r="F2734" s="78">
        <v>313587</v>
      </c>
      <c r="G2734" s="80" t="s">
        <v>1730</v>
      </c>
      <c r="H2734" s="79">
        <v>44250</v>
      </c>
      <c r="I2734" s="78">
        <v>51801</v>
      </c>
      <c r="J2734" s="78">
        <v>1</v>
      </c>
      <c r="K2734" s="79">
        <v>44250</v>
      </c>
      <c r="L2734" s="78">
        <v>11295</v>
      </c>
      <c r="M2734" s="78">
        <v>1</v>
      </c>
    </row>
    <row r="2735" spans="2:13" ht="14.1" customHeight="1" x14ac:dyDescent="0.25">
      <c r="B2735" s="78" t="str">
        <f t="shared" si="45"/>
        <v>2102-185-316274</v>
      </c>
      <c r="C2735" s="79">
        <v>44250</v>
      </c>
      <c r="D2735" s="78">
        <v>185</v>
      </c>
      <c r="E2735" s="78">
        <v>1</v>
      </c>
      <c r="F2735" s="78">
        <v>316274</v>
      </c>
      <c r="G2735" s="80" t="s">
        <v>1729</v>
      </c>
      <c r="H2735" s="79">
        <v>44250</v>
      </c>
      <c r="I2735" s="78">
        <v>51801</v>
      </c>
      <c r="J2735" s="78">
        <v>1</v>
      </c>
      <c r="K2735" s="79">
        <v>44250</v>
      </c>
      <c r="L2735" s="78">
        <v>11295</v>
      </c>
      <c r="M2735" s="78">
        <v>1</v>
      </c>
    </row>
    <row r="2736" spans="2:13" ht="14.1" customHeight="1" x14ac:dyDescent="0.25">
      <c r="B2736" s="78" t="str">
        <f t="shared" si="45"/>
        <v>2102-185-105455</v>
      </c>
      <c r="C2736" s="79">
        <v>44250</v>
      </c>
      <c r="D2736" s="78">
        <v>185</v>
      </c>
      <c r="E2736" s="78">
        <v>2</v>
      </c>
      <c r="F2736" s="78">
        <v>105455</v>
      </c>
      <c r="G2736" s="80" t="s">
        <v>1731</v>
      </c>
      <c r="H2736" s="79">
        <v>44250</v>
      </c>
      <c r="I2736" s="78">
        <v>51801</v>
      </c>
      <c r="J2736" s="78">
        <v>2</v>
      </c>
      <c r="K2736" s="79">
        <v>44250</v>
      </c>
      <c r="L2736" s="78">
        <v>11295</v>
      </c>
      <c r="M2736" s="78">
        <v>2</v>
      </c>
    </row>
    <row r="2737" spans="2:13" ht="14.1" customHeight="1" x14ac:dyDescent="0.25">
      <c r="B2737" s="78" t="str">
        <f t="shared" si="45"/>
        <v>2102-185-107562</v>
      </c>
      <c r="C2737" s="79">
        <v>44250</v>
      </c>
      <c r="D2737" s="78">
        <v>185</v>
      </c>
      <c r="E2737" s="78">
        <v>2.8</v>
      </c>
      <c r="F2737" s="78">
        <v>107562</v>
      </c>
      <c r="G2737" s="80" t="s">
        <v>1732</v>
      </c>
      <c r="H2737" s="79">
        <v>44250</v>
      </c>
      <c r="I2737" s="78">
        <v>51801</v>
      </c>
      <c r="J2737" s="78">
        <v>2.8</v>
      </c>
      <c r="K2737" s="79">
        <v>44250</v>
      </c>
      <c r="L2737" s="78">
        <v>11295</v>
      </c>
      <c r="M2737" s="78">
        <v>2.8</v>
      </c>
    </row>
    <row r="2738" spans="2:13" ht="14.1" customHeight="1" x14ac:dyDescent="0.25">
      <c r="B2738" s="78" t="str">
        <f t="shared" si="45"/>
        <v>2102-186-320772</v>
      </c>
      <c r="C2738" s="79">
        <v>44250</v>
      </c>
      <c r="D2738" s="78">
        <v>186</v>
      </c>
      <c r="E2738" s="78">
        <v>1</v>
      </c>
      <c r="F2738" s="78">
        <v>320772</v>
      </c>
      <c r="G2738" s="80" t="s">
        <v>1733</v>
      </c>
      <c r="H2738" s="79">
        <v>44250</v>
      </c>
      <c r="I2738" s="78">
        <v>51810</v>
      </c>
      <c r="J2738" s="78">
        <v>1</v>
      </c>
      <c r="K2738" s="79">
        <v>44250</v>
      </c>
      <c r="L2738" s="78">
        <v>11301</v>
      </c>
      <c r="M2738" s="78">
        <v>1</v>
      </c>
    </row>
    <row r="2739" spans="2:13" ht="14.1" customHeight="1" x14ac:dyDescent="0.25">
      <c r="B2739" s="78" t="str">
        <f t="shared" si="45"/>
        <v>2102-186-320772</v>
      </c>
      <c r="C2739" s="79">
        <v>44250</v>
      </c>
      <c r="D2739" s="78">
        <v>186</v>
      </c>
      <c r="E2739" s="78">
        <v>2</v>
      </c>
      <c r="F2739" s="78">
        <v>320772</v>
      </c>
      <c r="G2739" s="80" t="s">
        <v>1733</v>
      </c>
      <c r="H2739" s="79">
        <v>44250</v>
      </c>
      <c r="I2739" s="78">
        <v>51810</v>
      </c>
      <c r="J2739" s="78">
        <v>2</v>
      </c>
      <c r="K2739" s="79">
        <v>44250</v>
      </c>
      <c r="L2739" s="78">
        <v>11296</v>
      </c>
      <c r="M2739" s="78">
        <v>2</v>
      </c>
    </row>
    <row r="2740" spans="2:13" ht="14.1" customHeight="1" x14ac:dyDescent="0.25">
      <c r="B2740" s="78" t="str">
        <f t="shared" si="45"/>
        <v>2102-187-309654</v>
      </c>
      <c r="C2740" s="79">
        <v>44250</v>
      </c>
      <c r="D2740" s="78">
        <v>187</v>
      </c>
      <c r="E2740" s="78">
        <v>12</v>
      </c>
      <c r="F2740" s="78">
        <v>309654</v>
      </c>
      <c r="G2740" s="80" t="s">
        <v>1734</v>
      </c>
      <c r="H2740" s="79"/>
      <c r="I2740" s="78">
        <v>0</v>
      </c>
      <c r="J2740" s="78">
        <v>0</v>
      </c>
      <c r="K2740" s="79"/>
      <c r="L2740" s="78">
        <v>0</v>
      </c>
      <c r="M2740" s="78">
        <v>0</v>
      </c>
    </row>
    <row r="2741" spans="2:13" ht="14.1" customHeight="1" x14ac:dyDescent="0.25">
      <c r="B2741" s="78" t="str">
        <f t="shared" si="45"/>
        <v>2102-188-305064</v>
      </c>
      <c r="C2741" s="79">
        <v>44250</v>
      </c>
      <c r="D2741" s="78">
        <v>188</v>
      </c>
      <c r="E2741" s="78">
        <v>3</v>
      </c>
      <c r="F2741" s="78">
        <v>305064</v>
      </c>
      <c r="G2741" s="80" t="s">
        <v>1735</v>
      </c>
      <c r="H2741" s="79"/>
      <c r="I2741" s="78">
        <v>0</v>
      </c>
      <c r="J2741" s="78">
        <v>0</v>
      </c>
      <c r="K2741" s="79"/>
      <c r="L2741" s="78">
        <v>0</v>
      </c>
      <c r="M2741" s="78">
        <v>0</v>
      </c>
    </row>
    <row r="2742" spans="2:13" ht="14.1" customHeight="1" x14ac:dyDescent="0.25">
      <c r="B2742" s="78" t="str">
        <f t="shared" si="45"/>
        <v>2102-189-304548</v>
      </c>
      <c r="C2742" s="79">
        <v>44250</v>
      </c>
      <c r="D2742" s="78">
        <v>189</v>
      </c>
      <c r="E2742" s="78">
        <v>12</v>
      </c>
      <c r="F2742" s="78">
        <v>304548</v>
      </c>
      <c r="G2742" s="80" t="s">
        <v>1736</v>
      </c>
      <c r="H2742" s="79">
        <v>44258</v>
      </c>
      <c r="I2742" s="78">
        <v>51943</v>
      </c>
      <c r="J2742" s="78">
        <v>12</v>
      </c>
      <c r="K2742" s="79">
        <v>44266</v>
      </c>
      <c r="L2742" s="78">
        <v>11466</v>
      </c>
      <c r="M2742" s="78">
        <v>12</v>
      </c>
    </row>
    <row r="2743" spans="2:13" ht="14.1" customHeight="1" x14ac:dyDescent="0.25">
      <c r="B2743" s="78" t="str">
        <f t="shared" si="45"/>
        <v>2102-190-315369</v>
      </c>
      <c r="C2743" s="79">
        <v>44250</v>
      </c>
      <c r="D2743" s="78">
        <v>190</v>
      </c>
      <c r="E2743" s="78">
        <v>3</v>
      </c>
      <c r="F2743" s="78">
        <v>315369</v>
      </c>
      <c r="G2743" s="80" t="s">
        <v>1737</v>
      </c>
      <c r="H2743" s="79">
        <v>44258</v>
      </c>
      <c r="I2743" s="78">
        <v>51942</v>
      </c>
      <c r="J2743" s="78">
        <v>3</v>
      </c>
      <c r="K2743" s="79">
        <v>44267</v>
      </c>
      <c r="L2743" s="78">
        <v>11502</v>
      </c>
      <c r="M2743" s="78">
        <v>3</v>
      </c>
    </row>
    <row r="2744" spans="2:13" ht="14.1" customHeight="1" x14ac:dyDescent="0.25">
      <c r="B2744" s="78" t="str">
        <f t="shared" si="45"/>
        <v>2102-191-313812</v>
      </c>
      <c r="C2744" s="79">
        <v>44250</v>
      </c>
      <c r="D2744" s="78">
        <v>191</v>
      </c>
      <c r="E2744" s="78">
        <v>1</v>
      </c>
      <c r="F2744" s="78">
        <v>313812</v>
      </c>
      <c r="G2744" s="80" t="s">
        <v>225</v>
      </c>
      <c r="H2744" s="79">
        <v>44250</v>
      </c>
      <c r="I2744" s="78">
        <v>51817</v>
      </c>
      <c r="J2744" s="78">
        <v>1</v>
      </c>
      <c r="K2744" s="79">
        <v>44250</v>
      </c>
      <c r="L2744" s="78">
        <v>11302</v>
      </c>
      <c r="M2744" s="78">
        <v>1</v>
      </c>
    </row>
    <row r="2745" spans="2:13" ht="14.1" customHeight="1" x14ac:dyDescent="0.25">
      <c r="B2745" s="78" t="str">
        <f t="shared" si="45"/>
        <v>2102-191-200667</v>
      </c>
      <c r="C2745" s="79">
        <v>44250</v>
      </c>
      <c r="D2745" s="78">
        <v>191</v>
      </c>
      <c r="E2745" s="78">
        <v>6</v>
      </c>
      <c r="F2745" s="78">
        <v>200667</v>
      </c>
      <c r="G2745" s="80" t="s">
        <v>492</v>
      </c>
      <c r="H2745" s="79">
        <v>44250</v>
      </c>
      <c r="I2745" s="78">
        <v>51817</v>
      </c>
      <c r="J2745" s="78">
        <v>6</v>
      </c>
      <c r="K2745" s="79">
        <v>44250</v>
      </c>
      <c r="L2745" s="78">
        <v>11302</v>
      </c>
      <c r="M2745" s="78">
        <v>6</v>
      </c>
    </row>
    <row r="2746" spans="2:13" ht="14.1" customHeight="1" x14ac:dyDescent="0.25">
      <c r="B2746" s="78" t="str">
        <f t="shared" si="45"/>
        <v>2102-191-313814</v>
      </c>
      <c r="C2746" s="79">
        <v>44250</v>
      </c>
      <c r="D2746" s="78">
        <v>191</v>
      </c>
      <c r="E2746" s="78">
        <v>1</v>
      </c>
      <c r="F2746" s="78">
        <v>313814</v>
      </c>
      <c r="G2746" s="80" t="s">
        <v>224</v>
      </c>
      <c r="H2746" s="79">
        <v>44250</v>
      </c>
      <c r="I2746" s="78">
        <v>51817</v>
      </c>
      <c r="J2746" s="78">
        <v>1</v>
      </c>
      <c r="K2746" s="79">
        <v>44250</v>
      </c>
      <c r="L2746" s="78">
        <v>11302</v>
      </c>
      <c r="M2746" s="78">
        <v>1</v>
      </c>
    </row>
    <row r="2747" spans="2:13" ht="14.1" customHeight="1" x14ac:dyDescent="0.25">
      <c r="B2747" s="78" t="str">
        <f t="shared" si="45"/>
        <v>2102-192-200155</v>
      </c>
      <c r="C2747" s="79">
        <v>44250</v>
      </c>
      <c r="D2747" s="78">
        <v>192</v>
      </c>
      <c r="E2747" s="78">
        <v>80</v>
      </c>
      <c r="F2747" s="78">
        <v>200155</v>
      </c>
      <c r="G2747" s="80" t="s">
        <v>356</v>
      </c>
      <c r="H2747" s="79">
        <v>44250</v>
      </c>
      <c r="I2747" s="78">
        <v>51816</v>
      </c>
      <c r="J2747" s="78">
        <v>80</v>
      </c>
      <c r="K2747" s="79">
        <v>44250</v>
      </c>
      <c r="L2747" s="78">
        <v>11303</v>
      </c>
      <c r="M2747" s="78">
        <v>80</v>
      </c>
    </row>
    <row r="2748" spans="2:13" ht="14.1" customHeight="1" x14ac:dyDescent="0.25">
      <c r="B2748" s="78" t="str">
        <f t="shared" si="45"/>
        <v>2102-192-203464</v>
      </c>
      <c r="C2748" s="79">
        <v>44250</v>
      </c>
      <c r="D2748" s="78">
        <v>192</v>
      </c>
      <c r="E2748" s="78">
        <v>10</v>
      </c>
      <c r="F2748" s="78">
        <v>203464</v>
      </c>
      <c r="G2748" s="80" t="s">
        <v>1738</v>
      </c>
      <c r="H2748" s="79">
        <v>44250</v>
      </c>
      <c r="I2748" s="78">
        <v>51816</v>
      </c>
      <c r="J2748" s="78">
        <v>10</v>
      </c>
      <c r="K2748" s="79">
        <v>44250</v>
      </c>
      <c r="L2748" s="78">
        <v>11303</v>
      </c>
      <c r="M2748" s="78">
        <v>10</v>
      </c>
    </row>
    <row r="2749" spans="2:13" ht="14.1" customHeight="1" x14ac:dyDescent="0.25">
      <c r="B2749" s="78" t="str">
        <f t="shared" si="45"/>
        <v>2102-193-203593</v>
      </c>
      <c r="C2749" s="79">
        <v>44250</v>
      </c>
      <c r="D2749" s="78">
        <v>193</v>
      </c>
      <c r="E2749" s="78">
        <v>29511</v>
      </c>
      <c r="F2749" s="78">
        <v>203593</v>
      </c>
      <c r="G2749" s="80" t="s">
        <v>211</v>
      </c>
      <c r="H2749" s="79">
        <v>44256</v>
      </c>
      <c r="I2749" s="78">
        <v>52016</v>
      </c>
      <c r="J2749" s="78">
        <v>29511</v>
      </c>
      <c r="K2749" s="79">
        <v>44250</v>
      </c>
      <c r="L2749" s="78">
        <v>11304</v>
      </c>
      <c r="M2749" s="78">
        <v>29511</v>
      </c>
    </row>
    <row r="2750" spans="2:13" ht="14.1" customHeight="1" x14ac:dyDescent="0.25">
      <c r="B2750" s="78" t="str">
        <f t="shared" si="45"/>
        <v>2102-194-308578</v>
      </c>
      <c r="C2750" s="79">
        <v>44250</v>
      </c>
      <c r="D2750" s="78">
        <v>194</v>
      </c>
      <c r="E2750" s="78">
        <v>1</v>
      </c>
      <c r="F2750" s="78">
        <v>308578</v>
      </c>
      <c r="G2750" s="80" t="s">
        <v>1739</v>
      </c>
      <c r="H2750" s="79">
        <v>44250</v>
      </c>
      <c r="I2750" s="78">
        <v>51818</v>
      </c>
      <c r="J2750" s="78">
        <v>1</v>
      </c>
      <c r="K2750" s="79">
        <v>44250</v>
      </c>
      <c r="L2750" s="78">
        <v>11305</v>
      </c>
      <c r="M2750" s="78">
        <v>1</v>
      </c>
    </row>
    <row r="2751" spans="2:13" ht="14.1" customHeight="1" x14ac:dyDescent="0.25">
      <c r="B2751" s="78" t="str">
        <f t="shared" si="45"/>
        <v>2102-194-312270</v>
      </c>
      <c r="C2751" s="79">
        <v>44250</v>
      </c>
      <c r="D2751" s="78">
        <v>194</v>
      </c>
      <c r="E2751" s="78">
        <v>3</v>
      </c>
      <c r="F2751" s="78">
        <v>312270</v>
      </c>
      <c r="G2751" s="80" t="s">
        <v>1740</v>
      </c>
      <c r="H2751" s="79">
        <v>44250</v>
      </c>
      <c r="I2751" s="78">
        <v>51818</v>
      </c>
      <c r="J2751" s="78">
        <v>3</v>
      </c>
      <c r="K2751" s="79">
        <v>44250</v>
      </c>
      <c r="L2751" s="78">
        <v>11305</v>
      </c>
      <c r="M2751" s="78">
        <v>3</v>
      </c>
    </row>
    <row r="2752" spans="2:13" ht="14.1" customHeight="1" x14ac:dyDescent="0.25">
      <c r="B2752" s="78" t="str">
        <f t="shared" si="45"/>
        <v>2102-195-312483</v>
      </c>
      <c r="C2752" s="79">
        <v>44250</v>
      </c>
      <c r="D2752" s="78">
        <v>195</v>
      </c>
      <c r="E2752" s="78">
        <v>1</v>
      </c>
      <c r="F2752" s="78">
        <v>312483</v>
      </c>
      <c r="G2752" s="80" t="s">
        <v>1741</v>
      </c>
      <c r="H2752" s="79">
        <v>44252</v>
      </c>
      <c r="I2752" s="78">
        <v>51863</v>
      </c>
      <c r="J2752" s="78">
        <v>1</v>
      </c>
      <c r="K2752" s="79">
        <v>44273</v>
      </c>
      <c r="L2752" s="78">
        <v>11566</v>
      </c>
      <c r="M2752" s="78">
        <v>1</v>
      </c>
    </row>
    <row r="2753" spans="2:13" ht="14.1" customHeight="1" x14ac:dyDescent="0.25">
      <c r="B2753" s="78" t="str">
        <f t="shared" si="45"/>
        <v>2102-196-302799</v>
      </c>
      <c r="C2753" s="79">
        <v>44250</v>
      </c>
      <c r="D2753" s="78">
        <v>196</v>
      </c>
      <c r="E2753" s="78">
        <v>2</v>
      </c>
      <c r="F2753" s="78">
        <v>302799</v>
      </c>
      <c r="G2753" s="80" t="s">
        <v>1742</v>
      </c>
      <c r="H2753" s="79">
        <v>44250</v>
      </c>
      <c r="I2753" s="78">
        <v>51836</v>
      </c>
      <c r="J2753" s="78">
        <v>2</v>
      </c>
      <c r="K2753" s="79">
        <v>44252</v>
      </c>
      <c r="L2753" s="78">
        <v>11330</v>
      </c>
      <c r="M2753" s="78">
        <v>1</v>
      </c>
    </row>
    <row r="2754" spans="2:13" ht="14.1" customHeight="1" x14ac:dyDescent="0.25">
      <c r="B2754" s="78" t="str">
        <f t="shared" si="45"/>
        <v>2102-196-302799</v>
      </c>
      <c r="C2754" s="79">
        <v>44250</v>
      </c>
      <c r="D2754" s="78">
        <v>196</v>
      </c>
      <c r="E2754" s="78">
        <v>2</v>
      </c>
      <c r="F2754" s="78">
        <v>302799</v>
      </c>
      <c r="G2754" s="80" t="s">
        <v>1742</v>
      </c>
      <c r="H2754" s="79">
        <v>44250</v>
      </c>
      <c r="I2754" s="78">
        <v>51836</v>
      </c>
      <c r="J2754" s="78">
        <v>2</v>
      </c>
      <c r="K2754" s="79">
        <v>44260</v>
      </c>
      <c r="L2754" s="78">
        <v>11414</v>
      </c>
      <c r="M2754" s="78">
        <v>1</v>
      </c>
    </row>
    <row r="2755" spans="2:13" ht="14.1" customHeight="1" x14ac:dyDescent="0.25">
      <c r="B2755" s="78" t="str">
        <f t="shared" si="45"/>
        <v>2102-196-204636</v>
      </c>
      <c r="C2755" s="79">
        <v>44250</v>
      </c>
      <c r="D2755" s="78">
        <v>196</v>
      </c>
      <c r="E2755" s="78">
        <v>2</v>
      </c>
      <c r="F2755" s="78">
        <v>204636</v>
      </c>
      <c r="G2755" s="80" t="s">
        <v>1743</v>
      </c>
      <c r="H2755" s="79">
        <v>44250</v>
      </c>
      <c r="I2755" s="78">
        <v>51836</v>
      </c>
      <c r="J2755" s="78">
        <v>2</v>
      </c>
      <c r="K2755" s="79">
        <v>44252</v>
      </c>
      <c r="L2755" s="78">
        <v>11330</v>
      </c>
      <c r="M2755" s="78">
        <v>2</v>
      </c>
    </row>
    <row r="2756" spans="2:13" ht="14.1" customHeight="1" x14ac:dyDescent="0.25">
      <c r="B2756" s="78" t="str">
        <f t="shared" si="45"/>
        <v>2102-197-309563</v>
      </c>
      <c r="C2756" s="79">
        <v>44250</v>
      </c>
      <c r="D2756" s="78">
        <v>197</v>
      </c>
      <c r="E2756" s="78">
        <v>1</v>
      </c>
      <c r="F2756" s="78">
        <v>309563</v>
      </c>
      <c r="G2756" s="80" t="s">
        <v>1744</v>
      </c>
      <c r="H2756" s="79">
        <v>44257</v>
      </c>
      <c r="I2756" s="78">
        <v>51918</v>
      </c>
      <c r="J2756" s="78">
        <v>1</v>
      </c>
      <c r="K2756" s="79">
        <v>44263</v>
      </c>
      <c r="L2756" s="78">
        <v>11428</v>
      </c>
      <c r="M2756" s="78">
        <v>1</v>
      </c>
    </row>
    <row r="2757" spans="2:13" ht="14.1" customHeight="1" x14ac:dyDescent="0.25">
      <c r="B2757" s="78" t="str">
        <f t="shared" si="45"/>
        <v>2102-197-304697</v>
      </c>
      <c r="C2757" s="79">
        <v>44250</v>
      </c>
      <c r="D2757" s="78">
        <v>197</v>
      </c>
      <c r="E2757" s="78">
        <v>10</v>
      </c>
      <c r="F2757" s="78">
        <v>304697</v>
      </c>
      <c r="G2757" s="80" t="s">
        <v>1126</v>
      </c>
      <c r="H2757" s="79">
        <v>44257</v>
      </c>
      <c r="I2757" s="78">
        <v>51918</v>
      </c>
      <c r="J2757" s="78">
        <v>10</v>
      </c>
      <c r="K2757" s="79">
        <v>44263</v>
      </c>
      <c r="L2757" s="78">
        <v>11428</v>
      </c>
      <c r="M2757" s="78">
        <v>10</v>
      </c>
    </row>
    <row r="2758" spans="2:13" ht="14.1" customHeight="1" x14ac:dyDescent="0.25">
      <c r="B2758" s="78" t="str">
        <f t="shared" si="45"/>
        <v>2102-197-314707</v>
      </c>
      <c r="C2758" s="79">
        <v>44250</v>
      </c>
      <c r="D2758" s="78">
        <v>197</v>
      </c>
      <c r="E2758" s="78">
        <v>4</v>
      </c>
      <c r="F2758" s="78">
        <v>314707</v>
      </c>
      <c r="G2758" s="80" t="s">
        <v>1124</v>
      </c>
      <c r="H2758" s="79">
        <v>44257</v>
      </c>
      <c r="I2758" s="78">
        <v>51918</v>
      </c>
      <c r="J2758" s="78">
        <v>4</v>
      </c>
      <c r="K2758" s="79">
        <v>44263</v>
      </c>
      <c r="L2758" s="78">
        <v>11428</v>
      </c>
      <c r="M2758" s="78">
        <v>4</v>
      </c>
    </row>
    <row r="2759" spans="2:13" ht="14.1" customHeight="1" x14ac:dyDescent="0.25">
      <c r="B2759" s="78" t="str">
        <f t="shared" si="45"/>
        <v>2102-198-306638</v>
      </c>
      <c r="C2759" s="79">
        <v>44250</v>
      </c>
      <c r="D2759" s="78">
        <v>198</v>
      </c>
      <c r="E2759" s="78">
        <v>2</v>
      </c>
      <c r="F2759" s="78">
        <v>306638</v>
      </c>
      <c r="G2759" s="80" t="s">
        <v>1745</v>
      </c>
      <c r="H2759" s="79">
        <v>44257</v>
      </c>
      <c r="I2759" s="78">
        <v>51919</v>
      </c>
      <c r="J2759" s="78">
        <v>2</v>
      </c>
      <c r="K2759" s="79">
        <v>44266</v>
      </c>
      <c r="L2759" s="78">
        <v>11470</v>
      </c>
      <c r="M2759" s="78">
        <v>2</v>
      </c>
    </row>
    <row r="2760" spans="2:13" ht="14.1" customHeight="1" x14ac:dyDescent="0.25">
      <c r="B2760" s="78" t="str">
        <f t="shared" si="45"/>
        <v>2102-198-204127</v>
      </c>
      <c r="C2760" s="79">
        <v>44250</v>
      </c>
      <c r="D2760" s="78">
        <v>198</v>
      </c>
      <c r="E2760" s="78">
        <v>3</v>
      </c>
      <c r="F2760" s="78">
        <v>204127</v>
      </c>
      <c r="G2760" s="80" t="s">
        <v>1113</v>
      </c>
      <c r="H2760" s="79">
        <v>44257</v>
      </c>
      <c r="I2760" s="78">
        <v>51919</v>
      </c>
      <c r="J2760" s="78">
        <v>3</v>
      </c>
      <c r="K2760" s="79">
        <v>44266</v>
      </c>
      <c r="L2760" s="78">
        <v>11470</v>
      </c>
      <c r="M2760" s="78">
        <v>3</v>
      </c>
    </row>
    <row r="2761" spans="2:13" ht="14.1" customHeight="1" x14ac:dyDescent="0.25">
      <c r="B2761" s="78" t="str">
        <f t="shared" si="45"/>
        <v>2102-198-204129</v>
      </c>
      <c r="C2761" s="79">
        <v>44250</v>
      </c>
      <c r="D2761" s="78">
        <v>198</v>
      </c>
      <c r="E2761" s="78">
        <v>2</v>
      </c>
      <c r="F2761" s="78">
        <v>204129</v>
      </c>
      <c r="G2761" s="80" t="s">
        <v>1123</v>
      </c>
      <c r="H2761" s="79">
        <v>44257</v>
      </c>
      <c r="I2761" s="78">
        <v>51919</v>
      </c>
      <c r="J2761" s="78">
        <v>2</v>
      </c>
      <c r="K2761" s="79">
        <v>44266</v>
      </c>
      <c r="L2761" s="78">
        <v>11470</v>
      </c>
      <c r="M2761" s="78">
        <v>2</v>
      </c>
    </row>
    <row r="2762" spans="2:13" ht="14.1" customHeight="1" x14ac:dyDescent="0.25">
      <c r="B2762" s="78" t="str">
        <f t="shared" si="45"/>
        <v>2102-198-204129</v>
      </c>
      <c r="C2762" s="79">
        <v>44250</v>
      </c>
      <c r="D2762" s="78">
        <v>198</v>
      </c>
      <c r="E2762" s="78">
        <v>5</v>
      </c>
      <c r="F2762" s="78">
        <v>204129</v>
      </c>
      <c r="G2762" s="80" t="s">
        <v>1123</v>
      </c>
      <c r="H2762" s="79">
        <v>44257</v>
      </c>
      <c r="I2762" s="78">
        <v>51919</v>
      </c>
      <c r="J2762" s="78">
        <v>5</v>
      </c>
      <c r="K2762" s="79">
        <v>44266</v>
      </c>
      <c r="L2762" s="78">
        <v>11470</v>
      </c>
      <c r="M2762" s="78">
        <v>5</v>
      </c>
    </row>
    <row r="2763" spans="2:13" ht="14.1" customHeight="1" x14ac:dyDescent="0.25">
      <c r="B2763" s="78" t="str">
        <f t="shared" si="45"/>
        <v>2102-198-204126</v>
      </c>
      <c r="C2763" s="79">
        <v>44250</v>
      </c>
      <c r="D2763" s="78">
        <v>198</v>
      </c>
      <c r="E2763" s="78">
        <v>3</v>
      </c>
      <c r="F2763" s="78">
        <v>204126</v>
      </c>
      <c r="G2763" s="80" t="s">
        <v>1112</v>
      </c>
      <c r="H2763" s="79">
        <v>44257</v>
      </c>
      <c r="I2763" s="78">
        <v>51919</v>
      </c>
      <c r="J2763" s="78">
        <v>3</v>
      </c>
      <c r="K2763" s="79">
        <v>44266</v>
      </c>
      <c r="L2763" s="78">
        <v>11470</v>
      </c>
      <c r="M2763" s="78">
        <v>3</v>
      </c>
    </row>
    <row r="2764" spans="2:13" ht="14.1" customHeight="1" x14ac:dyDescent="0.25">
      <c r="B2764" s="78" t="str">
        <f t="shared" si="45"/>
        <v>2102-198-306330</v>
      </c>
      <c r="C2764" s="79">
        <v>44250</v>
      </c>
      <c r="D2764" s="78">
        <v>198</v>
      </c>
      <c r="E2764" s="78">
        <v>2</v>
      </c>
      <c r="F2764" s="78">
        <v>306330</v>
      </c>
      <c r="G2764" s="80" t="s">
        <v>1115</v>
      </c>
      <c r="H2764" s="79">
        <v>44257</v>
      </c>
      <c r="I2764" s="78">
        <v>51919</v>
      </c>
      <c r="J2764" s="78">
        <v>2</v>
      </c>
      <c r="K2764" s="79">
        <v>44266</v>
      </c>
      <c r="L2764" s="78">
        <v>11470</v>
      </c>
      <c r="M2764" s="78">
        <v>2</v>
      </c>
    </row>
    <row r="2765" spans="2:13" ht="14.1" customHeight="1" x14ac:dyDescent="0.25">
      <c r="B2765" s="78" t="str">
        <f t="shared" si="45"/>
        <v>2102-198-204128</v>
      </c>
      <c r="C2765" s="79">
        <v>44250</v>
      </c>
      <c r="D2765" s="78">
        <v>198</v>
      </c>
      <c r="E2765" s="78">
        <v>3</v>
      </c>
      <c r="F2765" s="78">
        <v>204128</v>
      </c>
      <c r="G2765" s="80" t="s">
        <v>1114</v>
      </c>
      <c r="H2765" s="79">
        <v>44257</v>
      </c>
      <c r="I2765" s="78">
        <v>51919</v>
      </c>
      <c r="J2765" s="78">
        <v>3</v>
      </c>
      <c r="K2765" s="79">
        <v>44266</v>
      </c>
      <c r="L2765" s="78">
        <v>11470</v>
      </c>
      <c r="M2765" s="78">
        <v>3</v>
      </c>
    </row>
    <row r="2766" spans="2:13" ht="14.1" customHeight="1" x14ac:dyDescent="0.25">
      <c r="B2766" s="78" t="str">
        <f t="shared" si="45"/>
        <v>2102-199-304698</v>
      </c>
      <c r="C2766" s="79">
        <v>44250</v>
      </c>
      <c r="D2766" s="78">
        <v>199</v>
      </c>
      <c r="E2766" s="78">
        <v>2</v>
      </c>
      <c r="F2766" s="78">
        <v>304698</v>
      </c>
      <c r="G2766" s="80" t="s">
        <v>1127</v>
      </c>
      <c r="H2766" s="79">
        <v>44257</v>
      </c>
      <c r="I2766" s="78">
        <v>51920</v>
      </c>
      <c r="J2766" s="78">
        <v>2</v>
      </c>
      <c r="K2766" s="79">
        <v>44263</v>
      </c>
      <c r="L2766" s="78">
        <v>11429</v>
      </c>
      <c r="M2766" s="78">
        <v>1</v>
      </c>
    </row>
    <row r="2767" spans="2:13" ht="14.1" customHeight="1" x14ac:dyDescent="0.25">
      <c r="B2767" s="78" t="str">
        <f t="shared" si="45"/>
        <v>2102-199-304698</v>
      </c>
      <c r="C2767" s="79">
        <v>44250</v>
      </c>
      <c r="D2767" s="78">
        <v>199</v>
      </c>
      <c r="E2767" s="78">
        <v>2</v>
      </c>
      <c r="F2767" s="78">
        <v>304698</v>
      </c>
      <c r="G2767" s="80" t="s">
        <v>1127</v>
      </c>
      <c r="H2767" s="79">
        <v>44257</v>
      </c>
      <c r="I2767" s="78">
        <v>51920</v>
      </c>
      <c r="J2767" s="78">
        <v>2</v>
      </c>
      <c r="K2767" s="79">
        <v>44266</v>
      </c>
      <c r="L2767" s="78">
        <v>11471</v>
      </c>
      <c r="M2767" s="78">
        <v>1</v>
      </c>
    </row>
    <row r="2768" spans="2:13" ht="14.1" customHeight="1" x14ac:dyDescent="0.25">
      <c r="B2768" s="78" t="str">
        <f t="shared" si="45"/>
        <v>2102-199-304698</v>
      </c>
      <c r="C2768" s="79">
        <v>44250</v>
      </c>
      <c r="D2768" s="78">
        <v>199</v>
      </c>
      <c r="E2768" s="78">
        <v>2</v>
      </c>
      <c r="F2768" s="78">
        <v>304698</v>
      </c>
      <c r="G2768" s="80" t="s">
        <v>1127</v>
      </c>
      <c r="H2768" s="79">
        <v>44257</v>
      </c>
      <c r="I2768" s="78">
        <v>51920</v>
      </c>
      <c r="J2768" s="78">
        <v>2</v>
      </c>
      <c r="K2768" s="79">
        <v>44263</v>
      </c>
      <c r="L2768" s="78">
        <v>11429</v>
      </c>
      <c r="M2768" s="78">
        <v>2</v>
      </c>
    </row>
    <row r="2769" spans="2:13" ht="14.1" customHeight="1" x14ac:dyDescent="0.25">
      <c r="B2769" s="78" t="str">
        <f t="shared" si="45"/>
        <v>2102-199-316851</v>
      </c>
      <c r="C2769" s="79">
        <v>44250</v>
      </c>
      <c r="D2769" s="78">
        <v>199</v>
      </c>
      <c r="E2769" s="78">
        <v>1</v>
      </c>
      <c r="F2769" s="78">
        <v>316851</v>
      </c>
      <c r="G2769" s="80" t="s">
        <v>1746</v>
      </c>
      <c r="H2769" s="79">
        <v>44257</v>
      </c>
      <c r="I2769" s="78">
        <v>51920</v>
      </c>
      <c r="J2769" s="78">
        <v>1</v>
      </c>
      <c r="K2769" s="79">
        <v>44263</v>
      </c>
      <c r="L2769" s="78">
        <v>11429</v>
      </c>
      <c r="M2769" s="78">
        <v>1</v>
      </c>
    </row>
    <row r="2770" spans="2:13" ht="14.1" customHeight="1" x14ac:dyDescent="0.25">
      <c r="B2770" s="78" t="str">
        <f t="shared" si="45"/>
        <v>2102-199-304697</v>
      </c>
      <c r="C2770" s="79">
        <v>44250</v>
      </c>
      <c r="D2770" s="78">
        <v>199</v>
      </c>
      <c r="E2770" s="78">
        <v>3</v>
      </c>
      <c r="F2770" s="78">
        <v>304697</v>
      </c>
      <c r="G2770" s="80" t="s">
        <v>1126</v>
      </c>
      <c r="H2770" s="79">
        <v>44257</v>
      </c>
      <c r="I2770" s="78">
        <v>51920</v>
      </c>
      <c r="J2770" s="78">
        <v>3</v>
      </c>
      <c r="K2770" s="79">
        <v>44263</v>
      </c>
      <c r="L2770" s="78">
        <v>11429</v>
      </c>
      <c r="M2770" s="78">
        <v>3</v>
      </c>
    </row>
    <row r="2771" spans="2:13" ht="14.1" customHeight="1" x14ac:dyDescent="0.25">
      <c r="B2771" s="78" t="str">
        <f t="shared" si="45"/>
        <v>2102-199-314707</v>
      </c>
      <c r="C2771" s="79">
        <v>44250</v>
      </c>
      <c r="D2771" s="78">
        <v>199</v>
      </c>
      <c r="E2771" s="78">
        <v>3</v>
      </c>
      <c r="F2771" s="78">
        <v>314707</v>
      </c>
      <c r="G2771" s="80" t="s">
        <v>1124</v>
      </c>
      <c r="H2771" s="79">
        <v>44257</v>
      </c>
      <c r="I2771" s="78">
        <v>51920</v>
      </c>
      <c r="J2771" s="78">
        <v>3</v>
      </c>
      <c r="K2771" s="79">
        <v>44263</v>
      </c>
      <c r="L2771" s="78">
        <v>11429</v>
      </c>
      <c r="M2771" s="78">
        <v>3</v>
      </c>
    </row>
    <row r="2772" spans="2:13" ht="14.1" customHeight="1" x14ac:dyDescent="0.25">
      <c r="B2772" s="78" t="str">
        <f t="shared" si="45"/>
        <v>2102-199-304699</v>
      </c>
      <c r="C2772" s="79">
        <v>44250</v>
      </c>
      <c r="D2772" s="78">
        <v>199</v>
      </c>
      <c r="E2772" s="78">
        <v>2</v>
      </c>
      <c r="F2772" s="78">
        <v>304699</v>
      </c>
      <c r="G2772" s="80" t="s">
        <v>1128</v>
      </c>
      <c r="H2772" s="79">
        <v>44257</v>
      </c>
      <c r="I2772" s="78">
        <v>51920</v>
      </c>
      <c r="J2772" s="78">
        <v>2</v>
      </c>
      <c r="K2772" s="79">
        <v>44263</v>
      </c>
      <c r="L2772" s="78">
        <v>11429</v>
      </c>
      <c r="M2772" s="78">
        <v>2</v>
      </c>
    </row>
    <row r="2773" spans="2:13" ht="14.1" customHeight="1" x14ac:dyDescent="0.25">
      <c r="B2773" s="78" t="str">
        <f t="shared" si="45"/>
        <v>2102-199-304699</v>
      </c>
      <c r="C2773" s="79">
        <v>44250</v>
      </c>
      <c r="D2773" s="78">
        <v>199</v>
      </c>
      <c r="E2773" s="78">
        <v>2</v>
      </c>
      <c r="F2773" s="78">
        <v>304699</v>
      </c>
      <c r="G2773" s="80" t="s">
        <v>1128</v>
      </c>
      <c r="H2773" s="79">
        <v>44257</v>
      </c>
      <c r="I2773" s="78">
        <v>51920</v>
      </c>
      <c r="J2773" s="78">
        <v>2</v>
      </c>
      <c r="K2773" s="79">
        <v>44263</v>
      </c>
      <c r="L2773" s="78">
        <v>11429</v>
      </c>
      <c r="M2773" s="78">
        <v>2</v>
      </c>
    </row>
    <row r="2774" spans="2:13" ht="14.1" customHeight="1" x14ac:dyDescent="0.25">
      <c r="B2774" s="78" t="str">
        <f t="shared" ref="B2774:B2837" si="46">TEXT(C2774,"yy") &amp; TEXT(C2774,"mm") &amp;"-"&amp;(D2774) &amp;"-"&amp;(F2774)</f>
        <v>2102-199-310645</v>
      </c>
      <c r="C2774" s="79">
        <v>44250</v>
      </c>
      <c r="D2774" s="78">
        <v>199</v>
      </c>
      <c r="E2774" s="78">
        <v>2</v>
      </c>
      <c r="F2774" s="78">
        <v>310645</v>
      </c>
      <c r="G2774" s="80" t="s">
        <v>1125</v>
      </c>
      <c r="H2774" s="79">
        <v>44257</v>
      </c>
      <c r="I2774" s="78">
        <v>51920</v>
      </c>
      <c r="J2774" s="78">
        <v>2</v>
      </c>
      <c r="K2774" s="79">
        <v>44263</v>
      </c>
      <c r="L2774" s="78">
        <v>11429</v>
      </c>
      <c r="M2774" s="78">
        <v>2</v>
      </c>
    </row>
    <row r="2775" spans="2:13" ht="14.1" customHeight="1" x14ac:dyDescent="0.25">
      <c r="B2775" s="78" t="str">
        <f t="shared" si="46"/>
        <v>2102-199-310645</v>
      </c>
      <c r="C2775" s="79">
        <v>44250</v>
      </c>
      <c r="D2775" s="78">
        <v>199</v>
      </c>
      <c r="E2775" s="78">
        <v>3</v>
      </c>
      <c r="F2775" s="78">
        <v>310645</v>
      </c>
      <c r="G2775" s="80" t="s">
        <v>1125</v>
      </c>
      <c r="H2775" s="79">
        <v>44257</v>
      </c>
      <c r="I2775" s="78">
        <v>51920</v>
      </c>
      <c r="J2775" s="78">
        <v>3</v>
      </c>
      <c r="K2775" s="79">
        <v>44263</v>
      </c>
      <c r="L2775" s="78">
        <v>11429</v>
      </c>
      <c r="M2775" s="78">
        <v>3</v>
      </c>
    </row>
    <row r="2776" spans="2:13" ht="14.1" customHeight="1" x14ac:dyDescent="0.25">
      <c r="B2776" s="78" t="str">
        <f t="shared" si="46"/>
        <v>2102-200-320842</v>
      </c>
      <c r="C2776" s="79">
        <v>44250</v>
      </c>
      <c r="D2776" s="78">
        <v>200</v>
      </c>
      <c r="E2776" s="78">
        <v>10</v>
      </c>
      <c r="F2776" s="78">
        <v>320842</v>
      </c>
      <c r="G2776" s="80" t="s">
        <v>1749</v>
      </c>
      <c r="H2776" s="79">
        <v>44250</v>
      </c>
      <c r="I2776" s="78">
        <v>51823</v>
      </c>
      <c r="J2776" s="78">
        <v>10</v>
      </c>
      <c r="K2776" s="79">
        <v>44252</v>
      </c>
      <c r="L2776" s="78">
        <v>11349</v>
      </c>
      <c r="M2776" s="78">
        <v>10</v>
      </c>
    </row>
    <row r="2777" spans="2:13" ht="14.1" customHeight="1" x14ac:dyDescent="0.25">
      <c r="B2777" s="78" t="str">
        <f t="shared" si="46"/>
        <v>2102-200-320840</v>
      </c>
      <c r="C2777" s="79">
        <v>44250</v>
      </c>
      <c r="D2777" s="78">
        <v>200</v>
      </c>
      <c r="E2777" s="78">
        <v>10</v>
      </c>
      <c r="F2777" s="78">
        <v>320840</v>
      </c>
      <c r="G2777" s="80" t="s">
        <v>1748</v>
      </c>
      <c r="H2777" s="79">
        <v>44250</v>
      </c>
      <c r="I2777" s="78">
        <v>51823</v>
      </c>
      <c r="J2777" s="78">
        <v>10</v>
      </c>
      <c r="K2777" s="79">
        <v>44252</v>
      </c>
      <c r="L2777" s="78">
        <v>11349</v>
      </c>
      <c r="M2777" s="78">
        <v>10</v>
      </c>
    </row>
    <row r="2778" spans="2:13" ht="14.1" customHeight="1" x14ac:dyDescent="0.25">
      <c r="B2778" s="78" t="str">
        <f t="shared" si="46"/>
        <v>2102-200-320841</v>
      </c>
      <c r="C2778" s="79">
        <v>44250</v>
      </c>
      <c r="D2778" s="78">
        <v>200</v>
      </c>
      <c r="E2778" s="78">
        <v>10</v>
      </c>
      <c r="F2778" s="78">
        <v>320841</v>
      </c>
      <c r="G2778" s="80" t="s">
        <v>1747</v>
      </c>
      <c r="H2778" s="79">
        <v>44250</v>
      </c>
      <c r="I2778" s="78">
        <v>51823</v>
      </c>
      <c r="J2778" s="78">
        <v>10</v>
      </c>
      <c r="K2778" s="79">
        <v>44252</v>
      </c>
      <c r="L2778" s="78">
        <v>11349</v>
      </c>
      <c r="M2778" s="78">
        <v>10</v>
      </c>
    </row>
    <row r="2779" spans="2:13" ht="14.1" customHeight="1" x14ac:dyDescent="0.25">
      <c r="B2779" s="78" t="str">
        <f t="shared" si="46"/>
        <v>2102-201-306330</v>
      </c>
      <c r="C2779" s="79">
        <v>44250</v>
      </c>
      <c r="D2779" s="78">
        <v>201</v>
      </c>
      <c r="E2779" s="78">
        <v>4</v>
      </c>
      <c r="F2779" s="78">
        <v>306330</v>
      </c>
      <c r="G2779" s="80" t="s">
        <v>1115</v>
      </c>
      <c r="H2779" s="79">
        <v>44257</v>
      </c>
      <c r="I2779" s="78">
        <v>51921</v>
      </c>
      <c r="J2779" s="78">
        <v>4</v>
      </c>
      <c r="K2779" s="79">
        <v>44266</v>
      </c>
      <c r="L2779" s="78">
        <v>11472</v>
      </c>
      <c r="M2779" s="78">
        <v>4</v>
      </c>
    </row>
    <row r="2780" spans="2:13" ht="14.1" customHeight="1" x14ac:dyDescent="0.25">
      <c r="B2780" s="78" t="str">
        <f t="shared" si="46"/>
        <v>2102-201-204128</v>
      </c>
      <c r="C2780" s="79">
        <v>44250</v>
      </c>
      <c r="D2780" s="78">
        <v>201</v>
      </c>
      <c r="E2780" s="78">
        <v>11</v>
      </c>
      <c r="F2780" s="78">
        <v>204128</v>
      </c>
      <c r="G2780" s="80" t="s">
        <v>1114</v>
      </c>
      <c r="H2780" s="79">
        <v>44257</v>
      </c>
      <c r="I2780" s="78">
        <v>51921</v>
      </c>
      <c r="J2780" s="78">
        <v>11</v>
      </c>
      <c r="K2780" s="79">
        <v>44266</v>
      </c>
      <c r="L2780" s="78">
        <v>11472</v>
      </c>
      <c r="M2780" s="78">
        <v>11</v>
      </c>
    </row>
    <row r="2781" spans="2:13" ht="14.1" customHeight="1" x14ac:dyDescent="0.25">
      <c r="B2781" s="78" t="str">
        <f t="shared" si="46"/>
        <v>2102-202-206307</v>
      </c>
      <c r="C2781" s="79">
        <v>44250</v>
      </c>
      <c r="D2781" s="78">
        <v>202</v>
      </c>
      <c r="E2781" s="78">
        <v>2</v>
      </c>
      <c r="F2781" s="78">
        <v>206307</v>
      </c>
      <c r="G2781" s="80" t="s">
        <v>1751</v>
      </c>
      <c r="H2781" s="79">
        <v>44257</v>
      </c>
      <c r="I2781" s="78">
        <v>51922</v>
      </c>
      <c r="J2781" s="78">
        <v>2</v>
      </c>
      <c r="K2781" s="79">
        <v>44266</v>
      </c>
      <c r="L2781" s="78">
        <v>11473</v>
      </c>
      <c r="M2781" s="78">
        <v>2</v>
      </c>
    </row>
    <row r="2782" spans="2:13" ht="14.1" customHeight="1" x14ac:dyDescent="0.25">
      <c r="B2782" s="78" t="str">
        <f t="shared" si="46"/>
        <v>2102-202-204126</v>
      </c>
      <c r="C2782" s="79">
        <v>44250</v>
      </c>
      <c r="D2782" s="78">
        <v>202</v>
      </c>
      <c r="E2782" s="78">
        <v>12</v>
      </c>
      <c r="F2782" s="78">
        <v>204126</v>
      </c>
      <c r="G2782" s="80" t="s">
        <v>1112</v>
      </c>
      <c r="H2782" s="79">
        <v>44257</v>
      </c>
      <c r="I2782" s="78">
        <v>51922</v>
      </c>
      <c r="J2782" s="78">
        <v>12</v>
      </c>
      <c r="K2782" s="79">
        <v>44266</v>
      </c>
      <c r="L2782" s="78">
        <v>11473</v>
      </c>
      <c r="M2782" s="78">
        <v>12</v>
      </c>
    </row>
    <row r="2783" spans="2:13" ht="14.1" customHeight="1" x14ac:dyDescent="0.25">
      <c r="B2783" s="78" t="str">
        <f t="shared" si="46"/>
        <v>2102-202-204130</v>
      </c>
      <c r="C2783" s="79">
        <v>44250</v>
      </c>
      <c r="D2783" s="78">
        <v>202</v>
      </c>
      <c r="E2783" s="78">
        <v>2</v>
      </c>
      <c r="F2783" s="78">
        <v>204130</v>
      </c>
      <c r="G2783" s="80" t="s">
        <v>1750</v>
      </c>
      <c r="H2783" s="79">
        <v>44257</v>
      </c>
      <c r="I2783" s="78">
        <v>51922</v>
      </c>
      <c r="J2783" s="78">
        <v>2</v>
      </c>
      <c r="K2783" s="79">
        <v>44266</v>
      </c>
      <c r="L2783" s="78">
        <v>11473</v>
      </c>
      <c r="M2783" s="78">
        <v>1</v>
      </c>
    </row>
    <row r="2784" spans="2:13" ht="14.1" customHeight="1" x14ac:dyDescent="0.25">
      <c r="B2784" s="78" t="str">
        <f t="shared" si="46"/>
        <v>2102-202-204130</v>
      </c>
      <c r="C2784" s="79">
        <v>44250</v>
      </c>
      <c r="D2784" s="78">
        <v>202</v>
      </c>
      <c r="E2784" s="78">
        <v>2</v>
      </c>
      <c r="F2784" s="78">
        <v>204130</v>
      </c>
      <c r="G2784" s="81" t="s">
        <v>1750</v>
      </c>
      <c r="H2784" s="79">
        <v>44257</v>
      </c>
      <c r="I2784" s="78">
        <v>51922</v>
      </c>
      <c r="J2784" s="78">
        <v>2</v>
      </c>
      <c r="K2784" s="79">
        <v>44272</v>
      </c>
      <c r="L2784" s="78">
        <v>11546</v>
      </c>
      <c r="M2784" s="78">
        <v>1</v>
      </c>
    </row>
    <row r="2785" spans="2:13" ht="14.1" customHeight="1" x14ac:dyDescent="0.25">
      <c r="B2785" s="78" t="str">
        <f t="shared" si="46"/>
        <v>2102-203-306638</v>
      </c>
      <c r="C2785" s="79">
        <v>44250</v>
      </c>
      <c r="D2785" s="78">
        <v>203</v>
      </c>
      <c r="E2785" s="78">
        <v>1</v>
      </c>
      <c r="F2785" s="78">
        <v>306638</v>
      </c>
      <c r="G2785" s="80" t="s">
        <v>1745</v>
      </c>
      <c r="H2785" s="79">
        <v>44257</v>
      </c>
      <c r="I2785" s="78">
        <v>51924</v>
      </c>
      <c r="J2785" s="78">
        <v>1</v>
      </c>
      <c r="K2785" s="79">
        <v>44266</v>
      </c>
      <c r="L2785" s="78">
        <v>11475</v>
      </c>
      <c r="M2785" s="78">
        <v>1</v>
      </c>
    </row>
    <row r="2786" spans="2:13" ht="14.1" customHeight="1" x14ac:dyDescent="0.25">
      <c r="B2786" s="78" t="str">
        <f t="shared" si="46"/>
        <v>2102-203-204127</v>
      </c>
      <c r="C2786" s="79">
        <v>44250</v>
      </c>
      <c r="D2786" s="78">
        <v>203</v>
      </c>
      <c r="E2786" s="78">
        <v>3</v>
      </c>
      <c r="F2786" s="78">
        <v>204127</v>
      </c>
      <c r="G2786" s="80" t="s">
        <v>1113</v>
      </c>
      <c r="H2786" s="79">
        <v>44257</v>
      </c>
      <c r="I2786" s="78">
        <v>51924</v>
      </c>
      <c r="J2786" s="78">
        <v>3</v>
      </c>
      <c r="K2786" s="79">
        <v>44266</v>
      </c>
      <c r="L2786" s="78">
        <v>11475</v>
      </c>
      <c r="M2786" s="78">
        <v>3</v>
      </c>
    </row>
    <row r="2787" spans="2:13" ht="14.1" customHeight="1" x14ac:dyDescent="0.25">
      <c r="B2787" s="78" t="str">
        <f t="shared" si="46"/>
        <v>2102-203-204129</v>
      </c>
      <c r="C2787" s="79">
        <v>44250</v>
      </c>
      <c r="D2787" s="78">
        <v>203</v>
      </c>
      <c r="E2787" s="78">
        <v>1</v>
      </c>
      <c r="F2787" s="78">
        <v>204129</v>
      </c>
      <c r="G2787" s="80" t="s">
        <v>1123</v>
      </c>
      <c r="H2787" s="79">
        <v>44257</v>
      </c>
      <c r="I2787" s="78">
        <v>51924</v>
      </c>
      <c r="J2787" s="78">
        <v>1</v>
      </c>
      <c r="K2787" s="79">
        <v>44266</v>
      </c>
      <c r="L2787" s="78">
        <v>11475</v>
      </c>
      <c r="M2787" s="78">
        <v>1</v>
      </c>
    </row>
    <row r="2788" spans="2:13" ht="14.1" customHeight="1" x14ac:dyDescent="0.25">
      <c r="B2788" s="78" t="str">
        <f t="shared" si="46"/>
        <v>2102-203-204126</v>
      </c>
      <c r="C2788" s="79">
        <v>44250</v>
      </c>
      <c r="D2788" s="78">
        <v>203</v>
      </c>
      <c r="E2788" s="78">
        <v>1</v>
      </c>
      <c r="F2788" s="78">
        <v>204126</v>
      </c>
      <c r="G2788" s="80" t="s">
        <v>1112</v>
      </c>
      <c r="H2788" s="79">
        <v>44257</v>
      </c>
      <c r="I2788" s="78">
        <v>51924</v>
      </c>
      <c r="J2788" s="78">
        <v>1</v>
      </c>
      <c r="K2788" s="79">
        <v>44266</v>
      </c>
      <c r="L2788" s="78">
        <v>11475</v>
      </c>
      <c r="M2788" s="78">
        <v>1</v>
      </c>
    </row>
    <row r="2789" spans="2:13" ht="14.1" customHeight="1" x14ac:dyDescent="0.25">
      <c r="B2789" s="78" t="str">
        <f t="shared" si="46"/>
        <v>2102-203-306330</v>
      </c>
      <c r="C2789" s="79">
        <v>44250</v>
      </c>
      <c r="D2789" s="78">
        <v>203</v>
      </c>
      <c r="E2789" s="78">
        <v>5</v>
      </c>
      <c r="F2789" s="78">
        <v>306330</v>
      </c>
      <c r="G2789" s="80" t="s">
        <v>1115</v>
      </c>
      <c r="H2789" s="79">
        <v>44257</v>
      </c>
      <c r="I2789" s="78">
        <v>51924</v>
      </c>
      <c r="J2789" s="78">
        <v>5</v>
      </c>
      <c r="K2789" s="79">
        <v>44266</v>
      </c>
      <c r="L2789" s="78">
        <v>11475</v>
      </c>
      <c r="M2789" s="78">
        <v>5</v>
      </c>
    </row>
    <row r="2790" spans="2:13" ht="14.1" customHeight="1" x14ac:dyDescent="0.25">
      <c r="B2790" s="78" t="str">
        <f t="shared" si="46"/>
        <v>2102-203-204128</v>
      </c>
      <c r="C2790" s="79">
        <v>44250</v>
      </c>
      <c r="D2790" s="78">
        <v>203</v>
      </c>
      <c r="E2790" s="78">
        <v>2</v>
      </c>
      <c r="F2790" s="78">
        <v>204128</v>
      </c>
      <c r="G2790" s="80" t="s">
        <v>1114</v>
      </c>
      <c r="H2790" s="79">
        <v>44257</v>
      </c>
      <c r="I2790" s="78">
        <v>51924</v>
      </c>
      <c r="J2790" s="78">
        <v>2</v>
      </c>
      <c r="K2790" s="79">
        <v>44266</v>
      </c>
      <c r="L2790" s="78">
        <v>11475</v>
      </c>
      <c r="M2790" s="78">
        <v>2</v>
      </c>
    </row>
    <row r="2791" spans="2:13" ht="14.1" customHeight="1" x14ac:dyDescent="0.25">
      <c r="B2791" s="78" t="str">
        <f t="shared" si="46"/>
        <v>2102-204-204127</v>
      </c>
      <c r="C2791" s="79">
        <v>44250</v>
      </c>
      <c r="D2791" s="78">
        <v>204</v>
      </c>
      <c r="E2791" s="78">
        <v>8</v>
      </c>
      <c r="F2791" s="78">
        <v>204127</v>
      </c>
      <c r="G2791" s="81" t="s">
        <v>1113</v>
      </c>
      <c r="H2791" s="79">
        <v>44257</v>
      </c>
      <c r="I2791" s="78">
        <v>51923</v>
      </c>
      <c r="J2791" s="78">
        <v>8</v>
      </c>
      <c r="K2791" s="79">
        <v>44266</v>
      </c>
      <c r="L2791" s="78">
        <v>11476</v>
      </c>
      <c r="M2791" s="78">
        <v>8</v>
      </c>
    </row>
    <row r="2792" spans="2:13" ht="14.1" customHeight="1" x14ac:dyDescent="0.25">
      <c r="B2792" s="78" t="str">
        <f t="shared" si="46"/>
        <v>2102-205-318228</v>
      </c>
      <c r="C2792" s="79">
        <v>44250</v>
      </c>
      <c r="D2792" s="78">
        <v>205</v>
      </c>
      <c r="E2792" s="78">
        <v>17</v>
      </c>
      <c r="F2792" s="78">
        <v>318228</v>
      </c>
      <c r="G2792" s="80" t="s">
        <v>1752</v>
      </c>
      <c r="H2792" s="79">
        <v>44257</v>
      </c>
      <c r="I2792" s="78">
        <v>51929</v>
      </c>
      <c r="J2792" s="78">
        <v>17</v>
      </c>
      <c r="K2792" s="79">
        <v>44263</v>
      </c>
      <c r="L2792" s="78">
        <v>11430</v>
      </c>
      <c r="M2792" s="78">
        <v>17</v>
      </c>
    </row>
    <row r="2793" spans="2:13" ht="14.1" customHeight="1" x14ac:dyDescent="0.25">
      <c r="B2793" s="78" t="str">
        <f t="shared" si="46"/>
        <v>2102-206-304492</v>
      </c>
      <c r="C2793" s="79">
        <v>44250</v>
      </c>
      <c r="D2793" s="78">
        <v>206</v>
      </c>
      <c r="E2793" s="78">
        <v>6</v>
      </c>
      <c r="F2793" s="78">
        <v>304492</v>
      </c>
      <c r="G2793" s="81" t="s">
        <v>674</v>
      </c>
      <c r="H2793" s="79"/>
      <c r="I2793" s="78">
        <v>0</v>
      </c>
      <c r="J2793" s="78">
        <v>0</v>
      </c>
      <c r="K2793" s="79"/>
      <c r="L2793" s="78">
        <v>0</v>
      </c>
      <c r="M2793" s="78">
        <v>0</v>
      </c>
    </row>
    <row r="2794" spans="2:13" ht="14.1" customHeight="1" x14ac:dyDescent="0.25">
      <c r="B2794" s="78" t="str">
        <f t="shared" si="46"/>
        <v>2102-209-206218</v>
      </c>
      <c r="C2794" s="79">
        <v>44250</v>
      </c>
      <c r="D2794" s="78">
        <v>209</v>
      </c>
      <c r="E2794" s="78">
        <v>3000</v>
      </c>
      <c r="F2794" s="78">
        <v>206218</v>
      </c>
      <c r="G2794" s="81" t="s">
        <v>213</v>
      </c>
      <c r="H2794" s="79">
        <v>44258</v>
      </c>
      <c r="I2794" s="78">
        <v>51954</v>
      </c>
      <c r="J2794" s="78">
        <v>3000</v>
      </c>
      <c r="K2794" s="79">
        <v>44266</v>
      </c>
      <c r="L2794" s="78">
        <v>11468</v>
      </c>
      <c r="M2794" s="78">
        <v>3000</v>
      </c>
    </row>
    <row r="2795" spans="2:13" ht="14.1" customHeight="1" x14ac:dyDescent="0.25">
      <c r="B2795" s="78" t="str">
        <f t="shared" si="46"/>
        <v>2102-209-311507</v>
      </c>
      <c r="C2795" s="79">
        <v>44250</v>
      </c>
      <c r="D2795" s="78">
        <v>209</v>
      </c>
      <c r="E2795" s="78">
        <v>20</v>
      </c>
      <c r="F2795" s="78">
        <v>311507</v>
      </c>
      <c r="G2795" s="81" t="s">
        <v>51</v>
      </c>
      <c r="H2795" s="79">
        <v>44265</v>
      </c>
      <c r="I2795" s="78">
        <v>52048</v>
      </c>
      <c r="J2795" s="78">
        <v>20</v>
      </c>
      <c r="K2795" s="79">
        <v>44272</v>
      </c>
      <c r="L2795" s="78">
        <v>11541</v>
      </c>
      <c r="M2795" s="78">
        <v>20</v>
      </c>
    </row>
    <row r="2796" spans="2:13" ht="14.1" customHeight="1" x14ac:dyDescent="0.25">
      <c r="B2796" s="78" t="str">
        <f t="shared" si="46"/>
        <v>2102-209-200790</v>
      </c>
      <c r="C2796" s="79">
        <v>44250</v>
      </c>
      <c r="D2796" s="78">
        <v>209</v>
      </c>
      <c r="E2796" s="78">
        <v>20</v>
      </c>
      <c r="F2796" s="78">
        <v>200790</v>
      </c>
      <c r="G2796" s="81" t="s">
        <v>246</v>
      </c>
      <c r="H2796" s="79">
        <v>44258</v>
      </c>
      <c r="I2796" s="78">
        <v>51953</v>
      </c>
      <c r="J2796" s="78">
        <v>20</v>
      </c>
      <c r="K2796" s="79">
        <v>44267</v>
      </c>
      <c r="L2796" s="78">
        <v>11503</v>
      </c>
      <c r="M2796" s="78">
        <v>20</v>
      </c>
    </row>
    <row r="2797" spans="2:13" ht="14.1" customHeight="1" x14ac:dyDescent="0.25">
      <c r="B2797" s="78" t="str">
        <f t="shared" si="46"/>
        <v>2102-209-105328</v>
      </c>
      <c r="C2797" s="79">
        <v>44250</v>
      </c>
      <c r="D2797" s="78">
        <v>209</v>
      </c>
      <c r="E2797" s="78">
        <v>20</v>
      </c>
      <c r="F2797" s="78">
        <v>105328</v>
      </c>
      <c r="G2797" s="81" t="s">
        <v>344</v>
      </c>
      <c r="H2797" s="79">
        <v>44258</v>
      </c>
      <c r="I2797" s="78">
        <v>51953</v>
      </c>
      <c r="J2797" s="78">
        <v>20</v>
      </c>
      <c r="K2797" s="79">
        <v>44267</v>
      </c>
      <c r="L2797" s="78">
        <v>11503</v>
      </c>
      <c r="M2797" s="78">
        <v>20</v>
      </c>
    </row>
    <row r="2798" spans="2:13" ht="14.1" customHeight="1" x14ac:dyDescent="0.25">
      <c r="B2798" s="78" t="str">
        <f t="shared" si="46"/>
        <v>2102-209-320072</v>
      </c>
      <c r="C2798" s="79">
        <v>44250</v>
      </c>
      <c r="D2798" s="78">
        <v>209</v>
      </c>
      <c r="E2798" s="78">
        <v>200</v>
      </c>
      <c r="F2798" s="78">
        <v>320072</v>
      </c>
      <c r="G2798" s="80" t="s">
        <v>943</v>
      </c>
      <c r="H2798" s="79">
        <v>44257</v>
      </c>
      <c r="I2798" s="78">
        <v>51917</v>
      </c>
      <c r="J2798" s="78">
        <v>200</v>
      </c>
      <c r="K2798" s="79">
        <v>44301</v>
      </c>
      <c r="L2798" s="78">
        <v>11843</v>
      </c>
      <c r="M2798" s="78">
        <v>200</v>
      </c>
    </row>
    <row r="2799" spans="2:13" ht="14.1" customHeight="1" x14ac:dyDescent="0.25">
      <c r="B2799" s="78" t="str">
        <f t="shared" si="46"/>
        <v>2102-210-202013</v>
      </c>
      <c r="C2799" s="79">
        <v>44250</v>
      </c>
      <c r="D2799" s="78">
        <v>210</v>
      </c>
      <c r="E2799" s="78">
        <v>60000</v>
      </c>
      <c r="F2799" s="78">
        <v>202013</v>
      </c>
      <c r="G2799" s="80" t="s">
        <v>149</v>
      </c>
      <c r="H2799" s="79">
        <v>44250</v>
      </c>
      <c r="I2799" s="78">
        <v>51831</v>
      </c>
      <c r="J2799" s="78">
        <v>60000</v>
      </c>
      <c r="K2799" s="79">
        <v>44263</v>
      </c>
      <c r="L2799" s="78">
        <v>11432</v>
      </c>
      <c r="M2799" s="78">
        <v>4000</v>
      </c>
    </row>
    <row r="2800" spans="2:13" ht="14.1" customHeight="1" x14ac:dyDescent="0.25">
      <c r="B2800" s="78" t="str">
        <f t="shared" si="46"/>
        <v>2102-210-202013</v>
      </c>
      <c r="C2800" s="79">
        <v>44250</v>
      </c>
      <c r="D2800" s="78">
        <v>210</v>
      </c>
      <c r="E2800" s="78">
        <v>60000</v>
      </c>
      <c r="F2800" s="78">
        <v>202013</v>
      </c>
      <c r="G2800" s="80" t="s">
        <v>149</v>
      </c>
      <c r="H2800" s="79">
        <v>44250</v>
      </c>
      <c r="I2800" s="78">
        <v>51831</v>
      </c>
      <c r="J2800" s="78">
        <v>60000</v>
      </c>
      <c r="K2800" s="79">
        <v>44264</v>
      </c>
      <c r="L2800" s="78">
        <v>11441</v>
      </c>
      <c r="M2800" s="78">
        <v>56000</v>
      </c>
    </row>
    <row r="2801" spans="2:13" ht="14.1" customHeight="1" x14ac:dyDescent="0.25">
      <c r="B2801" s="78" t="str">
        <f t="shared" si="46"/>
        <v>2102-210-200275</v>
      </c>
      <c r="C2801" s="79">
        <v>44250</v>
      </c>
      <c r="D2801" s="78">
        <v>210</v>
      </c>
      <c r="E2801" s="78">
        <v>48</v>
      </c>
      <c r="F2801" s="78">
        <v>200275</v>
      </c>
      <c r="G2801" s="80" t="s">
        <v>193</v>
      </c>
      <c r="H2801" s="79">
        <v>44250</v>
      </c>
      <c r="I2801" s="78">
        <v>51832</v>
      </c>
      <c r="J2801" s="78">
        <v>48</v>
      </c>
      <c r="K2801" s="79">
        <v>44252</v>
      </c>
      <c r="L2801" s="78">
        <v>11348</v>
      </c>
      <c r="M2801" s="78">
        <v>48</v>
      </c>
    </row>
    <row r="2802" spans="2:13" ht="14.1" customHeight="1" x14ac:dyDescent="0.25">
      <c r="B2802" s="78" t="str">
        <f t="shared" si="46"/>
        <v>2102-211-203556</v>
      </c>
      <c r="C2802" s="79">
        <v>44250</v>
      </c>
      <c r="D2802" s="78">
        <v>211</v>
      </c>
      <c r="E2802" s="78">
        <v>20</v>
      </c>
      <c r="F2802" s="78">
        <v>203556</v>
      </c>
      <c r="G2802" s="80" t="s">
        <v>1235</v>
      </c>
      <c r="H2802" s="79">
        <v>44257</v>
      </c>
      <c r="I2802" s="78">
        <v>51930</v>
      </c>
      <c r="J2802" s="78">
        <v>20</v>
      </c>
      <c r="K2802" s="79">
        <v>44263</v>
      </c>
      <c r="L2802" s="78">
        <v>11427</v>
      </c>
      <c r="M2802" s="78">
        <v>20</v>
      </c>
    </row>
    <row r="2803" spans="2:13" ht="14.1" customHeight="1" x14ac:dyDescent="0.25">
      <c r="B2803" s="78" t="str">
        <f t="shared" si="46"/>
        <v>2102-211-201329</v>
      </c>
      <c r="C2803" s="79">
        <v>44250</v>
      </c>
      <c r="D2803" s="78">
        <v>211</v>
      </c>
      <c r="E2803" s="78">
        <v>15</v>
      </c>
      <c r="F2803" s="78">
        <v>201329</v>
      </c>
      <c r="G2803" s="80" t="s">
        <v>1755</v>
      </c>
      <c r="H2803" s="79">
        <v>44257</v>
      </c>
      <c r="I2803" s="78">
        <v>51930</v>
      </c>
      <c r="J2803" s="78">
        <v>15</v>
      </c>
      <c r="K2803" s="79">
        <v>44263</v>
      </c>
      <c r="L2803" s="78">
        <v>11427</v>
      </c>
      <c r="M2803" s="78">
        <v>15</v>
      </c>
    </row>
    <row r="2804" spans="2:13" ht="14.1" customHeight="1" x14ac:dyDescent="0.25">
      <c r="B2804" s="78" t="str">
        <f t="shared" si="46"/>
        <v>2102-212-310186</v>
      </c>
      <c r="C2804" s="79">
        <v>44250</v>
      </c>
      <c r="D2804" s="78">
        <v>212</v>
      </c>
      <c r="E2804" s="78">
        <v>2</v>
      </c>
      <c r="F2804" s="78">
        <v>310186</v>
      </c>
      <c r="G2804" s="80" t="s">
        <v>1756</v>
      </c>
      <c r="H2804" s="79">
        <v>44257</v>
      </c>
      <c r="I2804" s="78">
        <v>51928</v>
      </c>
      <c r="J2804" s="78">
        <v>2</v>
      </c>
      <c r="K2804" s="79">
        <v>44263</v>
      </c>
      <c r="L2804" s="78">
        <v>11433</v>
      </c>
      <c r="M2804" s="78">
        <v>2</v>
      </c>
    </row>
    <row r="2805" spans="2:13" ht="14.1" customHeight="1" x14ac:dyDescent="0.25">
      <c r="B2805" s="78" t="str">
        <f t="shared" si="46"/>
        <v>2102-213-200751</v>
      </c>
      <c r="C2805" s="79">
        <v>44251</v>
      </c>
      <c r="D2805" s="78">
        <v>213</v>
      </c>
      <c r="E2805" s="78">
        <v>20000</v>
      </c>
      <c r="F2805" s="78">
        <v>200751</v>
      </c>
      <c r="G2805" s="80" t="s">
        <v>151</v>
      </c>
      <c r="H2805" s="79">
        <v>44253</v>
      </c>
      <c r="I2805" s="78">
        <v>51876</v>
      </c>
      <c r="J2805" s="78">
        <v>10000</v>
      </c>
      <c r="K2805" s="79">
        <v>44252</v>
      </c>
      <c r="L2805" s="78">
        <v>11342</v>
      </c>
      <c r="M2805" s="78">
        <v>10000</v>
      </c>
    </row>
    <row r="2806" spans="2:13" ht="14.1" customHeight="1" x14ac:dyDescent="0.25">
      <c r="B2806" s="78" t="str">
        <f t="shared" si="46"/>
        <v>2102-213-200751</v>
      </c>
      <c r="C2806" s="79">
        <v>44251</v>
      </c>
      <c r="D2806" s="78">
        <v>213</v>
      </c>
      <c r="E2806" s="78">
        <v>20000</v>
      </c>
      <c r="F2806" s="78">
        <v>200751</v>
      </c>
      <c r="G2806" s="80" t="s">
        <v>151</v>
      </c>
      <c r="H2806" s="79">
        <v>44253</v>
      </c>
      <c r="I2806" s="78">
        <v>51876</v>
      </c>
      <c r="J2806" s="78">
        <v>10000</v>
      </c>
      <c r="K2806" s="79">
        <v>44252</v>
      </c>
      <c r="L2806" s="78">
        <v>11351</v>
      </c>
      <c r="M2806" s="78">
        <v>10000</v>
      </c>
    </row>
    <row r="2807" spans="2:13" ht="14.1" customHeight="1" x14ac:dyDescent="0.25">
      <c r="B2807" s="78" t="str">
        <f t="shared" si="46"/>
        <v>2102-213-200751</v>
      </c>
      <c r="C2807" s="79">
        <v>44251</v>
      </c>
      <c r="D2807" s="78">
        <v>213</v>
      </c>
      <c r="E2807" s="78">
        <v>20000</v>
      </c>
      <c r="F2807" s="78">
        <v>200751</v>
      </c>
      <c r="G2807" s="80" t="s">
        <v>151</v>
      </c>
      <c r="H2807" s="79">
        <v>44253</v>
      </c>
      <c r="I2807" s="78">
        <v>51888</v>
      </c>
      <c r="J2807" s="78">
        <v>10000</v>
      </c>
      <c r="K2807" s="79">
        <v>44252</v>
      </c>
      <c r="L2807" s="78">
        <v>11342</v>
      </c>
      <c r="M2807" s="78">
        <v>10000</v>
      </c>
    </row>
    <row r="2808" spans="2:13" ht="14.1" customHeight="1" x14ac:dyDescent="0.25">
      <c r="B2808" s="78" t="str">
        <f t="shared" si="46"/>
        <v>2102-213-200751</v>
      </c>
      <c r="C2808" s="79">
        <v>44251</v>
      </c>
      <c r="D2808" s="78">
        <v>213</v>
      </c>
      <c r="E2808" s="78">
        <v>20000</v>
      </c>
      <c r="F2808" s="78">
        <v>200751</v>
      </c>
      <c r="G2808" s="80" t="s">
        <v>151</v>
      </c>
      <c r="H2808" s="79">
        <v>44253</v>
      </c>
      <c r="I2808" s="78">
        <v>51888</v>
      </c>
      <c r="J2808" s="78">
        <v>10000</v>
      </c>
      <c r="K2808" s="79">
        <v>44252</v>
      </c>
      <c r="L2808" s="78">
        <v>11351</v>
      </c>
      <c r="M2808" s="78">
        <v>10000</v>
      </c>
    </row>
    <row r="2809" spans="2:13" ht="14.1" customHeight="1" x14ac:dyDescent="0.25">
      <c r="B2809" s="78" t="str">
        <f t="shared" si="46"/>
        <v>2102-214-103063</v>
      </c>
      <c r="C2809" s="79">
        <v>44251</v>
      </c>
      <c r="D2809" s="78">
        <v>214</v>
      </c>
      <c r="E2809" s="78">
        <v>100</v>
      </c>
      <c r="F2809" s="78">
        <v>103063</v>
      </c>
      <c r="G2809" s="80" t="s">
        <v>1757</v>
      </c>
      <c r="H2809" s="79"/>
      <c r="I2809" s="78">
        <v>0</v>
      </c>
      <c r="J2809" s="78">
        <v>0</v>
      </c>
      <c r="K2809" s="79"/>
      <c r="L2809" s="78">
        <v>0</v>
      </c>
      <c r="M2809" s="78">
        <v>0</v>
      </c>
    </row>
    <row r="2810" spans="2:13" ht="14.1" customHeight="1" x14ac:dyDescent="0.25">
      <c r="B2810" s="78" t="str">
        <f t="shared" si="46"/>
        <v>2102-214-204862</v>
      </c>
      <c r="C2810" s="79">
        <v>44251</v>
      </c>
      <c r="D2810" s="78">
        <v>214</v>
      </c>
      <c r="E2810" s="78">
        <v>100</v>
      </c>
      <c r="F2810" s="78">
        <v>204862</v>
      </c>
      <c r="G2810" s="80" t="s">
        <v>1758</v>
      </c>
      <c r="H2810" s="79"/>
      <c r="I2810" s="78">
        <v>0</v>
      </c>
      <c r="J2810" s="78">
        <v>0</v>
      </c>
      <c r="K2810" s="79"/>
      <c r="L2810" s="78">
        <v>0</v>
      </c>
      <c r="M2810" s="78">
        <v>0</v>
      </c>
    </row>
    <row r="2811" spans="2:13" ht="14.1" customHeight="1" x14ac:dyDescent="0.25">
      <c r="B2811" s="78" t="str">
        <f t="shared" si="46"/>
        <v>2102-214-312847</v>
      </c>
      <c r="C2811" s="79">
        <v>44251</v>
      </c>
      <c r="D2811" s="78">
        <v>214</v>
      </c>
      <c r="E2811" s="78">
        <v>100</v>
      </c>
      <c r="F2811" s="78">
        <v>312847</v>
      </c>
      <c r="G2811" s="80" t="s">
        <v>1759</v>
      </c>
      <c r="H2811" s="79"/>
      <c r="I2811" s="78">
        <v>0</v>
      </c>
      <c r="J2811" s="78">
        <v>0</v>
      </c>
      <c r="K2811" s="79"/>
      <c r="L2811" s="78">
        <v>0</v>
      </c>
      <c r="M2811" s="78">
        <v>0</v>
      </c>
    </row>
    <row r="2812" spans="2:13" ht="14.1" customHeight="1" x14ac:dyDescent="0.25">
      <c r="B2812" s="78" t="str">
        <f t="shared" si="46"/>
        <v>2102-215-300574</v>
      </c>
      <c r="C2812" s="79">
        <v>44251</v>
      </c>
      <c r="D2812" s="78">
        <v>215</v>
      </c>
      <c r="E2812" s="78">
        <v>6</v>
      </c>
      <c r="F2812" s="78">
        <v>300574</v>
      </c>
      <c r="G2812" s="80" t="s">
        <v>1760</v>
      </c>
      <c r="H2812" s="79">
        <v>44252</v>
      </c>
      <c r="I2812" s="78">
        <v>51860</v>
      </c>
      <c r="J2812" s="78">
        <v>6</v>
      </c>
      <c r="K2812" s="79">
        <v>44253</v>
      </c>
      <c r="L2812" s="78">
        <v>11356</v>
      </c>
      <c r="M2812" s="78">
        <v>6</v>
      </c>
    </row>
    <row r="2813" spans="2:13" ht="14.1" customHeight="1" x14ac:dyDescent="0.25">
      <c r="B2813" s="78" t="str">
        <f t="shared" si="46"/>
        <v>2102-215-105240</v>
      </c>
      <c r="C2813" s="79">
        <v>44251</v>
      </c>
      <c r="D2813" s="78">
        <v>215</v>
      </c>
      <c r="E2813" s="78">
        <v>6</v>
      </c>
      <c r="F2813" s="78">
        <v>105240</v>
      </c>
      <c r="G2813" s="80" t="s">
        <v>429</v>
      </c>
      <c r="H2813" s="79">
        <v>44252</v>
      </c>
      <c r="I2813" s="78">
        <v>51860</v>
      </c>
      <c r="J2813" s="78">
        <v>6</v>
      </c>
      <c r="K2813" s="79">
        <v>44253</v>
      </c>
      <c r="L2813" s="78">
        <v>11356</v>
      </c>
      <c r="M2813" s="78">
        <v>6</v>
      </c>
    </row>
    <row r="2814" spans="2:13" ht="14.1" customHeight="1" x14ac:dyDescent="0.25">
      <c r="B2814" s="78" t="str">
        <f t="shared" si="46"/>
        <v>2102-215-204172</v>
      </c>
      <c r="C2814" s="79">
        <v>44251</v>
      </c>
      <c r="D2814" s="78">
        <v>215</v>
      </c>
      <c r="E2814" s="78">
        <v>8</v>
      </c>
      <c r="F2814" s="78">
        <v>204172</v>
      </c>
      <c r="G2814" s="80" t="s">
        <v>527</v>
      </c>
      <c r="H2814" s="79">
        <v>44252</v>
      </c>
      <c r="I2814" s="78">
        <v>51860</v>
      </c>
      <c r="J2814" s="78">
        <v>8</v>
      </c>
      <c r="K2814" s="79">
        <v>44253</v>
      </c>
      <c r="L2814" s="78">
        <v>11356</v>
      </c>
      <c r="M2814" s="78">
        <v>8</v>
      </c>
    </row>
    <row r="2815" spans="2:13" ht="14.1" customHeight="1" x14ac:dyDescent="0.25">
      <c r="B2815" s="78" t="str">
        <f t="shared" si="46"/>
        <v>2102-216-311108</v>
      </c>
      <c r="C2815" s="79">
        <v>44251</v>
      </c>
      <c r="D2815" s="78">
        <v>216</v>
      </c>
      <c r="E2815" s="78">
        <v>2</v>
      </c>
      <c r="F2815" s="78">
        <v>311108</v>
      </c>
      <c r="G2815" s="80" t="s">
        <v>1774</v>
      </c>
      <c r="H2815" s="79">
        <v>44278</v>
      </c>
      <c r="I2815" s="78">
        <v>52238</v>
      </c>
      <c r="J2815" s="78">
        <v>2</v>
      </c>
      <c r="K2815" s="79">
        <v>44285</v>
      </c>
      <c r="L2815" s="78">
        <v>11679</v>
      </c>
      <c r="M2815" s="78">
        <v>1</v>
      </c>
    </row>
    <row r="2816" spans="2:13" ht="14.1" customHeight="1" x14ac:dyDescent="0.25">
      <c r="B2816" s="78" t="str">
        <f t="shared" si="46"/>
        <v>2102-216-311108</v>
      </c>
      <c r="C2816" s="79">
        <v>44251</v>
      </c>
      <c r="D2816" s="78">
        <v>216</v>
      </c>
      <c r="E2816" s="78">
        <v>2</v>
      </c>
      <c r="F2816" s="78">
        <v>311108</v>
      </c>
      <c r="G2816" s="80" t="s">
        <v>1774</v>
      </c>
      <c r="H2816" s="79">
        <v>44278</v>
      </c>
      <c r="I2816" s="78">
        <v>52238</v>
      </c>
      <c r="J2816" s="78">
        <v>2</v>
      </c>
      <c r="K2816" s="79">
        <v>44291</v>
      </c>
      <c r="L2816" s="78">
        <v>11692</v>
      </c>
      <c r="M2816" s="78">
        <v>1</v>
      </c>
    </row>
    <row r="2817" spans="2:13" ht="14.1" customHeight="1" x14ac:dyDescent="0.25">
      <c r="B2817" s="78" t="str">
        <f t="shared" si="46"/>
        <v>2102-216-203973</v>
      </c>
      <c r="C2817" s="79">
        <v>44251</v>
      </c>
      <c r="D2817" s="78">
        <v>216</v>
      </c>
      <c r="E2817" s="78">
        <v>6</v>
      </c>
      <c r="F2817" s="78">
        <v>203973</v>
      </c>
      <c r="G2817" s="80" t="s">
        <v>521</v>
      </c>
      <c r="H2817" s="79">
        <v>44278</v>
      </c>
      <c r="I2817" s="78">
        <v>52238</v>
      </c>
      <c r="J2817" s="78">
        <v>6</v>
      </c>
      <c r="K2817" s="79">
        <v>44284</v>
      </c>
      <c r="L2817" s="78">
        <v>11676</v>
      </c>
      <c r="M2817" s="78">
        <v>6</v>
      </c>
    </row>
    <row r="2818" spans="2:13" ht="14.1" customHeight="1" x14ac:dyDescent="0.25">
      <c r="B2818" s="78" t="str">
        <f t="shared" si="46"/>
        <v>2102-216-204410</v>
      </c>
      <c r="C2818" s="79">
        <v>44251</v>
      </c>
      <c r="D2818" s="78">
        <v>216</v>
      </c>
      <c r="E2818" s="78">
        <v>10</v>
      </c>
      <c r="F2818" s="78">
        <v>204410</v>
      </c>
      <c r="G2818" s="80" t="s">
        <v>537</v>
      </c>
      <c r="H2818" s="79">
        <v>44278</v>
      </c>
      <c r="I2818" s="78">
        <v>52238</v>
      </c>
      <c r="J2818" s="78">
        <v>10</v>
      </c>
      <c r="K2818" s="79">
        <v>44284</v>
      </c>
      <c r="L2818" s="78">
        <v>11677</v>
      </c>
      <c r="M2818" s="78">
        <v>10</v>
      </c>
    </row>
    <row r="2819" spans="2:13" ht="14.1" customHeight="1" x14ac:dyDescent="0.25">
      <c r="B2819" s="78" t="str">
        <f t="shared" si="46"/>
        <v>2102-216-300774</v>
      </c>
      <c r="C2819" s="79">
        <v>44251</v>
      </c>
      <c r="D2819" s="78">
        <v>216</v>
      </c>
      <c r="E2819" s="78">
        <v>24</v>
      </c>
      <c r="F2819" s="78">
        <v>300774</v>
      </c>
      <c r="G2819" s="80" t="s">
        <v>1587</v>
      </c>
      <c r="H2819" s="79"/>
      <c r="I2819" s="78">
        <v>0</v>
      </c>
      <c r="J2819" s="78">
        <v>0</v>
      </c>
      <c r="K2819" s="79"/>
      <c r="L2819" s="78">
        <v>0</v>
      </c>
      <c r="M2819" s="78">
        <v>0</v>
      </c>
    </row>
    <row r="2820" spans="2:13" ht="14.1" customHeight="1" x14ac:dyDescent="0.25">
      <c r="B2820" s="78" t="str">
        <f t="shared" si="46"/>
        <v>2102-216-316879</v>
      </c>
      <c r="C2820" s="79">
        <v>44251</v>
      </c>
      <c r="D2820" s="78">
        <v>216</v>
      </c>
      <c r="E2820" s="78">
        <v>12</v>
      </c>
      <c r="F2820" s="78">
        <v>316879</v>
      </c>
      <c r="G2820" s="80" t="s">
        <v>902</v>
      </c>
      <c r="H2820" s="79">
        <v>44278</v>
      </c>
      <c r="I2820" s="78">
        <v>52238</v>
      </c>
      <c r="J2820" s="78">
        <v>12</v>
      </c>
      <c r="K2820" s="79">
        <v>44285</v>
      </c>
      <c r="L2820" s="78">
        <v>11678</v>
      </c>
      <c r="M2820" s="78">
        <v>9</v>
      </c>
    </row>
    <row r="2821" spans="2:13" ht="14.1" customHeight="1" x14ac:dyDescent="0.25">
      <c r="B2821" s="78" t="str">
        <f t="shared" si="46"/>
        <v>2102-216-316879</v>
      </c>
      <c r="C2821" s="79">
        <v>44251</v>
      </c>
      <c r="D2821" s="78">
        <v>216</v>
      </c>
      <c r="E2821" s="78">
        <v>12</v>
      </c>
      <c r="F2821" s="78">
        <v>316879</v>
      </c>
      <c r="G2821" s="80" t="s">
        <v>902</v>
      </c>
      <c r="H2821" s="79">
        <v>44278</v>
      </c>
      <c r="I2821" s="78">
        <v>52238</v>
      </c>
      <c r="J2821" s="78">
        <v>12</v>
      </c>
      <c r="K2821" s="79">
        <v>44291</v>
      </c>
      <c r="L2821" s="78">
        <v>11694</v>
      </c>
      <c r="M2821" s="78">
        <v>3</v>
      </c>
    </row>
    <row r="2822" spans="2:13" ht="14.1" customHeight="1" x14ac:dyDescent="0.25">
      <c r="B2822" s="78" t="str">
        <f t="shared" si="46"/>
        <v>2102-216-200305</v>
      </c>
      <c r="C2822" s="79">
        <v>44251</v>
      </c>
      <c r="D2822" s="78">
        <v>216</v>
      </c>
      <c r="E2822" s="78">
        <v>5</v>
      </c>
      <c r="F2822" s="78">
        <v>200305</v>
      </c>
      <c r="G2822" s="81" t="s">
        <v>1762</v>
      </c>
      <c r="H2822" s="79">
        <v>44278</v>
      </c>
      <c r="I2822" s="78">
        <v>52237</v>
      </c>
      <c r="J2822" s="78">
        <v>5</v>
      </c>
      <c r="K2822" s="79">
        <v>44281</v>
      </c>
      <c r="L2822" s="78">
        <v>11656</v>
      </c>
      <c r="M2822" s="78">
        <v>5</v>
      </c>
    </row>
    <row r="2823" spans="2:13" ht="14.1" customHeight="1" x14ac:dyDescent="0.25">
      <c r="B2823" s="78" t="str">
        <f t="shared" si="46"/>
        <v>2102-216-203225</v>
      </c>
      <c r="C2823" s="79">
        <v>44251</v>
      </c>
      <c r="D2823" s="78">
        <v>216</v>
      </c>
      <c r="E2823" s="78">
        <v>6</v>
      </c>
      <c r="F2823" s="78">
        <v>203225</v>
      </c>
      <c r="G2823" s="80" t="s">
        <v>1772</v>
      </c>
      <c r="H2823" s="79">
        <v>44278</v>
      </c>
      <c r="I2823" s="78">
        <v>52238</v>
      </c>
      <c r="J2823" s="78">
        <v>6</v>
      </c>
      <c r="K2823" s="79">
        <v>44284</v>
      </c>
      <c r="L2823" s="78">
        <v>11676</v>
      </c>
      <c r="M2823" s="78">
        <v>6</v>
      </c>
    </row>
    <row r="2824" spans="2:13" ht="14.1" customHeight="1" x14ac:dyDescent="0.25">
      <c r="B2824" s="78" t="str">
        <f t="shared" si="46"/>
        <v>2102-216-304396</v>
      </c>
      <c r="C2824" s="79">
        <v>44251</v>
      </c>
      <c r="D2824" s="78">
        <v>216</v>
      </c>
      <c r="E2824" s="78">
        <v>24</v>
      </c>
      <c r="F2824" s="78">
        <v>304396</v>
      </c>
      <c r="G2824" s="80" t="s">
        <v>671</v>
      </c>
      <c r="H2824" s="79">
        <v>44278</v>
      </c>
      <c r="I2824" s="78">
        <v>52238</v>
      </c>
      <c r="J2824" s="78">
        <v>24</v>
      </c>
      <c r="K2824" s="79">
        <v>44285</v>
      </c>
      <c r="L2824" s="78">
        <v>11678</v>
      </c>
      <c r="M2824" s="78">
        <v>24</v>
      </c>
    </row>
    <row r="2825" spans="2:13" ht="14.1" customHeight="1" x14ac:dyDescent="0.25">
      <c r="B2825" s="78" t="str">
        <f t="shared" si="46"/>
        <v>2102-216-304779</v>
      </c>
      <c r="C2825" s="79">
        <v>44251</v>
      </c>
      <c r="D2825" s="78">
        <v>216</v>
      </c>
      <c r="E2825" s="78">
        <v>24</v>
      </c>
      <c r="F2825" s="78">
        <v>304779</v>
      </c>
      <c r="G2825" s="80" t="s">
        <v>683</v>
      </c>
      <c r="H2825" s="79">
        <v>44278</v>
      </c>
      <c r="I2825" s="78">
        <v>52238</v>
      </c>
      <c r="J2825" s="78">
        <v>24</v>
      </c>
      <c r="K2825" s="79">
        <v>44285</v>
      </c>
      <c r="L2825" s="78">
        <v>11678</v>
      </c>
      <c r="M2825" s="78">
        <v>24</v>
      </c>
    </row>
    <row r="2826" spans="2:13" ht="14.1" customHeight="1" x14ac:dyDescent="0.25">
      <c r="B2826" s="78" t="str">
        <f t="shared" si="46"/>
        <v>2102-216-320852</v>
      </c>
      <c r="C2826" s="79">
        <v>44251</v>
      </c>
      <c r="D2826" s="78">
        <v>216</v>
      </c>
      <c r="E2826" s="78">
        <v>3</v>
      </c>
      <c r="F2826" s="78">
        <v>320852</v>
      </c>
      <c r="G2826" s="80" t="s">
        <v>1776</v>
      </c>
      <c r="H2826" s="79"/>
      <c r="I2826" s="78">
        <v>0</v>
      </c>
      <c r="J2826" s="78">
        <v>0</v>
      </c>
      <c r="K2826" s="79"/>
      <c r="L2826" s="78">
        <v>0</v>
      </c>
      <c r="M2826" s="78">
        <v>0</v>
      </c>
    </row>
    <row r="2827" spans="2:13" ht="14.1" customHeight="1" x14ac:dyDescent="0.25">
      <c r="B2827" s="78" t="str">
        <f t="shared" si="46"/>
        <v>2102-216-106405</v>
      </c>
      <c r="C2827" s="79">
        <v>44251</v>
      </c>
      <c r="D2827" s="78">
        <v>216</v>
      </c>
      <c r="E2827" s="78">
        <v>2</v>
      </c>
      <c r="F2827" s="78">
        <v>106405</v>
      </c>
      <c r="G2827" s="81" t="s">
        <v>1377</v>
      </c>
      <c r="H2827" s="79"/>
      <c r="I2827" s="78">
        <v>0</v>
      </c>
      <c r="J2827" s="78">
        <v>0</v>
      </c>
      <c r="K2827" s="79"/>
      <c r="L2827" s="78">
        <v>0</v>
      </c>
      <c r="M2827" s="78">
        <v>0</v>
      </c>
    </row>
    <row r="2828" spans="2:13" ht="14.1" customHeight="1" x14ac:dyDescent="0.25">
      <c r="B2828" s="78" t="str">
        <f t="shared" si="46"/>
        <v>2102-216-106644</v>
      </c>
      <c r="C2828" s="79">
        <v>44251</v>
      </c>
      <c r="D2828" s="78">
        <v>216</v>
      </c>
      <c r="E2828" s="78">
        <v>24</v>
      </c>
      <c r="F2828" s="78">
        <v>106644</v>
      </c>
      <c r="G2828" s="80" t="s">
        <v>83</v>
      </c>
      <c r="H2828" s="79"/>
      <c r="I2828" s="78">
        <v>0</v>
      </c>
      <c r="J2828" s="78">
        <v>0</v>
      </c>
      <c r="K2828" s="79"/>
      <c r="L2828" s="78">
        <v>0</v>
      </c>
      <c r="M2828" s="78">
        <v>0</v>
      </c>
    </row>
    <row r="2829" spans="2:13" ht="14.1" customHeight="1" x14ac:dyDescent="0.25">
      <c r="B2829" s="78" t="str">
        <f t="shared" si="46"/>
        <v>2102-216-201048</v>
      </c>
      <c r="C2829" s="79">
        <v>44251</v>
      </c>
      <c r="D2829" s="78">
        <v>216</v>
      </c>
      <c r="E2829" s="78">
        <v>12</v>
      </c>
      <c r="F2829" s="78">
        <v>201048</v>
      </c>
      <c r="G2829" s="81" t="s">
        <v>1380</v>
      </c>
      <c r="H2829" s="79">
        <v>44278</v>
      </c>
      <c r="I2829" s="78">
        <v>52238</v>
      </c>
      <c r="J2829" s="78">
        <v>12</v>
      </c>
      <c r="K2829" s="79">
        <v>44284</v>
      </c>
      <c r="L2829" s="78">
        <v>11676</v>
      </c>
      <c r="M2829" s="78">
        <v>12</v>
      </c>
    </row>
    <row r="2830" spans="2:13" ht="14.1" customHeight="1" x14ac:dyDescent="0.25">
      <c r="B2830" s="78" t="str">
        <f t="shared" si="46"/>
        <v>2102-216-203372</v>
      </c>
      <c r="C2830" s="79">
        <v>44251</v>
      </c>
      <c r="D2830" s="78">
        <v>216</v>
      </c>
      <c r="E2830" s="78">
        <v>100</v>
      </c>
      <c r="F2830" s="78">
        <v>203372</v>
      </c>
      <c r="G2830" s="81" t="s">
        <v>101</v>
      </c>
      <c r="H2830" s="79">
        <v>44278</v>
      </c>
      <c r="I2830" s="78">
        <v>52238</v>
      </c>
      <c r="J2830" s="78">
        <v>100</v>
      </c>
      <c r="K2830" s="79">
        <v>44286</v>
      </c>
      <c r="L2830" s="78">
        <v>11687</v>
      </c>
      <c r="M2830" s="78">
        <v>100</v>
      </c>
    </row>
    <row r="2831" spans="2:13" ht="14.1" customHeight="1" x14ac:dyDescent="0.25">
      <c r="B2831" s="78" t="str">
        <f t="shared" si="46"/>
        <v>2102-216-205074</v>
      </c>
      <c r="C2831" s="79">
        <v>44251</v>
      </c>
      <c r="D2831" s="78">
        <v>216</v>
      </c>
      <c r="E2831" s="78">
        <v>2</v>
      </c>
      <c r="F2831" s="78">
        <v>205074</v>
      </c>
      <c r="G2831" s="81" t="s">
        <v>551</v>
      </c>
      <c r="H2831" s="79">
        <v>44278</v>
      </c>
      <c r="I2831" s="78">
        <v>52238</v>
      </c>
      <c r="J2831" s="78">
        <v>2</v>
      </c>
      <c r="K2831" s="79">
        <v>44285</v>
      </c>
      <c r="L2831" s="78">
        <v>11679</v>
      </c>
      <c r="M2831" s="78">
        <v>2</v>
      </c>
    </row>
    <row r="2832" spans="2:13" ht="14.1" customHeight="1" x14ac:dyDescent="0.25">
      <c r="B2832" s="78" t="str">
        <f t="shared" si="46"/>
        <v>2102-216-302827</v>
      </c>
      <c r="C2832" s="79">
        <v>44251</v>
      </c>
      <c r="D2832" s="78">
        <v>216</v>
      </c>
      <c r="E2832" s="78">
        <v>1</v>
      </c>
      <c r="F2832" s="78">
        <v>302827</v>
      </c>
      <c r="G2832" s="81" t="s">
        <v>1133</v>
      </c>
      <c r="H2832" s="79">
        <v>44278</v>
      </c>
      <c r="I2832" s="78">
        <v>52238</v>
      </c>
      <c r="J2832" s="78">
        <v>1</v>
      </c>
      <c r="K2832" s="79">
        <v>44291</v>
      </c>
      <c r="L2832" s="78">
        <v>11693</v>
      </c>
      <c r="M2832" s="78">
        <v>1</v>
      </c>
    </row>
    <row r="2833" spans="2:13" ht="14.1" customHeight="1" x14ac:dyDescent="0.25">
      <c r="B2833" s="78" t="str">
        <f t="shared" si="46"/>
        <v>2102-216-206095</v>
      </c>
      <c r="C2833" s="79">
        <v>44251</v>
      </c>
      <c r="D2833" s="78">
        <v>216</v>
      </c>
      <c r="E2833" s="78">
        <v>2</v>
      </c>
      <c r="F2833" s="78">
        <v>206095</v>
      </c>
      <c r="G2833" s="81" t="s">
        <v>1135</v>
      </c>
      <c r="H2833" s="79">
        <v>44278</v>
      </c>
      <c r="I2833" s="78">
        <v>52238</v>
      </c>
      <c r="J2833" s="78">
        <v>2</v>
      </c>
      <c r="K2833" s="79">
        <v>44285</v>
      </c>
      <c r="L2833" s="78">
        <v>11680</v>
      </c>
      <c r="M2833" s="78">
        <v>2</v>
      </c>
    </row>
    <row r="2834" spans="2:13" ht="14.1" customHeight="1" x14ac:dyDescent="0.25">
      <c r="B2834" s="78" t="str">
        <f t="shared" si="46"/>
        <v>2102-216-105887</v>
      </c>
      <c r="C2834" s="79">
        <v>44251</v>
      </c>
      <c r="D2834" s="78">
        <v>216</v>
      </c>
      <c r="E2834" s="78">
        <v>24</v>
      </c>
      <c r="F2834" s="78">
        <v>105887</v>
      </c>
      <c r="G2834" s="80" t="s">
        <v>1766</v>
      </c>
      <c r="H2834" s="79">
        <v>44278</v>
      </c>
      <c r="I2834" s="78">
        <v>52238</v>
      </c>
      <c r="J2834" s="78">
        <v>24</v>
      </c>
      <c r="K2834" s="79">
        <v>44285</v>
      </c>
      <c r="L2834" s="78">
        <v>11678</v>
      </c>
      <c r="M2834" s="78">
        <v>24</v>
      </c>
    </row>
    <row r="2835" spans="2:13" ht="14.1" customHeight="1" x14ac:dyDescent="0.25">
      <c r="B2835" s="78" t="str">
        <f t="shared" si="46"/>
        <v>2102-216-203972</v>
      </c>
      <c r="C2835" s="79">
        <v>44251</v>
      </c>
      <c r="D2835" s="78">
        <v>216</v>
      </c>
      <c r="E2835" s="78">
        <v>12</v>
      </c>
      <c r="F2835" s="78">
        <v>203972</v>
      </c>
      <c r="G2835" s="80" t="s">
        <v>325</v>
      </c>
      <c r="H2835" s="79">
        <v>44278</v>
      </c>
      <c r="I2835" s="78">
        <v>52238</v>
      </c>
      <c r="J2835" s="78">
        <v>12</v>
      </c>
      <c r="K2835" s="79">
        <v>44284</v>
      </c>
      <c r="L2835" s="78">
        <v>11676</v>
      </c>
      <c r="M2835" s="78">
        <v>12</v>
      </c>
    </row>
    <row r="2836" spans="2:13" ht="14.1" customHeight="1" x14ac:dyDescent="0.25">
      <c r="B2836" s="78" t="str">
        <f t="shared" si="46"/>
        <v>2102-216-203233</v>
      </c>
      <c r="C2836" s="79">
        <v>44251</v>
      </c>
      <c r="D2836" s="78">
        <v>216</v>
      </c>
      <c r="E2836" s="78">
        <v>6</v>
      </c>
      <c r="F2836" s="78">
        <v>203233</v>
      </c>
      <c r="G2836" s="80" t="s">
        <v>405</v>
      </c>
      <c r="H2836" s="79">
        <v>44278</v>
      </c>
      <c r="I2836" s="78">
        <v>52238</v>
      </c>
      <c r="J2836" s="78">
        <v>6</v>
      </c>
      <c r="K2836" s="79">
        <v>44284</v>
      </c>
      <c r="L2836" s="78">
        <v>11676</v>
      </c>
      <c r="M2836" s="78">
        <v>6</v>
      </c>
    </row>
    <row r="2837" spans="2:13" ht="14.1" customHeight="1" x14ac:dyDescent="0.25">
      <c r="B2837" s="78" t="str">
        <f t="shared" si="46"/>
        <v>2102-216-100526</v>
      </c>
      <c r="C2837" s="79">
        <v>44251</v>
      </c>
      <c r="D2837" s="78">
        <v>216</v>
      </c>
      <c r="E2837" s="78">
        <v>5</v>
      </c>
      <c r="F2837" s="78">
        <v>100526</v>
      </c>
      <c r="G2837" s="80" t="s">
        <v>335</v>
      </c>
      <c r="H2837" s="79">
        <v>44278</v>
      </c>
      <c r="I2837" s="78">
        <v>52237</v>
      </c>
      <c r="J2837" s="78">
        <v>5</v>
      </c>
      <c r="K2837" s="79">
        <v>44281</v>
      </c>
      <c r="L2837" s="78">
        <v>11656</v>
      </c>
      <c r="M2837" s="78">
        <v>5</v>
      </c>
    </row>
    <row r="2838" spans="2:13" ht="14.1" customHeight="1" x14ac:dyDescent="0.25">
      <c r="B2838" s="78" t="str">
        <f t="shared" ref="B2838:B2901" si="47">TEXT(C2838,"yy") &amp; TEXT(C2838,"mm") &amp;"-"&amp;(D2838) &amp;"-"&amp;(F2838)</f>
        <v>2102-216-300365</v>
      </c>
      <c r="C2838" s="79">
        <v>44251</v>
      </c>
      <c r="D2838" s="78">
        <v>216</v>
      </c>
      <c r="E2838" s="78">
        <v>2</v>
      </c>
      <c r="F2838" s="78">
        <v>300365</v>
      </c>
      <c r="G2838" s="80" t="s">
        <v>594</v>
      </c>
      <c r="H2838" s="79">
        <v>44278</v>
      </c>
      <c r="I2838" s="78">
        <v>52238</v>
      </c>
      <c r="J2838" s="78">
        <v>2</v>
      </c>
      <c r="K2838" s="79">
        <v>44285</v>
      </c>
      <c r="L2838" s="78">
        <v>11679</v>
      </c>
      <c r="M2838" s="78">
        <v>2</v>
      </c>
    </row>
    <row r="2839" spans="2:13" ht="14.1" customHeight="1" x14ac:dyDescent="0.25">
      <c r="B2839" s="78" t="str">
        <f t="shared" si="47"/>
        <v>2102-216-304938</v>
      </c>
      <c r="C2839" s="79">
        <v>44251</v>
      </c>
      <c r="D2839" s="78">
        <v>216</v>
      </c>
      <c r="E2839" s="78">
        <v>50</v>
      </c>
      <c r="F2839" s="78">
        <v>304938</v>
      </c>
      <c r="G2839" s="80" t="s">
        <v>1765</v>
      </c>
      <c r="H2839" s="79">
        <v>44278</v>
      </c>
      <c r="I2839" s="78">
        <v>52238</v>
      </c>
      <c r="J2839" s="78">
        <v>50</v>
      </c>
      <c r="K2839" s="79">
        <v>44285</v>
      </c>
      <c r="L2839" s="78">
        <v>11678</v>
      </c>
      <c r="M2839" s="78">
        <v>50</v>
      </c>
    </row>
    <row r="2840" spans="2:13" ht="14.1" customHeight="1" x14ac:dyDescent="0.25">
      <c r="B2840" s="78" t="str">
        <f t="shared" si="47"/>
        <v>2102-216-203223</v>
      </c>
      <c r="C2840" s="79">
        <v>44251</v>
      </c>
      <c r="D2840" s="78">
        <v>216</v>
      </c>
      <c r="E2840" s="78">
        <v>12</v>
      </c>
      <c r="F2840" s="78">
        <v>203223</v>
      </c>
      <c r="G2840" s="80" t="s">
        <v>321</v>
      </c>
      <c r="H2840" s="79">
        <v>44278</v>
      </c>
      <c r="I2840" s="78">
        <v>52238</v>
      </c>
      <c r="J2840" s="78">
        <v>12</v>
      </c>
      <c r="K2840" s="79">
        <v>44284</v>
      </c>
      <c r="L2840" s="78">
        <v>11676</v>
      </c>
      <c r="M2840" s="78">
        <v>12</v>
      </c>
    </row>
    <row r="2841" spans="2:13" ht="14.1" customHeight="1" x14ac:dyDescent="0.25">
      <c r="B2841" s="78" t="str">
        <f t="shared" si="47"/>
        <v>2102-216-203234</v>
      </c>
      <c r="C2841" s="79">
        <v>44251</v>
      </c>
      <c r="D2841" s="78">
        <v>216</v>
      </c>
      <c r="E2841" s="78">
        <v>4</v>
      </c>
      <c r="F2841" s="78">
        <v>203234</v>
      </c>
      <c r="G2841" s="80" t="s">
        <v>509</v>
      </c>
      <c r="H2841" s="79">
        <v>44278</v>
      </c>
      <c r="I2841" s="78">
        <v>52238</v>
      </c>
      <c r="J2841" s="78">
        <v>4</v>
      </c>
      <c r="K2841" s="79">
        <v>44291</v>
      </c>
      <c r="L2841" s="78">
        <v>11691</v>
      </c>
      <c r="M2841" s="78">
        <v>4</v>
      </c>
    </row>
    <row r="2842" spans="2:13" ht="14.1" customHeight="1" x14ac:dyDescent="0.25">
      <c r="B2842" s="78" t="str">
        <f t="shared" si="47"/>
        <v>2102-216-205076</v>
      </c>
      <c r="C2842" s="79">
        <v>44251</v>
      </c>
      <c r="D2842" s="78">
        <v>216</v>
      </c>
      <c r="E2842" s="78">
        <v>2</v>
      </c>
      <c r="F2842" s="78">
        <v>205076</v>
      </c>
      <c r="G2842" s="80" t="s">
        <v>1775</v>
      </c>
      <c r="H2842" s="79">
        <v>44278</v>
      </c>
      <c r="I2842" s="78">
        <v>52238</v>
      </c>
      <c r="J2842" s="78">
        <v>2</v>
      </c>
      <c r="K2842" s="79">
        <v>44285</v>
      </c>
      <c r="L2842" s="78">
        <v>11679</v>
      </c>
      <c r="M2842" s="78">
        <v>2</v>
      </c>
    </row>
    <row r="2843" spans="2:13" ht="14.1" customHeight="1" x14ac:dyDescent="0.25">
      <c r="B2843" s="78" t="str">
        <f t="shared" si="47"/>
        <v>2102-216-304502</v>
      </c>
      <c r="C2843" s="79">
        <v>44251</v>
      </c>
      <c r="D2843" s="78">
        <v>216</v>
      </c>
      <c r="E2843" s="78">
        <v>24</v>
      </c>
      <c r="F2843" s="78">
        <v>304502</v>
      </c>
      <c r="G2843" s="80" t="s">
        <v>1224</v>
      </c>
      <c r="H2843" s="79">
        <v>44278</v>
      </c>
      <c r="I2843" s="78">
        <v>52238</v>
      </c>
      <c r="J2843" s="78">
        <v>24</v>
      </c>
      <c r="K2843" s="79">
        <v>44285</v>
      </c>
      <c r="L2843" s="78">
        <v>11678</v>
      </c>
      <c r="M2843" s="78">
        <v>24</v>
      </c>
    </row>
    <row r="2844" spans="2:13" ht="14.1" customHeight="1" x14ac:dyDescent="0.25">
      <c r="B2844" s="78" t="str">
        <f t="shared" si="47"/>
        <v>2102-216-312353</v>
      </c>
      <c r="C2844" s="79">
        <v>44251</v>
      </c>
      <c r="D2844" s="78">
        <v>216</v>
      </c>
      <c r="E2844" s="78">
        <v>2</v>
      </c>
      <c r="F2844" s="78">
        <v>312353</v>
      </c>
      <c r="G2844" s="80" t="s">
        <v>808</v>
      </c>
      <c r="H2844" s="79">
        <v>44278</v>
      </c>
      <c r="I2844" s="78">
        <v>52238</v>
      </c>
      <c r="J2844" s="78">
        <v>2</v>
      </c>
      <c r="K2844" s="79">
        <v>44285</v>
      </c>
      <c r="L2844" s="78">
        <v>11679</v>
      </c>
      <c r="M2844" s="78">
        <v>2</v>
      </c>
    </row>
    <row r="2845" spans="2:13" ht="14.1" customHeight="1" x14ac:dyDescent="0.25">
      <c r="B2845" s="78" t="str">
        <f t="shared" si="47"/>
        <v>2102-216-304103</v>
      </c>
      <c r="C2845" s="79">
        <v>44251</v>
      </c>
      <c r="D2845" s="78">
        <v>216</v>
      </c>
      <c r="E2845" s="78">
        <v>2</v>
      </c>
      <c r="F2845" s="78">
        <v>304103</v>
      </c>
      <c r="G2845" s="80" t="s">
        <v>1761</v>
      </c>
      <c r="H2845" s="79"/>
      <c r="I2845" s="78">
        <v>0</v>
      </c>
      <c r="J2845" s="78">
        <v>0</v>
      </c>
      <c r="K2845" s="79"/>
      <c r="L2845" s="78">
        <v>0</v>
      </c>
      <c r="M2845" s="78">
        <v>0</v>
      </c>
    </row>
    <row r="2846" spans="2:13" ht="14.1" customHeight="1" x14ac:dyDescent="0.25">
      <c r="B2846" s="78" t="str">
        <f t="shared" si="47"/>
        <v>2102-216-308483</v>
      </c>
      <c r="C2846" s="79">
        <v>44251</v>
      </c>
      <c r="D2846" s="78">
        <v>216</v>
      </c>
      <c r="E2846" s="78">
        <v>8</v>
      </c>
      <c r="F2846" s="78">
        <v>308483</v>
      </c>
      <c r="G2846" s="80" t="s">
        <v>1777</v>
      </c>
      <c r="H2846" s="79">
        <v>44278</v>
      </c>
      <c r="I2846" s="78">
        <v>52237</v>
      </c>
      <c r="J2846" s="78">
        <v>8</v>
      </c>
      <c r="K2846" s="79">
        <v>44281</v>
      </c>
      <c r="L2846" s="78">
        <v>11656</v>
      </c>
      <c r="M2846" s="78">
        <v>8</v>
      </c>
    </row>
    <row r="2847" spans="2:13" ht="14.1" customHeight="1" x14ac:dyDescent="0.25">
      <c r="B2847" s="78" t="str">
        <f t="shared" si="47"/>
        <v>2102-216-318414</v>
      </c>
      <c r="C2847" s="79">
        <v>44251</v>
      </c>
      <c r="D2847" s="78">
        <v>216</v>
      </c>
      <c r="E2847" s="78">
        <v>2</v>
      </c>
      <c r="F2847" s="78">
        <v>318414</v>
      </c>
      <c r="G2847" s="80" t="s">
        <v>1767</v>
      </c>
      <c r="H2847" s="79"/>
      <c r="I2847" s="78">
        <v>0</v>
      </c>
      <c r="J2847" s="78">
        <v>0</v>
      </c>
      <c r="K2847" s="79"/>
      <c r="L2847" s="78">
        <v>0</v>
      </c>
      <c r="M2847" s="78">
        <v>0</v>
      </c>
    </row>
    <row r="2848" spans="2:13" ht="14.1" customHeight="1" x14ac:dyDescent="0.25">
      <c r="B2848" s="78" t="str">
        <f t="shared" si="47"/>
        <v>2102-216-301649</v>
      </c>
      <c r="C2848" s="79">
        <v>44251</v>
      </c>
      <c r="D2848" s="78">
        <v>216</v>
      </c>
      <c r="E2848" s="78">
        <v>1</v>
      </c>
      <c r="F2848" s="78">
        <v>301649</v>
      </c>
      <c r="G2848" s="80" t="s">
        <v>1768</v>
      </c>
      <c r="H2848" s="79">
        <v>44278</v>
      </c>
      <c r="I2848" s="78">
        <v>52238</v>
      </c>
      <c r="J2848" s="78">
        <v>1</v>
      </c>
      <c r="K2848" s="79">
        <v>44293</v>
      </c>
      <c r="L2848" s="78">
        <v>11739</v>
      </c>
      <c r="M2848" s="78">
        <v>1</v>
      </c>
    </row>
    <row r="2849" spans="2:13" ht="14.1" customHeight="1" x14ac:dyDescent="0.25">
      <c r="B2849" s="78" t="str">
        <f t="shared" si="47"/>
        <v>2102-216-302304</v>
      </c>
      <c r="C2849" s="79">
        <v>44251</v>
      </c>
      <c r="D2849" s="78">
        <v>216</v>
      </c>
      <c r="E2849" s="78">
        <v>5</v>
      </c>
      <c r="F2849" s="78">
        <v>302304</v>
      </c>
      <c r="G2849" s="80" t="s">
        <v>1773</v>
      </c>
      <c r="H2849" s="79">
        <v>44278</v>
      </c>
      <c r="I2849" s="78">
        <v>52237</v>
      </c>
      <c r="J2849" s="78">
        <v>5</v>
      </c>
      <c r="K2849" s="79">
        <v>44281</v>
      </c>
      <c r="L2849" s="78">
        <v>11656</v>
      </c>
      <c r="M2849" s="78">
        <v>5</v>
      </c>
    </row>
    <row r="2850" spans="2:13" ht="14.1" customHeight="1" x14ac:dyDescent="0.25">
      <c r="B2850" s="78" t="str">
        <f t="shared" si="47"/>
        <v>2102-216-106898</v>
      </c>
      <c r="C2850" s="79">
        <v>44251</v>
      </c>
      <c r="D2850" s="78">
        <v>216</v>
      </c>
      <c r="E2850" s="78">
        <v>10</v>
      </c>
      <c r="F2850" s="78">
        <v>106898</v>
      </c>
      <c r="G2850" s="80" t="s">
        <v>1763</v>
      </c>
      <c r="H2850" s="79">
        <v>44278</v>
      </c>
      <c r="I2850" s="78">
        <v>52237</v>
      </c>
      <c r="J2850" s="78">
        <v>10</v>
      </c>
      <c r="K2850" s="79">
        <v>44281</v>
      </c>
      <c r="L2850" s="78">
        <v>11656</v>
      </c>
      <c r="M2850" s="78">
        <v>10</v>
      </c>
    </row>
    <row r="2851" spans="2:13" ht="14.1" customHeight="1" x14ac:dyDescent="0.25">
      <c r="B2851" s="78" t="str">
        <f t="shared" si="47"/>
        <v>2102-216-300366</v>
      </c>
      <c r="C2851" s="79">
        <v>44251</v>
      </c>
      <c r="D2851" s="78">
        <v>216</v>
      </c>
      <c r="E2851" s="78">
        <v>2</v>
      </c>
      <c r="F2851" s="78">
        <v>300366</v>
      </c>
      <c r="G2851" s="80" t="s">
        <v>595</v>
      </c>
      <c r="H2851" s="79">
        <v>44278</v>
      </c>
      <c r="I2851" s="78">
        <v>52238</v>
      </c>
      <c r="J2851" s="78">
        <v>2</v>
      </c>
      <c r="K2851" s="79">
        <v>44285</v>
      </c>
      <c r="L2851" s="78">
        <v>11679</v>
      </c>
      <c r="M2851" s="78">
        <v>2</v>
      </c>
    </row>
    <row r="2852" spans="2:13" ht="14.1" customHeight="1" x14ac:dyDescent="0.25">
      <c r="B2852" s="78" t="str">
        <f t="shared" si="47"/>
        <v>2102-216-203970</v>
      </c>
      <c r="C2852" s="79">
        <v>44251</v>
      </c>
      <c r="D2852" s="78">
        <v>216</v>
      </c>
      <c r="E2852" s="78">
        <v>50</v>
      </c>
      <c r="F2852" s="78">
        <v>203970</v>
      </c>
      <c r="G2852" s="80" t="s">
        <v>1231</v>
      </c>
      <c r="H2852" s="79">
        <v>44278</v>
      </c>
      <c r="I2852" s="78">
        <v>52238</v>
      </c>
      <c r="J2852" s="78">
        <v>50</v>
      </c>
      <c r="K2852" s="79">
        <v>44284</v>
      </c>
      <c r="L2852" s="78">
        <v>11677</v>
      </c>
      <c r="M2852" s="78">
        <v>50</v>
      </c>
    </row>
    <row r="2853" spans="2:13" ht="14.1" customHeight="1" x14ac:dyDescent="0.25">
      <c r="B2853" s="78" t="str">
        <f t="shared" si="47"/>
        <v>2102-216-305046</v>
      </c>
      <c r="C2853" s="79">
        <v>44251</v>
      </c>
      <c r="D2853" s="78">
        <v>216</v>
      </c>
      <c r="E2853" s="78">
        <v>10</v>
      </c>
      <c r="F2853" s="78">
        <v>305046</v>
      </c>
      <c r="G2853" s="80" t="s">
        <v>687</v>
      </c>
      <c r="H2853" s="79">
        <v>44278</v>
      </c>
      <c r="I2853" s="78">
        <v>52238</v>
      </c>
      <c r="J2853" s="78">
        <v>10</v>
      </c>
      <c r="K2853" s="79">
        <v>44284</v>
      </c>
      <c r="L2853" s="78">
        <v>11677</v>
      </c>
      <c r="M2853" s="78">
        <v>10</v>
      </c>
    </row>
    <row r="2854" spans="2:13" ht="14.1" customHeight="1" x14ac:dyDescent="0.25">
      <c r="B2854" s="78" t="str">
        <f t="shared" si="47"/>
        <v>2102-216-203462</v>
      </c>
      <c r="C2854" s="79">
        <v>44251</v>
      </c>
      <c r="D2854" s="78">
        <v>216</v>
      </c>
      <c r="E2854" s="78">
        <v>10</v>
      </c>
      <c r="F2854" s="78">
        <v>203462</v>
      </c>
      <c r="G2854" s="80" t="s">
        <v>1764</v>
      </c>
      <c r="H2854" s="79">
        <v>44278</v>
      </c>
      <c r="I2854" s="78">
        <v>52237</v>
      </c>
      <c r="J2854" s="78">
        <v>10</v>
      </c>
      <c r="K2854" s="79">
        <v>44281</v>
      </c>
      <c r="L2854" s="78">
        <v>11656</v>
      </c>
      <c r="M2854" s="78">
        <v>10</v>
      </c>
    </row>
    <row r="2855" spans="2:13" ht="14.1" customHeight="1" x14ac:dyDescent="0.25">
      <c r="B2855" s="78" t="str">
        <f t="shared" si="47"/>
        <v>2102-216-205083</v>
      </c>
      <c r="C2855" s="79">
        <v>44251</v>
      </c>
      <c r="D2855" s="78">
        <v>216</v>
      </c>
      <c r="E2855" s="78">
        <v>2</v>
      </c>
      <c r="F2855" s="78">
        <v>205083</v>
      </c>
      <c r="G2855" s="80" t="s">
        <v>274</v>
      </c>
      <c r="H2855" s="79">
        <v>44278</v>
      </c>
      <c r="I2855" s="78">
        <v>52238</v>
      </c>
      <c r="J2855" s="78">
        <v>2</v>
      </c>
      <c r="K2855" s="79"/>
      <c r="L2855" s="78">
        <v>0</v>
      </c>
      <c r="M2855" s="78">
        <v>0</v>
      </c>
    </row>
    <row r="2856" spans="2:13" ht="14.1" customHeight="1" x14ac:dyDescent="0.25">
      <c r="B2856" s="78" t="str">
        <f t="shared" si="47"/>
        <v>2102-216-104071</v>
      </c>
      <c r="C2856" s="79">
        <v>44251</v>
      </c>
      <c r="D2856" s="78">
        <v>216</v>
      </c>
      <c r="E2856" s="78">
        <v>8</v>
      </c>
      <c r="F2856" s="78">
        <v>104071</v>
      </c>
      <c r="G2856" s="80" t="s">
        <v>1483</v>
      </c>
      <c r="H2856" s="79">
        <v>44278</v>
      </c>
      <c r="I2856" s="78">
        <v>52237</v>
      </c>
      <c r="J2856" s="78">
        <v>8</v>
      </c>
      <c r="K2856" s="79">
        <v>44281</v>
      </c>
      <c r="L2856" s="78">
        <v>11656</v>
      </c>
      <c r="M2856" s="78">
        <v>8</v>
      </c>
    </row>
    <row r="2857" spans="2:13" ht="14.1" customHeight="1" x14ac:dyDescent="0.25">
      <c r="B2857" s="78" t="str">
        <f t="shared" si="47"/>
        <v>2102-216-203224</v>
      </c>
      <c r="C2857" s="79">
        <v>44251</v>
      </c>
      <c r="D2857" s="78">
        <v>216</v>
      </c>
      <c r="E2857" s="78">
        <v>6</v>
      </c>
      <c r="F2857" s="78">
        <v>203224</v>
      </c>
      <c r="G2857" s="80" t="s">
        <v>503</v>
      </c>
      <c r="H2857" s="79">
        <v>44278</v>
      </c>
      <c r="I2857" s="78">
        <v>52238</v>
      </c>
      <c r="J2857" s="78">
        <v>6</v>
      </c>
      <c r="K2857" s="79">
        <v>44284</v>
      </c>
      <c r="L2857" s="78">
        <v>11676</v>
      </c>
      <c r="M2857" s="78">
        <v>6</v>
      </c>
    </row>
    <row r="2858" spans="2:13" ht="14.1" customHeight="1" x14ac:dyDescent="0.25">
      <c r="B2858" s="78" t="str">
        <f t="shared" si="47"/>
        <v>2102-216-104070</v>
      </c>
      <c r="C2858" s="79">
        <v>44251</v>
      </c>
      <c r="D2858" s="78">
        <v>216</v>
      </c>
      <c r="E2858" s="78">
        <v>10</v>
      </c>
      <c r="F2858" s="78">
        <v>104070</v>
      </c>
      <c r="G2858" s="80" t="s">
        <v>1529</v>
      </c>
      <c r="H2858" s="79">
        <v>44278</v>
      </c>
      <c r="I2858" s="78">
        <v>52237</v>
      </c>
      <c r="J2858" s="78">
        <v>10</v>
      </c>
      <c r="K2858" s="79">
        <v>44281</v>
      </c>
      <c r="L2858" s="78">
        <v>11656</v>
      </c>
      <c r="M2858" s="78">
        <v>10</v>
      </c>
    </row>
    <row r="2859" spans="2:13" ht="14.1" customHeight="1" x14ac:dyDescent="0.25">
      <c r="B2859" s="78" t="str">
        <f t="shared" si="47"/>
        <v>2102-216-206303</v>
      </c>
      <c r="C2859" s="79">
        <v>44251</v>
      </c>
      <c r="D2859" s="78">
        <v>216</v>
      </c>
      <c r="E2859" s="78">
        <v>2</v>
      </c>
      <c r="F2859" s="78">
        <v>206303</v>
      </c>
      <c r="G2859" s="80" t="s">
        <v>1134</v>
      </c>
      <c r="H2859" s="79">
        <v>44278</v>
      </c>
      <c r="I2859" s="78">
        <v>52238</v>
      </c>
      <c r="J2859" s="78">
        <v>2</v>
      </c>
      <c r="K2859" s="79">
        <v>44285</v>
      </c>
      <c r="L2859" s="78">
        <v>11679</v>
      </c>
      <c r="M2859" s="78">
        <v>2</v>
      </c>
    </row>
    <row r="2860" spans="2:13" ht="14.1" customHeight="1" x14ac:dyDescent="0.25">
      <c r="B2860" s="78" t="str">
        <f t="shared" si="47"/>
        <v>2102-216-313521</v>
      </c>
      <c r="C2860" s="79">
        <v>44251</v>
      </c>
      <c r="D2860" s="78">
        <v>216</v>
      </c>
      <c r="E2860" s="78">
        <v>2</v>
      </c>
      <c r="F2860" s="78">
        <v>313521</v>
      </c>
      <c r="G2860" s="80" t="s">
        <v>102</v>
      </c>
      <c r="H2860" s="79">
        <v>44278</v>
      </c>
      <c r="I2860" s="78">
        <v>52238</v>
      </c>
      <c r="J2860" s="78">
        <v>2</v>
      </c>
      <c r="K2860" s="79">
        <v>44285</v>
      </c>
      <c r="L2860" s="78">
        <v>11679</v>
      </c>
      <c r="M2860" s="78">
        <v>2</v>
      </c>
    </row>
    <row r="2861" spans="2:13" ht="14.1" customHeight="1" x14ac:dyDescent="0.25">
      <c r="B2861" s="78" t="str">
        <f t="shared" si="47"/>
        <v>2102-216-105545</v>
      </c>
      <c r="C2861" s="79">
        <v>44251</v>
      </c>
      <c r="D2861" s="78">
        <v>216</v>
      </c>
      <c r="E2861" s="78">
        <v>4</v>
      </c>
      <c r="F2861" s="78">
        <v>105545</v>
      </c>
      <c r="G2861" s="80" t="s">
        <v>1778</v>
      </c>
      <c r="H2861" s="79">
        <v>44278</v>
      </c>
      <c r="I2861" s="78">
        <v>52237</v>
      </c>
      <c r="J2861" s="78">
        <v>4</v>
      </c>
      <c r="K2861" s="79">
        <v>44281</v>
      </c>
      <c r="L2861" s="78">
        <v>11656</v>
      </c>
      <c r="M2861" s="78">
        <v>4</v>
      </c>
    </row>
    <row r="2862" spans="2:13" ht="14.1" customHeight="1" x14ac:dyDescent="0.25">
      <c r="B2862" s="78" t="str">
        <f t="shared" si="47"/>
        <v>2102-216-203968</v>
      </c>
      <c r="C2862" s="79">
        <v>44251</v>
      </c>
      <c r="D2862" s="78">
        <v>216</v>
      </c>
      <c r="E2862" s="78">
        <v>4</v>
      </c>
      <c r="F2862" s="78">
        <v>203968</v>
      </c>
      <c r="G2862" s="80" t="s">
        <v>1779</v>
      </c>
      <c r="H2862" s="79">
        <v>44278</v>
      </c>
      <c r="I2862" s="78">
        <v>52237</v>
      </c>
      <c r="J2862" s="78">
        <v>4</v>
      </c>
      <c r="K2862" s="79">
        <v>44281</v>
      </c>
      <c r="L2862" s="78">
        <v>11656</v>
      </c>
      <c r="M2862" s="78">
        <v>4</v>
      </c>
    </row>
    <row r="2863" spans="2:13" ht="14.1" customHeight="1" x14ac:dyDescent="0.25">
      <c r="B2863" s="78" t="str">
        <f t="shared" si="47"/>
        <v>2102-216-203222</v>
      </c>
      <c r="C2863" s="79">
        <v>44251</v>
      </c>
      <c r="D2863" s="78">
        <v>216</v>
      </c>
      <c r="E2863" s="78">
        <v>12</v>
      </c>
      <c r="F2863" s="78">
        <v>203222</v>
      </c>
      <c r="G2863" s="80" t="s">
        <v>276</v>
      </c>
      <c r="H2863" s="79">
        <v>44278</v>
      </c>
      <c r="I2863" s="78">
        <v>52238</v>
      </c>
      <c r="J2863" s="78">
        <v>12</v>
      </c>
      <c r="K2863" s="79">
        <v>44284</v>
      </c>
      <c r="L2863" s="78">
        <v>11676</v>
      </c>
      <c r="M2863" s="78">
        <v>12</v>
      </c>
    </row>
    <row r="2864" spans="2:13" ht="14.1" customHeight="1" x14ac:dyDescent="0.25">
      <c r="B2864" s="78" t="str">
        <f t="shared" si="47"/>
        <v>2102-216-304251</v>
      </c>
      <c r="C2864" s="79">
        <v>44251</v>
      </c>
      <c r="D2864" s="78">
        <v>216</v>
      </c>
      <c r="E2864" s="78">
        <v>1</v>
      </c>
      <c r="F2864" s="78">
        <v>304251</v>
      </c>
      <c r="G2864" s="80" t="s">
        <v>1771</v>
      </c>
      <c r="H2864" s="79">
        <v>44278</v>
      </c>
      <c r="I2864" s="78">
        <v>52238</v>
      </c>
      <c r="J2864" s="78">
        <v>1</v>
      </c>
      <c r="K2864" s="79">
        <v>44293</v>
      </c>
      <c r="L2864" s="78">
        <v>11739</v>
      </c>
      <c r="M2864" s="78">
        <v>1</v>
      </c>
    </row>
    <row r="2865" spans="2:13" ht="14.1" customHeight="1" x14ac:dyDescent="0.25">
      <c r="B2865" s="78" t="str">
        <f t="shared" si="47"/>
        <v>2102-216-301674</v>
      </c>
      <c r="C2865" s="79">
        <v>44251</v>
      </c>
      <c r="D2865" s="78">
        <v>216</v>
      </c>
      <c r="E2865" s="78">
        <v>100</v>
      </c>
      <c r="F2865" s="78">
        <v>301674</v>
      </c>
      <c r="G2865" s="80" t="s">
        <v>53</v>
      </c>
      <c r="H2865" s="79"/>
      <c r="I2865" s="78">
        <v>0</v>
      </c>
      <c r="J2865" s="78">
        <v>0</v>
      </c>
      <c r="K2865" s="79"/>
      <c r="L2865" s="78">
        <v>0</v>
      </c>
      <c r="M2865" s="78">
        <v>0</v>
      </c>
    </row>
    <row r="2866" spans="2:13" ht="14.1" customHeight="1" x14ac:dyDescent="0.25">
      <c r="B2866" s="78" t="str">
        <f t="shared" si="47"/>
        <v>2102-216-300804</v>
      </c>
      <c r="C2866" s="79">
        <v>44251</v>
      </c>
      <c r="D2866" s="78">
        <v>216</v>
      </c>
      <c r="E2866" s="78">
        <v>75</v>
      </c>
      <c r="F2866" s="78">
        <v>300804</v>
      </c>
      <c r="G2866" s="80" t="s">
        <v>609</v>
      </c>
      <c r="H2866" s="79">
        <v>44278</v>
      </c>
      <c r="I2866" s="78">
        <v>52238</v>
      </c>
      <c r="J2866" s="78">
        <v>75</v>
      </c>
      <c r="K2866" s="79">
        <v>44284</v>
      </c>
      <c r="L2866" s="78">
        <v>11676</v>
      </c>
      <c r="M2866" s="78">
        <v>75</v>
      </c>
    </row>
    <row r="2867" spans="2:13" ht="14.1" customHeight="1" x14ac:dyDescent="0.25">
      <c r="B2867" s="78" t="str">
        <f t="shared" si="47"/>
        <v>2102-216-301264</v>
      </c>
      <c r="C2867" s="79">
        <v>44251</v>
      </c>
      <c r="D2867" s="78">
        <v>216</v>
      </c>
      <c r="E2867" s="78">
        <v>1</v>
      </c>
      <c r="F2867" s="78">
        <v>301264</v>
      </c>
      <c r="G2867" s="80" t="s">
        <v>1769</v>
      </c>
      <c r="H2867" s="79">
        <v>44278</v>
      </c>
      <c r="I2867" s="78">
        <v>52238</v>
      </c>
      <c r="J2867" s="78">
        <v>1</v>
      </c>
      <c r="K2867" s="79">
        <v>44291</v>
      </c>
      <c r="L2867" s="78">
        <v>11693</v>
      </c>
      <c r="M2867" s="78">
        <v>1</v>
      </c>
    </row>
    <row r="2868" spans="2:13" ht="14.1" customHeight="1" x14ac:dyDescent="0.25">
      <c r="B2868" s="78" t="str">
        <f t="shared" si="47"/>
        <v>2102-216-316747</v>
      </c>
      <c r="C2868" s="79">
        <v>44251</v>
      </c>
      <c r="D2868" s="78">
        <v>216</v>
      </c>
      <c r="E2868" s="78">
        <v>1</v>
      </c>
      <c r="F2868" s="78">
        <v>316747</v>
      </c>
      <c r="G2868" s="80" t="s">
        <v>1770</v>
      </c>
      <c r="H2868" s="79">
        <v>44278</v>
      </c>
      <c r="I2868" s="78">
        <v>52238</v>
      </c>
      <c r="J2868" s="78">
        <v>1</v>
      </c>
      <c r="K2868" s="79">
        <v>44291</v>
      </c>
      <c r="L2868" s="78">
        <v>11693</v>
      </c>
      <c r="M2868" s="78">
        <v>1</v>
      </c>
    </row>
    <row r="2869" spans="2:13" ht="14.1" customHeight="1" x14ac:dyDescent="0.25">
      <c r="B2869" s="78" t="str">
        <f t="shared" si="47"/>
        <v>2102-217-307031</v>
      </c>
      <c r="C2869" s="79">
        <v>44251</v>
      </c>
      <c r="D2869" s="78">
        <v>217</v>
      </c>
      <c r="E2869" s="78">
        <v>4</v>
      </c>
      <c r="F2869" s="78">
        <v>307031</v>
      </c>
      <c r="G2869" s="80" t="s">
        <v>263</v>
      </c>
      <c r="H2869" s="79">
        <v>44260</v>
      </c>
      <c r="I2869" s="78">
        <v>51993</v>
      </c>
      <c r="J2869" s="78">
        <v>4</v>
      </c>
      <c r="K2869" s="79">
        <v>44263</v>
      </c>
      <c r="L2869" s="78">
        <v>11434</v>
      </c>
      <c r="M2869" s="78">
        <v>4</v>
      </c>
    </row>
    <row r="2870" spans="2:13" ht="14.1" customHeight="1" x14ac:dyDescent="0.25">
      <c r="B2870" s="78" t="str">
        <f t="shared" si="47"/>
        <v>2102-217-319174</v>
      </c>
      <c r="C2870" s="79">
        <v>44251</v>
      </c>
      <c r="D2870" s="78">
        <v>217</v>
      </c>
      <c r="E2870" s="78">
        <v>6</v>
      </c>
      <c r="F2870" s="78">
        <v>319174</v>
      </c>
      <c r="G2870" s="80" t="s">
        <v>1780</v>
      </c>
      <c r="H2870" s="79">
        <v>44260</v>
      </c>
      <c r="I2870" s="78">
        <v>51993</v>
      </c>
      <c r="J2870" s="78">
        <v>6</v>
      </c>
      <c r="K2870" s="79">
        <v>44263</v>
      </c>
      <c r="L2870" s="78">
        <v>11434</v>
      </c>
      <c r="M2870" s="78">
        <v>6</v>
      </c>
    </row>
    <row r="2871" spans="2:13" ht="14.1" customHeight="1" x14ac:dyDescent="0.25">
      <c r="B2871" s="78" t="str">
        <f t="shared" si="47"/>
        <v>2102-217-303947</v>
      </c>
      <c r="C2871" s="79">
        <v>44251</v>
      </c>
      <c r="D2871" s="78">
        <v>217</v>
      </c>
      <c r="E2871" s="78">
        <v>6</v>
      </c>
      <c r="F2871" s="78">
        <v>303947</v>
      </c>
      <c r="G2871" s="80" t="s">
        <v>203</v>
      </c>
      <c r="H2871" s="79">
        <v>44260</v>
      </c>
      <c r="I2871" s="78">
        <v>51993</v>
      </c>
      <c r="J2871" s="78">
        <v>6</v>
      </c>
      <c r="K2871" s="79">
        <v>44263</v>
      </c>
      <c r="L2871" s="78">
        <v>11434</v>
      </c>
      <c r="M2871" s="78">
        <v>6</v>
      </c>
    </row>
    <row r="2872" spans="2:13" ht="14.1" customHeight="1" x14ac:dyDescent="0.25">
      <c r="B2872" s="78" t="str">
        <f t="shared" si="47"/>
        <v>2102-223-304023</v>
      </c>
      <c r="C2872" s="79">
        <v>44252</v>
      </c>
      <c r="D2872" s="78">
        <v>223</v>
      </c>
      <c r="E2872" s="78">
        <v>3000</v>
      </c>
      <c r="F2872" s="78">
        <v>304023</v>
      </c>
      <c r="G2872" s="80" t="s">
        <v>1533</v>
      </c>
      <c r="H2872" s="79">
        <v>44252</v>
      </c>
      <c r="I2872" s="78">
        <v>51856</v>
      </c>
      <c r="J2872" s="78">
        <v>3000</v>
      </c>
      <c r="K2872" s="79">
        <v>44253</v>
      </c>
      <c r="L2872" s="78">
        <v>11361</v>
      </c>
      <c r="M2872" s="78">
        <v>2000</v>
      </c>
    </row>
    <row r="2873" spans="2:13" ht="14.1" customHeight="1" x14ac:dyDescent="0.25">
      <c r="B2873" s="78" t="str">
        <f t="shared" si="47"/>
        <v>2102-223-304023</v>
      </c>
      <c r="C2873" s="79">
        <v>44252</v>
      </c>
      <c r="D2873" s="78">
        <v>223</v>
      </c>
      <c r="E2873" s="78">
        <v>3000</v>
      </c>
      <c r="F2873" s="78">
        <v>304023</v>
      </c>
      <c r="G2873" s="80" t="s">
        <v>1533</v>
      </c>
      <c r="H2873" s="79">
        <v>44252</v>
      </c>
      <c r="I2873" s="78">
        <v>51856</v>
      </c>
      <c r="J2873" s="78">
        <v>3000</v>
      </c>
      <c r="K2873" s="79">
        <v>44258</v>
      </c>
      <c r="L2873" s="78">
        <v>11388</v>
      </c>
      <c r="M2873" s="78">
        <v>1000</v>
      </c>
    </row>
    <row r="2874" spans="2:13" ht="14.1" customHeight="1" x14ac:dyDescent="0.25">
      <c r="B2874" s="78" t="str">
        <f t="shared" si="47"/>
        <v>2102-231-305492</v>
      </c>
      <c r="C2874" s="79">
        <v>44252</v>
      </c>
      <c r="D2874" s="78">
        <v>231</v>
      </c>
      <c r="E2874" s="78">
        <v>30</v>
      </c>
      <c r="F2874" s="78">
        <v>305492</v>
      </c>
      <c r="G2874" s="80" t="s">
        <v>214</v>
      </c>
      <c r="H2874" s="79">
        <v>44263</v>
      </c>
      <c r="I2874" s="78">
        <v>52002</v>
      </c>
      <c r="J2874" s="78">
        <v>30</v>
      </c>
      <c r="K2874" s="79">
        <v>44272</v>
      </c>
      <c r="L2874" s="78">
        <v>11542</v>
      </c>
      <c r="M2874" s="78">
        <v>30</v>
      </c>
    </row>
    <row r="2875" spans="2:13" ht="14.1" customHeight="1" x14ac:dyDescent="0.25">
      <c r="B2875" s="78" t="str">
        <f t="shared" si="47"/>
        <v>2102-231-200225</v>
      </c>
      <c r="C2875" s="79">
        <v>44252</v>
      </c>
      <c r="D2875" s="78">
        <v>231</v>
      </c>
      <c r="E2875" s="78">
        <v>30</v>
      </c>
      <c r="F2875" s="78">
        <v>200225</v>
      </c>
      <c r="G2875" s="80" t="s">
        <v>1457</v>
      </c>
      <c r="H2875" s="79">
        <v>44263</v>
      </c>
      <c r="I2875" s="78">
        <v>52002</v>
      </c>
      <c r="J2875" s="78">
        <v>30</v>
      </c>
      <c r="K2875" s="79">
        <v>44272</v>
      </c>
      <c r="L2875" s="78">
        <v>11542</v>
      </c>
      <c r="M2875" s="78">
        <v>30</v>
      </c>
    </row>
    <row r="2876" spans="2:13" ht="14.1" customHeight="1" x14ac:dyDescent="0.25">
      <c r="B2876" s="78" t="str">
        <f t="shared" si="47"/>
        <v>2102-236-300500</v>
      </c>
      <c r="C2876" s="79">
        <v>44252</v>
      </c>
      <c r="D2876" s="78">
        <v>236</v>
      </c>
      <c r="E2876" s="78">
        <v>20</v>
      </c>
      <c r="F2876" s="78">
        <v>300500</v>
      </c>
      <c r="G2876" s="80" t="s">
        <v>346</v>
      </c>
      <c r="H2876" s="79">
        <v>44263</v>
      </c>
      <c r="I2876" s="78">
        <v>51998</v>
      </c>
      <c r="J2876" s="78">
        <v>20</v>
      </c>
      <c r="K2876" s="79">
        <v>44265</v>
      </c>
      <c r="L2876" s="78">
        <v>11451</v>
      </c>
      <c r="M2876" s="78">
        <v>20</v>
      </c>
    </row>
    <row r="2877" spans="2:13" ht="14.1" customHeight="1" x14ac:dyDescent="0.25">
      <c r="B2877" s="78" t="str">
        <f t="shared" si="47"/>
        <v>2102-237-304395</v>
      </c>
      <c r="C2877" s="79">
        <v>44252</v>
      </c>
      <c r="D2877" s="78">
        <v>237</v>
      </c>
      <c r="E2877" s="78">
        <v>20</v>
      </c>
      <c r="F2877" s="78">
        <v>304395</v>
      </c>
      <c r="G2877" s="80" t="s">
        <v>237</v>
      </c>
      <c r="H2877" s="79">
        <v>44271</v>
      </c>
      <c r="I2877" s="78">
        <v>52151</v>
      </c>
      <c r="J2877" s="78">
        <v>20</v>
      </c>
      <c r="K2877" s="79">
        <v>44284</v>
      </c>
      <c r="L2877" s="78">
        <v>11671</v>
      </c>
      <c r="M2877" s="78">
        <v>20</v>
      </c>
    </row>
    <row r="2878" spans="2:13" ht="14.1" customHeight="1" x14ac:dyDescent="0.25">
      <c r="B2878" s="78" t="str">
        <f t="shared" si="47"/>
        <v>2102-238-200867</v>
      </c>
      <c r="C2878" s="79">
        <v>44252</v>
      </c>
      <c r="D2878" s="78">
        <v>238</v>
      </c>
      <c r="E2878" s="78">
        <v>30</v>
      </c>
      <c r="F2878" s="78">
        <v>200867</v>
      </c>
      <c r="G2878" s="80" t="s">
        <v>199</v>
      </c>
      <c r="H2878" s="79">
        <v>44273</v>
      </c>
      <c r="I2878" s="78">
        <v>52172</v>
      </c>
      <c r="J2878" s="78">
        <v>30</v>
      </c>
      <c r="K2878" s="79">
        <v>44280</v>
      </c>
      <c r="L2878" s="78">
        <v>11634</v>
      </c>
      <c r="M2878" s="78">
        <v>24</v>
      </c>
    </row>
    <row r="2879" spans="2:13" ht="14.1" customHeight="1" x14ac:dyDescent="0.25">
      <c r="B2879" s="78" t="str">
        <f t="shared" si="47"/>
        <v>2102-238-306238</v>
      </c>
      <c r="C2879" s="79">
        <v>44252</v>
      </c>
      <c r="D2879" s="78">
        <v>238</v>
      </c>
      <c r="E2879" s="78">
        <v>10</v>
      </c>
      <c r="F2879" s="78">
        <v>306238</v>
      </c>
      <c r="G2879" s="80" t="s">
        <v>350</v>
      </c>
      <c r="H2879" s="79">
        <v>44273</v>
      </c>
      <c r="I2879" s="78">
        <v>52172</v>
      </c>
      <c r="J2879" s="78">
        <v>10</v>
      </c>
      <c r="K2879" s="79">
        <v>44280</v>
      </c>
      <c r="L2879" s="78">
        <v>11634</v>
      </c>
      <c r="M2879" s="78">
        <v>10</v>
      </c>
    </row>
    <row r="2880" spans="2:13" ht="14.1" customHeight="1" x14ac:dyDescent="0.25">
      <c r="B2880" s="78" t="str">
        <f t="shared" si="47"/>
        <v>2102-238-200154</v>
      </c>
      <c r="C2880" s="79">
        <v>44252</v>
      </c>
      <c r="D2880" s="78">
        <v>238</v>
      </c>
      <c r="E2880" s="78">
        <v>20</v>
      </c>
      <c r="F2880" s="78">
        <v>200154</v>
      </c>
      <c r="G2880" s="80" t="s">
        <v>98</v>
      </c>
      <c r="H2880" s="79">
        <v>44273</v>
      </c>
      <c r="I2880" s="78">
        <v>52171</v>
      </c>
      <c r="J2880" s="78">
        <v>20</v>
      </c>
      <c r="K2880" s="79">
        <v>44280</v>
      </c>
      <c r="L2880" s="78">
        <v>11633</v>
      </c>
      <c r="M2880" s="78">
        <v>20</v>
      </c>
    </row>
    <row r="2881" spans="2:13" ht="14.1" customHeight="1" x14ac:dyDescent="0.25">
      <c r="B2881" s="78" t="str">
        <f t="shared" si="47"/>
        <v>2102-238-100370</v>
      </c>
      <c r="C2881" s="79">
        <v>44252</v>
      </c>
      <c r="D2881" s="78">
        <v>238</v>
      </c>
      <c r="E2881" s="78">
        <v>10</v>
      </c>
      <c r="F2881" s="78">
        <v>100370</v>
      </c>
      <c r="G2881" s="80" t="s">
        <v>136</v>
      </c>
      <c r="H2881" s="79">
        <v>44273</v>
      </c>
      <c r="I2881" s="78">
        <v>52172</v>
      </c>
      <c r="J2881" s="78">
        <v>10</v>
      </c>
      <c r="K2881" s="79">
        <v>44280</v>
      </c>
      <c r="L2881" s="78">
        <v>11634</v>
      </c>
      <c r="M2881" s="78">
        <v>10</v>
      </c>
    </row>
    <row r="2882" spans="2:13" ht="14.1" customHeight="1" x14ac:dyDescent="0.25">
      <c r="B2882" s="78" t="str">
        <f t="shared" si="47"/>
        <v>2102-238-201003</v>
      </c>
      <c r="C2882" s="79">
        <v>44252</v>
      </c>
      <c r="D2882" s="78">
        <v>238</v>
      </c>
      <c r="E2882" s="78">
        <v>20</v>
      </c>
      <c r="F2882" s="78">
        <v>201003</v>
      </c>
      <c r="G2882" s="80" t="s">
        <v>110</v>
      </c>
      <c r="H2882" s="79">
        <v>44273</v>
      </c>
      <c r="I2882" s="78">
        <v>52171</v>
      </c>
      <c r="J2882" s="78">
        <v>20</v>
      </c>
      <c r="K2882" s="79">
        <v>44280</v>
      </c>
      <c r="L2882" s="78">
        <v>11633</v>
      </c>
      <c r="M2882" s="78">
        <v>20</v>
      </c>
    </row>
    <row r="2883" spans="2:13" ht="14.1" customHeight="1" x14ac:dyDescent="0.25">
      <c r="B2883" s="78" t="str">
        <f t="shared" si="47"/>
        <v>2102-238-107077</v>
      </c>
      <c r="C2883" s="79">
        <v>44252</v>
      </c>
      <c r="D2883" s="78">
        <v>238</v>
      </c>
      <c r="E2883" s="78">
        <v>20</v>
      </c>
      <c r="F2883" s="78">
        <v>107077</v>
      </c>
      <c r="G2883" s="80" t="s">
        <v>1238</v>
      </c>
      <c r="H2883" s="79">
        <v>44273</v>
      </c>
      <c r="I2883" s="78">
        <v>52172</v>
      </c>
      <c r="J2883" s="78">
        <v>20</v>
      </c>
      <c r="K2883" s="79">
        <v>44280</v>
      </c>
      <c r="L2883" s="78">
        <v>11634</v>
      </c>
      <c r="M2883" s="78">
        <v>18</v>
      </c>
    </row>
    <row r="2884" spans="2:13" ht="14.1" customHeight="1" x14ac:dyDescent="0.25">
      <c r="B2884" s="78" t="str">
        <f t="shared" si="47"/>
        <v>2102-238-107077</v>
      </c>
      <c r="C2884" s="79">
        <v>44252</v>
      </c>
      <c r="D2884" s="78">
        <v>238</v>
      </c>
      <c r="E2884" s="78">
        <v>20</v>
      </c>
      <c r="F2884" s="78">
        <v>107077</v>
      </c>
      <c r="G2884" s="80" t="s">
        <v>1238</v>
      </c>
      <c r="H2884" s="79">
        <v>44273</v>
      </c>
      <c r="I2884" s="78">
        <v>52172</v>
      </c>
      <c r="J2884" s="78">
        <v>20</v>
      </c>
      <c r="K2884" s="79">
        <v>44280</v>
      </c>
      <c r="L2884" s="78">
        <v>11635</v>
      </c>
      <c r="M2884" s="78">
        <v>2</v>
      </c>
    </row>
    <row r="2885" spans="2:13" ht="14.1" customHeight="1" x14ac:dyDescent="0.25">
      <c r="B2885" s="78" t="str">
        <f t="shared" si="47"/>
        <v>2102-239-304023</v>
      </c>
      <c r="C2885" s="79">
        <v>44253</v>
      </c>
      <c r="D2885" s="78">
        <v>239</v>
      </c>
      <c r="E2885" s="78">
        <v>3000</v>
      </c>
      <c r="F2885" s="78">
        <v>304023</v>
      </c>
      <c r="G2885" s="80" t="s">
        <v>1533</v>
      </c>
      <c r="H2885" s="79">
        <v>44253</v>
      </c>
      <c r="I2885" s="78">
        <v>51871</v>
      </c>
      <c r="J2885" s="78">
        <v>3000</v>
      </c>
      <c r="K2885" s="79">
        <v>44258</v>
      </c>
      <c r="L2885" s="78">
        <v>11388</v>
      </c>
      <c r="M2885" s="78">
        <v>3000</v>
      </c>
    </row>
    <row r="2886" spans="2:13" ht="14.1" customHeight="1" x14ac:dyDescent="0.25">
      <c r="B2886" s="78" t="str">
        <f t="shared" si="47"/>
        <v>2102-240-301291</v>
      </c>
      <c r="C2886" s="79">
        <v>44253</v>
      </c>
      <c r="D2886" s="78">
        <v>240</v>
      </c>
      <c r="E2886" s="78">
        <v>25</v>
      </c>
      <c r="F2886" s="78">
        <v>301291</v>
      </c>
      <c r="G2886" s="80" t="s">
        <v>45</v>
      </c>
      <c r="H2886" s="79"/>
      <c r="I2886" s="78">
        <v>0</v>
      </c>
      <c r="J2886" s="78">
        <v>0</v>
      </c>
      <c r="K2886" s="79"/>
      <c r="L2886" s="78">
        <v>0</v>
      </c>
      <c r="M2886" s="78">
        <v>0</v>
      </c>
    </row>
    <row r="2887" spans="2:13" ht="14.1" customHeight="1" x14ac:dyDescent="0.25">
      <c r="B2887" s="78" t="str">
        <f t="shared" si="47"/>
        <v>2102-240-107684</v>
      </c>
      <c r="C2887" s="79">
        <v>44253</v>
      </c>
      <c r="D2887" s="78">
        <v>240</v>
      </c>
      <c r="E2887" s="78">
        <v>25</v>
      </c>
      <c r="F2887" s="78">
        <v>107684</v>
      </c>
      <c r="G2887" s="80" t="s">
        <v>1785</v>
      </c>
      <c r="H2887" s="79"/>
      <c r="I2887" s="78">
        <v>0</v>
      </c>
      <c r="J2887" s="78">
        <v>0</v>
      </c>
      <c r="K2887" s="79"/>
      <c r="L2887" s="78">
        <v>0</v>
      </c>
      <c r="M2887" s="78">
        <v>0</v>
      </c>
    </row>
    <row r="2888" spans="2:13" ht="14.1" customHeight="1" x14ac:dyDescent="0.25">
      <c r="B2888" s="78" t="str">
        <f t="shared" si="47"/>
        <v>2102-241-301650</v>
      </c>
      <c r="C2888" s="79">
        <v>44253</v>
      </c>
      <c r="D2888" s="78">
        <v>241</v>
      </c>
      <c r="E2888" s="78">
        <v>8</v>
      </c>
      <c r="F2888" s="78">
        <v>301650</v>
      </c>
      <c r="G2888" s="80" t="s">
        <v>1786</v>
      </c>
      <c r="H2888" s="79"/>
      <c r="I2888" s="78">
        <v>0</v>
      </c>
      <c r="J2888" s="78">
        <v>0</v>
      </c>
      <c r="K2888" s="79"/>
      <c r="L2888" s="78">
        <v>0</v>
      </c>
      <c r="M2888" s="78">
        <v>0</v>
      </c>
    </row>
    <row r="2889" spans="2:13" ht="14.1" customHeight="1" x14ac:dyDescent="0.25">
      <c r="B2889" s="78" t="str">
        <f t="shared" si="47"/>
        <v>2102-242-308520</v>
      </c>
      <c r="C2889" s="79">
        <v>44253</v>
      </c>
      <c r="D2889" s="78">
        <v>242</v>
      </c>
      <c r="E2889" s="78">
        <v>105</v>
      </c>
      <c r="F2889" s="78">
        <v>308520</v>
      </c>
      <c r="G2889" s="80" t="s">
        <v>270</v>
      </c>
      <c r="H2889" s="79">
        <v>44271</v>
      </c>
      <c r="I2889" s="78">
        <v>52150</v>
      </c>
      <c r="J2889" s="78">
        <v>105</v>
      </c>
      <c r="K2889" s="79">
        <v>44278</v>
      </c>
      <c r="L2889" s="78">
        <v>11611</v>
      </c>
      <c r="M2889" s="78">
        <v>105</v>
      </c>
    </row>
    <row r="2890" spans="2:13" ht="14.1" customHeight="1" x14ac:dyDescent="0.25">
      <c r="B2890" s="78" t="str">
        <f t="shared" si="47"/>
        <v>2102-243-204327</v>
      </c>
      <c r="C2890" s="79">
        <v>44253</v>
      </c>
      <c r="D2890" s="78">
        <v>243</v>
      </c>
      <c r="E2890" s="78">
        <v>12</v>
      </c>
      <c r="F2890" s="78">
        <v>204327</v>
      </c>
      <c r="G2890" s="80" t="s">
        <v>1788</v>
      </c>
      <c r="H2890" s="79"/>
      <c r="I2890" s="78">
        <v>0</v>
      </c>
      <c r="J2890" s="78">
        <v>0</v>
      </c>
      <c r="K2890" s="79"/>
      <c r="L2890" s="78">
        <v>0</v>
      </c>
      <c r="M2890" s="78">
        <v>0</v>
      </c>
    </row>
    <row r="2891" spans="2:13" ht="14.1" customHeight="1" x14ac:dyDescent="0.25">
      <c r="B2891" s="78" t="str">
        <f t="shared" si="47"/>
        <v>2102-243-320860</v>
      </c>
      <c r="C2891" s="79">
        <v>44253</v>
      </c>
      <c r="D2891" s="78">
        <v>243</v>
      </c>
      <c r="E2891" s="78">
        <v>1</v>
      </c>
      <c r="F2891" s="78">
        <v>320860</v>
      </c>
      <c r="G2891" s="80" t="s">
        <v>1787</v>
      </c>
      <c r="H2891" s="79"/>
      <c r="I2891" s="78">
        <v>0</v>
      </c>
      <c r="J2891" s="78">
        <v>0</v>
      </c>
      <c r="K2891" s="79"/>
      <c r="L2891" s="78">
        <v>0</v>
      </c>
      <c r="M2891" s="78">
        <v>0</v>
      </c>
    </row>
    <row r="2892" spans="2:13" ht="14.1" customHeight="1" x14ac:dyDescent="0.25">
      <c r="B2892" s="78" t="str">
        <f t="shared" si="47"/>
        <v>2102-248-200667</v>
      </c>
      <c r="C2892" s="79">
        <v>44253</v>
      </c>
      <c r="D2892" s="78">
        <v>248</v>
      </c>
      <c r="E2892" s="78">
        <v>4</v>
      </c>
      <c r="F2892" s="78">
        <v>200667</v>
      </c>
      <c r="G2892" s="80" t="s">
        <v>492</v>
      </c>
      <c r="H2892" s="79"/>
      <c r="I2892" s="78">
        <v>0</v>
      </c>
      <c r="J2892" s="78">
        <v>0</v>
      </c>
      <c r="K2892" s="79"/>
      <c r="L2892" s="78">
        <v>0</v>
      </c>
      <c r="M2892" s="78">
        <v>0</v>
      </c>
    </row>
    <row r="2893" spans="2:13" ht="14.1" customHeight="1" x14ac:dyDescent="0.25">
      <c r="B2893" s="78" t="str">
        <f t="shared" si="47"/>
        <v>2102-249-319565</v>
      </c>
      <c r="C2893" s="79">
        <v>44253</v>
      </c>
      <c r="D2893" s="78">
        <v>249</v>
      </c>
      <c r="E2893" s="78">
        <v>1</v>
      </c>
      <c r="F2893" s="78">
        <v>319565</v>
      </c>
      <c r="G2893" s="80" t="s">
        <v>1789</v>
      </c>
      <c r="H2893" s="79"/>
      <c r="I2893" s="78">
        <v>0</v>
      </c>
      <c r="J2893" s="78">
        <v>0</v>
      </c>
      <c r="K2893" s="79"/>
      <c r="L2893" s="78">
        <v>0</v>
      </c>
      <c r="M2893" s="78">
        <v>0</v>
      </c>
    </row>
    <row r="2894" spans="2:13" ht="14.1" customHeight="1" x14ac:dyDescent="0.25">
      <c r="B2894" s="78" t="str">
        <f t="shared" si="47"/>
        <v>2103-1-315665</v>
      </c>
      <c r="C2894" s="79">
        <v>44256</v>
      </c>
      <c r="D2894" s="78">
        <v>1</v>
      </c>
      <c r="E2894" s="78">
        <v>40</v>
      </c>
      <c r="F2894" s="78">
        <v>315665</v>
      </c>
      <c r="G2894" s="80" t="s">
        <v>116</v>
      </c>
      <c r="H2894" s="79">
        <v>44258</v>
      </c>
      <c r="I2894" s="78">
        <v>51939</v>
      </c>
      <c r="J2894" s="78">
        <v>40</v>
      </c>
      <c r="K2894" s="79">
        <v>44256</v>
      </c>
      <c r="L2894" s="78">
        <v>11364</v>
      </c>
      <c r="M2894" s="78">
        <v>40</v>
      </c>
    </row>
    <row r="2895" spans="2:13" ht="14.1" customHeight="1" x14ac:dyDescent="0.25">
      <c r="B2895" s="78" t="str">
        <f t="shared" si="47"/>
        <v>2103-2-205368</v>
      </c>
      <c r="C2895" s="79">
        <v>44256</v>
      </c>
      <c r="D2895" s="78">
        <v>2</v>
      </c>
      <c r="E2895" s="78">
        <v>200</v>
      </c>
      <c r="F2895" s="78">
        <v>205368</v>
      </c>
      <c r="G2895" s="80" t="s">
        <v>1790</v>
      </c>
      <c r="H2895" s="79">
        <v>44258</v>
      </c>
      <c r="I2895" s="78">
        <v>51940</v>
      </c>
      <c r="J2895" s="78">
        <v>200</v>
      </c>
      <c r="K2895" s="79">
        <v>44256</v>
      </c>
      <c r="L2895" s="78">
        <v>11365</v>
      </c>
      <c r="M2895" s="78">
        <v>200</v>
      </c>
    </row>
    <row r="2896" spans="2:13" ht="14.1" customHeight="1" x14ac:dyDescent="0.25">
      <c r="B2896" s="78" t="str">
        <f t="shared" si="47"/>
        <v>2103-3-200746</v>
      </c>
      <c r="C2896" s="79">
        <v>44257</v>
      </c>
      <c r="D2896" s="78">
        <v>3</v>
      </c>
      <c r="E2896" s="78">
        <v>600</v>
      </c>
      <c r="F2896" s="78">
        <v>200746</v>
      </c>
      <c r="G2896" s="80" t="s">
        <v>138</v>
      </c>
      <c r="H2896" s="79">
        <v>44263</v>
      </c>
      <c r="I2896" s="78">
        <v>52004</v>
      </c>
      <c r="J2896" s="78">
        <v>600</v>
      </c>
      <c r="K2896" s="79">
        <v>44271</v>
      </c>
      <c r="L2896" s="78">
        <v>11527</v>
      </c>
      <c r="M2896" s="78">
        <v>600</v>
      </c>
    </row>
    <row r="2897" spans="2:13" ht="14.1" customHeight="1" x14ac:dyDescent="0.25">
      <c r="B2897" s="78" t="str">
        <f t="shared" si="47"/>
        <v>2103-4-319203</v>
      </c>
      <c r="C2897" s="79">
        <v>44257</v>
      </c>
      <c r="D2897" s="78">
        <v>4</v>
      </c>
      <c r="E2897" s="78">
        <v>3</v>
      </c>
      <c r="F2897" s="78">
        <v>319203</v>
      </c>
      <c r="G2897" s="80" t="s">
        <v>934</v>
      </c>
      <c r="H2897" s="79"/>
      <c r="I2897" s="78">
        <v>0</v>
      </c>
      <c r="J2897" s="78">
        <v>0</v>
      </c>
      <c r="K2897" s="79"/>
      <c r="L2897" s="78">
        <v>0</v>
      </c>
      <c r="M2897" s="78">
        <v>0</v>
      </c>
    </row>
    <row r="2898" spans="2:13" ht="14.1" customHeight="1" x14ac:dyDescent="0.25">
      <c r="B2898" s="78" t="str">
        <f t="shared" si="47"/>
        <v>2103-5-105904</v>
      </c>
      <c r="C2898" s="79">
        <v>44257</v>
      </c>
      <c r="D2898" s="78">
        <v>5</v>
      </c>
      <c r="E2898" s="78">
        <v>20</v>
      </c>
      <c r="F2898" s="78">
        <v>105904</v>
      </c>
      <c r="G2898" s="80" t="s">
        <v>442</v>
      </c>
      <c r="H2898" s="79">
        <v>44272</v>
      </c>
      <c r="I2898" s="78">
        <v>52162</v>
      </c>
      <c r="J2898" s="78">
        <v>20</v>
      </c>
      <c r="K2898" s="79">
        <v>44284</v>
      </c>
      <c r="L2898" s="78">
        <v>11665</v>
      </c>
      <c r="M2898" s="78">
        <v>20</v>
      </c>
    </row>
    <row r="2899" spans="2:13" ht="14.1" customHeight="1" x14ac:dyDescent="0.25">
      <c r="B2899" s="78" t="str">
        <f t="shared" si="47"/>
        <v>2103-5-301915</v>
      </c>
      <c r="C2899" s="79">
        <v>44257</v>
      </c>
      <c r="D2899" s="78">
        <v>5</v>
      </c>
      <c r="E2899" s="78">
        <v>20</v>
      </c>
      <c r="F2899" s="78">
        <v>301915</v>
      </c>
      <c r="G2899" s="80" t="s">
        <v>1863</v>
      </c>
      <c r="H2899" s="79">
        <v>44272</v>
      </c>
      <c r="I2899" s="78">
        <v>52163</v>
      </c>
      <c r="J2899" s="78">
        <v>20</v>
      </c>
      <c r="K2899" s="79"/>
      <c r="L2899" s="78">
        <v>0</v>
      </c>
      <c r="M2899" s="78">
        <v>0</v>
      </c>
    </row>
    <row r="2900" spans="2:13" ht="14.1" customHeight="1" x14ac:dyDescent="0.25">
      <c r="B2900" s="78" t="str">
        <f t="shared" si="47"/>
        <v>2103-5-308005</v>
      </c>
      <c r="C2900" s="79">
        <v>44257</v>
      </c>
      <c r="D2900" s="78">
        <v>5</v>
      </c>
      <c r="E2900" s="78">
        <v>20</v>
      </c>
      <c r="F2900" s="78">
        <v>308005</v>
      </c>
      <c r="G2900" s="80" t="s">
        <v>736</v>
      </c>
      <c r="H2900" s="79">
        <v>44272</v>
      </c>
      <c r="I2900" s="78">
        <v>52162</v>
      </c>
      <c r="J2900" s="78">
        <v>20</v>
      </c>
      <c r="K2900" s="79"/>
      <c r="L2900" s="78">
        <v>0</v>
      </c>
      <c r="M2900" s="78">
        <v>0</v>
      </c>
    </row>
    <row r="2901" spans="2:13" ht="14.1" customHeight="1" x14ac:dyDescent="0.25">
      <c r="B2901" s="78" t="str">
        <f t="shared" si="47"/>
        <v>2103-5-106799</v>
      </c>
      <c r="C2901" s="79">
        <v>44257</v>
      </c>
      <c r="D2901" s="78">
        <v>5</v>
      </c>
      <c r="E2901" s="78">
        <v>20</v>
      </c>
      <c r="F2901" s="78">
        <v>106799</v>
      </c>
      <c r="G2901" s="80" t="s">
        <v>475</v>
      </c>
      <c r="H2901" s="79">
        <v>44272</v>
      </c>
      <c r="I2901" s="78">
        <v>52163</v>
      </c>
      <c r="J2901" s="78">
        <v>20</v>
      </c>
      <c r="K2901" s="79">
        <v>44284</v>
      </c>
      <c r="L2901" s="78">
        <v>11665</v>
      </c>
      <c r="M2901" s="78">
        <v>20</v>
      </c>
    </row>
    <row r="2902" spans="2:13" ht="14.1" customHeight="1" x14ac:dyDescent="0.25">
      <c r="B2902" s="78" t="str">
        <f t="shared" ref="B2902:B2965" si="48">TEXT(C2902,"yy") &amp; TEXT(C2902,"mm") &amp;"-"&amp;(D2902) &amp;"-"&amp;(F2902)</f>
        <v>2103-5-107146</v>
      </c>
      <c r="C2902" s="79">
        <v>44257</v>
      </c>
      <c r="D2902" s="78">
        <v>5</v>
      </c>
      <c r="E2902" s="78">
        <v>20</v>
      </c>
      <c r="F2902" s="78">
        <v>107146</v>
      </c>
      <c r="G2902" s="80" t="s">
        <v>480</v>
      </c>
      <c r="H2902" s="79">
        <v>44272</v>
      </c>
      <c r="I2902" s="78">
        <v>52162</v>
      </c>
      <c r="J2902" s="78">
        <v>20</v>
      </c>
      <c r="K2902" s="79"/>
      <c r="L2902" s="78">
        <v>0</v>
      </c>
      <c r="M2902" s="78">
        <v>0</v>
      </c>
    </row>
    <row r="2903" spans="2:13" ht="14.1" customHeight="1" x14ac:dyDescent="0.25">
      <c r="B2903" s="78" t="str">
        <f t="shared" si="48"/>
        <v>2103-5-105912</v>
      </c>
      <c r="C2903" s="79">
        <v>44257</v>
      </c>
      <c r="D2903" s="78">
        <v>5</v>
      </c>
      <c r="E2903" s="78">
        <v>20</v>
      </c>
      <c r="F2903" s="78">
        <v>105912</v>
      </c>
      <c r="G2903" s="80" t="s">
        <v>443</v>
      </c>
      <c r="H2903" s="79">
        <v>44272</v>
      </c>
      <c r="I2903" s="78">
        <v>52163</v>
      </c>
      <c r="J2903" s="78">
        <v>20</v>
      </c>
      <c r="K2903" s="79">
        <v>44284</v>
      </c>
      <c r="L2903" s="78">
        <v>11665</v>
      </c>
      <c r="M2903" s="78">
        <v>20</v>
      </c>
    </row>
    <row r="2904" spans="2:13" ht="14.1" customHeight="1" x14ac:dyDescent="0.25">
      <c r="B2904" s="78" t="str">
        <f t="shared" si="48"/>
        <v>2103-5-200247</v>
      </c>
      <c r="C2904" s="79">
        <v>44257</v>
      </c>
      <c r="D2904" s="78">
        <v>5</v>
      </c>
      <c r="E2904" s="78">
        <v>80</v>
      </c>
      <c r="F2904" s="78">
        <v>200247</v>
      </c>
      <c r="G2904" s="80" t="s">
        <v>242</v>
      </c>
      <c r="H2904" s="79">
        <v>44272</v>
      </c>
      <c r="I2904" s="78">
        <v>52163</v>
      </c>
      <c r="J2904" s="78">
        <v>80</v>
      </c>
      <c r="K2904" s="79">
        <v>44284</v>
      </c>
      <c r="L2904" s="78">
        <v>11665</v>
      </c>
      <c r="M2904" s="78">
        <v>80</v>
      </c>
    </row>
    <row r="2905" spans="2:13" ht="14.1" customHeight="1" x14ac:dyDescent="0.25">
      <c r="B2905" s="78" t="str">
        <f t="shared" si="48"/>
        <v>2103-6-200751</v>
      </c>
      <c r="C2905" s="79">
        <v>44257</v>
      </c>
      <c r="D2905" s="78">
        <v>6</v>
      </c>
      <c r="E2905" s="78">
        <v>20000</v>
      </c>
      <c r="F2905" s="78">
        <v>200751</v>
      </c>
      <c r="G2905" s="80" t="s">
        <v>151</v>
      </c>
      <c r="H2905" s="79">
        <v>44257</v>
      </c>
      <c r="I2905" s="78">
        <v>51963</v>
      </c>
      <c r="J2905" s="78">
        <v>10000</v>
      </c>
      <c r="K2905" s="79">
        <v>44256</v>
      </c>
      <c r="L2905" s="78">
        <v>11378</v>
      </c>
      <c r="M2905" s="78">
        <v>10000</v>
      </c>
    </row>
    <row r="2906" spans="2:13" ht="14.1" customHeight="1" x14ac:dyDescent="0.25">
      <c r="B2906" s="78" t="str">
        <f t="shared" si="48"/>
        <v>2103-6-200751</v>
      </c>
      <c r="C2906" s="79">
        <v>44257</v>
      </c>
      <c r="D2906" s="78">
        <v>6</v>
      </c>
      <c r="E2906" s="78">
        <v>20000</v>
      </c>
      <c r="F2906" s="78">
        <v>200751</v>
      </c>
      <c r="G2906" s="80" t="s">
        <v>151</v>
      </c>
      <c r="H2906" s="79">
        <v>44257</v>
      </c>
      <c r="I2906" s="78">
        <v>51963</v>
      </c>
      <c r="J2906" s="78">
        <v>10000</v>
      </c>
      <c r="K2906" s="79">
        <v>44258</v>
      </c>
      <c r="L2906" s="78">
        <v>11387</v>
      </c>
      <c r="M2906" s="78">
        <v>10000</v>
      </c>
    </row>
    <row r="2907" spans="2:13" ht="14.1" customHeight="1" x14ac:dyDescent="0.25">
      <c r="B2907" s="78" t="str">
        <f t="shared" si="48"/>
        <v>2103-6-200751</v>
      </c>
      <c r="C2907" s="79">
        <v>44257</v>
      </c>
      <c r="D2907" s="78">
        <v>6</v>
      </c>
      <c r="E2907" s="78">
        <v>20000</v>
      </c>
      <c r="F2907" s="78">
        <v>200751</v>
      </c>
      <c r="G2907" s="80" t="s">
        <v>151</v>
      </c>
      <c r="H2907" s="79">
        <v>44257</v>
      </c>
      <c r="I2907" s="78">
        <v>51971</v>
      </c>
      <c r="J2907" s="78">
        <v>10000</v>
      </c>
      <c r="K2907" s="79">
        <v>44256</v>
      </c>
      <c r="L2907" s="78">
        <v>11378</v>
      </c>
      <c r="M2907" s="78">
        <v>10000</v>
      </c>
    </row>
    <row r="2908" spans="2:13" ht="14.1" customHeight="1" x14ac:dyDescent="0.25">
      <c r="B2908" s="78" t="str">
        <f t="shared" si="48"/>
        <v>2103-6-200751</v>
      </c>
      <c r="C2908" s="79">
        <v>44257</v>
      </c>
      <c r="D2908" s="78">
        <v>6</v>
      </c>
      <c r="E2908" s="78">
        <v>20000</v>
      </c>
      <c r="F2908" s="78">
        <v>200751</v>
      </c>
      <c r="G2908" s="80" t="s">
        <v>151</v>
      </c>
      <c r="H2908" s="79">
        <v>44257</v>
      </c>
      <c r="I2908" s="78">
        <v>51971</v>
      </c>
      <c r="J2908" s="78">
        <v>10000</v>
      </c>
      <c r="K2908" s="79">
        <v>44258</v>
      </c>
      <c r="L2908" s="78">
        <v>11387</v>
      </c>
      <c r="M2908" s="78">
        <v>10000</v>
      </c>
    </row>
    <row r="2909" spans="2:13" ht="14.1" customHeight="1" x14ac:dyDescent="0.25">
      <c r="B2909" s="78" t="str">
        <f t="shared" si="48"/>
        <v>2103-7-203924</v>
      </c>
      <c r="C2909" s="79">
        <v>44257</v>
      </c>
      <c r="D2909" s="78">
        <v>7</v>
      </c>
      <c r="E2909" s="78">
        <v>6</v>
      </c>
      <c r="F2909" s="78">
        <v>203924</v>
      </c>
      <c r="G2909" s="80" t="s">
        <v>1130</v>
      </c>
      <c r="H2909" s="79">
        <v>44272</v>
      </c>
      <c r="I2909" s="78">
        <v>52164</v>
      </c>
      <c r="J2909" s="78">
        <v>6</v>
      </c>
      <c r="K2909" s="79">
        <v>44295</v>
      </c>
      <c r="L2909" s="78">
        <v>11771</v>
      </c>
      <c r="M2909" s="78">
        <v>6</v>
      </c>
    </row>
    <row r="2910" spans="2:13" ht="14.1" customHeight="1" x14ac:dyDescent="0.25">
      <c r="B2910" s="78" t="str">
        <f t="shared" si="48"/>
        <v>2103-8-105205</v>
      </c>
      <c r="C2910" s="79">
        <v>44257</v>
      </c>
      <c r="D2910" s="78">
        <v>8</v>
      </c>
      <c r="E2910" s="78">
        <v>2</v>
      </c>
      <c r="F2910" s="78">
        <v>105205</v>
      </c>
      <c r="G2910" s="80" t="s">
        <v>1812</v>
      </c>
      <c r="H2910" s="79"/>
      <c r="I2910" s="78">
        <v>0</v>
      </c>
      <c r="J2910" s="78">
        <v>0</v>
      </c>
      <c r="K2910" s="79"/>
      <c r="L2910" s="78">
        <v>0</v>
      </c>
      <c r="M2910" s="78">
        <v>0</v>
      </c>
    </row>
    <row r="2911" spans="2:13" ht="14.1" customHeight="1" x14ac:dyDescent="0.25">
      <c r="B2911" s="78" t="str">
        <f t="shared" si="48"/>
        <v>2103-8-105207</v>
      </c>
      <c r="C2911" s="79">
        <v>44257</v>
      </c>
      <c r="D2911" s="78">
        <v>8</v>
      </c>
      <c r="E2911" s="78">
        <v>2</v>
      </c>
      <c r="F2911" s="78">
        <v>105207</v>
      </c>
      <c r="G2911" s="80" t="s">
        <v>1811</v>
      </c>
      <c r="H2911" s="79"/>
      <c r="I2911" s="78">
        <v>0</v>
      </c>
      <c r="J2911" s="78">
        <v>0</v>
      </c>
      <c r="K2911" s="79"/>
      <c r="L2911" s="78">
        <v>0</v>
      </c>
      <c r="M2911" s="78">
        <v>0</v>
      </c>
    </row>
    <row r="2912" spans="2:13" ht="14.1" customHeight="1" x14ac:dyDescent="0.25">
      <c r="B2912" s="78" t="str">
        <f t="shared" si="48"/>
        <v>2103-9-320423</v>
      </c>
      <c r="C2912" s="79">
        <v>44257</v>
      </c>
      <c r="D2912" s="78">
        <v>9</v>
      </c>
      <c r="E2912" s="78">
        <v>1</v>
      </c>
      <c r="F2912" s="78">
        <v>320423</v>
      </c>
      <c r="G2912" s="80" t="s">
        <v>1791</v>
      </c>
      <c r="H2912" s="79">
        <v>44271</v>
      </c>
      <c r="I2912" s="78">
        <v>52138</v>
      </c>
      <c r="J2912" s="78">
        <v>1</v>
      </c>
      <c r="K2912" s="79">
        <v>44260</v>
      </c>
      <c r="L2912" s="78">
        <v>11422</v>
      </c>
      <c r="M2912" s="78">
        <v>1</v>
      </c>
    </row>
    <row r="2913" spans="2:13" ht="14.1" customHeight="1" x14ac:dyDescent="0.25">
      <c r="B2913" s="78" t="str">
        <f t="shared" si="48"/>
        <v>2103-10-316295</v>
      </c>
      <c r="C2913" s="79">
        <v>44257</v>
      </c>
      <c r="D2913" s="78">
        <v>10</v>
      </c>
      <c r="E2913" s="78">
        <v>1</v>
      </c>
      <c r="F2913" s="78">
        <v>316295</v>
      </c>
      <c r="G2913" s="80" t="s">
        <v>1792</v>
      </c>
      <c r="H2913" s="79">
        <v>44258</v>
      </c>
      <c r="I2913" s="78">
        <v>51956</v>
      </c>
      <c r="J2913" s="78">
        <v>1</v>
      </c>
      <c r="K2913" s="79">
        <v>44257</v>
      </c>
      <c r="L2913" s="78">
        <v>11375</v>
      </c>
      <c r="M2913" s="78">
        <v>1</v>
      </c>
    </row>
    <row r="2914" spans="2:13" ht="14.1" customHeight="1" x14ac:dyDescent="0.25">
      <c r="B2914" s="78" t="str">
        <f t="shared" si="48"/>
        <v>2103-12-316225</v>
      </c>
      <c r="C2914" s="79">
        <v>44257</v>
      </c>
      <c r="D2914" s="78">
        <v>12</v>
      </c>
      <c r="E2914" s="78">
        <v>1</v>
      </c>
      <c r="F2914" s="78">
        <v>316225</v>
      </c>
      <c r="G2914" s="80" t="s">
        <v>1794</v>
      </c>
      <c r="H2914" s="79">
        <v>44257</v>
      </c>
      <c r="I2914" s="78">
        <v>51902</v>
      </c>
      <c r="J2914" s="78">
        <v>1</v>
      </c>
      <c r="K2914" s="79">
        <v>44259</v>
      </c>
      <c r="L2914" s="78">
        <v>11410</v>
      </c>
      <c r="M2914" s="78">
        <v>1</v>
      </c>
    </row>
    <row r="2915" spans="2:13" ht="14.1" customHeight="1" x14ac:dyDescent="0.25">
      <c r="B2915" s="78" t="str">
        <f t="shared" si="48"/>
        <v>2103-12-302903</v>
      </c>
      <c r="C2915" s="79">
        <v>44257</v>
      </c>
      <c r="D2915" s="78">
        <v>12</v>
      </c>
      <c r="E2915" s="78">
        <v>1</v>
      </c>
      <c r="F2915" s="78">
        <v>302903</v>
      </c>
      <c r="G2915" s="80" t="s">
        <v>1793</v>
      </c>
      <c r="H2915" s="79">
        <v>44257</v>
      </c>
      <c r="I2915" s="78">
        <v>51902</v>
      </c>
      <c r="J2915" s="78">
        <v>1</v>
      </c>
      <c r="K2915" s="79">
        <v>44259</v>
      </c>
      <c r="L2915" s="78">
        <v>11410</v>
      </c>
      <c r="M2915" s="78">
        <v>1</v>
      </c>
    </row>
    <row r="2916" spans="2:13" ht="14.1" customHeight="1" x14ac:dyDescent="0.25">
      <c r="B2916" s="78" t="str">
        <f t="shared" si="48"/>
        <v>2103-13-319359</v>
      </c>
      <c r="C2916" s="79">
        <v>44258</v>
      </c>
      <c r="D2916" s="78">
        <v>13</v>
      </c>
      <c r="E2916" s="78">
        <v>2000</v>
      </c>
      <c r="F2916" s="78">
        <v>319359</v>
      </c>
      <c r="G2916" s="80" t="s">
        <v>210</v>
      </c>
      <c r="H2916" s="79">
        <v>44271</v>
      </c>
      <c r="I2916" s="78">
        <v>52119</v>
      </c>
      <c r="J2916" s="78">
        <v>2000</v>
      </c>
      <c r="K2916" s="79">
        <v>44267</v>
      </c>
      <c r="L2916" s="78">
        <v>11499</v>
      </c>
      <c r="M2916" s="78">
        <v>2000</v>
      </c>
    </row>
    <row r="2917" spans="2:13" ht="14.1" customHeight="1" x14ac:dyDescent="0.25">
      <c r="B2917" s="78" t="str">
        <f t="shared" si="48"/>
        <v>2103-14-100074</v>
      </c>
      <c r="C2917" s="79">
        <v>44258</v>
      </c>
      <c r="D2917" s="78">
        <v>14</v>
      </c>
      <c r="E2917" s="78">
        <v>3</v>
      </c>
      <c r="F2917" s="78">
        <v>100074</v>
      </c>
      <c r="G2917" s="80" t="s">
        <v>1799</v>
      </c>
      <c r="H2917" s="79">
        <v>44260</v>
      </c>
      <c r="I2917" s="78">
        <v>51995</v>
      </c>
      <c r="J2917" s="78">
        <v>3</v>
      </c>
      <c r="K2917" s="79">
        <v>44264</v>
      </c>
      <c r="L2917" s="78">
        <v>11444</v>
      </c>
      <c r="M2917" s="78">
        <v>3</v>
      </c>
    </row>
    <row r="2918" spans="2:13" ht="14.1" customHeight="1" x14ac:dyDescent="0.25">
      <c r="B2918" s="78" t="str">
        <f t="shared" si="48"/>
        <v>2103-14-205807</v>
      </c>
      <c r="C2918" s="79">
        <v>44258</v>
      </c>
      <c r="D2918" s="78">
        <v>14</v>
      </c>
      <c r="E2918" s="78">
        <v>6</v>
      </c>
      <c r="F2918" s="78">
        <v>205807</v>
      </c>
      <c r="G2918" s="80" t="s">
        <v>1802</v>
      </c>
      <c r="H2918" s="79">
        <v>44260</v>
      </c>
      <c r="I2918" s="78">
        <v>51995</v>
      </c>
      <c r="J2918" s="78">
        <v>6</v>
      </c>
      <c r="K2918" s="79">
        <v>44264</v>
      </c>
      <c r="L2918" s="78">
        <v>11444</v>
      </c>
      <c r="M2918" s="78">
        <v>6</v>
      </c>
    </row>
    <row r="2919" spans="2:13" ht="14.1" customHeight="1" x14ac:dyDescent="0.25">
      <c r="B2919" s="78" t="str">
        <f t="shared" si="48"/>
        <v>2103-14-315710</v>
      </c>
      <c r="C2919" s="79">
        <v>44258</v>
      </c>
      <c r="D2919" s="78">
        <v>14</v>
      </c>
      <c r="E2919" s="78">
        <v>2</v>
      </c>
      <c r="F2919" s="78">
        <v>315710</v>
      </c>
      <c r="G2919" s="80" t="s">
        <v>1800</v>
      </c>
      <c r="H2919" s="79">
        <v>44260</v>
      </c>
      <c r="I2919" s="78">
        <v>51995</v>
      </c>
      <c r="J2919" s="78">
        <v>2</v>
      </c>
      <c r="K2919" s="79">
        <v>44264</v>
      </c>
      <c r="L2919" s="78">
        <v>11442</v>
      </c>
      <c r="M2919" s="78">
        <v>2</v>
      </c>
    </row>
    <row r="2920" spans="2:13" ht="14.1" customHeight="1" x14ac:dyDescent="0.25">
      <c r="B2920" s="78" t="str">
        <f t="shared" si="48"/>
        <v>2103-14-308749</v>
      </c>
      <c r="C2920" s="79">
        <v>44258</v>
      </c>
      <c r="D2920" s="78">
        <v>14</v>
      </c>
      <c r="E2920" s="78">
        <v>6</v>
      </c>
      <c r="F2920" s="78">
        <v>308749</v>
      </c>
      <c r="G2920" s="80" t="s">
        <v>1801</v>
      </c>
      <c r="H2920" s="79">
        <v>44260</v>
      </c>
      <c r="I2920" s="78">
        <v>51995</v>
      </c>
      <c r="J2920" s="78">
        <v>6</v>
      </c>
      <c r="K2920" s="79">
        <v>44264</v>
      </c>
      <c r="L2920" s="78">
        <v>11444</v>
      </c>
      <c r="M2920" s="78">
        <v>6</v>
      </c>
    </row>
    <row r="2921" spans="2:13" ht="14.1" customHeight="1" x14ac:dyDescent="0.25">
      <c r="B2921" s="78" t="str">
        <f t="shared" si="48"/>
        <v>2103-14-304109</v>
      </c>
      <c r="C2921" s="79">
        <v>44258</v>
      </c>
      <c r="D2921" s="78">
        <v>14</v>
      </c>
      <c r="E2921" s="78">
        <v>7</v>
      </c>
      <c r="F2921" s="78">
        <v>304109</v>
      </c>
      <c r="G2921" s="80" t="s">
        <v>1795</v>
      </c>
      <c r="H2921" s="79">
        <v>44260</v>
      </c>
      <c r="I2921" s="78">
        <v>51995</v>
      </c>
      <c r="J2921" s="78">
        <v>7</v>
      </c>
      <c r="K2921" s="79">
        <v>44264</v>
      </c>
      <c r="L2921" s="78">
        <v>11444</v>
      </c>
      <c r="M2921" s="78">
        <v>4</v>
      </c>
    </row>
    <row r="2922" spans="2:13" ht="14.1" customHeight="1" x14ac:dyDescent="0.25">
      <c r="B2922" s="78" t="str">
        <f t="shared" si="48"/>
        <v>2103-14-202672</v>
      </c>
      <c r="C2922" s="79">
        <v>44258</v>
      </c>
      <c r="D2922" s="78">
        <v>14</v>
      </c>
      <c r="E2922" s="78">
        <v>1</v>
      </c>
      <c r="F2922" s="78">
        <v>202672</v>
      </c>
      <c r="G2922" s="80" t="s">
        <v>1797</v>
      </c>
      <c r="H2922" s="79">
        <v>44260</v>
      </c>
      <c r="I2922" s="78">
        <v>51995</v>
      </c>
      <c r="J2922" s="78">
        <v>1</v>
      </c>
      <c r="K2922" s="79">
        <v>44264</v>
      </c>
      <c r="L2922" s="78">
        <v>11444</v>
      </c>
      <c r="M2922" s="78">
        <v>1</v>
      </c>
    </row>
    <row r="2923" spans="2:13" ht="14.1" customHeight="1" x14ac:dyDescent="0.25">
      <c r="B2923" s="78" t="str">
        <f t="shared" si="48"/>
        <v>2103-14-300877</v>
      </c>
      <c r="C2923" s="79">
        <v>44258</v>
      </c>
      <c r="D2923" s="78">
        <v>14</v>
      </c>
      <c r="E2923" s="78">
        <v>20</v>
      </c>
      <c r="F2923" s="78">
        <v>300877</v>
      </c>
      <c r="G2923" s="80" t="s">
        <v>611</v>
      </c>
      <c r="H2923" s="79">
        <v>44260</v>
      </c>
      <c r="I2923" s="78">
        <v>51995</v>
      </c>
      <c r="J2923" s="78">
        <v>20</v>
      </c>
      <c r="K2923" s="79"/>
      <c r="L2923" s="78">
        <v>0</v>
      </c>
      <c r="M2923" s="78">
        <v>0</v>
      </c>
    </row>
    <row r="2924" spans="2:13" ht="14.1" customHeight="1" x14ac:dyDescent="0.25">
      <c r="B2924" s="78" t="str">
        <f t="shared" si="48"/>
        <v>2103-14-202875</v>
      </c>
      <c r="C2924" s="79">
        <v>44258</v>
      </c>
      <c r="D2924" s="78">
        <v>14</v>
      </c>
      <c r="E2924" s="78">
        <v>100</v>
      </c>
      <c r="F2924" s="78">
        <v>202875</v>
      </c>
      <c r="G2924" s="80" t="s">
        <v>1796</v>
      </c>
      <c r="H2924" s="79">
        <v>44260</v>
      </c>
      <c r="I2924" s="78">
        <v>51995</v>
      </c>
      <c r="J2924" s="78">
        <v>100</v>
      </c>
      <c r="K2924" s="79">
        <v>44264</v>
      </c>
      <c r="L2924" s="78">
        <v>11444</v>
      </c>
      <c r="M2924" s="78">
        <v>100</v>
      </c>
    </row>
    <row r="2925" spans="2:13" ht="14.1" customHeight="1" x14ac:dyDescent="0.25">
      <c r="B2925" s="78" t="str">
        <f t="shared" si="48"/>
        <v>2103-14-204463</v>
      </c>
      <c r="C2925" s="79">
        <v>44258</v>
      </c>
      <c r="D2925" s="78">
        <v>14</v>
      </c>
      <c r="E2925" s="78">
        <v>4</v>
      </c>
      <c r="F2925" s="78">
        <v>204463</v>
      </c>
      <c r="G2925" s="80" t="s">
        <v>1803</v>
      </c>
      <c r="H2925" s="79">
        <v>44260</v>
      </c>
      <c r="I2925" s="78">
        <v>51995</v>
      </c>
      <c r="J2925" s="78">
        <v>4</v>
      </c>
      <c r="K2925" s="79">
        <v>44264</v>
      </c>
      <c r="L2925" s="78">
        <v>11444</v>
      </c>
      <c r="M2925" s="78">
        <v>4</v>
      </c>
    </row>
    <row r="2926" spans="2:13" ht="14.1" customHeight="1" x14ac:dyDescent="0.25">
      <c r="B2926" s="78" t="str">
        <f t="shared" si="48"/>
        <v>2103-14-206151</v>
      </c>
      <c r="C2926" s="79">
        <v>44258</v>
      </c>
      <c r="D2926" s="78">
        <v>14</v>
      </c>
      <c r="E2926" s="78">
        <v>3</v>
      </c>
      <c r="F2926" s="78">
        <v>206151</v>
      </c>
      <c r="G2926" s="80" t="s">
        <v>1798</v>
      </c>
      <c r="H2926" s="79">
        <v>44260</v>
      </c>
      <c r="I2926" s="78">
        <v>51995</v>
      </c>
      <c r="J2926" s="78">
        <v>3</v>
      </c>
      <c r="K2926" s="79">
        <v>44264</v>
      </c>
      <c r="L2926" s="78">
        <v>11444</v>
      </c>
      <c r="M2926" s="78">
        <v>3</v>
      </c>
    </row>
    <row r="2927" spans="2:13" ht="14.1" customHeight="1" x14ac:dyDescent="0.25">
      <c r="B2927" s="78" t="str">
        <f t="shared" si="48"/>
        <v>2103-15-300599</v>
      </c>
      <c r="C2927" s="79">
        <v>44258</v>
      </c>
      <c r="D2927" s="78">
        <v>15</v>
      </c>
      <c r="E2927" s="78">
        <v>1</v>
      </c>
      <c r="F2927" s="78">
        <v>300599</v>
      </c>
      <c r="G2927" s="80" t="s">
        <v>306</v>
      </c>
      <c r="H2927" s="79">
        <v>44258</v>
      </c>
      <c r="I2927" s="78">
        <v>51965</v>
      </c>
      <c r="J2927" s="78">
        <v>1</v>
      </c>
      <c r="K2927" s="79">
        <v>44258</v>
      </c>
      <c r="L2927" s="78">
        <v>11380</v>
      </c>
      <c r="M2927" s="78">
        <v>1</v>
      </c>
    </row>
    <row r="2928" spans="2:13" ht="14.1" customHeight="1" x14ac:dyDescent="0.25">
      <c r="B2928" s="78" t="str">
        <f t="shared" si="48"/>
        <v>2103-16-105375</v>
      </c>
      <c r="C2928" s="79">
        <v>44258</v>
      </c>
      <c r="D2928" s="78">
        <v>16</v>
      </c>
      <c r="E2928" s="78">
        <v>1</v>
      </c>
      <c r="F2928" s="78">
        <v>105375</v>
      </c>
      <c r="G2928" s="80" t="s">
        <v>1807</v>
      </c>
      <c r="H2928" s="79">
        <v>44256</v>
      </c>
      <c r="I2928" s="78">
        <v>51969</v>
      </c>
      <c r="J2928" s="78">
        <v>1</v>
      </c>
      <c r="K2928" s="79">
        <v>44258</v>
      </c>
      <c r="L2928" s="78">
        <v>11385</v>
      </c>
      <c r="M2928" s="78">
        <v>1</v>
      </c>
    </row>
    <row r="2929" spans="2:13" ht="14.1" customHeight="1" x14ac:dyDescent="0.25">
      <c r="B2929" s="78" t="str">
        <f t="shared" si="48"/>
        <v>2103-16-309457</v>
      </c>
      <c r="C2929" s="79">
        <v>44258</v>
      </c>
      <c r="D2929" s="78">
        <v>16</v>
      </c>
      <c r="E2929" s="78">
        <v>1</v>
      </c>
      <c r="F2929" s="78">
        <v>309457</v>
      </c>
      <c r="G2929" s="80" t="s">
        <v>1222</v>
      </c>
      <c r="H2929" s="79">
        <v>44256</v>
      </c>
      <c r="I2929" s="78">
        <v>51969</v>
      </c>
      <c r="J2929" s="78">
        <v>1</v>
      </c>
      <c r="K2929" s="79">
        <v>44258</v>
      </c>
      <c r="L2929" s="78">
        <v>11385</v>
      </c>
      <c r="M2929" s="78">
        <v>1</v>
      </c>
    </row>
    <row r="2930" spans="2:13" ht="14.1" customHeight="1" x14ac:dyDescent="0.25">
      <c r="B2930" s="78" t="str">
        <f t="shared" si="48"/>
        <v>2103-16-311421</v>
      </c>
      <c r="C2930" s="79">
        <v>44258</v>
      </c>
      <c r="D2930" s="78">
        <v>16</v>
      </c>
      <c r="E2930" s="78">
        <v>2</v>
      </c>
      <c r="F2930" s="78">
        <v>311421</v>
      </c>
      <c r="G2930" s="80" t="s">
        <v>1806</v>
      </c>
      <c r="H2930" s="79">
        <v>44256</v>
      </c>
      <c r="I2930" s="78">
        <v>51969</v>
      </c>
      <c r="J2930" s="78">
        <v>2</v>
      </c>
      <c r="K2930" s="79">
        <v>44258</v>
      </c>
      <c r="L2930" s="78">
        <v>11385</v>
      </c>
      <c r="M2930" s="78">
        <v>2</v>
      </c>
    </row>
    <row r="2931" spans="2:13" ht="14.1" customHeight="1" x14ac:dyDescent="0.25">
      <c r="B2931" s="78" t="str">
        <f t="shared" si="48"/>
        <v>2103-16-318561</v>
      </c>
      <c r="C2931" s="79">
        <v>44258</v>
      </c>
      <c r="D2931" s="78">
        <v>16</v>
      </c>
      <c r="E2931" s="78">
        <v>1</v>
      </c>
      <c r="F2931" s="78">
        <v>318561</v>
      </c>
      <c r="G2931" s="80" t="s">
        <v>1805</v>
      </c>
      <c r="H2931" s="79">
        <v>44256</v>
      </c>
      <c r="I2931" s="78">
        <v>51969</v>
      </c>
      <c r="J2931" s="78">
        <v>1</v>
      </c>
      <c r="K2931" s="79">
        <v>44258</v>
      </c>
      <c r="L2931" s="78">
        <v>11385</v>
      </c>
      <c r="M2931" s="78">
        <v>1</v>
      </c>
    </row>
    <row r="2932" spans="2:13" ht="14.1" customHeight="1" x14ac:dyDescent="0.25">
      <c r="B2932" s="78" t="str">
        <f t="shared" si="48"/>
        <v>2103-16-304878</v>
      </c>
      <c r="C2932" s="79">
        <v>44258</v>
      </c>
      <c r="D2932" s="78">
        <v>16</v>
      </c>
      <c r="E2932" s="78">
        <v>1</v>
      </c>
      <c r="F2932" s="78">
        <v>304878</v>
      </c>
      <c r="G2932" s="80" t="s">
        <v>1804</v>
      </c>
      <c r="H2932" s="79">
        <v>44256</v>
      </c>
      <c r="I2932" s="78">
        <v>51969</v>
      </c>
      <c r="J2932" s="78">
        <v>1</v>
      </c>
      <c r="K2932" s="79">
        <v>44258</v>
      </c>
      <c r="L2932" s="78">
        <v>11385</v>
      </c>
      <c r="M2932" s="78">
        <v>1</v>
      </c>
    </row>
    <row r="2933" spans="2:13" ht="14.1" customHeight="1" x14ac:dyDescent="0.25">
      <c r="B2933" s="78" t="str">
        <f t="shared" si="48"/>
        <v>2103-17-309161</v>
      </c>
      <c r="C2933" s="79">
        <v>44258</v>
      </c>
      <c r="D2933" s="78">
        <v>17</v>
      </c>
      <c r="E2933" s="78">
        <v>1</v>
      </c>
      <c r="F2933" s="78">
        <v>309161</v>
      </c>
      <c r="G2933" s="80" t="s">
        <v>755</v>
      </c>
      <c r="H2933" s="79"/>
      <c r="I2933" s="78">
        <v>0</v>
      </c>
      <c r="J2933" s="78">
        <v>0</v>
      </c>
      <c r="K2933" s="79"/>
      <c r="L2933" s="78">
        <v>0</v>
      </c>
      <c r="M2933" s="78">
        <v>0</v>
      </c>
    </row>
    <row r="2934" spans="2:13" ht="14.1" customHeight="1" x14ac:dyDescent="0.25">
      <c r="B2934" s="78" t="str">
        <f t="shared" si="48"/>
        <v>2103-18-317626</v>
      </c>
      <c r="C2934" s="79">
        <v>44258</v>
      </c>
      <c r="D2934" s="78">
        <v>18</v>
      </c>
      <c r="E2934" s="78">
        <v>1</v>
      </c>
      <c r="F2934" s="78">
        <v>317626</v>
      </c>
      <c r="G2934" s="80" t="s">
        <v>1131</v>
      </c>
      <c r="H2934" s="79">
        <v>44271</v>
      </c>
      <c r="I2934" s="78">
        <v>52137</v>
      </c>
      <c r="J2934" s="78">
        <v>1</v>
      </c>
      <c r="K2934" s="79">
        <v>44260</v>
      </c>
      <c r="L2934" s="78">
        <v>11421</v>
      </c>
      <c r="M2934" s="78">
        <v>1</v>
      </c>
    </row>
    <row r="2935" spans="2:13" ht="14.1" customHeight="1" x14ac:dyDescent="0.25">
      <c r="B2935" s="78" t="str">
        <f t="shared" si="48"/>
        <v>2103-19-320070</v>
      </c>
      <c r="C2935" s="79">
        <v>44258</v>
      </c>
      <c r="D2935" s="78">
        <v>19</v>
      </c>
      <c r="E2935" s="78">
        <v>1</v>
      </c>
      <c r="F2935" s="78">
        <v>320070</v>
      </c>
      <c r="G2935" s="80" t="s">
        <v>1813</v>
      </c>
      <c r="H2935" s="79">
        <v>44259</v>
      </c>
      <c r="I2935" s="78">
        <v>51992</v>
      </c>
      <c r="J2935" s="78">
        <v>1</v>
      </c>
      <c r="K2935" s="79"/>
      <c r="L2935" s="78">
        <v>0</v>
      </c>
      <c r="M2935" s="78">
        <v>0</v>
      </c>
    </row>
    <row r="2936" spans="2:13" ht="14.1" customHeight="1" x14ac:dyDescent="0.25">
      <c r="B2936" s="78" t="str">
        <f t="shared" si="48"/>
        <v>2103-20-305831</v>
      </c>
      <c r="C2936" s="79">
        <v>44258</v>
      </c>
      <c r="D2936" s="78">
        <v>20</v>
      </c>
      <c r="E2936" s="78">
        <v>1</v>
      </c>
      <c r="F2936" s="78">
        <v>305831</v>
      </c>
      <c r="G2936" s="81" t="s">
        <v>1814</v>
      </c>
      <c r="H2936" s="79">
        <v>44259</v>
      </c>
      <c r="I2936" s="78">
        <v>51990</v>
      </c>
      <c r="J2936" s="78">
        <v>1</v>
      </c>
      <c r="K2936" s="79">
        <v>44272</v>
      </c>
      <c r="L2936" s="78">
        <v>11555</v>
      </c>
      <c r="M2936" s="78">
        <v>1</v>
      </c>
    </row>
    <row r="2937" spans="2:13" ht="14.1" customHeight="1" x14ac:dyDescent="0.25">
      <c r="B2937" s="78" t="str">
        <f t="shared" si="48"/>
        <v>2103-23-200837</v>
      </c>
      <c r="C2937" s="79">
        <v>44258</v>
      </c>
      <c r="D2937" s="78">
        <v>23</v>
      </c>
      <c r="E2937" s="78">
        <v>15</v>
      </c>
      <c r="F2937" s="78">
        <v>200837</v>
      </c>
      <c r="G2937" s="81" t="s">
        <v>1141</v>
      </c>
      <c r="H2937" s="79">
        <v>44271</v>
      </c>
      <c r="I2937" s="78">
        <v>52147</v>
      </c>
      <c r="J2937" s="78">
        <v>15</v>
      </c>
      <c r="K2937" s="79">
        <v>44292</v>
      </c>
      <c r="L2937" s="78">
        <v>11708</v>
      </c>
      <c r="M2937" s="78">
        <v>15</v>
      </c>
    </row>
    <row r="2938" spans="2:13" ht="14.1" customHeight="1" x14ac:dyDescent="0.25">
      <c r="B2938" s="78" t="str">
        <f t="shared" si="48"/>
        <v>2103-23-106121</v>
      </c>
      <c r="C2938" s="79">
        <v>44258</v>
      </c>
      <c r="D2938" s="78">
        <v>23</v>
      </c>
      <c r="E2938" s="78">
        <v>10</v>
      </c>
      <c r="F2938" s="78">
        <v>106121</v>
      </c>
      <c r="G2938" s="80" t="s">
        <v>401</v>
      </c>
      <c r="H2938" s="79">
        <v>44271</v>
      </c>
      <c r="I2938" s="78">
        <v>52149</v>
      </c>
      <c r="J2938" s="78">
        <v>10</v>
      </c>
      <c r="K2938" s="79">
        <v>44274</v>
      </c>
      <c r="L2938" s="78">
        <v>11579</v>
      </c>
      <c r="M2938" s="78">
        <v>10</v>
      </c>
    </row>
    <row r="2939" spans="2:13" ht="14.1" customHeight="1" x14ac:dyDescent="0.25">
      <c r="B2939" s="78" t="str">
        <f t="shared" si="48"/>
        <v>2103-23-200318</v>
      </c>
      <c r="C2939" s="79">
        <v>44258</v>
      </c>
      <c r="D2939" s="78">
        <v>23</v>
      </c>
      <c r="E2939" s="78">
        <v>15</v>
      </c>
      <c r="F2939" s="78">
        <v>200318</v>
      </c>
      <c r="G2939" s="81" t="s">
        <v>112</v>
      </c>
      <c r="H2939" s="79">
        <v>44271</v>
      </c>
      <c r="I2939" s="78">
        <v>52149</v>
      </c>
      <c r="J2939" s="78">
        <v>15</v>
      </c>
      <c r="K2939" s="79">
        <v>44274</v>
      </c>
      <c r="L2939" s="78">
        <v>11579</v>
      </c>
      <c r="M2939" s="78">
        <v>15</v>
      </c>
    </row>
    <row r="2940" spans="2:13" ht="14.1" customHeight="1" x14ac:dyDescent="0.25">
      <c r="B2940" s="78" t="str">
        <f t="shared" si="48"/>
        <v>2103-23-309136</v>
      </c>
      <c r="C2940" s="79">
        <v>44258</v>
      </c>
      <c r="D2940" s="78">
        <v>23</v>
      </c>
      <c r="E2940" s="78">
        <v>30</v>
      </c>
      <c r="F2940" s="78">
        <v>309136</v>
      </c>
      <c r="G2940" s="80" t="s">
        <v>400</v>
      </c>
      <c r="H2940" s="79">
        <v>44271</v>
      </c>
      <c r="I2940" s="78">
        <v>52149</v>
      </c>
      <c r="J2940" s="78">
        <v>30</v>
      </c>
      <c r="K2940" s="79">
        <v>44274</v>
      </c>
      <c r="L2940" s="78">
        <v>11579</v>
      </c>
      <c r="M2940" s="78">
        <v>30</v>
      </c>
    </row>
    <row r="2941" spans="2:13" ht="14.1" customHeight="1" x14ac:dyDescent="0.25">
      <c r="B2941" s="78" t="str">
        <f t="shared" si="48"/>
        <v>2103-23-200864</v>
      </c>
      <c r="C2941" s="79">
        <v>44258</v>
      </c>
      <c r="D2941" s="78">
        <v>23</v>
      </c>
      <c r="E2941" s="78">
        <v>15</v>
      </c>
      <c r="F2941" s="78">
        <v>200864</v>
      </c>
      <c r="G2941" s="81" t="s">
        <v>299</v>
      </c>
      <c r="H2941" s="79">
        <v>44271</v>
      </c>
      <c r="I2941" s="78">
        <v>52149</v>
      </c>
      <c r="J2941" s="78">
        <v>15</v>
      </c>
      <c r="K2941" s="79">
        <v>44274</v>
      </c>
      <c r="L2941" s="78">
        <v>11579</v>
      </c>
      <c r="M2941" s="78">
        <v>15</v>
      </c>
    </row>
    <row r="2942" spans="2:13" ht="14.1" customHeight="1" x14ac:dyDescent="0.25">
      <c r="B2942" s="78" t="str">
        <f t="shared" si="48"/>
        <v>2103-23-100376</v>
      </c>
      <c r="C2942" s="79">
        <v>44258</v>
      </c>
      <c r="D2942" s="78">
        <v>23</v>
      </c>
      <c r="E2942" s="78">
        <v>15</v>
      </c>
      <c r="F2942" s="78">
        <v>100376</v>
      </c>
      <c r="G2942" s="81" t="s">
        <v>243</v>
      </c>
      <c r="H2942" s="79">
        <v>44271</v>
      </c>
      <c r="I2942" s="78">
        <v>52149</v>
      </c>
      <c r="J2942" s="78">
        <v>15</v>
      </c>
      <c r="K2942" s="79">
        <v>44274</v>
      </c>
      <c r="L2942" s="78">
        <v>11579</v>
      </c>
      <c r="M2942" s="78">
        <v>15</v>
      </c>
    </row>
    <row r="2943" spans="2:13" ht="14.1" customHeight="1" x14ac:dyDescent="0.25">
      <c r="B2943" s="78" t="str">
        <f t="shared" si="48"/>
        <v>2103-29-200534</v>
      </c>
      <c r="C2943" s="79">
        <v>44259</v>
      </c>
      <c r="D2943" s="78">
        <v>29</v>
      </c>
      <c r="E2943" s="78">
        <v>10</v>
      </c>
      <c r="F2943" s="78">
        <v>200534</v>
      </c>
      <c r="G2943" s="81" t="s">
        <v>90</v>
      </c>
      <c r="H2943" s="79">
        <v>44271</v>
      </c>
      <c r="I2943" s="78">
        <v>52145</v>
      </c>
      <c r="J2943" s="78">
        <v>10</v>
      </c>
      <c r="K2943" s="79">
        <v>44280</v>
      </c>
      <c r="L2943" s="78">
        <v>11631</v>
      </c>
      <c r="M2943" s="78">
        <v>10</v>
      </c>
    </row>
    <row r="2944" spans="2:13" ht="14.1" customHeight="1" x14ac:dyDescent="0.25">
      <c r="B2944" s="78" t="str">
        <f t="shared" si="48"/>
        <v>2103-29-107136</v>
      </c>
      <c r="C2944" s="79">
        <v>44259</v>
      </c>
      <c r="D2944" s="78">
        <v>29</v>
      </c>
      <c r="E2944" s="78">
        <v>10</v>
      </c>
      <c r="F2944" s="78">
        <v>107136</v>
      </c>
      <c r="G2944" s="81" t="s">
        <v>87</v>
      </c>
      <c r="H2944" s="79">
        <v>44271</v>
      </c>
      <c r="I2944" s="78">
        <v>52146</v>
      </c>
      <c r="J2944" s="78">
        <v>10</v>
      </c>
      <c r="K2944" s="79">
        <v>44278</v>
      </c>
      <c r="L2944" s="78">
        <v>11610</v>
      </c>
      <c r="M2944" s="78">
        <v>10</v>
      </c>
    </row>
    <row r="2945" spans="2:13" ht="14.1" customHeight="1" x14ac:dyDescent="0.25">
      <c r="B2945" s="78" t="str">
        <f t="shared" si="48"/>
        <v>2103-29-302475</v>
      </c>
      <c r="C2945" s="79">
        <v>44259</v>
      </c>
      <c r="D2945" s="78">
        <v>29</v>
      </c>
      <c r="E2945" s="78">
        <v>10</v>
      </c>
      <c r="F2945" s="78">
        <v>302475</v>
      </c>
      <c r="G2945" s="80" t="s">
        <v>153</v>
      </c>
      <c r="H2945" s="79">
        <v>44271</v>
      </c>
      <c r="I2945" s="78">
        <v>52145</v>
      </c>
      <c r="J2945" s="78">
        <v>10</v>
      </c>
      <c r="K2945" s="79">
        <v>44280</v>
      </c>
      <c r="L2945" s="78">
        <v>11631</v>
      </c>
      <c r="M2945" s="78">
        <v>10</v>
      </c>
    </row>
    <row r="2946" spans="2:13" ht="14.1" customHeight="1" x14ac:dyDescent="0.25">
      <c r="B2946" s="78" t="str">
        <f t="shared" si="48"/>
        <v>2103-29-319549</v>
      </c>
      <c r="C2946" s="79">
        <v>44259</v>
      </c>
      <c r="D2946" s="78">
        <v>29</v>
      </c>
      <c r="E2946" s="78">
        <v>15</v>
      </c>
      <c r="F2946" s="78">
        <v>319549</v>
      </c>
      <c r="G2946" s="80" t="s">
        <v>218</v>
      </c>
      <c r="H2946" s="79">
        <v>44271</v>
      </c>
      <c r="I2946" s="78">
        <v>52145</v>
      </c>
      <c r="J2946" s="78">
        <v>15</v>
      </c>
      <c r="K2946" s="79">
        <v>44280</v>
      </c>
      <c r="L2946" s="78">
        <v>11631</v>
      </c>
      <c r="M2946" s="78">
        <v>15</v>
      </c>
    </row>
    <row r="2947" spans="2:13" ht="14.1" customHeight="1" x14ac:dyDescent="0.25">
      <c r="B2947" s="78" t="str">
        <f t="shared" si="48"/>
        <v>2103-29-200791</v>
      </c>
      <c r="C2947" s="79">
        <v>44259</v>
      </c>
      <c r="D2947" s="78">
        <v>29</v>
      </c>
      <c r="E2947" s="78">
        <v>15</v>
      </c>
      <c r="F2947" s="78">
        <v>200791</v>
      </c>
      <c r="G2947" s="81" t="s">
        <v>88</v>
      </c>
      <c r="H2947" s="79">
        <v>44271</v>
      </c>
      <c r="I2947" s="78">
        <v>52145</v>
      </c>
      <c r="J2947" s="78">
        <v>15</v>
      </c>
      <c r="K2947" s="79">
        <v>44280</v>
      </c>
      <c r="L2947" s="78">
        <v>11631</v>
      </c>
      <c r="M2947" s="78">
        <v>15</v>
      </c>
    </row>
    <row r="2948" spans="2:13" ht="14.1" customHeight="1" x14ac:dyDescent="0.25">
      <c r="B2948" s="78" t="str">
        <f t="shared" si="48"/>
        <v>2103-30-200337</v>
      </c>
      <c r="C2948" s="79">
        <v>44259</v>
      </c>
      <c r="D2948" s="78">
        <v>30</v>
      </c>
      <c r="E2948" s="78">
        <v>10</v>
      </c>
      <c r="F2948" s="78">
        <v>200337</v>
      </c>
      <c r="G2948" s="81" t="s">
        <v>310</v>
      </c>
      <c r="H2948" s="79">
        <v>44273</v>
      </c>
      <c r="I2948" s="78">
        <v>52170</v>
      </c>
      <c r="J2948" s="78">
        <v>10</v>
      </c>
      <c r="K2948" s="79">
        <v>44280</v>
      </c>
      <c r="L2948" s="78">
        <v>11636</v>
      </c>
      <c r="M2948" s="78">
        <v>10</v>
      </c>
    </row>
    <row r="2949" spans="2:13" ht="14.1" customHeight="1" x14ac:dyDescent="0.25">
      <c r="B2949" s="78" t="str">
        <f t="shared" si="48"/>
        <v>2103-30-104924</v>
      </c>
      <c r="C2949" s="79">
        <v>44259</v>
      </c>
      <c r="D2949" s="78">
        <v>30</v>
      </c>
      <c r="E2949" s="78">
        <v>15</v>
      </c>
      <c r="F2949" s="78">
        <v>104924</v>
      </c>
      <c r="G2949" s="80" t="s">
        <v>79</v>
      </c>
      <c r="H2949" s="79">
        <v>44273</v>
      </c>
      <c r="I2949" s="78">
        <v>52170</v>
      </c>
      <c r="J2949" s="78">
        <v>15</v>
      </c>
      <c r="K2949" s="79">
        <v>44280</v>
      </c>
      <c r="L2949" s="78">
        <v>11636</v>
      </c>
      <c r="M2949" s="78">
        <v>15</v>
      </c>
    </row>
    <row r="2950" spans="2:13" ht="14.1" customHeight="1" x14ac:dyDescent="0.25">
      <c r="B2950" s="78" t="str">
        <f t="shared" si="48"/>
        <v>2103-30-204043</v>
      </c>
      <c r="C2950" s="79">
        <v>44259</v>
      </c>
      <c r="D2950" s="78">
        <v>30</v>
      </c>
      <c r="E2950" s="78">
        <v>10</v>
      </c>
      <c r="F2950" s="78">
        <v>204043</v>
      </c>
      <c r="G2950" s="81" t="s">
        <v>332</v>
      </c>
      <c r="H2950" s="79">
        <v>44273</v>
      </c>
      <c r="I2950" s="78">
        <v>52170</v>
      </c>
      <c r="J2950" s="78">
        <v>10</v>
      </c>
      <c r="K2950" s="79">
        <v>44280</v>
      </c>
      <c r="L2950" s="78">
        <v>11637</v>
      </c>
      <c r="M2950" s="78">
        <v>10</v>
      </c>
    </row>
    <row r="2951" spans="2:13" ht="14.1" customHeight="1" x14ac:dyDescent="0.25">
      <c r="B2951" s="78" t="str">
        <f t="shared" si="48"/>
        <v>2103-30-203876</v>
      </c>
      <c r="C2951" s="79">
        <v>44259</v>
      </c>
      <c r="D2951" s="78">
        <v>30</v>
      </c>
      <c r="E2951" s="78">
        <v>15</v>
      </c>
      <c r="F2951" s="78">
        <v>203876</v>
      </c>
      <c r="G2951" s="81" t="s">
        <v>71</v>
      </c>
      <c r="H2951" s="79">
        <v>44273</v>
      </c>
      <c r="I2951" s="78">
        <v>52170</v>
      </c>
      <c r="J2951" s="78">
        <v>15</v>
      </c>
      <c r="K2951" s="79">
        <v>44280</v>
      </c>
      <c r="L2951" s="78">
        <v>11636</v>
      </c>
      <c r="M2951" s="78">
        <v>15</v>
      </c>
    </row>
    <row r="2952" spans="2:13" ht="14.1" customHeight="1" x14ac:dyDescent="0.25">
      <c r="B2952" s="78" t="str">
        <f t="shared" si="48"/>
        <v>2103-30-306949</v>
      </c>
      <c r="C2952" s="79">
        <v>44259</v>
      </c>
      <c r="D2952" s="78">
        <v>30</v>
      </c>
      <c r="E2952" s="78">
        <v>8</v>
      </c>
      <c r="F2952" s="78">
        <v>306949</v>
      </c>
      <c r="G2952" s="81" t="s">
        <v>194</v>
      </c>
      <c r="H2952" s="79">
        <v>44273</v>
      </c>
      <c r="I2952" s="78">
        <v>52170</v>
      </c>
      <c r="J2952" s="78">
        <v>8</v>
      </c>
      <c r="K2952" s="79">
        <v>44280</v>
      </c>
      <c r="L2952" s="78">
        <v>11637</v>
      </c>
      <c r="M2952" s="78">
        <v>8</v>
      </c>
    </row>
    <row r="2953" spans="2:13" ht="14.1" customHeight="1" x14ac:dyDescent="0.25">
      <c r="B2953" s="78" t="str">
        <f t="shared" si="48"/>
        <v>2103-31-306318</v>
      </c>
      <c r="C2953" s="79">
        <v>44259</v>
      </c>
      <c r="D2953" s="78">
        <v>31</v>
      </c>
      <c r="E2953" s="78">
        <v>1</v>
      </c>
      <c r="F2953" s="78">
        <v>306318</v>
      </c>
      <c r="G2953" s="81" t="s">
        <v>1815</v>
      </c>
      <c r="H2953" s="79">
        <v>44267</v>
      </c>
      <c r="I2953" s="78">
        <v>52088</v>
      </c>
      <c r="J2953" s="78">
        <v>1</v>
      </c>
      <c r="K2953" s="79">
        <v>44271</v>
      </c>
      <c r="L2953" s="78">
        <v>11528</v>
      </c>
      <c r="M2953" s="78">
        <v>1</v>
      </c>
    </row>
    <row r="2954" spans="2:13" ht="14.1" customHeight="1" x14ac:dyDescent="0.25">
      <c r="B2954" s="78" t="str">
        <f t="shared" si="48"/>
        <v>2103-40-311122</v>
      </c>
      <c r="C2954" s="79">
        <v>44259</v>
      </c>
      <c r="D2954" s="78">
        <v>40</v>
      </c>
      <c r="E2954" s="78">
        <v>3</v>
      </c>
      <c r="F2954" s="78">
        <v>311122</v>
      </c>
      <c r="G2954" s="80" t="s">
        <v>1816</v>
      </c>
      <c r="H2954" s="79">
        <v>44271</v>
      </c>
      <c r="I2954" s="78">
        <v>52148</v>
      </c>
      <c r="J2954" s="78">
        <v>3</v>
      </c>
      <c r="K2954" s="79">
        <v>44278</v>
      </c>
      <c r="L2954" s="78">
        <v>11609</v>
      </c>
      <c r="M2954" s="78">
        <v>3</v>
      </c>
    </row>
    <row r="2955" spans="2:13" ht="14.1" customHeight="1" x14ac:dyDescent="0.25">
      <c r="B2955" s="78" t="str">
        <f t="shared" si="48"/>
        <v>2103-40-205249</v>
      </c>
      <c r="C2955" s="79">
        <v>44259</v>
      </c>
      <c r="D2955" s="78">
        <v>40</v>
      </c>
      <c r="E2955" s="78">
        <v>3</v>
      </c>
      <c r="F2955" s="78">
        <v>205249</v>
      </c>
      <c r="G2955" s="80" t="s">
        <v>1497</v>
      </c>
      <c r="H2955" s="79">
        <v>44271</v>
      </c>
      <c r="I2955" s="78">
        <v>52148</v>
      </c>
      <c r="J2955" s="78">
        <v>3</v>
      </c>
      <c r="K2955" s="79">
        <v>44278</v>
      </c>
      <c r="L2955" s="78">
        <v>11609</v>
      </c>
      <c r="M2955" s="78">
        <v>3</v>
      </c>
    </row>
    <row r="2956" spans="2:13" ht="14.1" customHeight="1" x14ac:dyDescent="0.25">
      <c r="B2956" s="78" t="str">
        <f t="shared" si="48"/>
        <v>2103-49-205913</v>
      </c>
      <c r="C2956" s="79">
        <v>44259</v>
      </c>
      <c r="D2956" s="78">
        <v>49</v>
      </c>
      <c r="E2956" s="78">
        <v>40</v>
      </c>
      <c r="F2956" s="78">
        <v>205913</v>
      </c>
      <c r="G2956" s="80" t="s">
        <v>1116</v>
      </c>
      <c r="H2956" s="79">
        <v>44291</v>
      </c>
      <c r="I2956" s="78">
        <v>52351</v>
      </c>
      <c r="J2956" s="78">
        <v>40</v>
      </c>
      <c r="K2956" s="79">
        <v>44294</v>
      </c>
      <c r="L2956" s="78">
        <v>11745</v>
      </c>
      <c r="M2956" s="78">
        <v>40</v>
      </c>
    </row>
    <row r="2957" spans="2:13" ht="14.1" customHeight="1" x14ac:dyDescent="0.25">
      <c r="B2957" s="78" t="str">
        <f t="shared" si="48"/>
        <v>2103-49-314916</v>
      </c>
      <c r="C2957" s="79">
        <v>44259</v>
      </c>
      <c r="D2957" s="78">
        <v>49</v>
      </c>
      <c r="E2957" s="78">
        <v>20</v>
      </c>
      <c r="F2957" s="78">
        <v>314916</v>
      </c>
      <c r="G2957" s="80" t="s">
        <v>1818</v>
      </c>
      <c r="H2957" s="79">
        <v>44291</v>
      </c>
      <c r="I2957" s="78">
        <v>52351</v>
      </c>
      <c r="J2957" s="78">
        <v>20</v>
      </c>
      <c r="K2957" s="79">
        <v>44294</v>
      </c>
      <c r="L2957" s="78">
        <v>11745</v>
      </c>
      <c r="M2957" s="78">
        <v>20</v>
      </c>
    </row>
    <row r="2958" spans="2:13" ht="14.1" customHeight="1" x14ac:dyDescent="0.25">
      <c r="B2958" s="78" t="str">
        <f t="shared" si="48"/>
        <v>2103-49-107494</v>
      </c>
      <c r="C2958" s="79">
        <v>44259</v>
      </c>
      <c r="D2958" s="78">
        <v>49</v>
      </c>
      <c r="E2958" s="78">
        <v>30</v>
      </c>
      <c r="F2958" s="78">
        <v>107494</v>
      </c>
      <c r="G2958" s="80" t="s">
        <v>482</v>
      </c>
      <c r="H2958" s="79">
        <v>44291</v>
      </c>
      <c r="I2958" s="78">
        <v>52351</v>
      </c>
      <c r="J2958" s="78">
        <v>30</v>
      </c>
      <c r="K2958" s="79">
        <v>44294</v>
      </c>
      <c r="L2958" s="78">
        <v>11745</v>
      </c>
      <c r="M2958" s="78">
        <v>30</v>
      </c>
    </row>
    <row r="2959" spans="2:13" ht="14.1" customHeight="1" x14ac:dyDescent="0.25">
      <c r="B2959" s="78" t="str">
        <f t="shared" si="48"/>
        <v>2103-49-203843</v>
      </c>
      <c r="C2959" s="79">
        <v>44259</v>
      </c>
      <c r="D2959" s="78">
        <v>49</v>
      </c>
      <c r="E2959" s="78">
        <v>20</v>
      </c>
      <c r="F2959" s="78">
        <v>203843</v>
      </c>
      <c r="G2959" s="80" t="s">
        <v>1817</v>
      </c>
      <c r="H2959" s="79">
        <v>44291</v>
      </c>
      <c r="I2959" s="78">
        <v>52351</v>
      </c>
      <c r="J2959" s="78">
        <v>20</v>
      </c>
      <c r="K2959" s="79">
        <v>44294</v>
      </c>
      <c r="L2959" s="78">
        <v>11745</v>
      </c>
      <c r="M2959" s="78">
        <v>20</v>
      </c>
    </row>
    <row r="2960" spans="2:13" ht="14.1" customHeight="1" x14ac:dyDescent="0.25">
      <c r="B2960" s="78" t="str">
        <f t="shared" si="48"/>
        <v>2103-49-107612</v>
      </c>
      <c r="C2960" s="79">
        <v>44259</v>
      </c>
      <c r="D2960" s="78">
        <v>49</v>
      </c>
      <c r="E2960" s="78">
        <v>20</v>
      </c>
      <c r="F2960" s="78">
        <v>107612</v>
      </c>
      <c r="G2960" s="80" t="s">
        <v>2215</v>
      </c>
      <c r="H2960" s="79">
        <v>44291</v>
      </c>
      <c r="I2960" s="78">
        <v>52351</v>
      </c>
      <c r="J2960" s="78">
        <v>20</v>
      </c>
      <c r="K2960" s="79">
        <v>44294</v>
      </c>
      <c r="L2960" s="78">
        <v>11745</v>
      </c>
      <c r="M2960" s="78">
        <v>20</v>
      </c>
    </row>
    <row r="2961" spans="2:13" ht="14.1" customHeight="1" x14ac:dyDescent="0.25">
      <c r="B2961" s="78" t="str">
        <f t="shared" si="48"/>
        <v>2103-49-300858</v>
      </c>
      <c r="C2961" s="79">
        <v>44259</v>
      </c>
      <c r="D2961" s="78">
        <v>49</v>
      </c>
      <c r="E2961" s="78">
        <v>60</v>
      </c>
      <c r="F2961" s="78">
        <v>300858</v>
      </c>
      <c r="G2961" s="80" t="s">
        <v>343</v>
      </c>
      <c r="H2961" s="79">
        <v>44291</v>
      </c>
      <c r="I2961" s="78">
        <v>52351</v>
      </c>
      <c r="J2961" s="78">
        <v>60</v>
      </c>
      <c r="K2961" s="79">
        <v>44294</v>
      </c>
      <c r="L2961" s="78">
        <v>11745</v>
      </c>
      <c r="M2961" s="78">
        <v>60</v>
      </c>
    </row>
    <row r="2962" spans="2:13" ht="14.1" customHeight="1" x14ac:dyDescent="0.25">
      <c r="B2962" s="78" t="str">
        <f t="shared" si="48"/>
        <v>2103-50-306630</v>
      </c>
      <c r="C2962" s="79">
        <v>44259</v>
      </c>
      <c r="D2962" s="78">
        <v>50</v>
      </c>
      <c r="E2962" s="78">
        <v>2</v>
      </c>
      <c r="F2962" s="78">
        <v>306630</v>
      </c>
      <c r="G2962" s="80" t="s">
        <v>1234</v>
      </c>
      <c r="H2962" s="79">
        <v>44266</v>
      </c>
      <c r="I2962" s="78">
        <v>52056</v>
      </c>
      <c r="J2962" s="78">
        <v>2</v>
      </c>
      <c r="K2962" s="79"/>
      <c r="L2962" s="78">
        <v>0</v>
      </c>
      <c r="M2962" s="78">
        <v>0</v>
      </c>
    </row>
    <row r="2963" spans="2:13" ht="14.1" customHeight="1" x14ac:dyDescent="0.25">
      <c r="B2963" s="78" t="str">
        <f t="shared" si="48"/>
        <v>2103-50-304913</v>
      </c>
      <c r="C2963" s="79">
        <v>44259</v>
      </c>
      <c r="D2963" s="78">
        <v>50</v>
      </c>
      <c r="E2963" s="78">
        <v>3</v>
      </c>
      <c r="F2963" s="78">
        <v>304913</v>
      </c>
      <c r="G2963" s="80" t="s">
        <v>1819</v>
      </c>
      <c r="H2963" s="79">
        <v>44266</v>
      </c>
      <c r="I2963" s="78">
        <v>52055</v>
      </c>
      <c r="J2963" s="78">
        <v>3</v>
      </c>
      <c r="K2963" s="79">
        <v>44272</v>
      </c>
      <c r="L2963" s="78">
        <v>11549</v>
      </c>
      <c r="M2963" s="78">
        <v>3</v>
      </c>
    </row>
    <row r="2964" spans="2:13" ht="14.1" customHeight="1" x14ac:dyDescent="0.25">
      <c r="B2964" s="78" t="str">
        <f t="shared" si="48"/>
        <v>2103-51-303464</v>
      </c>
      <c r="C2964" s="79">
        <v>44259</v>
      </c>
      <c r="D2964" s="78">
        <v>51</v>
      </c>
      <c r="E2964" s="78">
        <v>4</v>
      </c>
      <c r="F2964" s="78">
        <v>303464</v>
      </c>
      <c r="G2964" s="80" t="s">
        <v>1820</v>
      </c>
      <c r="H2964" s="79"/>
      <c r="I2964" s="78">
        <v>0</v>
      </c>
      <c r="J2964" s="78">
        <v>0</v>
      </c>
      <c r="K2964" s="79"/>
      <c r="L2964" s="78">
        <v>0</v>
      </c>
      <c r="M2964" s="78">
        <v>0</v>
      </c>
    </row>
    <row r="2965" spans="2:13" ht="14.1" customHeight="1" x14ac:dyDescent="0.25">
      <c r="B2965" s="78" t="str">
        <f t="shared" si="48"/>
        <v>2103-51-309185</v>
      </c>
      <c r="C2965" s="79">
        <v>44259</v>
      </c>
      <c r="D2965" s="78">
        <v>51</v>
      </c>
      <c r="E2965" s="78">
        <v>4</v>
      </c>
      <c r="F2965" s="78">
        <v>309185</v>
      </c>
      <c r="G2965" s="80" t="s">
        <v>1260</v>
      </c>
      <c r="H2965" s="79">
        <v>44266</v>
      </c>
      <c r="I2965" s="78">
        <v>52057</v>
      </c>
      <c r="J2965" s="78">
        <v>4</v>
      </c>
      <c r="K2965" s="79">
        <v>44272</v>
      </c>
      <c r="L2965" s="78">
        <v>11550</v>
      </c>
      <c r="M2965" s="78">
        <v>4</v>
      </c>
    </row>
    <row r="2966" spans="2:13" ht="14.1" customHeight="1" x14ac:dyDescent="0.25">
      <c r="B2966" s="78" t="str">
        <f t="shared" ref="B2966:B2976" si="49">TEXT(C2966,"yy") &amp; TEXT(C2966,"mm") &amp;"-"&amp;(D2966) &amp;"-"&amp;(F2966)</f>
        <v>2103-51-302456</v>
      </c>
      <c r="C2966" s="79">
        <v>44259</v>
      </c>
      <c r="D2966" s="78">
        <v>51</v>
      </c>
      <c r="E2966" s="78">
        <v>10</v>
      </c>
      <c r="F2966" s="78">
        <v>302456</v>
      </c>
      <c r="G2966" s="80" t="s">
        <v>641</v>
      </c>
      <c r="H2966" s="79">
        <v>44266</v>
      </c>
      <c r="I2966" s="78">
        <v>52057</v>
      </c>
      <c r="J2966" s="78">
        <v>10</v>
      </c>
      <c r="K2966" s="79">
        <v>44272</v>
      </c>
      <c r="L2966" s="78">
        <v>11550</v>
      </c>
      <c r="M2966" s="78">
        <v>10</v>
      </c>
    </row>
    <row r="2967" spans="2:13" ht="14.1" customHeight="1" x14ac:dyDescent="0.25">
      <c r="B2967" s="78" t="str">
        <f t="shared" si="49"/>
        <v>2103-51-315078</v>
      </c>
      <c r="C2967" s="79">
        <v>44259</v>
      </c>
      <c r="D2967" s="78">
        <v>51</v>
      </c>
      <c r="E2967" s="78">
        <v>2</v>
      </c>
      <c r="F2967" s="78">
        <v>315078</v>
      </c>
      <c r="G2967" s="80" t="s">
        <v>1058</v>
      </c>
      <c r="H2967" s="79"/>
      <c r="I2967" s="78">
        <v>0</v>
      </c>
      <c r="J2967" s="78">
        <v>0</v>
      </c>
      <c r="K2967" s="79"/>
      <c r="L2967" s="78">
        <v>0</v>
      </c>
      <c r="M2967" s="78">
        <v>0</v>
      </c>
    </row>
    <row r="2968" spans="2:13" ht="14.1" customHeight="1" x14ac:dyDescent="0.25">
      <c r="B2968" s="78" t="str">
        <f t="shared" si="49"/>
        <v>2103-51-306761</v>
      </c>
      <c r="C2968" s="79">
        <v>44259</v>
      </c>
      <c r="D2968" s="78">
        <v>51</v>
      </c>
      <c r="E2968" s="78">
        <v>4</v>
      </c>
      <c r="F2968" s="78">
        <v>306761</v>
      </c>
      <c r="G2968" s="80" t="s">
        <v>714</v>
      </c>
      <c r="H2968" s="79">
        <v>44266</v>
      </c>
      <c r="I2968" s="78">
        <v>52057</v>
      </c>
      <c r="J2968" s="78">
        <v>4</v>
      </c>
      <c r="K2968" s="79">
        <v>44272</v>
      </c>
      <c r="L2968" s="78">
        <v>11550</v>
      </c>
      <c r="M2968" s="78">
        <v>4</v>
      </c>
    </row>
    <row r="2969" spans="2:13" ht="14.1" customHeight="1" x14ac:dyDescent="0.25">
      <c r="B2969" s="78" t="str">
        <f t="shared" si="49"/>
        <v>2103-51-309216</v>
      </c>
      <c r="C2969" s="79">
        <v>44259</v>
      </c>
      <c r="D2969" s="78">
        <v>51</v>
      </c>
      <c r="E2969" s="78">
        <v>1</v>
      </c>
      <c r="F2969" s="78">
        <v>309216</v>
      </c>
      <c r="G2969" s="80" t="s">
        <v>756</v>
      </c>
      <c r="H2969" s="79">
        <v>44266</v>
      </c>
      <c r="I2969" s="78">
        <v>52058</v>
      </c>
      <c r="J2969" s="78">
        <v>1</v>
      </c>
      <c r="K2969" s="79">
        <v>44271</v>
      </c>
      <c r="L2969" s="78">
        <v>11529</v>
      </c>
      <c r="M2969" s="78">
        <v>1</v>
      </c>
    </row>
    <row r="2970" spans="2:13" ht="14.1" customHeight="1" x14ac:dyDescent="0.25">
      <c r="B2970" s="78" t="str">
        <f t="shared" si="49"/>
        <v>2103-51-319534</v>
      </c>
      <c r="C2970" s="79">
        <v>44259</v>
      </c>
      <c r="D2970" s="78">
        <v>51</v>
      </c>
      <c r="E2970" s="78">
        <v>1</v>
      </c>
      <c r="F2970" s="78">
        <v>319534</v>
      </c>
      <c r="G2970" s="80" t="s">
        <v>1821</v>
      </c>
      <c r="H2970" s="79"/>
      <c r="I2970" s="78">
        <v>0</v>
      </c>
      <c r="J2970" s="78">
        <v>0</v>
      </c>
      <c r="K2970" s="79"/>
      <c r="L2970" s="78">
        <v>0</v>
      </c>
      <c r="M2970" s="78">
        <v>0</v>
      </c>
    </row>
    <row r="2971" spans="2:13" ht="14.1" customHeight="1" x14ac:dyDescent="0.25">
      <c r="B2971" s="78" t="str">
        <f t="shared" si="49"/>
        <v>2103-52-104722</v>
      </c>
      <c r="C2971" s="79">
        <v>44260</v>
      </c>
      <c r="D2971" s="78">
        <v>52</v>
      </c>
      <c r="E2971" s="78">
        <v>2</v>
      </c>
      <c r="F2971" s="78">
        <v>104722</v>
      </c>
      <c r="G2971" s="81" t="s">
        <v>2049</v>
      </c>
      <c r="H2971" s="79">
        <v>44256</v>
      </c>
      <c r="I2971" s="78">
        <v>52250</v>
      </c>
      <c r="J2971" s="78">
        <v>2</v>
      </c>
      <c r="K2971" s="79">
        <v>44266</v>
      </c>
      <c r="L2971" s="78">
        <v>11462</v>
      </c>
      <c r="M2971" s="78">
        <v>2</v>
      </c>
    </row>
    <row r="2972" spans="2:13" ht="14.1" customHeight="1" x14ac:dyDescent="0.25">
      <c r="B2972" s="78" t="str">
        <f t="shared" si="49"/>
        <v>2103-52-310904</v>
      </c>
      <c r="C2972" s="79">
        <v>44260</v>
      </c>
      <c r="D2972" s="78">
        <v>52</v>
      </c>
      <c r="E2972" s="78">
        <v>4</v>
      </c>
      <c r="F2972" s="78">
        <v>310904</v>
      </c>
      <c r="G2972" s="80" t="s">
        <v>2050</v>
      </c>
      <c r="H2972" s="79">
        <v>44256</v>
      </c>
      <c r="I2972" s="78">
        <v>52250</v>
      </c>
      <c r="J2972" s="78">
        <v>4</v>
      </c>
      <c r="K2972" s="79">
        <v>44266</v>
      </c>
      <c r="L2972" s="78">
        <v>11462</v>
      </c>
      <c r="M2972" s="78">
        <v>4</v>
      </c>
    </row>
    <row r="2973" spans="2:13" ht="14.1" customHeight="1" x14ac:dyDescent="0.25">
      <c r="B2973" s="78" t="str">
        <f t="shared" si="49"/>
        <v>2103-52-105414</v>
      </c>
      <c r="C2973" s="79">
        <v>44260</v>
      </c>
      <c r="D2973" s="78">
        <v>52</v>
      </c>
      <c r="E2973" s="78">
        <v>2</v>
      </c>
      <c r="F2973" s="78">
        <v>105414</v>
      </c>
      <c r="G2973" s="80" t="s">
        <v>2048</v>
      </c>
      <c r="H2973" s="79">
        <v>44256</v>
      </c>
      <c r="I2973" s="78">
        <v>52250</v>
      </c>
      <c r="J2973" s="78">
        <v>2</v>
      </c>
      <c r="K2973" s="79">
        <v>44266</v>
      </c>
      <c r="L2973" s="78">
        <v>11462</v>
      </c>
      <c r="M2973" s="78">
        <v>2</v>
      </c>
    </row>
    <row r="2974" spans="2:13" ht="14.1" customHeight="1" x14ac:dyDescent="0.25">
      <c r="B2974" s="78" t="str">
        <f t="shared" si="49"/>
        <v>2103-52-205742</v>
      </c>
      <c r="C2974" s="79">
        <v>44260</v>
      </c>
      <c r="D2974" s="78">
        <v>52</v>
      </c>
      <c r="E2974" s="78">
        <v>2</v>
      </c>
      <c r="F2974" s="78">
        <v>205742</v>
      </c>
      <c r="G2974" s="80" t="s">
        <v>1146</v>
      </c>
      <c r="H2974" s="79">
        <v>44256</v>
      </c>
      <c r="I2974" s="78">
        <v>52250</v>
      </c>
      <c r="J2974" s="78">
        <v>2</v>
      </c>
      <c r="K2974" s="79">
        <v>44266</v>
      </c>
      <c r="L2974" s="78">
        <v>11462</v>
      </c>
      <c r="M2974" s="78">
        <v>2</v>
      </c>
    </row>
    <row r="2975" spans="2:13" ht="14.1" customHeight="1" x14ac:dyDescent="0.25">
      <c r="B2975" s="78" t="str">
        <f t="shared" si="49"/>
        <v>2103-52-107501</v>
      </c>
      <c r="C2975" s="79">
        <v>44260</v>
      </c>
      <c r="D2975" s="78">
        <v>52</v>
      </c>
      <c r="E2975" s="78">
        <v>1</v>
      </c>
      <c r="F2975" s="78">
        <v>107501</v>
      </c>
      <c r="G2975" s="80" t="s">
        <v>2051</v>
      </c>
      <c r="H2975" s="79">
        <v>44256</v>
      </c>
      <c r="I2975" s="78">
        <v>52250</v>
      </c>
      <c r="J2975" s="78">
        <v>1</v>
      </c>
      <c r="K2975" s="79">
        <v>44266</v>
      </c>
      <c r="L2975" s="78">
        <v>11462</v>
      </c>
      <c r="M2975" s="78">
        <v>1</v>
      </c>
    </row>
    <row r="2976" spans="2:13" ht="14.1" customHeight="1" x14ac:dyDescent="0.25">
      <c r="B2976" s="78" t="str">
        <f t="shared" si="49"/>
        <v>2103-52-102619</v>
      </c>
      <c r="C2976" s="79">
        <v>44260</v>
      </c>
      <c r="D2976" s="78">
        <v>52</v>
      </c>
      <c r="E2976" s="78">
        <v>1</v>
      </c>
      <c r="F2976" s="78">
        <v>102619</v>
      </c>
      <c r="G2976" s="80" t="s">
        <v>2052</v>
      </c>
      <c r="H2976" s="79">
        <v>44256</v>
      </c>
      <c r="I2976" s="78">
        <v>52250</v>
      </c>
      <c r="J2976" s="78">
        <v>1</v>
      </c>
      <c r="K2976" s="79">
        <v>44266</v>
      </c>
      <c r="L2976" s="78">
        <v>11462</v>
      </c>
      <c r="M2976" s="78">
        <v>1</v>
      </c>
    </row>
    <row r="2977" spans="2:13" ht="14.1" customHeight="1" x14ac:dyDescent="0.25">
      <c r="B2977" s="78" t="str">
        <f t="shared" ref="B2977:B3040" si="50">TEXT(C2977,"yy") &amp; TEXT(C2977,"mm") &amp;"-"&amp;(D2977) &amp;"-"&amp;(F2977)</f>
        <v>2103-53-205710</v>
      </c>
      <c r="C2977" s="79">
        <v>44260</v>
      </c>
      <c r="D2977" s="78">
        <v>53</v>
      </c>
      <c r="E2977" s="78">
        <v>1</v>
      </c>
      <c r="F2977" s="78">
        <v>205710</v>
      </c>
      <c r="G2977" s="80" t="s">
        <v>1829</v>
      </c>
      <c r="H2977" s="79">
        <v>44260</v>
      </c>
      <c r="I2977" s="78">
        <v>52018</v>
      </c>
      <c r="J2977" s="78">
        <v>1</v>
      </c>
      <c r="K2977" s="79">
        <v>44263</v>
      </c>
      <c r="L2977" s="78">
        <v>11437</v>
      </c>
      <c r="M2977" s="78">
        <v>1</v>
      </c>
    </row>
    <row r="2978" spans="2:13" ht="14.1" customHeight="1" x14ac:dyDescent="0.25">
      <c r="B2978" s="78" t="str">
        <f t="shared" si="50"/>
        <v>2103-53-310383</v>
      </c>
      <c r="C2978" s="79">
        <v>44260</v>
      </c>
      <c r="D2978" s="78">
        <v>53</v>
      </c>
      <c r="E2978" s="78">
        <v>1</v>
      </c>
      <c r="F2978" s="78">
        <v>310383</v>
      </c>
      <c r="G2978" s="81" t="s">
        <v>1828</v>
      </c>
      <c r="H2978" s="79">
        <v>44260</v>
      </c>
      <c r="I2978" s="78">
        <v>52018</v>
      </c>
      <c r="J2978" s="78">
        <v>1</v>
      </c>
      <c r="K2978" s="79">
        <v>44263</v>
      </c>
      <c r="L2978" s="78">
        <v>11437</v>
      </c>
      <c r="M2978" s="78">
        <v>1</v>
      </c>
    </row>
    <row r="2979" spans="2:13" ht="14.1" customHeight="1" x14ac:dyDescent="0.25">
      <c r="B2979" s="78" t="str">
        <f t="shared" si="50"/>
        <v>2103-53-205421</v>
      </c>
      <c r="C2979" s="79">
        <v>44260</v>
      </c>
      <c r="D2979" s="78">
        <v>53</v>
      </c>
      <c r="E2979" s="78">
        <v>1</v>
      </c>
      <c r="F2979" s="78">
        <v>205421</v>
      </c>
      <c r="G2979" s="80" t="s">
        <v>1827</v>
      </c>
      <c r="H2979" s="79">
        <v>44260</v>
      </c>
      <c r="I2979" s="78">
        <v>52018</v>
      </c>
      <c r="J2979" s="78">
        <v>1</v>
      </c>
      <c r="K2979" s="79">
        <v>44263</v>
      </c>
      <c r="L2979" s="78">
        <v>11437</v>
      </c>
      <c r="M2979" s="78">
        <v>1</v>
      </c>
    </row>
    <row r="2980" spans="2:13" ht="14.1" customHeight="1" x14ac:dyDescent="0.25">
      <c r="B2980" s="78" t="str">
        <f t="shared" si="50"/>
        <v>2103-54-203593</v>
      </c>
      <c r="C2980" s="79">
        <v>44260</v>
      </c>
      <c r="D2980" s="78">
        <v>54</v>
      </c>
      <c r="E2980" s="78">
        <v>7500</v>
      </c>
      <c r="F2980" s="78">
        <v>203593</v>
      </c>
      <c r="G2980" s="80" t="s">
        <v>211</v>
      </c>
      <c r="H2980" s="79">
        <v>44264</v>
      </c>
      <c r="I2980" s="78">
        <v>52017</v>
      </c>
      <c r="J2980" s="78">
        <v>7500</v>
      </c>
      <c r="K2980" s="79">
        <v>44260</v>
      </c>
      <c r="L2980" s="78">
        <v>11423</v>
      </c>
      <c r="M2980" s="78">
        <v>7500</v>
      </c>
    </row>
    <row r="2981" spans="2:13" ht="14.1" customHeight="1" x14ac:dyDescent="0.25">
      <c r="B2981" s="78" t="str">
        <f t="shared" si="50"/>
        <v>2103-56-300500</v>
      </c>
      <c r="C2981" s="79">
        <v>44263</v>
      </c>
      <c r="D2981" s="78">
        <v>56</v>
      </c>
      <c r="E2981" s="78">
        <v>20</v>
      </c>
      <c r="F2981" s="78">
        <v>300500</v>
      </c>
      <c r="G2981" s="80" t="s">
        <v>346</v>
      </c>
      <c r="H2981" s="79">
        <v>44285</v>
      </c>
      <c r="I2981" s="78">
        <v>52312</v>
      </c>
      <c r="J2981" s="78">
        <v>20</v>
      </c>
      <c r="K2981" s="79">
        <v>44291</v>
      </c>
      <c r="L2981" s="78">
        <v>11690</v>
      </c>
      <c r="M2981" s="78">
        <v>20</v>
      </c>
    </row>
    <row r="2982" spans="2:13" ht="14.1" customHeight="1" x14ac:dyDescent="0.25">
      <c r="B2982" s="78" t="str">
        <f t="shared" si="50"/>
        <v>2103-57-320899</v>
      </c>
      <c r="C2982" s="79">
        <v>44263</v>
      </c>
      <c r="D2982" s="78">
        <v>57</v>
      </c>
      <c r="E2982" s="78">
        <v>9</v>
      </c>
      <c r="F2982" s="78">
        <v>320899</v>
      </c>
      <c r="G2982" s="80" t="s">
        <v>2054</v>
      </c>
      <c r="H2982" s="79">
        <v>44280</v>
      </c>
      <c r="I2982" s="78">
        <v>52268</v>
      </c>
      <c r="J2982" s="78">
        <v>9</v>
      </c>
      <c r="K2982" s="79">
        <v>44263</v>
      </c>
      <c r="L2982" s="78">
        <v>11436</v>
      </c>
      <c r="M2982" s="78">
        <v>9</v>
      </c>
    </row>
    <row r="2983" spans="2:13" ht="14.1" customHeight="1" x14ac:dyDescent="0.25">
      <c r="B2983" s="78" t="str">
        <f t="shared" si="50"/>
        <v>2103-57-320900</v>
      </c>
      <c r="C2983" s="79">
        <v>44263</v>
      </c>
      <c r="D2983" s="78">
        <v>57</v>
      </c>
      <c r="E2983" s="78">
        <v>2</v>
      </c>
      <c r="F2983" s="78">
        <v>320900</v>
      </c>
      <c r="G2983" s="80" t="s">
        <v>2053</v>
      </c>
      <c r="H2983" s="79">
        <v>44280</v>
      </c>
      <c r="I2983" s="78">
        <v>52268</v>
      </c>
      <c r="J2983" s="78">
        <v>2</v>
      </c>
      <c r="K2983" s="79">
        <v>44263</v>
      </c>
      <c r="L2983" s="78">
        <v>11436</v>
      </c>
      <c r="M2983" s="78">
        <v>2</v>
      </c>
    </row>
    <row r="2984" spans="2:13" ht="14.1" customHeight="1" x14ac:dyDescent="0.25">
      <c r="B2984" s="78" t="str">
        <f t="shared" si="50"/>
        <v>2103-58-205431</v>
      </c>
      <c r="C2984" s="79">
        <v>44263</v>
      </c>
      <c r="D2984" s="78">
        <v>58</v>
      </c>
      <c r="E2984" s="78">
        <v>1</v>
      </c>
      <c r="F2984" s="78">
        <v>205431</v>
      </c>
      <c r="G2984" s="80" t="s">
        <v>352</v>
      </c>
      <c r="H2984" s="79">
        <v>44264</v>
      </c>
      <c r="I2984" s="78">
        <v>52020</v>
      </c>
      <c r="J2984" s="78">
        <v>1</v>
      </c>
      <c r="K2984" s="79">
        <v>44264</v>
      </c>
      <c r="L2984" s="78">
        <v>11446</v>
      </c>
      <c r="M2984" s="78">
        <v>1</v>
      </c>
    </row>
    <row r="2985" spans="2:13" ht="14.1" customHeight="1" x14ac:dyDescent="0.25">
      <c r="B2985" s="78" t="str">
        <f t="shared" si="50"/>
        <v>2103-59-300285</v>
      </c>
      <c r="C2985" s="79">
        <v>44263</v>
      </c>
      <c r="D2985" s="78">
        <v>59</v>
      </c>
      <c r="E2985" s="78">
        <v>1</v>
      </c>
      <c r="F2985" s="78">
        <v>300285</v>
      </c>
      <c r="G2985" s="80" t="s">
        <v>1830</v>
      </c>
      <c r="H2985" s="79">
        <v>44285</v>
      </c>
      <c r="I2985" s="78">
        <v>52311</v>
      </c>
      <c r="J2985" s="78">
        <v>1</v>
      </c>
      <c r="K2985" s="79">
        <v>44299</v>
      </c>
      <c r="L2985" s="78">
        <v>11817</v>
      </c>
      <c r="M2985" s="78">
        <v>1</v>
      </c>
    </row>
    <row r="2986" spans="2:13" ht="14.1" customHeight="1" x14ac:dyDescent="0.25">
      <c r="B2986" s="78" t="str">
        <f t="shared" si="50"/>
        <v>2103-60-307377</v>
      </c>
      <c r="C2986" s="79">
        <v>44263</v>
      </c>
      <c r="D2986" s="78">
        <v>60</v>
      </c>
      <c r="E2986" s="78">
        <v>10</v>
      </c>
      <c r="F2986" s="78">
        <v>307377</v>
      </c>
      <c r="G2986" s="80" t="s">
        <v>308</v>
      </c>
      <c r="H2986" s="79">
        <v>44271</v>
      </c>
      <c r="I2986" s="78">
        <v>52140</v>
      </c>
      <c r="J2986" s="78">
        <v>10</v>
      </c>
      <c r="K2986" s="79">
        <v>44271</v>
      </c>
      <c r="L2986" s="78">
        <v>11536</v>
      </c>
      <c r="M2986" s="78">
        <v>10</v>
      </c>
    </row>
    <row r="2987" spans="2:13" ht="14.1" customHeight="1" x14ac:dyDescent="0.25">
      <c r="B2987" s="78" t="str">
        <f t="shared" si="50"/>
        <v>2103-60-307377</v>
      </c>
      <c r="C2987" s="79">
        <v>44263</v>
      </c>
      <c r="D2987" s="78">
        <v>60</v>
      </c>
      <c r="E2987" s="78">
        <v>3</v>
      </c>
      <c r="F2987" s="78">
        <v>307377</v>
      </c>
      <c r="G2987" s="80" t="s">
        <v>308</v>
      </c>
      <c r="H2987" s="79">
        <v>44271</v>
      </c>
      <c r="I2987" s="78">
        <v>52140</v>
      </c>
      <c r="J2987" s="78">
        <v>3</v>
      </c>
      <c r="K2987" s="79">
        <v>44271</v>
      </c>
      <c r="L2987" s="78">
        <v>11536</v>
      </c>
      <c r="M2987" s="78">
        <v>3</v>
      </c>
    </row>
    <row r="2988" spans="2:13" ht="14.1" customHeight="1" x14ac:dyDescent="0.25">
      <c r="B2988" s="78" t="str">
        <f t="shared" si="50"/>
        <v>2103-60-205777</v>
      </c>
      <c r="C2988" s="79">
        <v>44263</v>
      </c>
      <c r="D2988" s="78">
        <v>60</v>
      </c>
      <c r="E2988" s="78">
        <v>4</v>
      </c>
      <c r="F2988" s="78">
        <v>205777</v>
      </c>
      <c r="G2988" s="80" t="s">
        <v>1831</v>
      </c>
      <c r="H2988" s="79">
        <v>44271</v>
      </c>
      <c r="I2988" s="78">
        <v>52140</v>
      </c>
      <c r="J2988" s="78">
        <v>4</v>
      </c>
      <c r="K2988" s="79">
        <v>44271</v>
      </c>
      <c r="L2988" s="78">
        <v>11536</v>
      </c>
      <c r="M2988" s="78">
        <v>4</v>
      </c>
    </row>
    <row r="2989" spans="2:13" ht="14.1" customHeight="1" x14ac:dyDescent="0.25">
      <c r="B2989" s="78" t="str">
        <f t="shared" si="50"/>
        <v>2103-60-310318</v>
      </c>
      <c r="C2989" s="79">
        <v>44263</v>
      </c>
      <c r="D2989" s="78">
        <v>60</v>
      </c>
      <c r="E2989" s="78">
        <v>4</v>
      </c>
      <c r="F2989" s="78">
        <v>310318</v>
      </c>
      <c r="G2989" s="80" t="s">
        <v>1832</v>
      </c>
      <c r="H2989" s="79">
        <v>44271</v>
      </c>
      <c r="I2989" s="78">
        <v>52140</v>
      </c>
      <c r="J2989" s="78">
        <v>4</v>
      </c>
      <c r="K2989" s="79">
        <v>44271</v>
      </c>
      <c r="L2989" s="78">
        <v>11536</v>
      </c>
      <c r="M2989" s="78">
        <v>4</v>
      </c>
    </row>
    <row r="2990" spans="2:13" ht="14.1" customHeight="1" x14ac:dyDescent="0.25">
      <c r="B2990" s="78" t="str">
        <f t="shared" si="50"/>
        <v>2103-60-307887</v>
      </c>
      <c r="C2990" s="79">
        <v>44263</v>
      </c>
      <c r="D2990" s="78">
        <v>60</v>
      </c>
      <c r="E2990" s="78">
        <v>16</v>
      </c>
      <c r="F2990" s="78">
        <v>307887</v>
      </c>
      <c r="G2990" s="80" t="s">
        <v>1833</v>
      </c>
      <c r="H2990" s="79">
        <v>44271</v>
      </c>
      <c r="I2990" s="78">
        <v>52140</v>
      </c>
      <c r="J2990" s="78">
        <v>16</v>
      </c>
      <c r="K2990" s="79">
        <v>44271</v>
      </c>
      <c r="L2990" s="78">
        <v>11536</v>
      </c>
      <c r="M2990" s="78">
        <v>16</v>
      </c>
    </row>
    <row r="2991" spans="2:13" ht="14.1" customHeight="1" x14ac:dyDescent="0.25">
      <c r="B2991" s="78" t="str">
        <f t="shared" si="50"/>
        <v>2103-61-205115</v>
      </c>
      <c r="C2991" s="79">
        <v>44263</v>
      </c>
      <c r="D2991" s="78">
        <v>61</v>
      </c>
      <c r="E2991" s="78">
        <v>2</v>
      </c>
      <c r="F2991" s="78">
        <v>205115</v>
      </c>
      <c r="G2991" s="80" t="s">
        <v>282</v>
      </c>
      <c r="H2991" s="79">
        <v>44271</v>
      </c>
      <c r="I2991" s="78">
        <v>52120</v>
      </c>
      <c r="J2991" s="78">
        <v>2</v>
      </c>
      <c r="K2991" s="79">
        <v>44263</v>
      </c>
      <c r="L2991" s="78">
        <v>11438</v>
      </c>
      <c r="M2991" s="78">
        <v>2</v>
      </c>
    </row>
    <row r="2992" spans="2:13" ht="14.1" customHeight="1" x14ac:dyDescent="0.25">
      <c r="B2992" s="78" t="str">
        <f t="shared" si="50"/>
        <v>2103-62-105271</v>
      </c>
      <c r="C2992" s="79">
        <v>44263</v>
      </c>
      <c r="D2992" s="78">
        <v>62</v>
      </c>
      <c r="E2992" s="78">
        <v>2</v>
      </c>
      <c r="F2992" s="78">
        <v>105271</v>
      </c>
      <c r="G2992" s="80" t="s">
        <v>1221</v>
      </c>
      <c r="H2992" s="79">
        <v>44263</v>
      </c>
      <c r="I2992" s="78">
        <v>52019</v>
      </c>
      <c r="J2992" s="78">
        <v>2</v>
      </c>
      <c r="K2992" s="79">
        <v>44264</v>
      </c>
      <c r="L2992" s="78">
        <v>11445</v>
      </c>
      <c r="M2992" s="78">
        <v>2</v>
      </c>
    </row>
    <row r="2993" spans="2:13" ht="14.1" customHeight="1" x14ac:dyDescent="0.25">
      <c r="B2993" s="78" t="str">
        <f t="shared" si="50"/>
        <v>2103-62-312861</v>
      </c>
      <c r="C2993" s="79">
        <v>44263</v>
      </c>
      <c r="D2993" s="78">
        <v>62</v>
      </c>
      <c r="E2993" s="78">
        <v>2</v>
      </c>
      <c r="F2993" s="78">
        <v>312861</v>
      </c>
      <c r="G2993" s="80" t="s">
        <v>1834</v>
      </c>
      <c r="H2993" s="79">
        <v>44263</v>
      </c>
      <c r="I2993" s="78">
        <v>52019</v>
      </c>
      <c r="J2993" s="78">
        <v>2</v>
      </c>
      <c r="K2993" s="79">
        <v>44264</v>
      </c>
      <c r="L2993" s="78">
        <v>11445</v>
      </c>
      <c r="M2993" s="78">
        <v>2</v>
      </c>
    </row>
    <row r="2994" spans="2:13" ht="14.1" customHeight="1" x14ac:dyDescent="0.25">
      <c r="B2994" s="78" t="str">
        <f t="shared" si="50"/>
        <v>2103-63-206255</v>
      </c>
      <c r="C2994" s="79">
        <v>44263</v>
      </c>
      <c r="D2994" s="78">
        <v>63</v>
      </c>
      <c r="E2994" s="78">
        <v>2</v>
      </c>
      <c r="F2994" s="78">
        <v>206255</v>
      </c>
      <c r="G2994" s="80" t="s">
        <v>1143</v>
      </c>
      <c r="H2994" s="79">
        <v>44271</v>
      </c>
      <c r="I2994" s="78">
        <v>52139</v>
      </c>
      <c r="J2994" s="78">
        <v>2</v>
      </c>
      <c r="K2994" s="79">
        <v>44271</v>
      </c>
      <c r="L2994" s="78">
        <v>11535</v>
      </c>
      <c r="M2994" s="78">
        <v>2</v>
      </c>
    </row>
    <row r="2995" spans="2:13" ht="14.1" customHeight="1" x14ac:dyDescent="0.25">
      <c r="B2995" s="78" t="str">
        <f t="shared" si="50"/>
        <v>2103-63-312010</v>
      </c>
      <c r="C2995" s="79">
        <v>44263</v>
      </c>
      <c r="D2995" s="78">
        <v>63</v>
      </c>
      <c r="E2995" s="78">
        <v>1</v>
      </c>
      <c r="F2995" s="78">
        <v>312010</v>
      </c>
      <c r="G2995" s="80" t="s">
        <v>1452</v>
      </c>
      <c r="H2995" s="79">
        <v>44271</v>
      </c>
      <c r="I2995" s="78">
        <v>52139</v>
      </c>
      <c r="J2995" s="78">
        <v>1</v>
      </c>
      <c r="K2995" s="79">
        <v>44271</v>
      </c>
      <c r="L2995" s="78">
        <v>11535</v>
      </c>
      <c r="M2995" s="78">
        <v>1</v>
      </c>
    </row>
    <row r="2996" spans="2:13" ht="14.1" customHeight="1" x14ac:dyDescent="0.25">
      <c r="B2996" s="78" t="str">
        <f t="shared" si="50"/>
        <v>2103-63-305654</v>
      </c>
      <c r="C2996" s="79">
        <v>44263</v>
      </c>
      <c r="D2996" s="78">
        <v>63</v>
      </c>
      <c r="E2996" s="78">
        <v>1</v>
      </c>
      <c r="F2996" s="78">
        <v>305654</v>
      </c>
      <c r="G2996" s="80" t="s">
        <v>1835</v>
      </c>
      <c r="H2996" s="79">
        <v>44271</v>
      </c>
      <c r="I2996" s="78">
        <v>52139</v>
      </c>
      <c r="J2996" s="78">
        <v>1</v>
      </c>
      <c r="K2996" s="79">
        <v>44271</v>
      </c>
      <c r="L2996" s="78">
        <v>11535</v>
      </c>
      <c r="M2996" s="78">
        <v>1</v>
      </c>
    </row>
    <row r="2997" spans="2:13" ht="14.1" customHeight="1" x14ac:dyDescent="0.25">
      <c r="B2997" s="78" t="str">
        <f t="shared" si="50"/>
        <v>2103-64-200751</v>
      </c>
      <c r="C2997" s="79">
        <v>44263</v>
      </c>
      <c r="D2997" s="78">
        <v>64</v>
      </c>
      <c r="E2997" s="78">
        <v>30000</v>
      </c>
      <c r="F2997" s="78">
        <v>200751</v>
      </c>
      <c r="G2997" s="80" t="s">
        <v>151</v>
      </c>
      <c r="H2997" s="79">
        <v>44266</v>
      </c>
      <c r="I2997" s="78">
        <v>52077</v>
      </c>
      <c r="J2997" s="78">
        <v>10000</v>
      </c>
      <c r="K2997" s="79">
        <v>44265</v>
      </c>
      <c r="L2997" s="78">
        <v>11454</v>
      </c>
      <c r="M2997" s="78">
        <v>10000</v>
      </c>
    </row>
    <row r="2998" spans="2:13" ht="14.1" customHeight="1" x14ac:dyDescent="0.25">
      <c r="B2998" s="78" t="str">
        <f t="shared" si="50"/>
        <v>2103-64-200751</v>
      </c>
      <c r="C2998" s="79">
        <v>44263</v>
      </c>
      <c r="D2998" s="78">
        <v>64</v>
      </c>
      <c r="E2998" s="78">
        <v>30000</v>
      </c>
      <c r="F2998" s="78">
        <v>200751</v>
      </c>
      <c r="G2998" s="80" t="s">
        <v>151</v>
      </c>
      <c r="H2998" s="79">
        <v>44266</v>
      </c>
      <c r="I2998" s="78">
        <v>52077</v>
      </c>
      <c r="J2998" s="78">
        <v>10000</v>
      </c>
      <c r="K2998" s="79">
        <v>44265</v>
      </c>
      <c r="L2998" s="78">
        <v>11457</v>
      </c>
      <c r="M2998" s="78">
        <v>10000</v>
      </c>
    </row>
    <row r="2999" spans="2:13" ht="14.1" customHeight="1" x14ac:dyDescent="0.25">
      <c r="B2999" s="78" t="str">
        <f t="shared" si="50"/>
        <v>2103-64-200751</v>
      </c>
      <c r="C2999" s="79">
        <v>44263</v>
      </c>
      <c r="D2999" s="78">
        <v>64</v>
      </c>
      <c r="E2999" s="78">
        <v>30000</v>
      </c>
      <c r="F2999" s="78">
        <v>200751</v>
      </c>
      <c r="G2999" s="80" t="s">
        <v>151</v>
      </c>
      <c r="H2999" s="79">
        <v>44266</v>
      </c>
      <c r="I2999" s="78">
        <v>52077</v>
      </c>
      <c r="J2999" s="78">
        <v>10000</v>
      </c>
      <c r="K2999" s="79">
        <v>44270</v>
      </c>
      <c r="L2999" s="78">
        <v>11518</v>
      </c>
      <c r="M2999" s="78">
        <v>10000</v>
      </c>
    </row>
    <row r="3000" spans="2:13" ht="14.1" customHeight="1" x14ac:dyDescent="0.25">
      <c r="B3000" s="78" t="str">
        <f t="shared" si="50"/>
        <v>2103-64-200751</v>
      </c>
      <c r="C3000" s="79">
        <v>44263</v>
      </c>
      <c r="D3000" s="78">
        <v>64</v>
      </c>
      <c r="E3000" s="78">
        <v>30000</v>
      </c>
      <c r="F3000" s="78">
        <v>200751</v>
      </c>
      <c r="G3000" s="80" t="s">
        <v>151</v>
      </c>
      <c r="H3000" s="79">
        <v>44271</v>
      </c>
      <c r="I3000" s="78">
        <v>52121</v>
      </c>
      <c r="J3000" s="78">
        <v>10000</v>
      </c>
      <c r="K3000" s="79">
        <v>44265</v>
      </c>
      <c r="L3000" s="78">
        <v>11454</v>
      </c>
      <c r="M3000" s="78">
        <v>10000</v>
      </c>
    </row>
    <row r="3001" spans="2:13" ht="14.1" customHeight="1" x14ac:dyDescent="0.25">
      <c r="B3001" s="78" t="str">
        <f t="shared" si="50"/>
        <v>2103-64-200751</v>
      </c>
      <c r="C3001" s="79">
        <v>44263</v>
      </c>
      <c r="D3001" s="78">
        <v>64</v>
      </c>
      <c r="E3001" s="78">
        <v>30000</v>
      </c>
      <c r="F3001" s="78">
        <v>200751</v>
      </c>
      <c r="G3001" s="80" t="s">
        <v>151</v>
      </c>
      <c r="H3001" s="79">
        <v>44271</v>
      </c>
      <c r="I3001" s="78">
        <v>52121</v>
      </c>
      <c r="J3001" s="78">
        <v>10000</v>
      </c>
      <c r="K3001" s="79">
        <v>44265</v>
      </c>
      <c r="L3001" s="78">
        <v>11457</v>
      </c>
      <c r="M3001" s="78">
        <v>10000</v>
      </c>
    </row>
    <row r="3002" spans="2:13" ht="14.1" customHeight="1" x14ac:dyDescent="0.25">
      <c r="B3002" s="78" t="str">
        <f t="shared" si="50"/>
        <v>2103-64-200751</v>
      </c>
      <c r="C3002" s="79">
        <v>44263</v>
      </c>
      <c r="D3002" s="78">
        <v>64</v>
      </c>
      <c r="E3002" s="78">
        <v>30000</v>
      </c>
      <c r="F3002" s="78">
        <v>200751</v>
      </c>
      <c r="G3002" s="80" t="s">
        <v>151</v>
      </c>
      <c r="H3002" s="79">
        <v>44271</v>
      </c>
      <c r="I3002" s="78">
        <v>52121</v>
      </c>
      <c r="J3002" s="78">
        <v>10000</v>
      </c>
      <c r="K3002" s="79">
        <v>44270</v>
      </c>
      <c r="L3002" s="78">
        <v>11518</v>
      </c>
      <c r="M3002" s="78">
        <v>10000</v>
      </c>
    </row>
    <row r="3003" spans="2:13" ht="14.1" customHeight="1" x14ac:dyDescent="0.25">
      <c r="B3003" s="78" t="str">
        <f t="shared" si="50"/>
        <v>2103-64-200751</v>
      </c>
      <c r="C3003" s="79">
        <v>44263</v>
      </c>
      <c r="D3003" s="78">
        <v>64</v>
      </c>
      <c r="E3003" s="78">
        <v>30000</v>
      </c>
      <c r="F3003" s="78">
        <v>200751</v>
      </c>
      <c r="G3003" s="80" t="s">
        <v>151</v>
      </c>
      <c r="H3003" s="79">
        <v>44271</v>
      </c>
      <c r="I3003" s="78">
        <v>52124</v>
      </c>
      <c r="J3003" s="78">
        <v>10000</v>
      </c>
      <c r="K3003" s="79">
        <v>44265</v>
      </c>
      <c r="L3003" s="78">
        <v>11454</v>
      </c>
      <c r="M3003" s="78">
        <v>10000</v>
      </c>
    </row>
    <row r="3004" spans="2:13" ht="14.1" customHeight="1" x14ac:dyDescent="0.25">
      <c r="B3004" s="78" t="str">
        <f t="shared" si="50"/>
        <v>2103-64-200751</v>
      </c>
      <c r="C3004" s="79">
        <v>44263</v>
      </c>
      <c r="D3004" s="78">
        <v>64</v>
      </c>
      <c r="E3004" s="78">
        <v>30000</v>
      </c>
      <c r="F3004" s="78">
        <v>200751</v>
      </c>
      <c r="G3004" s="80" t="s">
        <v>151</v>
      </c>
      <c r="H3004" s="79">
        <v>44271</v>
      </c>
      <c r="I3004" s="78">
        <v>52124</v>
      </c>
      <c r="J3004" s="78">
        <v>10000</v>
      </c>
      <c r="K3004" s="79">
        <v>44265</v>
      </c>
      <c r="L3004" s="78">
        <v>11457</v>
      </c>
      <c r="M3004" s="78">
        <v>10000</v>
      </c>
    </row>
    <row r="3005" spans="2:13" ht="14.1" customHeight="1" x14ac:dyDescent="0.25">
      <c r="B3005" s="78" t="str">
        <f t="shared" si="50"/>
        <v>2103-64-200751</v>
      </c>
      <c r="C3005" s="79">
        <v>44263</v>
      </c>
      <c r="D3005" s="78">
        <v>64</v>
      </c>
      <c r="E3005" s="78">
        <v>30000</v>
      </c>
      <c r="F3005" s="78">
        <v>200751</v>
      </c>
      <c r="G3005" s="80" t="s">
        <v>151</v>
      </c>
      <c r="H3005" s="79">
        <v>44271</v>
      </c>
      <c r="I3005" s="78">
        <v>52124</v>
      </c>
      <c r="J3005" s="78">
        <v>10000</v>
      </c>
      <c r="K3005" s="79">
        <v>44270</v>
      </c>
      <c r="L3005" s="78">
        <v>11518</v>
      </c>
      <c r="M3005" s="78">
        <v>10000</v>
      </c>
    </row>
    <row r="3006" spans="2:13" ht="14.1" customHeight="1" x14ac:dyDescent="0.25">
      <c r="B3006" s="78" t="str">
        <f t="shared" si="50"/>
        <v>2103-65-300312</v>
      </c>
      <c r="C3006" s="79">
        <v>44263</v>
      </c>
      <c r="D3006" s="78">
        <v>65</v>
      </c>
      <c r="E3006" s="78">
        <v>1000</v>
      </c>
      <c r="F3006" s="78">
        <v>300312</v>
      </c>
      <c r="G3006" s="80" t="s">
        <v>186</v>
      </c>
      <c r="H3006" s="79">
        <v>44291</v>
      </c>
      <c r="I3006" s="78">
        <v>52358</v>
      </c>
      <c r="J3006" s="78">
        <v>1000</v>
      </c>
      <c r="K3006" s="79">
        <v>44263</v>
      </c>
      <c r="L3006" s="78">
        <v>11439</v>
      </c>
      <c r="M3006" s="78">
        <v>1000</v>
      </c>
    </row>
    <row r="3007" spans="2:13" ht="14.1" customHeight="1" x14ac:dyDescent="0.25">
      <c r="B3007" s="78" t="str">
        <f t="shared" si="50"/>
        <v>2103-66-205151</v>
      </c>
      <c r="C3007" s="79">
        <v>44264</v>
      </c>
      <c r="D3007" s="78">
        <v>66</v>
      </c>
      <c r="E3007" s="78">
        <v>1</v>
      </c>
      <c r="F3007" s="78">
        <v>205151</v>
      </c>
      <c r="G3007" s="80" t="s">
        <v>1836</v>
      </c>
      <c r="H3007" s="79"/>
      <c r="I3007" s="78">
        <v>0</v>
      </c>
      <c r="J3007" s="78">
        <v>0</v>
      </c>
      <c r="K3007" s="79"/>
      <c r="L3007" s="78">
        <v>0</v>
      </c>
      <c r="M3007" s="78">
        <v>0</v>
      </c>
    </row>
    <row r="3008" spans="2:13" ht="14.1" customHeight="1" x14ac:dyDescent="0.25">
      <c r="B3008" s="78" t="str">
        <f t="shared" si="50"/>
        <v>2103-66-206501</v>
      </c>
      <c r="C3008" s="79">
        <v>44264</v>
      </c>
      <c r="D3008" s="78">
        <v>66</v>
      </c>
      <c r="E3008" s="78">
        <v>1</v>
      </c>
      <c r="F3008" s="78">
        <v>206501</v>
      </c>
      <c r="G3008" s="80" t="s">
        <v>1838</v>
      </c>
      <c r="H3008" s="79"/>
      <c r="I3008" s="78">
        <v>0</v>
      </c>
      <c r="J3008" s="78">
        <v>0</v>
      </c>
      <c r="K3008" s="79"/>
      <c r="L3008" s="78">
        <v>0</v>
      </c>
      <c r="M3008" s="78">
        <v>0</v>
      </c>
    </row>
    <row r="3009" spans="2:13" ht="14.1" customHeight="1" x14ac:dyDescent="0.25">
      <c r="B3009" s="78" t="str">
        <f t="shared" si="50"/>
        <v>2103-66-314177</v>
      </c>
      <c r="C3009" s="79">
        <v>44264</v>
      </c>
      <c r="D3009" s="78">
        <v>66</v>
      </c>
      <c r="E3009" s="78">
        <v>1</v>
      </c>
      <c r="F3009" s="78">
        <v>314177</v>
      </c>
      <c r="G3009" s="80" t="s">
        <v>1220</v>
      </c>
      <c r="H3009" s="79"/>
      <c r="I3009" s="78">
        <v>0</v>
      </c>
      <c r="J3009" s="78">
        <v>0</v>
      </c>
      <c r="K3009" s="79"/>
      <c r="L3009" s="78">
        <v>0</v>
      </c>
      <c r="M3009" s="78">
        <v>0</v>
      </c>
    </row>
    <row r="3010" spans="2:13" ht="14.1" customHeight="1" x14ac:dyDescent="0.25">
      <c r="B3010" s="78" t="str">
        <f t="shared" si="50"/>
        <v>2103-66-206452</v>
      </c>
      <c r="C3010" s="79">
        <v>44264</v>
      </c>
      <c r="D3010" s="78">
        <v>66</v>
      </c>
      <c r="E3010" s="78">
        <v>1</v>
      </c>
      <c r="F3010" s="78">
        <v>206452</v>
      </c>
      <c r="G3010" s="80" t="s">
        <v>1839</v>
      </c>
      <c r="H3010" s="79"/>
      <c r="I3010" s="78">
        <v>0</v>
      </c>
      <c r="J3010" s="78">
        <v>0</v>
      </c>
      <c r="K3010" s="79"/>
      <c r="L3010" s="78">
        <v>0</v>
      </c>
      <c r="M3010" s="78">
        <v>0</v>
      </c>
    </row>
    <row r="3011" spans="2:13" ht="14.1" customHeight="1" x14ac:dyDescent="0.25">
      <c r="B3011" s="78" t="str">
        <f t="shared" si="50"/>
        <v>2103-66-203369</v>
      </c>
      <c r="C3011" s="79">
        <v>44264</v>
      </c>
      <c r="D3011" s="78">
        <v>66</v>
      </c>
      <c r="E3011" s="78">
        <v>1</v>
      </c>
      <c r="F3011" s="78">
        <v>203369</v>
      </c>
      <c r="G3011" s="80" t="s">
        <v>1837</v>
      </c>
      <c r="H3011" s="79"/>
      <c r="I3011" s="78">
        <v>0</v>
      </c>
      <c r="J3011" s="78">
        <v>0</v>
      </c>
      <c r="K3011" s="79"/>
      <c r="L3011" s="78">
        <v>0</v>
      </c>
      <c r="M3011" s="78">
        <v>0</v>
      </c>
    </row>
    <row r="3012" spans="2:13" ht="14.1" customHeight="1" x14ac:dyDescent="0.25">
      <c r="B3012" s="78" t="str">
        <f t="shared" si="50"/>
        <v>2103-66-311393</v>
      </c>
      <c r="C3012" s="79">
        <v>44264</v>
      </c>
      <c r="D3012" s="78">
        <v>66</v>
      </c>
      <c r="E3012" s="78">
        <v>1</v>
      </c>
      <c r="F3012" s="78">
        <v>311393</v>
      </c>
      <c r="G3012" s="80" t="s">
        <v>334</v>
      </c>
      <c r="H3012" s="79"/>
      <c r="I3012" s="78">
        <v>0</v>
      </c>
      <c r="J3012" s="78">
        <v>0</v>
      </c>
      <c r="K3012" s="79"/>
      <c r="L3012" s="78">
        <v>0</v>
      </c>
      <c r="M3012" s="78">
        <v>0</v>
      </c>
    </row>
    <row r="3013" spans="2:13" ht="14.1" customHeight="1" x14ac:dyDescent="0.25">
      <c r="B3013" s="78" t="str">
        <f t="shared" si="50"/>
        <v>2103-67-306986</v>
      </c>
      <c r="C3013" s="79">
        <v>44264</v>
      </c>
      <c r="D3013" s="78">
        <v>67</v>
      </c>
      <c r="E3013" s="78">
        <v>4</v>
      </c>
      <c r="F3013" s="78">
        <v>306986</v>
      </c>
      <c r="G3013" s="80" t="s">
        <v>1841</v>
      </c>
      <c r="H3013" s="79"/>
      <c r="I3013" s="78">
        <v>0</v>
      </c>
      <c r="J3013" s="78">
        <v>0</v>
      </c>
      <c r="K3013" s="79"/>
      <c r="L3013" s="78">
        <v>0</v>
      </c>
      <c r="M3013" s="78">
        <v>0</v>
      </c>
    </row>
    <row r="3014" spans="2:13" ht="14.1" customHeight="1" x14ac:dyDescent="0.25">
      <c r="B3014" s="78" t="str">
        <f t="shared" si="50"/>
        <v>2103-67-309501</v>
      </c>
      <c r="C3014" s="79">
        <v>44264</v>
      </c>
      <c r="D3014" s="78">
        <v>67</v>
      </c>
      <c r="E3014" s="78">
        <v>50</v>
      </c>
      <c r="F3014" s="78">
        <v>309501</v>
      </c>
      <c r="G3014" s="80" t="s">
        <v>1840</v>
      </c>
      <c r="H3014" s="79"/>
      <c r="I3014" s="78">
        <v>0</v>
      </c>
      <c r="J3014" s="78">
        <v>0</v>
      </c>
      <c r="K3014" s="79"/>
      <c r="L3014" s="78">
        <v>0</v>
      </c>
      <c r="M3014" s="78">
        <v>0</v>
      </c>
    </row>
    <row r="3015" spans="2:13" ht="14.1" customHeight="1" x14ac:dyDescent="0.25">
      <c r="B3015" s="78" t="str">
        <f t="shared" si="50"/>
        <v>2103-69-320904</v>
      </c>
      <c r="C3015" s="79">
        <v>44264</v>
      </c>
      <c r="D3015" s="78">
        <v>69</v>
      </c>
      <c r="E3015" s="78">
        <v>18</v>
      </c>
      <c r="F3015" s="78">
        <v>320904</v>
      </c>
      <c r="G3015" s="80" t="s">
        <v>1842</v>
      </c>
      <c r="H3015" s="79">
        <v>44279</v>
      </c>
      <c r="I3015" s="78">
        <v>52257</v>
      </c>
      <c r="J3015" s="78">
        <v>18</v>
      </c>
      <c r="K3015" s="79">
        <v>44298</v>
      </c>
      <c r="L3015" s="78">
        <v>11786</v>
      </c>
      <c r="M3015" s="78">
        <v>18</v>
      </c>
    </row>
    <row r="3016" spans="2:13" ht="14.1" customHeight="1" x14ac:dyDescent="0.25">
      <c r="B3016" s="78" t="str">
        <f t="shared" si="50"/>
        <v>2103-70-311304</v>
      </c>
      <c r="C3016" s="79">
        <v>44264</v>
      </c>
      <c r="D3016" s="78">
        <v>70</v>
      </c>
      <c r="E3016" s="78">
        <v>1</v>
      </c>
      <c r="F3016" s="78">
        <v>311304</v>
      </c>
      <c r="G3016" s="80" t="s">
        <v>1843</v>
      </c>
      <c r="H3016" s="79">
        <v>44266</v>
      </c>
      <c r="I3016" s="78">
        <v>52070</v>
      </c>
      <c r="J3016" s="78">
        <v>1</v>
      </c>
      <c r="K3016" s="79">
        <v>44270</v>
      </c>
      <c r="L3016" s="78">
        <v>11514</v>
      </c>
      <c r="M3016" s="78">
        <v>1</v>
      </c>
    </row>
    <row r="3017" spans="2:13" ht="14.1" customHeight="1" x14ac:dyDescent="0.25">
      <c r="B3017" s="78" t="str">
        <f t="shared" si="50"/>
        <v>2103-71-206122</v>
      </c>
      <c r="C3017" s="79">
        <v>44264</v>
      </c>
      <c r="D3017" s="78">
        <v>71</v>
      </c>
      <c r="E3017" s="78">
        <v>2</v>
      </c>
      <c r="F3017" s="78">
        <v>206122</v>
      </c>
      <c r="G3017" s="80" t="s">
        <v>1845</v>
      </c>
      <c r="H3017" s="79">
        <v>44279</v>
      </c>
      <c r="I3017" s="78">
        <v>52260</v>
      </c>
      <c r="J3017" s="78">
        <v>2</v>
      </c>
      <c r="K3017" s="79">
        <v>44284</v>
      </c>
      <c r="L3017" s="78">
        <v>11666</v>
      </c>
      <c r="M3017" s="78">
        <v>2</v>
      </c>
    </row>
    <row r="3018" spans="2:13" ht="14.1" customHeight="1" x14ac:dyDescent="0.25">
      <c r="B3018" s="78" t="str">
        <f t="shared" si="50"/>
        <v>2103-71-310273</v>
      </c>
      <c r="C3018" s="79">
        <v>44264</v>
      </c>
      <c r="D3018" s="78">
        <v>71</v>
      </c>
      <c r="E3018" s="78">
        <v>2</v>
      </c>
      <c r="F3018" s="78">
        <v>310273</v>
      </c>
      <c r="G3018" s="80" t="s">
        <v>1844</v>
      </c>
      <c r="H3018" s="79">
        <v>44279</v>
      </c>
      <c r="I3018" s="78">
        <v>52258</v>
      </c>
      <c r="J3018" s="78">
        <v>2</v>
      </c>
      <c r="K3018" s="79"/>
      <c r="L3018" s="78">
        <v>0</v>
      </c>
      <c r="M3018" s="78">
        <v>0</v>
      </c>
    </row>
    <row r="3019" spans="2:13" ht="14.1" customHeight="1" x14ac:dyDescent="0.25">
      <c r="B3019" s="78" t="str">
        <f t="shared" si="50"/>
        <v>2103-71-301219</v>
      </c>
      <c r="C3019" s="79">
        <v>44264</v>
      </c>
      <c r="D3019" s="78">
        <v>71</v>
      </c>
      <c r="E3019" s="78">
        <v>2</v>
      </c>
      <c r="F3019" s="78">
        <v>301219</v>
      </c>
      <c r="G3019" s="80" t="s">
        <v>121</v>
      </c>
      <c r="H3019" s="79">
        <v>44279</v>
      </c>
      <c r="I3019" s="78">
        <v>52258</v>
      </c>
      <c r="J3019" s="78">
        <v>2</v>
      </c>
      <c r="K3019" s="79">
        <v>44281</v>
      </c>
      <c r="L3019" s="78">
        <v>11662</v>
      </c>
      <c r="M3019" s="78">
        <v>2</v>
      </c>
    </row>
    <row r="3020" spans="2:13" ht="14.1" customHeight="1" x14ac:dyDescent="0.25">
      <c r="B3020" s="78" t="str">
        <f t="shared" si="50"/>
        <v>2103-72-303510</v>
      </c>
      <c r="C3020" s="79">
        <v>44264</v>
      </c>
      <c r="D3020" s="78">
        <v>72</v>
      </c>
      <c r="E3020" s="78">
        <v>1</v>
      </c>
      <c r="F3020" s="78">
        <v>303510</v>
      </c>
      <c r="G3020" s="80" t="s">
        <v>262</v>
      </c>
      <c r="H3020" s="79">
        <v>44299</v>
      </c>
      <c r="I3020" s="78">
        <v>52460</v>
      </c>
      <c r="J3020" s="78">
        <v>1</v>
      </c>
      <c r="K3020" s="79"/>
      <c r="L3020" s="78">
        <v>0</v>
      </c>
      <c r="M3020" s="78">
        <v>0</v>
      </c>
    </row>
    <row r="3021" spans="2:13" ht="14.1" customHeight="1" x14ac:dyDescent="0.25">
      <c r="B3021" s="78" t="str">
        <f t="shared" si="50"/>
        <v>2103-72-308890</v>
      </c>
      <c r="C3021" s="79">
        <v>44264</v>
      </c>
      <c r="D3021" s="78">
        <v>72</v>
      </c>
      <c r="E3021" s="78">
        <v>3</v>
      </c>
      <c r="F3021" s="78">
        <v>308890</v>
      </c>
      <c r="G3021" s="80" t="s">
        <v>52</v>
      </c>
      <c r="H3021" s="79">
        <v>44299</v>
      </c>
      <c r="I3021" s="78">
        <v>52457</v>
      </c>
      <c r="J3021" s="78">
        <v>3</v>
      </c>
      <c r="K3021" s="79"/>
      <c r="L3021" s="78">
        <v>0</v>
      </c>
      <c r="M3021" s="78">
        <v>0</v>
      </c>
    </row>
    <row r="3022" spans="2:13" ht="14.1" customHeight="1" x14ac:dyDescent="0.25">
      <c r="B3022" s="78" t="str">
        <f t="shared" si="50"/>
        <v>2103-72-307320</v>
      </c>
      <c r="C3022" s="79">
        <v>44264</v>
      </c>
      <c r="D3022" s="78">
        <v>72</v>
      </c>
      <c r="E3022" s="78">
        <v>2</v>
      </c>
      <c r="F3022" s="78">
        <v>307320</v>
      </c>
      <c r="G3022" s="80" t="s">
        <v>284</v>
      </c>
      <c r="H3022" s="79">
        <v>44299</v>
      </c>
      <c r="I3022" s="78">
        <v>52457</v>
      </c>
      <c r="J3022" s="78">
        <v>2</v>
      </c>
      <c r="K3022" s="79"/>
      <c r="L3022" s="78">
        <v>0</v>
      </c>
      <c r="M3022" s="78">
        <v>0</v>
      </c>
    </row>
    <row r="3023" spans="2:13" ht="14.1" customHeight="1" x14ac:dyDescent="0.25">
      <c r="B3023" s="78" t="str">
        <f t="shared" si="50"/>
        <v>2103-72-200267</v>
      </c>
      <c r="C3023" s="79">
        <v>44264</v>
      </c>
      <c r="D3023" s="78">
        <v>72</v>
      </c>
      <c r="E3023" s="78">
        <v>6</v>
      </c>
      <c r="F3023" s="78">
        <v>200267</v>
      </c>
      <c r="G3023" s="80" t="s">
        <v>1053</v>
      </c>
      <c r="H3023" s="79">
        <v>44299</v>
      </c>
      <c r="I3023" s="78">
        <v>52478</v>
      </c>
      <c r="J3023" s="78">
        <v>6</v>
      </c>
      <c r="K3023" s="79"/>
      <c r="L3023" s="78">
        <v>0</v>
      </c>
      <c r="M3023" s="78">
        <v>0</v>
      </c>
    </row>
    <row r="3024" spans="2:13" ht="14.1" customHeight="1" x14ac:dyDescent="0.25">
      <c r="B3024" s="78" t="str">
        <f t="shared" si="50"/>
        <v>2103-72-320913</v>
      </c>
      <c r="C3024" s="79">
        <v>44264</v>
      </c>
      <c r="D3024" s="78">
        <v>72</v>
      </c>
      <c r="E3024" s="78">
        <v>1</v>
      </c>
      <c r="F3024" s="78">
        <v>320913</v>
      </c>
      <c r="G3024" s="80" t="s">
        <v>1846</v>
      </c>
      <c r="H3024" s="79"/>
      <c r="I3024" s="78">
        <v>0</v>
      </c>
      <c r="J3024" s="78">
        <v>0</v>
      </c>
      <c r="K3024" s="79"/>
      <c r="L3024" s="78">
        <v>0</v>
      </c>
      <c r="M3024" s="78">
        <v>0</v>
      </c>
    </row>
    <row r="3025" spans="2:13" ht="14.1" customHeight="1" x14ac:dyDescent="0.25">
      <c r="B3025" s="78" t="str">
        <f t="shared" si="50"/>
        <v>2103-73-100124</v>
      </c>
      <c r="C3025" s="79">
        <v>44264</v>
      </c>
      <c r="D3025" s="78">
        <v>73</v>
      </c>
      <c r="E3025" s="78">
        <v>2</v>
      </c>
      <c r="F3025" s="78">
        <v>100124</v>
      </c>
      <c r="G3025" s="80" t="s">
        <v>1849</v>
      </c>
      <c r="H3025" s="79">
        <v>44292</v>
      </c>
      <c r="I3025" s="78">
        <v>52377</v>
      </c>
      <c r="J3025" s="78">
        <v>2</v>
      </c>
      <c r="K3025" s="79"/>
      <c r="L3025" s="78">
        <v>0</v>
      </c>
      <c r="M3025" s="78">
        <v>0</v>
      </c>
    </row>
    <row r="3026" spans="2:13" ht="14.1" customHeight="1" x14ac:dyDescent="0.25">
      <c r="B3026" s="78" t="str">
        <f t="shared" si="50"/>
        <v>2103-73-105161</v>
      </c>
      <c r="C3026" s="79">
        <v>44264</v>
      </c>
      <c r="D3026" s="78">
        <v>73</v>
      </c>
      <c r="E3026" s="78">
        <v>6</v>
      </c>
      <c r="F3026" s="78">
        <v>105161</v>
      </c>
      <c r="G3026" s="80" t="s">
        <v>1848</v>
      </c>
      <c r="H3026" s="79">
        <v>44292</v>
      </c>
      <c r="I3026" s="78">
        <v>52368</v>
      </c>
      <c r="J3026" s="78">
        <v>6</v>
      </c>
      <c r="K3026" s="79"/>
      <c r="L3026" s="78">
        <v>0</v>
      </c>
      <c r="M3026" s="78">
        <v>0</v>
      </c>
    </row>
    <row r="3027" spans="2:13" ht="14.1" customHeight="1" x14ac:dyDescent="0.25">
      <c r="B3027" s="78" t="str">
        <f t="shared" si="50"/>
        <v>2103-73-308582</v>
      </c>
      <c r="C3027" s="79">
        <v>44264</v>
      </c>
      <c r="D3027" s="78">
        <v>73</v>
      </c>
      <c r="E3027" s="78">
        <v>12</v>
      </c>
      <c r="F3027" s="78">
        <v>308582</v>
      </c>
      <c r="G3027" s="80" t="s">
        <v>1847</v>
      </c>
      <c r="H3027" s="79">
        <v>44292</v>
      </c>
      <c r="I3027" s="78">
        <v>52367</v>
      </c>
      <c r="J3027" s="78">
        <v>12</v>
      </c>
      <c r="K3027" s="79">
        <v>44298</v>
      </c>
      <c r="L3027" s="78">
        <v>11785</v>
      </c>
      <c r="M3027" s="78">
        <v>12</v>
      </c>
    </row>
    <row r="3028" spans="2:13" ht="14.1" customHeight="1" x14ac:dyDescent="0.25">
      <c r="B3028" s="78" t="str">
        <f t="shared" si="50"/>
        <v>2103-73-316401</v>
      </c>
      <c r="C3028" s="79">
        <v>44264</v>
      </c>
      <c r="D3028" s="78">
        <v>73</v>
      </c>
      <c r="E3028" s="78">
        <v>2</v>
      </c>
      <c r="F3028" s="78">
        <v>316401</v>
      </c>
      <c r="G3028" s="80" t="s">
        <v>309</v>
      </c>
      <c r="H3028" s="79">
        <v>44292</v>
      </c>
      <c r="I3028" s="78">
        <v>52377</v>
      </c>
      <c r="J3028" s="78">
        <v>2</v>
      </c>
      <c r="K3028" s="79"/>
      <c r="L3028" s="78">
        <v>0</v>
      </c>
      <c r="M3028" s="78">
        <v>0</v>
      </c>
    </row>
    <row r="3029" spans="2:13" ht="14.1" customHeight="1" x14ac:dyDescent="0.25">
      <c r="B3029" s="78" t="str">
        <f t="shared" si="50"/>
        <v>2103-74-203569</v>
      </c>
      <c r="C3029" s="79">
        <v>44264</v>
      </c>
      <c r="D3029" s="78">
        <v>74</v>
      </c>
      <c r="E3029" s="78">
        <v>15</v>
      </c>
      <c r="F3029" s="78">
        <v>203569</v>
      </c>
      <c r="G3029" s="80" t="s">
        <v>1142</v>
      </c>
      <c r="H3029" s="79">
        <v>44265</v>
      </c>
      <c r="I3029" s="78">
        <v>52038</v>
      </c>
      <c r="J3029" s="78">
        <v>15</v>
      </c>
      <c r="K3029" s="79">
        <v>44280</v>
      </c>
      <c r="L3029" s="78">
        <v>11638</v>
      </c>
      <c r="M3029" s="78">
        <v>12</v>
      </c>
    </row>
    <row r="3030" spans="2:13" ht="14.1" customHeight="1" x14ac:dyDescent="0.25">
      <c r="B3030" s="78" t="str">
        <f t="shared" si="50"/>
        <v>2103-75-203593</v>
      </c>
      <c r="C3030" s="79">
        <v>44264</v>
      </c>
      <c r="D3030" s="78">
        <v>75</v>
      </c>
      <c r="E3030" s="78">
        <v>15029</v>
      </c>
      <c r="F3030" s="78">
        <v>203593</v>
      </c>
      <c r="G3030" s="80" t="s">
        <v>211</v>
      </c>
      <c r="H3030" s="79">
        <v>44264</v>
      </c>
      <c r="I3030" s="78">
        <v>52021</v>
      </c>
      <c r="J3030" s="78">
        <v>15029</v>
      </c>
      <c r="K3030" s="79">
        <v>44264</v>
      </c>
      <c r="L3030" s="78">
        <v>11449</v>
      </c>
      <c r="M3030" s="78">
        <v>15029</v>
      </c>
    </row>
    <row r="3031" spans="2:13" ht="14.1" customHeight="1" x14ac:dyDescent="0.25">
      <c r="B3031" s="78" t="str">
        <f t="shared" si="50"/>
        <v>2103-77-105642</v>
      </c>
      <c r="C3031" s="79">
        <v>44264</v>
      </c>
      <c r="D3031" s="78">
        <v>77</v>
      </c>
      <c r="E3031" s="78">
        <v>1</v>
      </c>
      <c r="F3031" s="78">
        <v>105642</v>
      </c>
      <c r="G3031" s="80" t="s">
        <v>1853</v>
      </c>
      <c r="H3031" s="79">
        <v>44270</v>
      </c>
      <c r="I3031" s="78">
        <v>52101</v>
      </c>
      <c r="J3031" s="78">
        <v>1</v>
      </c>
      <c r="K3031" s="79"/>
      <c r="L3031" s="78">
        <v>0</v>
      </c>
      <c r="M3031" s="78">
        <v>0</v>
      </c>
    </row>
    <row r="3032" spans="2:13" ht="14.1" customHeight="1" x14ac:dyDescent="0.25">
      <c r="B3032" s="78" t="str">
        <f t="shared" si="50"/>
        <v>2103-77-313335</v>
      </c>
      <c r="C3032" s="79">
        <v>44264</v>
      </c>
      <c r="D3032" s="78">
        <v>77</v>
      </c>
      <c r="E3032" s="78">
        <v>1</v>
      </c>
      <c r="F3032" s="78">
        <v>313335</v>
      </c>
      <c r="G3032" s="80" t="s">
        <v>1855</v>
      </c>
      <c r="H3032" s="79">
        <v>44270</v>
      </c>
      <c r="I3032" s="78">
        <v>52101</v>
      </c>
      <c r="J3032" s="78">
        <v>1</v>
      </c>
      <c r="K3032" s="79"/>
      <c r="L3032" s="78">
        <v>0</v>
      </c>
      <c r="M3032" s="78">
        <v>0</v>
      </c>
    </row>
    <row r="3033" spans="2:13" ht="14.1" customHeight="1" x14ac:dyDescent="0.25">
      <c r="B3033" s="78" t="str">
        <f t="shared" si="50"/>
        <v>2103-77-205203</v>
      </c>
      <c r="C3033" s="79">
        <v>44264</v>
      </c>
      <c r="D3033" s="78">
        <v>77</v>
      </c>
      <c r="E3033" s="78">
        <v>1</v>
      </c>
      <c r="F3033" s="78">
        <v>205203</v>
      </c>
      <c r="G3033" s="80" t="s">
        <v>1851</v>
      </c>
      <c r="H3033" s="79">
        <v>44270</v>
      </c>
      <c r="I3033" s="78">
        <v>52101</v>
      </c>
      <c r="J3033" s="78">
        <v>1</v>
      </c>
      <c r="K3033" s="79"/>
      <c r="L3033" s="78">
        <v>0</v>
      </c>
      <c r="M3033" s="78">
        <v>0</v>
      </c>
    </row>
    <row r="3034" spans="2:13" ht="14.1" customHeight="1" x14ac:dyDescent="0.25">
      <c r="B3034" s="78" t="str">
        <f t="shared" si="50"/>
        <v>2103-77-106955</v>
      </c>
      <c r="C3034" s="79">
        <v>44264</v>
      </c>
      <c r="D3034" s="78">
        <v>77</v>
      </c>
      <c r="E3034" s="78">
        <v>1</v>
      </c>
      <c r="F3034" s="78">
        <v>106955</v>
      </c>
      <c r="G3034" s="80" t="s">
        <v>476</v>
      </c>
      <c r="H3034" s="79">
        <v>44270</v>
      </c>
      <c r="I3034" s="78">
        <v>52101</v>
      </c>
      <c r="J3034" s="78">
        <v>1</v>
      </c>
      <c r="K3034" s="79"/>
      <c r="L3034" s="78">
        <v>0</v>
      </c>
      <c r="M3034" s="78">
        <v>0</v>
      </c>
    </row>
    <row r="3035" spans="2:13" ht="14.1" customHeight="1" x14ac:dyDescent="0.25">
      <c r="B3035" s="78" t="str">
        <f t="shared" si="50"/>
        <v>2103-77-310755</v>
      </c>
      <c r="C3035" s="79">
        <v>44264</v>
      </c>
      <c r="D3035" s="78">
        <v>77</v>
      </c>
      <c r="E3035" s="78">
        <v>12</v>
      </c>
      <c r="F3035" s="78">
        <v>310755</v>
      </c>
      <c r="G3035" s="80" t="s">
        <v>779</v>
      </c>
      <c r="H3035" s="79">
        <v>44270</v>
      </c>
      <c r="I3035" s="78">
        <v>52101</v>
      </c>
      <c r="J3035" s="78">
        <v>12</v>
      </c>
      <c r="K3035" s="79"/>
      <c r="L3035" s="78">
        <v>0</v>
      </c>
      <c r="M3035" s="78">
        <v>0</v>
      </c>
    </row>
    <row r="3036" spans="2:13" ht="14.1" customHeight="1" x14ac:dyDescent="0.25">
      <c r="B3036" s="78" t="str">
        <f t="shared" si="50"/>
        <v>2103-77-205202</v>
      </c>
      <c r="C3036" s="79">
        <v>44264</v>
      </c>
      <c r="D3036" s="78">
        <v>77</v>
      </c>
      <c r="E3036" s="78">
        <v>1</v>
      </c>
      <c r="F3036" s="78">
        <v>205202</v>
      </c>
      <c r="G3036" s="80" t="s">
        <v>1132</v>
      </c>
      <c r="H3036" s="79">
        <v>44270</v>
      </c>
      <c r="I3036" s="78">
        <v>52101</v>
      </c>
      <c r="J3036" s="78">
        <v>1</v>
      </c>
      <c r="K3036" s="79"/>
      <c r="L3036" s="78">
        <v>0</v>
      </c>
      <c r="M3036" s="78">
        <v>0</v>
      </c>
    </row>
    <row r="3037" spans="2:13" ht="14.1" customHeight="1" x14ac:dyDescent="0.25">
      <c r="B3037" s="78" t="str">
        <f t="shared" si="50"/>
        <v>2103-77-310365</v>
      </c>
      <c r="C3037" s="79">
        <v>44264</v>
      </c>
      <c r="D3037" s="78">
        <v>77</v>
      </c>
      <c r="E3037" s="78">
        <v>6</v>
      </c>
      <c r="F3037" s="78">
        <v>310365</v>
      </c>
      <c r="G3037" s="80" t="s">
        <v>971</v>
      </c>
      <c r="H3037" s="79">
        <v>44270</v>
      </c>
      <c r="I3037" s="78">
        <v>52101</v>
      </c>
      <c r="J3037" s="78">
        <v>6</v>
      </c>
      <c r="K3037" s="79"/>
      <c r="L3037" s="78">
        <v>0</v>
      </c>
      <c r="M3037" s="78">
        <v>0</v>
      </c>
    </row>
    <row r="3038" spans="2:13" ht="14.1" customHeight="1" x14ac:dyDescent="0.25">
      <c r="B3038" s="78" t="str">
        <f t="shared" si="50"/>
        <v>2103-77-204531</v>
      </c>
      <c r="C3038" s="79">
        <v>44264</v>
      </c>
      <c r="D3038" s="78">
        <v>77</v>
      </c>
      <c r="E3038" s="78">
        <v>1</v>
      </c>
      <c r="F3038" s="78">
        <v>204531</v>
      </c>
      <c r="G3038" s="80" t="s">
        <v>330</v>
      </c>
      <c r="H3038" s="79">
        <v>44270</v>
      </c>
      <c r="I3038" s="78">
        <v>52101</v>
      </c>
      <c r="J3038" s="78">
        <v>1</v>
      </c>
      <c r="K3038" s="79"/>
      <c r="L3038" s="78">
        <v>0</v>
      </c>
      <c r="M3038" s="78">
        <v>0</v>
      </c>
    </row>
    <row r="3039" spans="2:13" ht="14.1" customHeight="1" x14ac:dyDescent="0.25">
      <c r="B3039" s="78" t="str">
        <f t="shared" si="50"/>
        <v>2103-77-313336</v>
      </c>
      <c r="C3039" s="79">
        <v>44264</v>
      </c>
      <c r="D3039" s="78">
        <v>77</v>
      </c>
      <c r="E3039" s="78">
        <v>6</v>
      </c>
      <c r="F3039" s="78">
        <v>313336</v>
      </c>
      <c r="G3039" s="80" t="s">
        <v>1850</v>
      </c>
      <c r="H3039" s="79">
        <v>44270</v>
      </c>
      <c r="I3039" s="78">
        <v>52101</v>
      </c>
      <c r="J3039" s="78">
        <v>6</v>
      </c>
      <c r="K3039" s="79"/>
      <c r="L3039" s="78">
        <v>0</v>
      </c>
      <c r="M3039" s="78">
        <v>0</v>
      </c>
    </row>
    <row r="3040" spans="2:13" ht="14.1" customHeight="1" x14ac:dyDescent="0.25">
      <c r="B3040" s="78" t="str">
        <f t="shared" si="50"/>
        <v>2103-77-205624</v>
      </c>
      <c r="C3040" s="79">
        <v>44264</v>
      </c>
      <c r="D3040" s="78">
        <v>77</v>
      </c>
      <c r="E3040" s="78">
        <v>1</v>
      </c>
      <c r="F3040" s="78">
        <v>205624</v>
      </c>
      <c r="G3040" s="80" t="s">
        <v>389</v>
      </c>
      <c r="H3040" s="79">
        <v>44270</v>
      </c>
      <c r="I3040" s="78">
        <v>52101</v>
      </c>
      <c r="J3040" s="78">
        <v>1</v>
      </c>
      <c r="K3040" s="79"/>
      <c r="L3040" s="78">
        <v>0</v>
      </c>
      <c r="M3040" s="78">
        <v>0</v>
      </c>
    </row>
    <row r="3041" spans="2:13" ht="14.1" customHeight="1" x14ac:dyDescent="0.25">
      <c r="B3041" s="78" t="str">
        <f t="shared" ref="B3041:B3104" si="51">TEXT(C3041,"yy") &amp; TEXT(C3041,"mm") &amp;"-"&amp;(D3041) &amp;"-"&amp;(F3041)</f>
        <v>2103-77-204532</v>
      </c>
      <c r="C3041" s="79">
        <v>44264</v>
      </c>
      <c r="D3041" s="78">
        <v>77</v>
      </c>
      <c r="E3041" s="78">
        <v>1</v>
      </c>
      <c r="F3041" s="78">
        <v>204532</v>
      </c>
      <c r="G3041" s="80" t="s">
        <v>331</v>
      </c>
      <c r="H3041" s="79">
        <v>44270</v>
      </c>
      <c r="I3041" s="78">
        <v>52101</v>
      </c>
      <c r="J3041" s="78">
        <v>1</v>
      </c>
      <c r="K3041" s="79"/>
      <c r="L3041" s="78">
        <v>0</v>
      </c>
      <c r="M3041" s="78">
        <v>0</v>
      </c>
    </row>
    <row r="3042" spans="2:13" ht="14.1" customHeight="1" x14ac:dyDescent="0.25">
      <c r="B3042" s="78" t="str">
        <f t="shared" si="51"/>
        <v>2103-77-205623</v>
      </c>
      <c r="C3042" s="79">
        <v>44264</v>
      </c>
      <c r="D3042" s="78">
        <v>77</v>
      </c>
      <c r="E3042" s="78">
        <v>1</v>
      </c>
      <c r="F3042" s="78">
        <v>205623</v>
      </c>
      <c r="G3042" s="80" t="s">
        <v>388</v>
      </c>
      <c r="H3042" s="79">
        <v>44270</v>
      </c>
      <c r="I3042" s="78">
        <v>52101</v>
      </c>
      <c r="J3042" s="78">
        <v>1</v>
      </c>
      <c r="K3042" s="79"/>
      <c r="L3042" s="78">
        <v>0</v>
      </c>
      <c r="M3042" s="78">
        <v>0</v>
      </c>
    </row>
    <row r="3043" spans="2:13" ht="14.1" customHeight="1" x14ac:dyDescent="0.25">
      <c r="B3043" s="78" t="str">
        <f t="shared" si="51"/>
        <v>2103-77-313334</v>
      </c>
      <c r="C3043" s="79">
        <v>44264</v>
      </c>
      <c r="D3043" s="78">
        <v>77</v>
      </c>
      <c r="E3043" s="78">
        <v>1</v>
      </c>
      <c r="F3043" s="78">
        <v>313334</v>
      </c>
      <c r="G3043" s="80" t="s">
        <v>1854</v>
      </c>
      <c r="H3043" s="79">
        <v>44270</v>
      </c>
      <c r="I3043" s="78">
        <v>52101</v>
      </c>
      <c r="J3043" s="78">
        <v>1</v>
      </c>
      <c r="K3043" s="79"/>
      <c r="L3043" s="78">
        <v>0</v>
      </c>
      <c r="M3043" s="78">
        <v>0</v>
      </c>
    </row>
    <row r="3044" spans="2:13" ht="14.1" customHeight="1" x14ac:dyDescent="0.25">
      <c r="B3044" s="78" t="str">
        <f t="shared" si="51"/>
        <v>2103-77-106908</v>
      </c>
      <c r="C3044" s="79">
        <v>44264</v>
      </c>
      <c r="D3044" s="78">
        <v>77</v>
      </c>
      <c r="E3044" s="78">
        <v>1</v>
      </c>
      <c r="F3044" s="78">
        <v>106908</v>
      </c>
      <c r="G3044" s="80" t="s">
        <v>1060</v>
      </c>
      <c r="H3044" s="79">
        <v>44270</v>
      </c>
      <c r="I3044" s="78">
        <v>52101</v>
      </c>
      <c r="J3044" s="78">
        <v>1</v>
      </c>
      <c r="K3044" s="79"/>
      <c r="L3044" s="78">
        <v>0</v>
      </c>
      <c r="M3044" s="78">
        <v>0</v>
      </c>
    </row>
    <row r="3045" spans="2:13" ht="14.1" customHeight="1" x14ac:dyDescent="0.25">
      <c r="B3045" s="78" t="str">
        <f t="shared" si="51"/>
        <v>2103-77-107308</v>
      </c>
      <c r="C3045" s="79">
        <v>44264</v>
      </c>
      <c r="D3045" s="78">
        <v>77</v>
      </c>
      <c r="E3045" s="78">
        <v>1</v>
      </c>
      <c r="F3045" s="78">
        <v>107308</v>
      </c>
      <c r="G3045" s="80" t="s">
        <v>1856</v>
      </c>
      <c r="H3045" s="79">
        <v>44270</v>
      </c>
      <c r="I3045" s="78">
        <v>52101</v>
      </c>
      <c r="J3045" s="78">
        <v>1</v>
      </c>
      <c r="K3045" s="79"/>
      <c r="L3045" s="78">
        <v>0</v>
      </c>
      <c r="M3045" s="78">
        <v>0</v>
      </c>
    </row>
    <row r="3046" spans="2:13" ht="14.1" customHeight="1" x14ac:dyDescent="0.25">
      <c r="B3046" s="78" t="str">
        <f t="shared" si="51"/>
        <v>2103-77-304469</v>
      </c>
      <c r="C3046" s="79">
        <v>44264</v>
      </c>
      <c r="D3046" s="78">
        <v>77</v>
      </c>
      <c r="E3046" s="78">
        <v>12</v>
      </c>
      <c r="F3046" s="78">
        <v>304469</v>
      </c>
      <c r="G3046" s="80" t="s">
        <v>1857</v>
      </c>
      <c r="H3046" s="79">
        <v>44270</v>
      </c>
      <c r="I3046" s="78">
        <v>52101</v>
      </c>
      <c r="J3046" s="78">
        <v>12</v>
      </c>
      <c r="K3046" s="79"/>
      <c r="L3046" s="78">
        <v>0</v>
      </c>
      <c r="M3046" s="78">
        <v>0</v>
      </c>
    </row>
    <row r="3047" spans="2:13" ht="14.1" customHeight="1" x14ac:dyDescent="0.25">
      <c r="B3047" s="78" t="str">
        <f t="shared" si="51"/>
        <v>2103-77-304485</v>
      </c>
      <c r="C3047" s="79">
        <v>44264</v>
      </c>
      <c r="D3047" s="78">
        <v>77</v>
      </c>
      <c r="E3047" s="78">
        <v>1</v>
      </c>
      <c r="F3047" s="78">
        <v>304485</v>
      </c>
      <c r="G3047" s="80" t="s">
        <v>672</v>
      </c>
      <c r="H3047" s="79">
        <v>44270</v>
      </c>
      <c r="I3047" s="78">
        <v>52101</v>
      </c>
      <c r="J3047" s="78">
        <v>1</v>
      </c>
      <c r="K3047" s="79"/>
      <c r="L3047" s="78">
        <v>0</v>
      </c>
      <c r="M3047" s="78">
        <v>0</v>
      </c>
    </row>
    <row r="3048" spans="2:13" ht="14.1" customHeight="1" x14ac:dyDescent="0.25">
      <c r="B3048" s="78" t="str">
        <f t="shared" si="51"/>
        <v>2103-77-205199</v>
      </c>
      <c r="C3048" s="79">
        <v>44264</v>
      </c>
      <c r="D3048" s="78">
        <v>77</v>
      </c>
      <c r="E3048" s="78">
        <v>12</v>
      </c>
      <c r="F3048" s="78">
        <v>205199</v>
      </c>
      <c r="G3048" s="80" t="s">
        <v>1852</v>
      </c>
      <c r="H3048" s="79">
        <v>44270</v>
      </c>
      <c r="I3048" s="78">
        <v>52101</v>
      </c>
      <c r="J3048" s="78">
        <v>12</v>
      </c>
      <c r="K3048" s="79"/>
      <c r="L3048" s="78">
        <v>0</v>
      </c>
      <c r="M3048" s="78">
        <v>0</v>
      </c>
    </row>
    <row r="3049" spans="2:13" ht="14.1" customHeight="1" x14ac:dyDescent="0.25">
      <c r="B3049" s="78" t="str">
        <f t="shared" si="51"/>
        <v>2103-78-200210</v>
      </c>
      <c r="C3049" s="79">
        <v>44265</v>
      </c>
      <c r="D3049" s="78">
        <v>78</v>
      </c>
      <c r="E3049" s="78">
        <v>15</v>
      </c>
      <c r="F3049" s="78">
        <v>200210</v>
      </c>
      <c r="G3049" s="80" t="s">
        <v>227</v>
      </c>
      <c r="H3049" s="79">
        <v>44285</v>
      </c>
      <c r="I3049" s="78">
        <v>52308</v>
      </c>
      <c r="J3049" s="78">
        <v>15</v>
      </c>
      <c r="K3049" s="79">
        <v>44291</v>
      </c>
      <c r="L3049" s="78">
        <v>11697</v>
      </c>
      <c r="M3049" s="78">
        <v>15</v>
      </c>
    </row>
    <row r="3050" spans="2:13" ht="14.1" customHeight="1" x14ac:dyDescent="0.25">
      <c r="B3050" s="78" t="str">
        <f t="shared" si="51"/>
        <v>2103-78-106422</v>
      </c>
      <c r="C3050" s="79">
        <v>44265</v>
      </c>
      <c r="D3050" s="78">
        <v>78</v>
      </c>
      <c r="E3050" s="78">
        <v>10</v>
      </c>
      <c r="F3050" s="78">
        <v>106422</v>
      </c>
      <c r="G3050" s="80" t="s">
        <v>1858</v>
      </c>
      <c r="H3050" s="79">
        <v>44285</v>
      </c>
      <c r="I3050" s="78">
        <v>52308</v>
      </c>
      <c r="J3050" s="78">
        <v>10</v>
      </c>
      <c r="K3050" s="79">
        <v>44291</v>
      </c>
      <c r="L3050" s="78">
        <v>11697</v>
      </c>
      <c r="M3050" s="78">
        <v>10</v>
      </c>
    </row>
    <row r="3051" spans="2:13" ht="14.1" customHeight="1" x14ac:dyDescent="0.25">
      <c r="B3051" s="78" t="str">
        <f t="shared" si="51"/>
        <v>2103-78-200209</v>
      </c>
      <c r="C3051" s="79">
        <v>44265</v>
      </c>
      <c r="D3051" s="78">
        <v>78</v>
      </c>
      <c r="E3051" s="78">
        <v>30</v>
      </c>
      <c r="F3051" s="78">
        <v>200209</v>
      </c>
      <c r="G3051" s="80" t="s">
        <v>228</v>
      </c>
      <c r="H3051" s="79">
        <v>44285</v>
      </c>
      <c r="I3051" s="78">
        <v>52308</v>
      </c>
      <c r="J3051" s="78">
        <v>30</v>
      </c>
      <c r="K3051" s="79">
        <v>44291</v>
      </c>
      <c r="L3051" s="78">
        <v>11697</v>
      </c>
      <c r="M3051" s="78">
        <v>30</v>
      </c>
    </row>
    <row r="3052" spans="2:13" ht="14.1" customHeight="1" x14ac:dyDescent="0.25">
      <c r="B3052" s="78" t="str">
        <f t="shared" si="51"/>
        <v>2103-81-204700</v>
      </c>
      <c r="C3052" s="79">
        <v>44265</v>
      </c>
      <c r="D3052" s="78">
        <v>81</v>
      </c>
      <c r="E3052" s="78">
        <v>1</v>
      </c>
      <c r="F3052" s="78">
        <v>204700</v>
      </c>
      <c r="G3052" s="80" t="s">
        <v>1902</v>
      </c>
      <c r="H3052" s="79">
        <v>44266</v>
      </c>
      <c r="I3052" s="78">
        <v>52087</v>
      </c>
      <c r="J3052" s="78">
        <v>1</v>
      </c>
      <c r="K3052" s="79">
        <v>44266</v>
      </c>
      <c r="L3052" s="78">
        <v>11479</v>
      </c>
      <c r="M3052" s="78">
        <v>1</v>
      </c>
    </row>
    <row r="3053" spans="2:13" ht="14.1" customHeight="1" x14ac:dyDescent="0.25">
      <c r="B3053" s="78" t="str">
        <f t="shared" si="51"/>
        <v>2103-82-305161</v>
      </c>
      <c r="C3053" s="79">
        <v>44265</v>
      </c>
      <c r="D3053" s="78">
        <v>82</v>
      </c>
      <c r="E3053" s="78">
        <v>2</v>
      </c>
      <c r="F3053" s="78">
        <v>305161</v>
      </c>
      <c r="G3053" s="80" t="s">
        <v>1903</v>
      </c>
      <c r="H3053" s="79"/>
      <c r="I3053" s="78">
        <v>0</v>
      </c>
      <c r="J3053" s="78">
        <v>0</v>
      </c>
      <c r="K3053" s="79"/>
      <c r="L3053" s="78">
        <v>0</v>
      </c>
      <c r="M3053" s="78">
        <v>0</v>
      </c>
    </row>
    <row r="3054" spans="2:13" ht="14.1" customHeight="1" x14ac:dyDescent="0.25">
      <c r="B3054" s="78" t="str">
        <f t="shared" si="51"/>
        <v>2103-83-105854</v>
      </c>
      <c r="C3054" s="79">
        <v>44265</v>
      </c>
      <c r="D3054" s="78">
        <v>83</v>
      </c>
      <c r="E3054" s="78">
        <v>2</v>
      </c>
      <c r="F3054" s="78">
        <v>105854</v>
      </c>
      <c r="G3054" s="80" t="s">
        <v>1906</v>
      </c>
      <c r="H3054" s="79">
        <v>44266</v>
      </c>
      <c r="I3054" s="78">
        <v>52079</v>
      </c>
      <c r="J3054" s="78">
        <v>2</v>
      </c>
      <c r="K3054" s="79">
        <v>44272</v>
      </c>
      <c r="L3054" s="78">
        <v>11557</v>
      </c>
      <c r="M3054" s="78">
        <v>2</v>
      </c>
    </row>
    <row r="3055" spans="2:13" ht="14.1" customHeight="1" x14ac:dyDescent="0.25">
      <c r="B3055" s="78" t="str">
        <f t="shared" si="51"/>
        <v>2103-83-310804</v>
      </c>
      <c r="C3055" s="79">
        <v>44265</v>
      </c>
      <c r="D3055" s="78">
        <v>83</v>
      </c>
      <c r="E3055" s="78">
        <v>1</v>
      </c>
      <c r="F3055" s="78">
        <v>310804</v>
      </c>
      <c r="G3055" s="80" t="s">
        <v>1909</v>
      </c>
      <c r="H3055" s="79">
        <v>44266</v>
      </c>
      <c r="I3055" s="78">
        <v>52079</v>
      </c>
      <c r="J3055" s="78">
        <v>1</v>
      </c>
      <c r="K3055" s="79">
        <v>44272</v>
      </c>
      <c r="L3055" s="78">
        <v>11557</v>
      </c>
      <c r="M3055" s="78">
        <v>1</v>
      </c>
    </row>
    <row r="3056" spans="2:13" ht="14.1" customHeight="1" x14ac:dyDescent="0.25">
      <c r="B3056" s="78" t="str">
        <f t="shared" si="51"/>
        <v>2103-83-205572</v>
      </c>
      <c r="C3056" s="79">
        <v>44265</v>
      </c>
      <c r="D3056" s="78">
        <v>83</v>
      </c>
      <c r="E3056" s="78">
        <v>4</v>
      </c>
      <c r="F3056" s="78">
        <v>205572</v>
      </c>
      <c r="G3056" s="80" t="s">
        <v>567</v>
      </c>
      <c r="H3056" s="79">
        <v>44266</v>
      </c>
      <c r="I3056" s="78">
        <v>52079</v>
      </c>
      <c r="J3056" s="78">
        <v>4</v>
      </c>
      <c r="K3056" s="79">
        <v>44272</v>
      </c>
      <c r="L3056" s="78">
        <v>11557</v>
      </c>
      <c r="M3056" s="78">
        <v>4</v>
      </c>
    </row>
    <row r="3057" spans="2:13" ht="14.1" customHeight="1" x14ac:dyDescent="0.25">
      <c r="B3057" s="78" t="str">
        <f t="shared" si="51"/>
        <v>2103-83-307985</v>
      </c>
      <c r="C3057" s="79">
        <v>44265</v>
      </c>
      <c r="D3057" s="78">
        <v>83</v>
      </c>
      <c r="E3057" s="78">
        <v>2</v>
      </c>
      <c r="F3057" s="78">
        <v>307985</v>
      </c>
      <c r="G3057" s="80" t="s">
        <v>735</v>
      </c>
      <c r="H3057" s="79">
        <v>44266</v>
      </c>
      <c r="I3057" s="78">
        <v>52079</v>
      </c>
      <c r="J3057" s="78">
        <v>2</v>
      </c>
      <c r="K3057" s="79">
        <v>44272</v>
      </c>
      <c r="L3057" s="78">
        <v>11557</v>
      </c>
      <c r="M3057" s="78">
        <v>2</v>
      </c>
    </row>
    <row r="3058" spans="2:13" ht="14.1" customHeight="1" x14ac:dyDescent="0.25">
      <c r="B3058" s="78" t="str">
        <f t="shared" si="51"/>
        <v>2103-83-309456</v>
      </c>
      <c r="C3058" s="79">
        <v>44265</v>
      </c>
      <c r="D3058" s="78">
        <v>83</v>
      </c>
      <c r="E3058" s="78">
        <v>1</v>
      </c>
      <c r="F3058" s="78">
        <v>309456</v>
      </c>
      <c r="G3058" s="80" t="s">
        <v>1905</v>
      </c>
      <c r="H3058" s="79">
        <v>44266</v>
      </c>
      <c r="I3058" s="78">
        <v>52079</v>
      </c>
      <c r="J3058" s="78">
        <v>1</v>
      </c>
      <c r="K3058" s="79">
        <v>44272</v>
      </c>
      <c r="L3058" s="78">
        <v>11557</v>
      </c>
      <c r="M3058" s="78">
        <v>1</v>
      </c>
    </row>
    <row r="3059" spans="2:13" ht="14.1" customHeight="1" x14ac:dyDescent="0.25">
      <c r="B3059" s="78" t="str">
        <f t="shared" si="51"/>
        <v>2103-83-205353</v>
      </c>
      <c r="C3059" s="79">
        <v>44265</v>
      </c>
      <c r="D3059" s="78">
        <v>83</v>
      </c>
      <c r="E3059" s="78">
        <v>2</v>
      </c>
      <c r="F3059" s="78">
        <v>205353</v>
      </c>
      <c r="G3059" s="80" t="s">
        <v>1908</v>
      </c>
      <c r="H3059" s="79">
        <v>44266</v>
      </c>
      <c r="I3059" s="78">
        <v>52079</v>
      </c>
      <c r="J3059" s="78">
        <v>2</v>
      </c>
      <c r="K3059" s="79">
        <v>44272</v>
      </c>
      <c r="L3059" s="78">
        <v>11557</v>
      </c>
      <c r="M3059" s="78">
        <v>2</v>
      </c>
    </row>
    <row r="3060" spans="2:13" ht="14.1" customHeight="1" x14ac:dyDescent="0.25">
      <c r="B3060" s="78" t="str">
        <f t="shared" si="51"/>
        <v>2103-83-205571</v>
      </c>
      <c r="C3060" s="79">
        <v>44265</v>
      </c>
      <c r="D3060" s="78">
        <v>83</v>
      </c>
      <c r="E3060" s="78">
        <v>8</v>
      </c>
      <c r="F3060" s="78">
        <v>205571</v>
      </c>
      <c r="G3060" s="80" t="s">
        <v>566</v>
      </c>
      <c r="H3060" s="79">
        <v>44266</v>
      </c>
      <c r="I3060" s="78">
        <v>52079</v>
      </c>
      <c r="J3060" s="78">
        <v>8</v>
      </c>
      <c r="K3060" s="79">
        <v>44272</v>
      </c>
      <c r="L3060" s="78">
        <v>11557</v>
      </c>
      <c r="M3060" s="78">
        <v>8</v>
      </c>
    </row>
    <row r="3061" spans="2:13" ht="14.1" customHeight="1" x14ac:dyDescent="0.25">
      <c r="B3061" s="78" t="str">
        <f t="shared" si="51"/>
        <v>2103-83-319325</v>
      </c>
      <c r="C3061" s="79">
        <v>44265</v>
      </c>
      <c r="D3061" s="78">
        <v>83</v>
      </c>
      <c r="E3061" s="78">
        <v>1</v>
      </c>
      <c r="F3061" s="78">
        <v>319325</v>
      </c>
      <c r="G3061" s="80" t="s">
        <v>1907</v>
      </c>
      <c r="H3061" s="79">
        <v>44266</v>
      </c>
      <c r="I3061" s="78">
        <v>52079</v>
      </c>
      <c r="J3061" s="78">
        <v>1</v>
      </c>
      <c r="K3061" s="79">
        <v>44272</v>
      </c>
      <c r="L3061" s="78">
        <v>11557</v>
      </c>
      <c r="M3061" s="78">
        <v>1</v>
      </c>
    </row>
    <row r="3062" spans="2:13" ht="14.1" customHeight="1" x14ac:dyDescent="0.25">
      <c r="B3062" s="78" t="str">
        <f t="shared" si="51"/>
        <v>2103-83-302361</v>
      </c>
      <c r="C3062" s="79">
        <v>44265</v>
      </c>
      <c r="D3062" s="78">
        <v>83</v>
      </c>
      <c r="E3062" s="78">
        <v>2</v>
      </c>
      <c r="F3062" s="78">
        <v>302361</v>
      </c>
      <c r="G3062" s="80" t="s">
        <v>1904</v>
      </c>
      <c r="H3062" s="79">
        <v>44266</v>
      </c>
      <c r="I3062" s="78">
        <v>52079</v>
      </c>
      <c r="J3062" s="78">
        <v>2</v>
      </c>
      <c r="K3062" s="79">
        <v>44272</v>
      </c>
      <c r="L3062" s="78">
        <v>11557</v>
      </c>
      <c r="M3062" s="78">
        <v>2</v>
      </c>
    </row>
    <row r="3063" spans="2:13" ht="14.1" customHeight="1" x14ac:dyDescent="0.25">
      <c r="B3063" s="78" t="str">
        <f t="shared" si="51"/>
        <v>2103-87-312990</v>
      </c>
      <c r="C3063" s="79">
        <v>44266</v>
      </c>
      <c r="D3063" s="78">
        <v>87</v>
      </c>
      <c r="E3063" s="78">
        <v>6</v>
      </c>
      <c r="F3063" s="78">
        <v>312990</v>
      </c>
      <c r="G3063" s="80" t="s">
        <v>302</v>
      </c>
      <c r="H3063" s="79">
        <v>44266</v>
      </c>
      <c r="I3063" s="78">
        <v>52060</v>
      </c>
      <c r="J3063" s="78">
        <v>6</v>
      </c>
      <c r="K3063" s="79">
        <v>44271</v>
      </c>
      <c r="L3063" s="78">
        <v>11530</v>
      </c>
      <c r="M3063" s="78">
        <v>6</v>
      </c>
    </row>
    <row r="3064" spans="2:13" ht="14.1" customHeight="1" x14ac:dyDescent="0.25">
      <c r="B3064" s="78" t="str">
        <f t="shared" si="51"/>
        <v>2103-89-100376</v>
      </c>
      <c r="C3064" s="79">
        <v>44266</v>
      </c>
      <c r="D3064" s="78">
        <v>89</v>
      </c>
      <c r="E3064" s="78">
        <v>30</v>
      </c>
      <c r="F3064" s="78">
        <v>100376</v>
      </c>
      <c r="G3064" s="80" t="s">
        <v>243</v>
      </c>
      <c r="H3064" s="79">
        <v>44285</v>
      </c>
      <c r="I3064" s="78">
        <v>52306</v>
      </c>
      <c r="J3064" s="78">
        <v>30</v>
      </c>
      <c r="K3064" s="79">
        <v>44291</v>
      </c>
      <c r="L3064" s="78">
        <v>11700</v>
      </c>
      <c r="M3064" s="78">
        <v>30</v>
      </c>
    </row>
    <row r="3065" spans="2:13" ht="14.1" customHeight="1" x14ac:dyDescent="0.25">
      <c r="B3065" s="78" t="str">
        <f t="shared" si="51"/>
        <v>2103-89-203784</v>
      </c>
      <c r="C3065" s="79">
        <v>44266</v>
      </c>
      <c r="D3065" s="78">
        <v>89</v>
      </c>
      <c r="E3065" s="78">
        <v>10</v>
      </c>
      <c r="F3065" s="78">
        <v>203784</v>
      </c>
      <c r="G3065" s="80" t="s">
        <v>348</v>
      </c>
      <c r="H3065" s="79">
        <v>44285</v>
      </c>
      <c r="I3065" s="78">
        <v>52306</v>
      </c>
      <c r="J3065" s="78">
        <v>10</v>
      </c>
      <c r="K3065" s="79">
        <v>44291</v>
      </c>
      <c r="L3065" s="78">
        <v>11700</v>
      </c>
      <c r="M3065" s="78">
        <v>10</v>
      </c>
    </row>
    <row r="3066" spans="2:13" ht="14.1" customHeight="1" x14ac:dyDescent="0.25">
      <c r="B3066" s="78" t="str">
        <f t="shared" si="51"/>
        <v>2103-89-107441</v>
      </c>
      <c r="C3066" s="79">
        <v>44266</v>
      </c>
      <c r="D3066" s="78">
        <v>89</v>
      </c>
      <c r="E3066" s="78">
        <v>30</v>
      </c>
      <c r="F3066" s="78">
        <v>107441</v>
      </c>
      <c r="G3066" s="80" t="s">
        <v>232</v>
      </c>
      <c r="H3066" s="79">
        <v>44285</v>
      </c>
      <c r="I3066" s="78">
        <v>52305</v>
      </c>
      <c r="J3066" s="78">
        <v>30</v>
      </c>
      <c r="K3066" s="79">
        <v>44292</v>
      </c>
      <c r="L3066" s="78">
        <v>11709</v>
      </c>
      <c r="M3066" s="78">
        <v>30</v>
      </c>
    </row>
    <row r="3067" spans="2:13" ht="14.1" customHeight="1" x14ac:dyDescent="0.25">
      <c r="B3067" s="78" t="str">
        <f t="shared" si="51"/>
        <v>2103-90-106245</v>
      </c>
      <c r="C3067" s="79">
        <v>44266</v>
      </c>
      <c r="D3067" s="78">
        <v>90</v>
      </c>
      <c r="E3067" s="78">
        <v>1</v>
      </c>
      <c r="F3067" s="78">
        <v>106245</v>
      </c>
      <c r="G3067" s="80" t="s">
        <v>1153</v>
      </c>
      <c r="H3067" s="79">
        <v>44272</v>
      </c>
      <c r="I3067" s="78">
        <v>52157</v>
      </c>
      <c r="J3067" s="78">
        <v>1</v>
      </c>
      <c r="K3067" s="79">
        <v>44274</v>
      </c>
      <c r="L3067" s="78">
        <v>11580</v>
      </c>
      <c r="M3067" s="78">
        <v>1</v>
      </c>
    </row>
    <row r="3068" spans="2:13" ht="14.1" customHeight="1" x14ac:dyDescent="0.25">
      <c r="B3068" s="78" t="str">
        <f t="shared" si="51"/>
        <v>2103-90-107369</v>
      </c>
      <c r="C3068" s="79">
        <v>44266</v>
      </c>
      <c r="D3068" s="78">
        <v>90</v>
      </c>
      <c r="E3068" s="78">
        <v>1</v>
      </c>
      <c r="F3068" s="78">
        <v>107369</v>
      </c>
      <c r="G3068" s="80" t="s">
        <v>1910</v>
      </c>
      <c r="H3068" s="79">
        <v>44272</v>
      </c>
      <c r="I3068" s="78">
        <v>52158</v>
      </c>
      <c r="J3068" s="78">
        <v>1</v>
      </c>
      <c r="K3068" s="79">
        <v>44274</v>
      </c>
      <c r="L3068" s="78">
        <v>11573</v>
      </c>
      <c r="M3068" s="78">
        <v>1</v>
      </c>
    </row>
    <row r="3069" spans="2:13" ht="14.1" customHeight="1" x14ac:dyDescent="0.25">
      <c r="B3069" s="78" t="str">
        <f t="shared" si="51"/>
        <v>2103-90-203609</v>
      </c>
      <c r="C3069" s="79">
        <v>44266</v>
      </c>
      <c r="D3069" s="78">
        <v>90</v>
      </c>
      <c r="E3069" s="78">
        <v>1</v>
      </c>
      <c r="F3069" s="78">
        <v>203609</v>
      </c>
      <c r="G3069" s="80" t="s">
        <v>1911</v>
      </c>
      <c r="H3069" s="79">
        <v>44272</v>
      </c>
      <c r="I3069" s="78">
        <v>52157</v>
      </c>
      <c r="J3069" s="78">
        <v>1</v>
      </c>
      <c r="K3069" s="79">
        <v>44274</v>
      </c>
      <c r="L3069" s="78">
        <v>11580</v>
      </c>
      <c r="M3069" s="78">
        <v>1</v>
      </c>
    </row>
    <row r="3070" spans="2:13" ht="14.1" customHeight="1" x14ac:dyDescent="0.25">
      <c r="B3070" s="78" t="str">
        <f t="shared" si="51"/>
        <v>2103-91-105217</v>
      </c>
      <c r="C3070" s="79">
        <v>44266</v>
      </c>
      <c r="D3070" s="78">
        <v>91</v>
      </c>
      <c r="E3070" s="78">
        <v>2</v>
      </c>
      <c r="F3070" s="78">
        <v>105217</v>
      </c>
      <c r="G3070" s="80" t="s">
        <v>1912</v>
      </c>
      <c r="H3070" s="79">
        <v>44279</v>
      </c>
      <c r="I3070" s="78">
        <v>52254</v>
      </c>
      <c r="J3070" s="78">
        <v>2</v>
      </c>
      <c r="K3070" s="79">
        <v>44281</v>
      </c>
      <c r="L3070" s="78">
        <v>11655</v>
      </c>
      <c r="M3070" s="78">
        <v>2</v>
      </c>
    </row>
    <row r="3071" spans="2:13" ht="14.1" customHeight="1" x14ac:dyDescent="0.25">
      <c r="B3071" s="78" t="str">
        <f t="shared" si="51"/>
        <v>2103-91-301574</v>
      </c>
      <c r="C3071" s="79">
        <v>44266</v>
      </c>
      <c r="D3071" s="78">
        <v>91</v>
      </c>
      <c r="E3071" s="78">
        <v>6</v>
      </c>
      <c r="F3071" s="78">
        <v>301574</v>
      </c>
      <c r="G3071" s="80" t="s">
        <v>1913</v>
      </c>
      <c r="H3071" s="79">
        <v>44279</v>
      </c>
      <c r="I3071" s="78">
        <v>52254</v>
      </c>
      <c r="J3071" s="78">
        <v>6</v>
      </c>
      <c r="K3071" s="79">
        <v>44281</v>
      </c>
      <c r="L3071" s="78">
        <v>11655</v>
      </c>
      <c r="M3071" s="78">
        <v>6</v>
      </c>
    </row>
    <row r="3072" spans="2:13" ht="14.1" customHeight="1" x14ac:dyDescent="0.25">
      <c r="B3072" s="78" t="str">
        <f t="shared" si="51"/>
        <v>2103-91-317524</v>
      </c>
      <c r="C3072" s="79">
        <v>44266</v>
      </c>
      <c r="D3072" s="78">
        <v>91</v>
      </c>
      <c r="E3072" s="78">
        <v>2</v>
      </c>
      <c r="F3072" s="78">
        <v>317524</v>
      </c>
      <c r="G3072" s="80" t="s">
        <v>1915</v>
      </c>
      <c r="H3072" s="79">
        <v>44279</v>
      </c>
      <c r="I3072" s="78">
        <v>52256</v>
      </c>
      <c r="J3072" s="78">
        <v>2</v>
      </c>
      <c r="K3072" s="79">
        <v>44284</v>
      </c>
      <c r="L3072" s="78">
        <v>11673</v>
      </c>
      <c r="M3072" s="78">
        <v>2</v>
      </c>
    </row>
    <row r="3073" spans="2:13" ht="14.1" customHeight="1" x14ac:dyDescent="0.25">
      <c r="B3073" s="78" t="str">
        <f t="shared" si="51"/>
        <v>2103-91-105239</v>
      </c>
      <c r="C3073" s="79">
        <v>44266</v>
      </c>
      <c r="D3073" s="78">
        <v>91</v>
      </c>
      <c r="E3073" s="78">
        <v>8</v>
      </c>
      <c r="F3073" s="78">
        <v>105239</v>
      </c>
      <c r="G3073" s="80" t="s">
        <v>1914</v>
      </c>
      <c r="H3073" s="79">
        <v>44279</v>
      </c>
      <c r="I3073" s="78">
        <v>52254</v>
      </c>
      <c r="J3073" s="78">
        <v>8</v>
      </c>
      <c r="K3073" s="79">
        <v>44281</v>
      </c>
      <c r="L3073" s="78">
        <v>11655</v>
      </c>
      <c r="M3073" s="78">
        <v>8</v>
      </c>
    </row>
    <row r="3074" spans="2:13" ht="14.1" customHeight="1" x14ac:dyDescent="0.25">
      <c r="B3074" s="78" t="str">
        <f t="shared" si="51"/>
        <v>2103-91-301607</v>
      </c>
      <c r="C3074" s="79">
        <v>44266</v>
      </c>
      <c r="D3074" s="78">
        <v>91</v>
      </c>
      <c r="E3074" s="78">
        <v>6</v>
      </c>
      <c r="F3074" s="78">
        <v>301607</v>
      </c>
      <c r="G3074" s="80" t="s">
        <v>1916</v>
      </c>
      <c r="H3074" s="79">
        <v>44279</v>
      </c>
      <c r="I3074" s="78">
        <v>52254</v>
      </c>
      <c r="J3074" s="78">
        <v>6</v>
      </c>
      <c r="K3074" s="79">
        <v>44281</v>
      </c>
      <c r="L3074" s="78">
        <v>11655</v>
      </c>
      <c r="M3074" s="78">
        <v>6</v>
      </c>
    </row>
    <row r="3075" spans="2:13" ht="14.1" customHeight="1" x14ac:dyDescent="0.25">
      <c r="B3075" s="78" t="str">
        <f t="shared" si="51"/>
        <v>2103-92-100669</v>
      </c>
      <c r="C3075" s="79">
        <v>44266</v>
      </c>
      <c r="D3075" s="78">
        <v>92</v>
      </c>
      <c r="E3075" s="78">
        <v>1</v>
      </c>
      <c r="F3075" s="78">
        <v>100669</v>
      </c>
      <c r="G3075" s="80" t="s">
        <v>1918</v>
      </c>
      <c r="H3075" s="79">
        <v>44267</v>
      </c>
      <c r="I3075" s="78">
        <v>52091</v>
      </c>
      <c r="J3075" s="78">
        <v>1</v>
      </c>
      <c r="K3075" s="79">
        <v>44270</v>
      </c>
      <c r="L3075" s="78">
        <v>11515</v>
      </c>
      <c r="M3075" s="78">
        <v>1</v>
      </c>
    </row>
    <row r="3076" spans="2:13" ht="14.1" customHeight="1" x14ac:dyDescent="0.25">
      <c r="B3076" s="78" t="str">
        <f t="shared" si="51"/>
        <v>2103-92-106876</v>
      </c>
      <c r="C3076" s="79">
        <v>44266</v>
      </c>
      <c r="D3076" s="78">
        <v>92</v>
      </c>
      <c r="E3076" s="78">
        <v>2</v>
      </c>
      <c r="F3076" s="78">
        <v>106876</v>
      </c>
      <c r="G3076" s="80" t="s">
        <v>1917</v>
      </c>
      <c r="H3076" s="79">
        <v>44267</v>
      </c>
      <c r="I3076" s="78">
        <v>52091</v>
      </c>
      <c r="J3076" s="78">
        <v>2</v>
      </c>
      <c r="K3076" s="79">
        <v>44270</v>
      </c>
      <c r="L3076" s="78">
        <v>11515</v>
      </c>
      <c r="M3076" s="78">
        <v>2</v>
      </c>
    </row>
    <row r="3077" spans="2:13" ht="14.1" customHeight="1" x14ac:dyDescent="0.25">
      <c r="B3077" s="78" t="str">
        <f t="shared" si="51"/>
        <v>2103-92-307889</v>
      </c>
      <c r="C3077" s="79">
        <v>44266</v>
      </c>
      <c r="D3077" s="78">
        <v>92</v>
      </c>
      <c r="E3077" s="78">
        <v>1</v>
      </c>
      <c r="F3077" s="78">
        <v>307889</v>
      </c>
      <c r="G3077" s="80" t="s">
        <v>1919</v>
      </c>
      <c r="H3077" s="79">
        <v>44267</v>
      </c>
      <c r="I3077" s="78">
        <v>52091</v>
      </c>
      <c r="J3077" s="78">
        <v>1</v>
      </c>
      <c r="K3077" s="79">
        <v>44270</v>
      </c>
      <c r="L3077" s="78">
        <v>11515</v>
      </c>
      <c r="M3077" s="78">
        <v>1</v>
      </c>
    </row>
    <row r="3078" spans="2:13" ht="14.1" customHeight="1" x14ac:dyDescent="0.25">
      <c r="B3078" s="78" t="str">
        <f t="shared" si="51"/>
        <v>2103-92-105561</v>
      </c>
      <c r="C3078" s="79">
        <v>44266</v>
      </c>
      <c r="D3078" s="78">
        <v>92</v>
      </c>
      <c r="E3078" s="78">
        <v>1</v>
      </c>
      <c r="F3078" s="78">
        <v>105561</v>
      </c>
      <c r="G3078" s="80" t="s">
        <v>177</v>
      </c>
      <c r="H3078" s="79">
        <v>44267</v>
      </c>
      <c r="I3078" s="78">
        <v>52091</v>
      </c>
      <c r="J3078" s="78">
        <v>1</v>
      </c>
      <c r="K3078" s="79">
        <v>44270</v>
      </c>
      <c r="L3078" s="78">
        <v>11515</v>
      </c>
      <c r="M3078" s="78">
        <v>1</v>
      </c>
    </row>
    <row r="3079" spans="2:13" ht="14.1" customHeight="1" x14ac:dyDescent="0.25">
      <c r="B3079" s="78" t="str">
        <f t="shared" si="51"/>
        <v>2103-92-204634</v>
      </c>
      <c r="C3079" s="79">
        <v>44266</v>
      </c>
      <c r="D3079" s="78">
        <v>92</v>
      </c>
      <c r="E3079" s="78">
        <v>2</v>
      </c>
      <c r="F3079" s="78">
        <v>204634</v>
      </c>
      <c r="G3079" s="80" t="s">
        <v>142</v>
      </c>
      <c r="H3079" s="79">
        <v>44267</v>
      </c>
      <c r="I3079" s="78">
        <v>52091</v>
      </c>
      <c r="J3079" s="78">
        <v>2</v>
      </c>
      <c r="K3079" s="79">
        <v>44270</v>
      </c>
      <c r="L3079" s="78">
        <v>11515</v>
      </c>
      <c r="M3079" s="78">
        <v>2</v>
      </c>
    </row>
    <row r="3080" spans="2:13" ht="14.1" customHeight="1" x14ac:dyDescent="0.25">
      <c r="B3080" s="78" t="str">
        <f t="shared" si="51"/>
        <v>2103-93-205645</v>
      </c>
      <c r="C3080" s="79">
        <v>44266</v>
      </c>
      <c r="D3080" s="78">
        <v>93</v>
      </c>
      <c r="E3080" s="78">
        <v>2</v>
      </c>
      <c r="F3080" s="78">
        <v>205645</v>
      </c>
      <c r="G3080" s="80" t="s">
        <v>85</v>
      </c>
      <c r="H3080" s="79">
        <v>44279</v>
      </c>
      <c r="I3080" s="78">
        <v>52239</v>
      </c>
      <c r="J3080" s="78">
        <v>2</v>
      </c>
      <c r="K3080" s="79">
        <v>44281</v>
      </c>
      <c r="L3080" s="78">
        <v>11654</v>
      </c>
      <c r="M3080" s="78">
        <v>2</v>
      </c>
    </row>
    <row r="3081" spans="2:13" ht="14.1" customHeight="1" x14ac:dyDescent="0.25">
      <c r="B3081" s="78" t="str">
        <f t="shared" si="51"/>
        <v>2103-93-205657</v>
      </c>
      <c r="C3081" s="79">
        <v>44266</v>
      </c>
      <c r="D3081" s="78">
        <v>93</v>
      </c>
      <c r="E3081" s="78">
        <v>2</v>
      </c>
      <c r="F3081" s="78">
        <v>205657</v>
      </c>
      <c r="G3081" s="80" t="s">
        <v>1670</v>
      </c>
      <c r="H3081" s="79">
        <v>44279</v>
      </c>
      <c r="I3081" s="78">
        <v>52239</v>
      </c>
      <c r="J3081" s="78">
        <v>2</v>
      </c>
      <c r="K3081" s="79">
        <v>44281</v>
      </c>
      <c r="L3081" s="78">
        <v>11654</v>
      </c>
      <c r="M3081" s="78">
        <v>2</v>
      </c>
    </row>
    <row r="3082" spans="2:13" ht="14.1" customHeight="1" x14ac:dyDescent="0.25">
      <c r="B3082" s="78" t="str">
        <f t="shared" si="51"/>
        <v>2103-93-301324</v>
      </c>
      <c r="C3082" s="79">
        <v>44266</v>
      </c>
      <c r="D3082" s="78">
        <v>93</v>
      </c>
      <c r="E3082" s="78">
        <v>4</v>
      </c>
      <c r="F3082" s="78">
        <v>301324</v>
      </c>
      <c r="G3082" s="80" t="s">
        <v>1920</v>
      </c>
      <c r="H3082" s="79">
        <v>44279</v>
      </c>
      <c r="I3082" s="78">
        <v>52239</v>
      </c>
      <c r="J3082" s="78">
        <v>4</v>
      </c>
      <c r="K3082" s="79">
        <v>44281</v>
      </c>
      <c r="L3082" s="78">
        <v>11654</v>
      </c>
      <c r="M3082" s="78">
        <v>4</v>
      </c>
    </row>
    <row r="3083" spans="2:13" ht="14.1" customHeight="1" x14ac:dyDescent="0.25">
      <c r="B3083" s="78" t="str">
        <f t="shared" si="51"/>
        <v>2103-94-105253</v>
      </c>
      <c r="C3083" s="79">
        <v>44266</v>
      </c>
      <c r="D3083" s="78">
        <v>94</v>
      </c>
      <c r="E3083" s="78">
        <v>1</v>
      </c>
      <c r="F3083" s="78">
        <v>105253</v>
      </c>
      <c r="G3083" s="80" t="s">
        <v>1922</v>
      </c>
      <c r="H3083" s="79">
        <v>44273</v>
      </c>
      <c r="I3083" s="78">
        <v>52180</v>
      </c>
      <c r="J3083" s="78">
        <v>1</v>
      </c>
      <c r="K3083" s="79">
        <v>44280</v>
      </c>
      <c r="L3083" s="78">
        <v>11630</v>
      </c>
      <c r="M3083" s="78">
        <v>1</v>
      </c>
    </row>
    <row r="3084" spans="2:13" ht="14.1" customHeight="1" x14ac:dyDescent="0.25">
      <c r="B3084" s="78" t="str">
        <f t="shared" si="51"/>
        <v>2103-94-303381</v>
      </c>
      <c r="C3084" s="79">
        <v>44266</v>
      </c>
      <c r="D3084" s="78">
        <v>94</v>
      </c>
      <c r="E3084" s="78">
        <v>2</v>
      </c>
      <c r="F3084" s="78">
        <v>303381</v>
      </c>
      <c r="G3084" s="80" t="s">
        <v>1668</v>
      </c>
      <c r="H3084" s="79"/>
      <c r="I3084" s="78">
        <v>0</v>
      </c>
      <c r="J3084" s="78">
        <v>0</v>
      </c>
      <c r="K3084" s="79"/>
      <c r="L3084" s="78">
        <v>0</v>
      </c>
      <c r="M3084" s="78">
        <v>0</v>
      </c>
    </row>
    <row r="3085" spans="2:13" ht="14.1" customHeight="1" x14ac:dyDescent="0.25">
      <c r="B3085" s="78" t="str">
        <f t="shared" si="51"/>
        <v>2103-94-313427</v>
      </c>
      <c r="C3085" s="79">
        <v>44266</v>
      </c>
      <c r="D3085" s="78">
        <v>94</v>
      </c>
      <c r="E3085" s="78">
        <v>4</v>
      </c>
      <c r="F3085" s="78">
        <v>313427</v>
      </c>
      <c r="G3085" s="80" t="s">
        <v>1923</v>
      </c>
      <c r="H3085" s="79">
        <v>44273</v>
      </c>
      <c r="I3085" s="78">
        <v>52180</v>
      </c>
      <c r="J3085" s="78">
        <v>4</v>
      </c>
      <c r="K3085" s="79">
        <v>44280</v>
      </c>
      <c r="L3085" s="78">
        <v>11630</v>
      </c>
      <c r="M3085" s="78">
        <v>4</v>
      </c>
    </row>
    <row r="3086" spans="2:13" ht="14.1" customHeight="1" x14ac:dyDescent="0.25">
      <c r="B3086" s="78" t="str">
        <f t="shared" si="51"/>
        <v>2103-94-300274</v>
      </c>
      <c r="C3086" s="79">
        <v>44266</v>
      </c>
      <c r="D3086" s="78">
        <v>94</v>
      </c>
      <c r="E3086" s="78">
        <v>6</v>
      </c>
      <c r="F3086" s="78">
        <v>300274</v>
      </c>
      <c r="G3086" s="80" t="s">
        <v>1921</v>
      </c>
      <c r="H3086" s="79">
        <v>44273</v>
      </c>
      <c r="I3086" s="78">
        <v>52181</v>
      </c>
      <c r="J3086" s="78">
        <v>6</v>
      </c>
      <c r="K3086" s="79">
        <v>44280</v>
      </c>
      <c r="L3086" s="78">
        <v>11632</v>
      </c>
      <c r="M3086" s="78">
        <v>6</v>
      </c>
    </row>
    <row r="3087" spans="2:13" ht="14.1" customHeight="1" x14ac:dyDescent="0.25">
      <c r="B3087" s="78" t="str">
        <f t="shared" si="51"/>
        <v>2103-94-107115</v>
      </c>
      <c r="C3087" s="79">
        <v>44266</v>
      </c>
      <c r="D3087" s="78">
        <v>94</v>
      </c>
      <c r="E3087" s="78">
        <v>2</v>
      </c>
      <c r="F3087" s="78">
        <v>107115</v>
      </c>
      <c r="G3087" s="80" t="s">
        <v>1667</v>
      </c>
      <c r="H3087" s="79">
        <v>44273</v>
      </c>
      <c r="I3087" s="78">
        <v>52180</v>
      </c>
      <c r="J3087" s="78">
        <v>2</v>
      </c>
      <c r="K3087" s="79">
        <v>44280</v>
      </c>
      <c r="L3087" s="78">
        <v>11630</v>
      </c>
      <c r="M3087" s="78">
        <v>2</v>
      </c>
    </row>
    <row r="3088" spans="2:13" ht="14.1" customHeight="1" x14ac:dyDescent="0.25">
      <c r="B3088" s="78" t="str">
        <f t="shared" si="51"/>
        <v>2103-96-105645</v>
      </c>
      <c r="C3088" s="79">
        <v>44266</v>
      </c>
      <c r="D3088" s="78">
        <v>96</v>
      </c>
      <c r="E3088" s="78">
        <v>2</v>
      </c>
      <c r="F3088" s="78">
        <v>105645</v>
      </c>
      <c r="G3088" s="80" t="s">
        <v>1924</v>
      </c>
      <c r="H3088" s="79"/>
      <c r="I3088" s="78">
        <v>0</v>
      </c>
      <c r="J3088" s="78">
        <v>0</v>
      </c>
      <c r="K3088" s="79"/>
      <c r="L3088" s="78">
        <v>0</v>
      </c>
      <c r="M3088" s="78">
        <v>0</v>
      </c>
    </row>
    <row r="3089" spans="2:13" ht="14.1" customHeight="1" x14ac:dyDescent="0.25">
      <c r="B3089" s="78" t="str">
        <f t="shared" si="51"/>
        <v>2103-96-205867</v>
      </c>
      <c r="C3089" s="79">
        <v>44266</v>
      </c>
      <c r="D3089" s="78">
        <v>96</v>
      </c>
      <c r="E3089" s="78">
        <v>2</v>
      </c>
      <c r="F3089" s="78">
        <v>205867</v>
      </c>
      <c r="G3089" s="80" t="s">
        <v>1926</v>
      </c>
      <c r="H3089" s="79"/>
      <c r="I3089" s="78">
        <v>0</v>
      </c>
      <c r="J3089" s="78">
        <v>0</v>
      </c>
      <c r="K3089" s="79"/>
      <c r="L3089" s="78">
        <v>0</v>
      </c>
      <c r="M3089" s="78">
        <v>0</v>
      </c>
    </row>
    <row r="3090" spans="2:13" ht="14.1" customHeight="1" x14ac:dyDescent="0.25">
      <c r="B3090" s="78" t="str">
        <f t="shared" si="51"/>
        <v>2103-96-203529</v>
      </c>
      <c r="C3090" s="79">
        <v>44266</v>
      </c>
      <c r="D3090" s="78">
        <v>96</v>
      </c>
      <c r="E3090" s="78">
        <v>2</v>
      </c>
      <c r="F3090" s="78">
        <v>203529</v>
      </c>
      <c r="G3090" s="80" t="s">
        <v>1925</v>
      </c>
      <c r="H3090" s="79"/>
      <c r="I3090" s="78">
        <v>0</v>
      </c>
      <c r="J3090" s="78">
        <v>0</v>
      </c>
      <c r="K3090" s="79"/>
      <c r="L3090" s="78">
        <v>0</v>
      </c>
      <c r="M3090" s="78">
        <v>0</v>
      </c>
    </row>
    <row r="3091" spans="2:13" ht="14.1" customHeight="1" x14ac:dyDescent="0.25">
      <c r="B3091" s="78" t="str">
        <f t="shared" si="51"/>
        <v>2103-97-319359</v>
      </c>
      <c r="C3091" s="79">
        <v>44266</v>
      </c>
      <c r="D3091" s="78">
        <v>97</v>
      </c>
      <c r="E3091" s="78">
        <v>4000</v>
      </c>
      <c r="F3091" s="78">
        <v>319359</v>
      </c>
      <c r="G3091" s="80" t="s">
        <v>210</v>
      </c>
      <c r="H3091" s="79">
        <v>44284</v>
      </c>
      <c r="I3091" s="78">
        <v>52290</v>
      </c>
      <c r="J3091" s="78">
        <v>4000</v>
      </c>
      <c r="K3091" s="79">
        <v>44273</v>
      </c>
      <c r="L3091" s="78">
        <v>11567</v>
      </c>
      <c r="M3091" s="78">
        <v>4000</v>
      </c>
    </row>
    <row r="3092" spans="2:13" ht="14.1" customHeight="1" x14ac:dyDescent="0.25">
      <c r="B3092" s="78" t="str">
        <f t="shared" si="51"/>
        <v>2103-98-200551</v>
      </c>
      <c r="C3092" s="79">
        <v>44266</v>
      </c>
      <c r="D3092" s="78">
        <v>98</v>
      </c>
      <c r="E3092" s="78">
        <v>110</v>
      </c>
      <c r="F3092" s="78">
        <v>200551</v>
      </c>
      <c r="G3092" s="80" t="s">
        <v>229</v>
      </c>
      <c r="H3092" s="79">
        <v>44285</v>
      </c>
      <c r="I3092" s="78">
        <v>52313</v>
      </c>
      <c r="J3092" s="78">
        <v>110</v>
      </c>
      <c r="K3092" s="79">
        <v>44295</v>
      </c>
      <c r="L3092" s="78">
        <v>11768</v>
      </c>
      <c r="M3092" s="78">
        <v>110</v>
      </c>
    </row>
    <row r="3093" spans="2:13" ht="14.1" customHeight="1" x14ac:dyDescent="0.25">
      <c r="B3093" s="78" t="str">
        <f t="shared" si="51"/>
        <v>2103-98-205752</v>
      </c>
      <c r="C3093" s="79">
        <v>44266</v>
      </c>
      <c r="D3093" s="78">
        <v>98</v>
      </c>
      <c r="E3093" s="78">
        <v>110</v>
      </c>
      <c r="F3093" s="78">
        <v>205752</v>
      </c>
      <c r="G3093" s="80" t="s">
        <v>197</v>
      </c>
      <c r="H3093" s="79">
        <v>44285</v>
      </c>
      <c r="I3093" s="78">
        <v>52313</v>
      </c>
      <c r="J3093" s="78">
        <v>110</v>
      </c>
      <c r="K3093" s="79">
        <v>44295</v>
      </c>
      <c r="L3093" s="78">
        <v>11768</v>
      </c>
      <c r="M3093" s="78">
        <v>110</v>
      </c>
    </row>
    <row r="3094" spans="2:13" ht="14.1" customHeight="1" x14ac:dyDescent="0.25">
      <c r="B3094" s="78" t="str">
        <f t="shared" si="51"/>
        <v>2103-99-203593</v>
      </c>
      <c r="C3094" s="79">
        <v>44266</v>
      </c>
      <c r="D3094" s="78">
        <v>99</v>
      </c>
      <c r="E3094" s="78">
        <v>5645</v>
      </c>
      <c r="F3094" s="78">
        <v>203593</v>
      </c>
      <c r="G3094" s="80" t="s">
        <v>211</v>
      </c>
      <c r="H3094" s="79">
        <v>44266</v>
      </c>
      <c r="I3094" s="78">
        <v>52085</v>
      </c>
      <c r="J3094" s="78">
        <v>5645</v>
      </c>
      <c r="K3094" s="79">
        <v>44266</v>
      </c>
      <c r="L3094" s="78">
        <v>11474</v>
      </c>
      <c r="M3094" s="78">
        <v>5645</v>
      </c>
    </row>
    <row r="3095" spans="2:13" ht="14.1" customHeight="1" x14ac:dyDescent="0.25">
      <c r="B3095" s="78" t="str">
        <f t="shared" si="51"/>
        <v>2103-100-307781</v>
      </c>
      <c r="C3095" s="79">
        <v>44266</v>
      </c>
      <c r="D3095" s="78">
        <v>100</v>
      </c>
      <c r="E3095" s="78">
        <v>1</v>
      </c>
      <c r="F3095" s="78">
        <v>307781</v>
      </c>
      <c r="G3095" s="80" t="s">
        <v>1927</v>
      </c>
      <c r="H3095" s="79">
        <v>44266</v>
      </c>
      <c r="I3095" s="78">
        <v>52086</v>
      </c>
      <c r="J3095" s="78">
        <v>1</v>
      </c>
      <c r="K3095" s="79">
        <v>44266</v>
      </c>
      <c r="L3095" s="78">
        <v>11477</v>
      </c>
      <c r="M3095" s="78">
        <v>1</v>
      </c>
    </row>
    <row r="3096" spans="2:13" ht="14.1" customHeight="1" x14ac:dyDescent="0.25">
      <c r="B3096" s="78" t="str">
        <f t="shared" si="51"/>
        <v>2103-102-307850</v>
      </c>
      <c r="C3096" s="79">
        <v>44266</v>
      </c>
      <c r="D3096" s="78">
        <v>102</v>
      </c>
      <c r="E3096" s="78">
        <v>1</v>
      </c>
      <c r="F3096" s="78">
        <v>307850</v>
      </c>
      <c r="G3096" s="80" t="s">
        <v>1928</v>
      </c>
      <c r="H3096" s="79">
        <v>44278</v>
      </c>
      <c r="I3096" s="78">
        <v>52227</v>
      </c>
      <c r="J3096" s="78">
        <v>1</v>
      </c>
      <c r="K3096" s="79">
        <v>44284</v>
      </c>
      <c r="L3096" s="78">
        <v>11664</v>
      </c>
      <c r="M3096" s="78">
        <v>1</v>
      </c>
    </row>
    <row r="3097" spans="2:13" ht="14.1" customHeight="1" x14ac:dyDescent="0.25">
      <c r="B3097" s="78" t="str">
        <f t="shared" si="51"/>
        <v>2103-103-204283</v>
      </c>
      <c r="C3097" s="79">
        <v>44266</v>
      </c>
      <c r="D3097" s="78">
        <v>103</v>
      </c>
      <c r="E3097" s="78">
        <v>40</v>
      </c>
      <c r="F3097" s="78">
        <v>204283</v>
      </c>
      <c r="G3097" s="80" t="s">
        <v>1929</v>
      </c>
      <c r="H3097" s="79">
        <v>44279</v>
      </c>
      <c r="I3097" s="78">
        <v>52240</v>
      </c>
      <c r="J3097" s="78">
        <v>40</v>
      </c>
      <c r="K3097" s="79">
        <v>44292</v>
      </c>
      <c r="L3097" s="78">
        <v>11710</v>
      </c>
      <c r="M3097" s="78">
        <v>40</v>
      </c>
    </row>
    <row r="3098" spans="2:13" ht="14.1" customHeight="1" x14ac:dyDescent="0.25">
      <c r="B3098" s="78" t="str">
        <f t="shared" si="51"/>
        <v>2103-103-315260</v>
      </c>
      <c r="C3098" s="79">
        <v>44266</v>
      </c>
      <c r="D3098" s="78">
        <v>103</v>
      </c>
      <c r="E3098" s="78">
        <v>10</v>
      </c>
      <c r="F3098" s="78">
        <v>315260</v>
      </c>
      <c r="G3098" s="80" t="s">
        <v>864</v>
      </c>
      <c r="H3098" s="79">
        <v>44279</v>
      </c>
      <c r="I3098" s="78">
        <v>52240</v>
      </c>
      <c r="J3098" s="78">
        <v>10</v>
      </c>
      <c r="K3098" s="79">
        <v>44292</v>
      </c>
      <c r="L3098" s="78">
        <v>11710</v>
      </c>
      <c r="M3098" s="78">
        <v>10</v>
      </c>
    </row>
    <row r="3099" spans="2:13" ht="14.1" customHeight="1" x14ac:dyDescent="0.25">
      <c r="B3099" s="78" t="str">
        <f t="shared" si="51"/>
        <v>2103-104-105238</v>
      </c>
      <c r="C3099" s="79">
        <v>44266</v>
      </c>
      <c r="D3099" s="78">
        <v>104</v>
      </c>
      <c r="E3099" s="78">
        <v>1</v>
      </c>
      <c r="F3099" s="78">
        <v>105238</v>
      </c>
      <c r="G3099" s="80" t="s">
        <v>1930</v>
      </c>
      <c r="H3099" s="79">
        <v>44278</v>
      </c>
      <c r="I3099" s="78">
        <v>52226</v>
      </c>
      <c r="J3099" s="78">
        <v>1</v>
      </c>
      <c r="K3099" s="79">
        <v>44284</v>
      </c>
      <c r="L3099" s="78">
        <v>11664</v>
      </c>
      <c r="M3099" s="78">
        <v>1</v>
      </c>
    </row>
    <row r="3100" spans="2:13" ht="14.1" customHeight="1" x14ac:dyDescent="0.25">
      <c r="B3100" s="78" t="str">
        <f t="shared" si="51"/>
        <v>2103-107-308901</v>
      </c>
      <c r="C3100" s="79">
        <v>44266</v>
      </c>
      <c r="D3100" s="78">
        <v>107</v>
      </c>
      <c r="E3100" s="78">
        <v>1</v>
      </c>
      <c r="F3100" s="78">
        <v>308901</v>
      </c>
      <c r="G3100" s="80" t="s">
        <v>1931</v>
      </c>
      <c r="H3100" s="79"/>
      <c r="I3100" s="78">
        <v>0</v>
      </c>
      <c r="J3100" s="78">
        <v>0</v>
      </c>
      <c r="K3100" s="79"/>
      <c r="L3100" s="78">
        <v>0</v>
      </c>
      <c r="M3100" s="78">
        <v>0</v>
      </c>
    </row>
    <row r="3101" spans="2:13" ht="14.1" customHeight="1" x14ac:dyDescent="0.25">
      <c r="B3101" s="78" t="str">
        <f t="shared" si="51"/>
        <v>2103-108-320916</v>
      </c>
      <c r="C3101" s="79">
        <v>44266</v>
      </c>
      <c r="D3101" s="78">
        <v>108</v>
      </c>
      <c r="E3101" s="78">
        <v>4</v>
      </c>
      <c r="F3101" s="78">
        <v>320916</v>
      </c>
      <c r="G3101" s="80" t="s">
        <v>1932</v>
      </c>
      <c r="H3101" s="79">
        <v>44291</v>
      </c>
      <c r="I3101" s="78">
        <v>52357</v>
      </c>
      <c r="J3101" s="78">
        <v>4</v>
      </c>
      <c r="K3101" s="79">
        <v>44298</v>
      </c>
      <c r="L3101" s="78">
        <v>11779</v>
      </c>
      <c r="M3101" s="78">
        <v>4</v>
      </c>
    </row>
    <row r="3102" spans="2:13" ht="14.1" customHeight="1" x14ac:dyDescent="0.25">
      <c r="B3102" s="78" t="str">
        <f t="shared" si="51"/>
        <v>2103-126-105590</v>
      </c>
      <c r="C3102" s="79">
        <v>44267</v>
      </c>
      <c r="D3102" s="78">
        <v>126</v>
      </c>
      <c r="E3102" s="78">
        <v>1</v>
      </c>
      <c r="F3102" s="78">
        <v>105590</v>
      </c>
      <c r="G3102" s="80" t="s">
        <v>1933</v>
      </c>
      <c r="H3102" s="79">
        <v>44271</v>
      </c>
      <c r="I3102" s="78">
        <v>52127</v>
      </c>
      <c r="J3102" s="78">
        <v>1</v>
      </c>
      <c r="K3102" s="79">
        <v>44270</v>
      </c>
      <c r="L3102" s="78">
        <v>11520</v>
      </c>
      <c r="M3102" s="78">
        <v>1</v>
      </c>
    </row>
    <row r="3103" spans="2:13" ht="14.1" customHeight="1" x14ac:dyDescent="0.25">
      <c r="B3103" s="78" t="str">
        <f t="shared" si="51"/>
        <v>2103-126-106876</v>
      </c>
      <c r="C3103" s="79">
        <v>44267</v>
      </c>
      <c r="D3103" s="78">
        <v>126</v>
      </c>
      <c r="E3103" s="78">
        <v>2</v>
      </c>
      <c r="F3103" s="78">
        <v>106876</v>
      </c>
      <c r="G3103" s="80" t="s">
        <v>1917</v>
      </c>
      <c r="H3103" s="79">
        <v>44271</v>
      </c>
      <c r="I3103" s="78">
        <v>52127</v>
      </c>
      <c r="J3103" s="78">
        <v>2</v>
      </c>
      <c r="K3103" s="79">
        <v>44270</v>
      </c>
      <c r="L3103" s="78">
        <v>11520</v>
      </c>
      <c r="M3103" s="78">
        <v>2</v>
      </c>
    </row>
    <row r="3104" spans="2:13" ht="14.1" customHeight="1" x14ac:dyDescent="0.25">
      <c r="B3104" s="78" t="str">
        <f t="shared" si="51"/>
        <v>2103-127-320918</v>
      </c>
      <c r="C3104" s="79">
        <v>44267</v>
      </c>
      <c r="D3104" s="78">
        <v>127</v>
      </c>
      <c r="E3104" s="78">
        <v>1</v>
      </c>
      <c r="F3104" s="78">
        <v>320918</v>
      </c>
      <c r="G3104" s="80" t="s">
        <v>1934</v>
      </c>
      <c r="H3104" s="79">
        <v>44267</v>
      </c>
      <c r="I3104" s="78">
        <v>52100</v>
      </c>
      <c r="J3104" s="78">
        <v>1</v>
      </c>
      <c r="K3104" s="79"/>
      <c r="L3104" s="78">
        <v>0</v>
      </c>
      <c r="M3104" s="78">
        <v>0</v>
      </c>
    </row>
    <row r="3105" spans="2:13" ht="14.1" customHeight="1" x14ac:dyDescent="0.25">
      <c r="B3105" s="78" t="str">
        <f t="shared" ref="B3105:B3168" si="52">TEXT(C3105,"yy") &amp; TEXT(C3105,"mm") &amp;"-"&amp;(D3105) &amp;"-"&amp;(F3105)</f>
        <v>2103-128-106244</v>
      </c>
      <c r="C3105" s="79">
        <v>44267</v>
      </c>
      <c r="D3105" s="78">
        <v>128</v>
      </c>
      <c r="E3105" s="78">
        <v>2</v>
      </c>
      <c r="F3105" s="78">
        <v>106244</v>
      </c>
      <c r="G3105" s="80" t="s">
        <v>291</v>
      </c>
      <c r="H3105" s="79">
        <v>44271</v>
      </c>
      <c r="I3105" s="78">
        <v>52123</v>
      </c>
      <c r="J3105" s="78">
        <v>2</v>
      </c>
      <c r="K3105" s="79">
        <v>44270</v>
      </c>
      <c r="L3105" s="78">
        <v>11516</v>
      </c>
      <c r="M3105" s="78">
        <v>2</v>
      </c>
    </row>
    <row r="3106" spans="2:13" ht="14.1" customHeight="1" x14ac:dyDescent="0.25">
      <c r="B3106" s="78" t="str">
        <f t="shared" si="52"/>
        <v>2103-130-200751</v>
      </c>
      <c r="C3106" s="79">
        <v>44267</v>
      </c>
      <c r="D3106" s="78">
        <v>130</v>
      </c>
      <c r="E3106" s="78">
        <v>30000</v>
      </c>
      <c r="F3106" s="78">
        <v>200751</v>
      </c>
      <c r="G3106" s="80" t="s">
        <v>151</v>
      </c>
      <c r="H3106" s="79">
        <v>44271</v>
      </c>
      <c r="I3106" s="78">
        <v>52135</v>
      </c>
      <c r="J3106" s="78">
        <v>10000</v>
      </c>
      <c r="K3106" s="79">
        <v>44271</v>
      </c>
      <c r="L3106" s="78">
        <v>11531</v>
      </c>
      <c r="M3106" s="78">
        <v>10000</v>
      </c>
    </row>
    <row r="3107" spans="2:13" ht="14.1" customHeight="1" x14ac:dyDescent="0.25">
      <c r="B3107" s="78" t="str">
        <f t="shared" si="52"/>
        <v>2103-130-200751</v>
      </c>
      <c r="C3107" s="79">
        <v>44267</v>
      </c>
      <c r="D3107" s="78">
        <v>130</v>
      </c>
      <c r="E3107" s="78">
        <v>30000</v>
      </c>
      <c r="F3107" s="78">
        <v>200751</v>
      </c>
      <c r="G3107" s="80" t="s">
        <v>151</v>
      </c>
      <c r="H3107" s="79">
        <v>44271</v>
      </c>
      <c r="I3107" s="78">
        <v>52135</v>
      </c>
      <c r="J3107" s="78">
        <v>10000</v>
      </c>
      <c r="K3107" s="79">
        <v>44272</v>
      </c>
      <c r="L3107" s="78">
        <v>11547</v>
      </c>
      <c r="M3107" s="78">
        <v>10000</v>
      </c>
    </row>
    <row r="3108" spans="2:13" ht="14.1" customHeight="1" x14ac:dyDescent="0.25">
      <c r="B3108" s="78" t="str">
        <f t="shared" si="52"/>
        <v>2103-130-200751</v>
      </c>
      <c r="C3108" s="79">
        <v>44267</v>
      </c>
      <c r="D3108" s="78">
        <v>130</v>
      </c>
      <c r="E3108" s="78">
        <v>30000</v>
      </c>
      <c r="F3108" s="78">
        <v>200751</v>
      </c>
      <c r="G3108" s="80" t="s">
        <v>151</v>
      </c>
      <c r="H3108" s="79">
        <v>44271</v>
      </c>
      <c r="I3108" s="78">
        <v>52135</v>
      </c>
      <c r="J3108" s="78">
        <v>10000</v>
      </c>
      <c r="K3108" s="79">
        <v>44272</v>
      </c>
      <c r="L3108" s="78">
        <v>11548</v>
      </c>
      <c r="M3108" s="78">
        <v>10000</v>
      </c>
    </row>
    <row r="3109" spans="2:13" ht="14.1" customHeight="1" x14ac:dyDescent="0.25">
      <c r="B3109" s="78" t="str">
        <f t="shared" si="52"/>
        <v>2103-130-200751</v>
      </c>
      <c r="C3109" s="79">
        <v>44267</v>
      </c>
      <c r="D3109" s="78">
        <v>130</v>
      </c>
      <c r="E3109" s="78">
        <v>30000</v>
      </c>
      <c r="F3109" s="78">
        <v>200751</v>
      </c>
      <c r="G3109" s="80" t="s">
        <v>151</v>
      </c>
      <c r="H3109" s="79">
        <v>44272</v>
      </c>
      <c r="I3109" s="78">
        <v>52188</v>
      </c>
      <c r="J3109" s="78">
        <v>10000</v>
      </c>
      <c r="K3109" s="79">
        <v>44271</v>
      </c>
      <c r="L3109" s="78">
        <v>11531</v>
      </c>
      <c r="M3109" s="78">
        <v>10000</v>
      </c>
    </row>
    <row r="3110" spans="2:13" ht="14.1" customHeight="1" x14ac:dyDescent="0.25">
      <c r="B3110" s="78" t="str">
        <f t="shared" si="52"/>
        <v>2103-130-200751</v>
      </c>
      <c r="C3110" s="79">
        <v>44267</v>
      </c>
      <c r="D3110" s="78">
        <v>130</v>
      </c>
      <c r="E3110" s="78">
        <v>30000</v>
      </c>
      <c r="F3110" s="78">
        <v>200751</v>
      </c>
      <c r="G3110" s="80" t="s">
        <v>151</v>
      </c>
      <c r="H3110" s="79">
        <v>44272</v>
      </c>
      <c r="I3110" s="78">
        <v>52188</v>
      </c>
      <c r="J3110" s="78">
        <v>10000</v>
      </c>
      <c r="K3110" s="79">
        <v>44272</v>
      </c>
      <c r="L3110" s="78">
        <v>11547</v>
      </c>
      <c r="M3110" s="78">
        <v>10000</v>
      </c>
    </row>
    <row r="3111" spans="2:13" ht="14.1" customHeight="1" x14ac:dyDescent="0.25">
      <c r="B3111" s="78" t="str">
        <f t="shared" si="52"/>
        <v>2103-130-200751</v>
      </c>
      <c r="C3111" s="79">
        <v>44267</v>
      </c>
      <c r="D3111" s="78">
        <v>130</v>
      </c>
      <c r="E3111" s="78">
        <v>30000</v>
      </c>
      <c r="F3111" s="78">
        <v>200751</v>
      </c>
      <c r="G3111" s="80" t="s">
        <v>151</v>
      </c>
      <c r="H3111" s="79">
        <v>44272</v>
      </c>
      <c r="I3111" s="78">
        <v>52188</v>
      </c>
      <c r="J3111" s="78">
        <v>10000</v>
      </c>
      <c r="K3111" s="79">
        <v>44272</v>
      </c>
      <c r="L3111" s="78">
        <v>11548</v>
      </c>
      <c r="M3111" s="78">
        <v>10000</v>
      </c>
    </row>
    <row r="3112" spans="2:13" ht="14.1" customHeight="1" x14ac:dyDescent="0.25">
      <c r="B3112" s="78" t="str">
        <f t="shared" si="52"/>
        <v>2103-130-200751</v>
      </c>
      <c r="C3112" s="79">
        <v>44267</v>
      </c>
      <c r="D3112" s="78">
        <v>130</v>
      </c>
      <c r="E3112" s="78">
        <v>30000</v>
      </c>
      <c r="F3112" s="78">
        <v>200751</v>
      </c>
      <c r="G3112" s="80" t="s">
        <v>151</v>
      </c>
      <c r="H3112" s="79">
        <v>44273</v>
      </c>
      <c r="I3112" s="78">
        <v>52186</v>
      </c>
      <c r="J3112" s="78">
        <v>10000</v>
      </c>
      <c r="K3112" s="79">
        <v>44271</v>
      </c>
      <c r="L3112" s="78">
        <v>11531</v>
      </c>
      <c r="M3112" s="78">
        <v>10000</v>
      </c>
    </row>
    <row r="3113" spans="2:13" ht="14.1" customHeight="1" x14ac:dyDescent="0.25">
      <c r="B3113" s="78" t="str">
        <f t="shared" si="52"/>
        <v>2103-130-200751</v>
      </c>
      <c r="C3113" s="79">
        <v>44267</v>
      </c>
      <c r="D3113" s="78">
        <v>130</v>
      </c>
      <c r="E3113" s="78">
        <v>30000</v>
      </c>
      <c r="F3113" s="78">
        <v>200751</v>
      </c>
      <c r="G3113" s="80" t="s">
        <v>151</v>
      </c>
      <c r="H3113" s="79">
        <v>44273</v>
      </c>
      <c r="I3113" s="78">
        <v>52186</v>
      </c>
      <c r="J3113" s="78">
        <v>10000</v>
      </c>
      <c r="K3113" s="79">
        <v>44272</v>
      </c>
      <c r="L3113" s="78">
        <v>11547</v>
      </c>
      <c r="M3113" s="78">
        <v>10000</v>
      </c>
    </row>
    <row r="3114" spans="2:13" ht="14.1" customHeight="1" x14ac:dyDescent="0.25">
      <c r="B3114" s="78" t="str">
        <f t="shared" si="52"/>
        <v>2103-130-200751</v>
      </c>
      <c r="C3114" s="79">
        <v>44267</v>
      </c>
      <c r="D3114" s="78">
        <v>130</v>
      </c>
      <c r="E3114" s="78">
        <v>30000</v>
      </c>
      <c r="F3114" s="78">
        <v>200751</v>
      </c>
      <c r="G3114" s="80" t="s">
        <v>151</v>
      </c>
      <c r="H3114" s="79">
        <v>44273</v>
      </c>
      <c r="I3114" s="78">
        <v>52186</v>
      </c>
      <c r="J3114" s="78">
        <v>10000</v>
      </c>
      <c r="K3114" s="79">
        <v>44272</v>
      </c>
      <c r="L3114" s="78">
        <v>11548</v>
      </c>
      <c r="M3114" s="78">
        <v>10000</v>
      </c>
    </row>
    <row r="3115" spans="2:13" ht="14.1" customHeight="1" x14ac:dyDescent="0.25">
      <c r="B3115" s="78" t="str">
        <f t="shared" si="52"/>
        <v>2103-132-205747</v>
      </c>
      <c r="C3115" s="79">
        <v>44267</v>
      </c>
      <c r="D3115" s="78">
        <v>132</v>
      </c>
      <c r="E3115" s="78">
        <v>4</v>
      </c>
      <c r="F3115" s="78">
        <v>205747</v>
      </c>
      <c r="G3115" s="80" t="s">
        <v>1935</v>
      </c>
      <c r="H3115" s="79">
        <v>44271</v>
      </c>
      <c r="I3115" s="78">
        <v>52126</v>
      </c>
      <c r="J3115" s="78">
        <v>4</v>
      </c>
      <c r="K3115" s="79">
        <v>44270</v>
      </c>
      <c r="L3115" s="78">
        <v>11519</v>
      </c>
      <c r="M3115" s="78">
        <v>4</v>
      </c>
    </row>
    <row r="3116" spans="2:13" ht="14.1" customHeight="1" x14ac:dyDescent="0.25">
      <c r="B3116" s="78" t="str">
        <f t="shared" si="52"/>
        <v>2103-133-314770</v>
      </c>
      <c r="C3116" s="79">
        <v>44267</v>
      </c>
      <c r="D3116" s="78">
        <v>133</v>
      </c>
      <c r="E3116" s="78">
        <v>1</v>
      </c>
      <c r="F3116" s="78">
        <v>314770</v>
      </c>
      <c r="G3116" s="80" t="s">
        <v>861</v>
      </c>
      <c r="H3116" s="79"/>
      <c r="I3116" s="78">
        <v>0</v>
      </c>
      <c r="J3116" s="78">
        <v>0</v>
      </c>
      <c r="K3116" s="79"/>
      <c r="L3116" s="78">
        <v>0</v>
      </c>
      <c r="M3116" s="78">
        <v>0</v>
      </c>
    </row>
    <row r="3117" spans="2:13" ht="14.1" customHeight="1" x14ac:dyDescent="0.25">
      <c r="B3117" s="78" t="str">
        <f t="shared" si="52"/>
        <v>2103-134-302158</v>
      </c>
      <c r="C3117" s="79">
        <v>44267</v>
      </c>
      <c r="D3117" s="78">
        <v>134</v>
      </c>
      <c r="E3117" s="78">
        <v>2</v>
      </c>
      <c r="F3117" s="78">
        <v>302158</v>
      </c>
      <c r="G3117" s="80" t="s">
        <v>1936</v>
      </c>
      <c r="H3117" s="79"/>
      <c r="I3117" s="78">
        <v>0</v>
      </c>
      <c r="J3117" s="78">
        <v>0</v>
      </c>
      <c r="K3117" s="79"/>
      <c r="L3117" s="78">
        <v>0</v>
      </c>
      <c r="M3117" s="78">
        <v>0</v>
      </c>
    </row>
    <row r="3118" spans="2:13" ht="14.1" customHeight="1" x14ac:dyDescent="0.25">
      <c r="B3118" s="78" t="str">
        <f t="shared" si="52"/>
        <v>2103-142-310277</v>
      </c>
      <c r="C3118" s="79">
        <v>44270</v>
      </c>
      <c r="D3118" s="78">
        <v>142</v>
      </c>
      <c r="E3118" s="78">
        <v>6</v>
      </c>
      <c r="F3118" s="78">
        <v>310277</v>
      </c>
      <c r="G3118" s="80" t="s">
        <v>1937</v>
      </c>
      <c r="H3118" s="79">
        <v>44291</v>
      </c>
      <c r="I3118" s="78">
        <v>52356</v>
      </c>
      <c r="J3118" s="78">
        <v>6</v>
      </c>
      <c r="K3118" s="79">
        <v>44298</v>
      </c>
      <c r="L3118" s="78">
        <v>11783</v>
      </c>
      <c r="M3118" s="78">
        <v>6</v>
      </c>
    </row>
    <row r="3119" spans="2:13" ht="14.1" customHeight="1" x14ac:dyDescent="0.25">
      <c r="B3119" s="78" t="str">
        <f t="shared" si="52"/>
        <v>2103-143-319688</v>
      </c>
      <c r="C3119" s="79">
        <v>44270</v>
      </c>
      <c r="D3119" s="78">
        <v>143</v>
      </c>
      <c r="E3119" s="78">
        <v>2000</v>
      </c>
      <c r="F3119" s="78">
        <v>319688</v>
      </c>
      <c r="G3119" s="80" t="s">
        <v>281</v>
      </c>
      <c r="H3119" s="79">
        <v>44270</v>
      </c>
      <c r="I3119" s="78">
        <v>52103</v>
      </c>
      <c r="J3119" s="78">
        <v>2000</v>
      </c>
      <c r="K3119" s="79">
        <v>44272</v>
      </c>
      <c r="L3119" s="78">
        <v>11544</v>
      </c>
      <c r="M3119" s="78">
        <v>2000</v>
      </c>
    </row>
    <row r="3120" spans="2:13" ht="14.1" customHeight="1" x14ac:dyDescent="0.25">
      <c r="B3120" s="78" t="str">
        <f t="shared" si="52"/>
        <v>2103-145-310971</v>
      </c>
      <c r="C3120" s="79">
        <v>44270</v>
      </c>
      <c r="D3120" s="78">
        <v>145</v>
      </c>
      <c r="E3120" s="78">
        <v>2</v>
      </c>
      <c r="F3120" s="78">
        <v>310971</v>
      </c>
      <c r="G3120" s="80" t="s">
        <v>1938</v>
      </c>
      <c r="H3120" s="79">
        <v>44286</v>
      </c>
      <c r="I3120" s="78">
        <v>52334</v>
      </c>
      <c r="J3120" s="78">
        <v>2</v>
      </c>
      <c r="K3120" s="79">
        <v>44299</v>
      </c>
      <c r="L3120" s="78">
        <v>11806</v>
      </c>
      <c r="M3120" s="78">
        <v>2</v>
      </c>
    </row>
    <row r="3121" spans="2:13" ht="14.1" customHeight="1" x14ac:dyDescent="0.25">
      <c r="B3121" s="78" t="str">
        <f t="shared" si="52"/>
        <v>2103-145-310971</v>
      </c>
      <c r="C3121" s="79">
        <v>44270</v>
      </c>
      <c r="D3121" s="78">
        <v>145</v>
      </c>
      <c r="E3121" s="78">
        <v>2</v>
      </c>
      <c r="F3121" s="78">
        <v>310971</v>
      </c>
      <c r="G3121" s="80" t="s">
        <v>1938</v>
      </c>
      <c r="H3121" s="79">
        <v>44286</v>
      </c>
      <c r="I3121" s="78">
        <v>52334</v>
      </c>
      <c r="J3121" s="78">
        <v>2</v>
      </c>
      <c r="K3121" s="79">
        <v>44299</v>
      </c>
      <c r="L3121" s="78">
        <v>11806</v>
      </c>
      <c r="M3121" s="78">
        <v>2</v>
      </c>
    </row>
    <row r="3122" spans="2:13" ht="14.1" customHeight="1" x14ac:dyDescent="0.25">
      <c r="B3122" s="78" t="str">
        <f t="shared" si="52"/>
        <v>2103-145-307603</v>
      </c>
      <c r="C3122" s="79">
        <v>44270</v>
      </c>
      <c r="D3122" s="78">
        <v>145</v>
      </c>
      <c r="E3122" s="78">
        <v>2</v>
      </c>
      <c r="F3122" s="78">
        <v>307603</v>
      </c>
      <c r="G3122" s="80" t="s">
        <v>1939</v>
      </c>
      <c r="H3122" s="79">
        <v>44286</v>
      </c>
      <c r="I3122" s="78">
        <v>52334</v>
      </c>
      <c r="J3122" s="78">
        <v>2</v>
      </c>
      <c r="K3122" s="79">
        <v>44299</v>
      </c>
      <c r="L3122" s="78">
        <v>11806</v>
      </c>
      <c r="M3122" s="78">
        <v>2</v>
      </c>
    </row>
    <row r="3123" spans="2:13" ht="14.1" customHeight="1" x14ac:dyDescent="0.25">
      <c r="B3123" s="78" t="str">
        <f t="shared" si="52"/>
        <v>2103-145-307603</v>
      </c>
      <c r="C3123" s="79">
        <v>44270</v>
      </c>
      <c r="D3123" s="78">
        <v>145</v>
      </c>
      <c r="E3123" s="78">
        <v>3</v>
      </c>
      <c r="F3123" s="78">
        <v>307603</v>
      </c>
      <c r="G3123" s="80" t="s">
        <v>1939</v>
      </c>
      <c r="H3123" s="79">
        <v>44286</v>
      </c>
      <c r="I3123" s="78">
        <v>52334</v>
      </c>
      <c r="J3123" s="78">
        <v>3</v>
      </c>
      <c r="K3123" s="79">
        <v>44299</v>
      </c>
      <c r="L3123" s="78">
        <v>11806</v>
      </c>
      <c r="M3123" s="78">
        <v>3</v>
      </c>
    </row>
    <row r="3124" spans="2:13" ht="14.1" customHeight="1" x14ac:dyDescent="0.25">
      <c r="B3124" s="78" t="str">
        <f t="shared" si="52"/>
        <v>2103-145-314419</v>
      </c>
      <c r="C3124" s="79">
        <v>44270</v>
      </c>
      <c r="D3124" s="78">
        <v>145</v>
      </c>
      <c r="E3124" s="78">
        <v>1</v>
      </c>
      <c r="F3124" s="78">
        <v>314419</v>
      </c>
      <c r="G3124" s="80" t="s">
        <v>1940</v>
      </c>
      <c r="H3124" s="79">
        <v>44286</v>
      </c>
      <c r="I3124" s="78">
        <v>52334</v>
      </c>
      <c r="J3124" s="78">
        <v>1</v>
      </c>
      <c r="K3124" s="79">
        <v>44299</v>
      </c>
      <c r="L3124" s="78">
        <v>11806</v>
      </c>
      <c r="M3124" s="78">
        <v>1</v>
      </c>
    </row>
    <row r="3125" spans="2:13" ht="14.1" customHeight="1" x14ac:dyDescent="0.25">
      <c r="B3125" s="78" t="str">
        <f t="shared" si="52"/>
        <v>2103-145-307604</v>
      </c>
      <c r="C3125" s="79">
        <v>44270</v>
      </c>
      <c r="D3125" s="78">
        <v>145</v>
      </c>
      <c r="E3125" s="78">
        <v>1</v>
      </c>
      <c r="F3125" s="78">
        <v>307604</v>
      </c>
      <c r="G3125" s="80" t="s">
        <v>1941</v>
      </c>
      <c r="H3125" s="79">
        <v>44286</v>
      </c>
      <c r="I3125" s="78">
        <v>52334</v>
      </c>
      <c r="J3125" s="78">
        <v>1</v>
      </c>
      <c r="K3125" s="79">
        <v>44299</v>
      </c>
      <c r="L3125" s="78">
        <v>11806</v>
      </c>
      <c r="M3125" s="78">
        <v>1</v>
      </c>
    </row>
    <row r="3126" spans="2:13" ht="14.1" customHeight="1" x14ac:dyDescent="0.25">
      <c r="B3126" s="78" t="str">
        <f t="shared" si="52"/>
        <v>2103-151-317670</v>
      </c>
      <c r="C3126" s="79">
        <v>44270</v>
      </c>
      <c r="D3126" s="78">
        <v>151</v>
      </c>
      <c r="E3126" s="78">
        <v>40</v>
      </c>
      <c r="F3126" s="78">
        <v>317670</v>
      </c>
      <c r="G3126" s="80" t="s">
        <v>236</v>
      </c>
      <c r="H3126" s="79">
        <v>44271</v>
      </c>
      <c r="I3126" s="78">
        <v>52141</v>
      </c>
      <c r="J3126" s="78">
        <v>40</v>
      </c>
      <c r="K3126" s="79">
        <v>44284</v>
      </c>
      <c r="L3126" s="78">
        <v>11672</v>
      </c>
      <c r="M3126" s="78">
        <v>40</v>
      </c>
    </row>
    <row r="3127" spans="2:13" ht="14.1" customHeight="1" x14ac:dyDescent="0.25">
      <c r="B3127" s="78" t="str">
        <f t="shared" si="52"/>
        <v>2103-151-206160</v>
      </c>
      <c r="C3127" s="79">
        <v>44270</v>
      </c>
      <c r="D3127" s="78">
        <v>151</v>
      </c>
      <c r="E3127" s="78">
        <v>10</v>
      </c>
      <c r="F3127" s="78">
        <v>206160</v>
      </c>
      <c r="G3127" s="80" t="s">
        <v>1943</v>
      </c>
      <c r="H3127" s="79">
        <v>44271</v>
      </c>
      <c r="I3127" s="78">
        <v>52141</v>
      </c>
      <c r="J3127" s="78">
        <v>10</v>
      </c>
      <c r="K3127" s="79">
        <v>44284</v>
      </c>
      <c r="L3127" s="78">
        <v>11672</v>
      </c>
      <c r="M3127" s="78">
        <v>10</v>
      </c>
    </row>
    <row r="3128" spans="2:13" ht="14.1" customHeight="1" x14ac:dyDescent="0.25">
      <c r="B3128" s="78" t="str">
        <f t="shared" si="52"/>
        <v>2103-151-203547</v>
      </c>
      <c r="C3128" s="79">
        <v>44270</v>
      </c>
      <c r="D3128" s="78">
        <v>151</v>
      </c>
      <c r="E3128" s="78">
        <v>30</v>
      </c>
      <c r="F3128" s="78">
        <v>203547</v>
      </c>
      <c r="G3128" s="80" t="s">
        <v>303</v>
      </c>
      <c r="H3128" s="79">
        <v>44271</v>
      </c>
      <c r="I3128" s="78">
        <v>52141</v>
      </c>
      <c r="J3128" s="78">
        <v>30</v>
      </c>
      <c r="K3128" s="79">
        <v>44284</v>
      </c>
      <c r="L3128" s="78">
        <v>11672</v>
      </c>
      <c r="M3128" s="78">
        <v>30</v>
      </c>
    </row>
    <row r="3129" spans="2:13" ht="14.1" customHeight="1" x14ac:dyDescent="0.25">
      <c r="B3129" s="78" t="str">
        <f t="shared" si="52"/>
        <v>2103-151-304395</v>
      </c>
      <c r="C3129" s="79">
        <v>44270</v>
      </c>
      <c r="D3129" s="78">
        <v>151</v>
      </c>
      <c r="E3129" s="78">
        <v>20</v>
      </c>
      <c r="F3129" s="78">
        <v>304395</v>
      </c>
      <c r="G3129" s="80" t="s">
        <v>237</v>
      </c>
      <c r="H3129" s="79">
        <v>44271</v>
      </c>
      <c r="I3129" s="78">
        <v>52141</v>
      </c>
      <c r="J3129" s="78">
        <v>20</v>
      </c>
      <c r="K3129" s="79">
        <v>44284</v>
      </c>
      <c r="L3129" s="78">
        <v>11672</v>
      </c>
      <c r="M3129" s="78">
        <v>20</v>
      </c>
    </row>
    <row r="3130" spans="2:13" ht="14.1" customHeight="1" x14ac:dyDescent="0.25">
      <c r="B3130" s="78" t="str">
        <f t="shared" si="52"/>
        <v>2103-151-311432</v>
      </c>
      <c r="C3130" s="79">
        <v>44270</v>
      </c>
      <c r="D3130" s="78">
        <v>151</v>
      </c>
      <c r="E3130" s="78">
        <v>10</v>
      </c>
      <c r="F3130" s="78">
        <v>311432</v>
      </c>
      <c r="G3130" s="80" t="s">
        <v>1942</v>
      </c>
      <c r="H3130" s="79">
        <v>44271</v>
      </c>
      <c r="I3130" s="78">
        <v>52141</v>
      </c>
      <c r="J3130" s="78">
        <v>10</v>
      </c>
      <c r="K3130" s="79">
        <v>44284</v>
      </c>
      <c r="L3130" s="78">
        <v>11672</v>
      </c>
      <c r="M3130" s="78">
        <v>10</v>
      </c>
    </row>
    <row r="3131" spans="2:13" ht="14.1" customHeight="1" x14ac:dyDescent="0.25">
      <c r="B3131" s="78" t="str">
        <f t="shared" si="52"/>
        <v>2103-153-206018</v>
      </c>
      <c r="C3131" s="79">
        <v>44271</v>
      </c>
      <c r="D3131" s="78">
        <v>153</v>
      </c>
      <c r="E3131" s="78">
        <v>2</v>
      </c>
      <c r="F3131" s="78">
        <v>206018</v>
      </c>
      <c r="G3131" s="80" t="s">
        <v>1963</v>
      </c>
      <c r="H3131" s="79">
        <v>44271</v>
      </c>
      <c r="I3131" s="78">
        <v>52137</v>
      </c>
      <c r="J3131" s="78">
        <v>2</v>
      </c>
      <c r="K3131" s="79">
        <v>44271</v>
      </c>
      <c r="L3131" s="78">
        <v>11533</v>
      </c>
      <c r="M3131" s="78">
        <v>2</v>
      </c>
    </row>
    <row r="3132" spans="2:13" ht="14.1" customHeight="1" x14ac:dyDescent="0.25">
      <c r="B3132" s="78" t="str">
        <f t="shared" si="52"/>
        <v>2103-154-206018</v>
      </c>
      <c r="C3132" s="79">
        <v>44271</v>
      </c>
      <c r="D3132" s="78">
        <v>154</v>
      </c>
      <c r="E3132" s="78">
        <v>1</v>
      </c>
      <c r="F3132" s="78">
        <v>206018</v>
      </c>
      <c r="G3132" s="80" t="s">
        <v>1963</v>
      </c>
      <c r="H3132" s="79">
        <v>44271</v>
      </c>
      <c r="I3132" s="78">
        <v>52138</v>
      </c>
      <c r="J3132" s="78">
        <v>1</v>
      </c>
      <c r="K3132" s="79">
        <v>44271</v>
      </c>
      <c r="L3132" s="78">
        <v>11534</v>
      </c>
      <c r="M3132" s="78">
        <v>1</v>
      </c>
    </row>
    <row r="3133" spans="2:13" ht="14.1" customHeight="1" x14ac:dyDescent="0.25">
      <c r="B3133" s="78" t="str">
        <f t="shared" si="52"/>
        <v>2103-155-316664</v>
      </c>
      <c r="C3133" s="79">
        <v>44271</v>
      </c>
      <c r="D3133" s="78">
        <v>155</v>
      </c>
      <c r="E3133" s="78">
        <v>2</v>
      </c>
      <c r="F3133" s="78">
        <v>316664</v>
      </c>
      <c r="G3133" s="80" t="s">
        <v>895</v>
      </c>
      <c r="H3133" s="79">
        <v>44281</v>
      </c>
      <c r="I3133" s="78">
        <v>52277</v>
      </c>
      <c r="J3133" s="78">
        <v>2</v>
      </c>
      <c r="K3133" s="79">
        <v>44291</v>
      </c>
      <c r="L3133" s="78">
        <v>11699</v>
      </c>
      <c r="M3133" s="78">
        <v>2</v>
      </c>
    </row>
    <row r="3134" spans="2:13" ht="14.1" customHeight="1" x14ac:dyDescent="0.25">
      <c r="B3134" s="78" t="str">
        <f t="shared" si="52"/>
        <v>2103-155-314738</v>
      </c>
      <c r="C3134" s="79">
        <v>44271</v>
      </c>
      <c r="D3134" s="78">
        <v>155</v>
      </c>
      <c r="E3134" s="78">
        <v>1</v>
      </c>
      <c r="F3134" s="78">
        <v>314738</v>
      </c>
      <c r="G3134" s="80" t="s">
        <v>1952</v>
      </c>
      <c r="H3134" s="79">
        <v>44281</v>
      </c>
      <c r="I3134" s="78">
        <v>52277</v>
      </c>
      <c r="J3134" s="78">
        <v>1</v>
      </c>
      <c r="K3134" s="79">
        <v>44291</v>
      </c>
      <c r="L3134" s="78">
        <v>11699</v>
      </c>
      <c r="M3134" s="78">
        <v>1</v>
      </c>
    </row>
    <row r="3135" spans="2:13" ht="14.1" customHeight="1" x14ac:dyDescent="0.25">
      <c r="B3135" s="78" t="str">
        <f t="shared" si="52"/>
        <v>2103-155-306954</v>
      </c>
      <c r="C3135" s="79">
        <v>44271</v>
      </c>
      <c r="D3135" s="78">
        <v>155</v>
      </c>
      <c r="E3135" s="78">
        <v>4</v>
      </c>
      <c r="F3135" s="78">
        <v>306954</v>
      </c>
      <c r="G3135" s="80" t="s">
        <v>1965</v>
      </c>
      <c r="H3135" s="79">
        <v>44281</v>
      </c>
      <c r="I3135" s="78">
        <v>52277</v>
      </c>
      <c r="J3135" s="78">
        <v>4</v>
      </c>
      <c r="K3135" s="79">
        <v>44291</v>
      </c>
      <c r="L3135" s="78">
        <v>11699</v>
      </c>
      <c r="M3135" s="78">
        <v>4</v>
      </c>
    </row>
    <row r="3136" spans="2:13" ht="14.1" customHeight="1" x14ac:dyDescent="0.25">
      <c r="B3136" s="78" t="str">
        <f t="shared" si="52"/>
        <v>2103-155-314737</v>
      </c>
      <c r="C3136" s="79">
        <v>44271</v>
      </c>
      <c r="D3136" s="78">
        <v>155</v>
      </c>
      <c r="E3136" s="78">
        <v>1</v>
      </c>
      <c r="F3136" s="78">
        <v>314737</v>
      </c>
      <c r="G3136" s="80" t="s">
        <v>1951</v>
      </c>
      <c r="H3136" s="79">
        <v>44281</v>
      </c>
      <c r="I3136" s="78">
        <v>52277</v>
      </c>
      <c r="J3136" s="78">
        <v>1</v>
      </c>
      <c r="K3136" s="79">
        <v>44291</v>
      </c>
      <c r="L3136" s="78">
        <v>11699</v>
      </c>
      <c r="M3136" s="78">
        <v>1</v>
      </c>
    </row>
    <row r="3137" spans="2:13" ht="14.1" customHeight="1" x14ac:dyDescent="0.25">
      <c r="B3137" s="78" t="str">
        <f t="shared" si="52"/>
        <v>2103-155-313554</v>
      </c>
      <c r="C3137" s="79">
        <v>44271</v>
      </c>
      <c r="D3137" s="78">
        <v>155</v>
      </c>
      <c r="E3137" s="78">
        <v>4</v>
      </c>
      <c r="F3137" s="78">
        <v>313554</v>
      </c>
      <c r="G3137" s="80" t="s">
        <v>1964</v>
      </c>
      <c r="H3137" s="79">
        <v>44281</v>
      </c>
      <c r="I3137" s="78">
        <v>52277</v>
      </c>
      <c r="J3137" s="78">
        <v>4</v>
      </c>
      <c r="K3137" s="79">
        <v>44291</v>
      </c>
      <c r="L3137" s="78">
        <v>11699</v>
      </c>
      <c r="M3137" s="78">
        <v>4</v>
      </c>
    </row>
    <row r="3138" spans="2:13" ht="14.1" customHeight="1" x14ac:dyDescent="0.25">
      <c r="B3138" s="78" t="str">
        <f t="shared" si="52"/>
        <v>2103-155-317792</v>
      </c>
      <c r="C3138" s="79">
        <v>44271</v>
      </c>
      <c r="D3138" s="78">
        <v>155</v>
      </c>
      <c r="E3138" s="78">
        <v>1</v>
      </c>
      <c r="F3138" s="78">
        <v>317792</v>
      </c>
      <c r="G3138" s="80" t="s">
        <v>913</v>
      </c>
      <c r="H3138" s="79">
        <v>44281</v>
      </c>
      <c r="I3138" s="78">
        <v>52277</v>
      </c>
      <c r="J3138" s="78">
        <v>1</v>
      </c>
      <c r="K3138" s="79">
        <v>44291</v>
      </c>
      <c r="L3138" s="78">
        <v>11699</v>
      </c>
      <c r="M3138" s="78">
        <v>1</v>
      </c>
    </row>
    <row r="3139" spans="2:13" ht="14.1" customHeight="1" x14ac:dyDescent="0.25">
      <c r="B3139" s="78" t="str">
        <f t="shared" si="52"/>
        <v>2103-155-106069</v>
      </c>
      <c r="C3139" s="79">
        <v>44271</v>
      </c>
      <c r="D3139" s="78">
        <v>155</v>
      </c>
      <c r="E3139" s="78">
        <v>2</v>
      </c>
      <c r="F3139" s="78">
        <v>106069</v>
      </c>
      <c r="G3139" s="80" t="s">
        <v>451</v>
      </c>
      <c r="H3139" s="79">
        <v>44281</v>
      </c>
      <c r="I3139" s="78">
        <v>52277</v>
      </c>
      <c r="J3139" s="78">
        <v>2</v>
      </c>
      <c r="K3139" s="79">
        <v>44291</v>
      </c>
      <c r="L3139" s="78">
        <v>11699</v>
      </c>
      <c r="M3139" s="78">
        <v>2</v>
      </c>
    </row>
    <row r="3140" spans="2:13" ht="14.1" customHeight="1" x14ac:dyDescent="0.25">
      <c r="B3140" s="78" t="str">
        <f t="shared" si="52"/>
        <v>2103-156-206618</v>
      </c>
      <c r="C3140" s="79">
        <v>44272</v>
      </c>
      <c r="D3140" s="78">
        <v>156</v>
      </c>
      <c r="E3140" s="78">
        <v>3</v>
      </c>
      <c r="F3140" s="78">
        <v>206618</v>
      </c>
      <c r="G3140" s="80" t="s">
        <v>588</v>
      </c>
      <c r="H3140" s="79">
        <v>44281</v>
      </c>
      <c r="I3140" s="78">
        <v>52285</v>
      </c>
      <c r="J3140" s="78">
        <v>3</v>
      </c>
      <c r="K3140" s="79">
        <v>44284</v>
      </c>
      <c r="L3140" s="78">
        <v>11675</v>
      </c>
      <c r="M3140" s="78">
        <v>3</v>
      </c>
    </row>
    <row r="3141" spans="2:13" ht="14.1" customHeight="1" x14ac:dyDescent="0.25">
      <c r="B3141" s="78" t="str">
        <f t="shared" si="52"/>
        <v>2103-156-306342</v>
      </c>
      <c r="C3141" s="79">
        <v>44272</v>
      </c>
      <c r="D3141" s="78">
        <v>156</v>
      </c>
      <c r="E3141" s="78">
        <v>3</v>
      </c>
      <c r="F3141" s="78">
        <v>306342</v>
      </c>
      <c r="G3141" s="80" t="s">
        <v>267</v>
      </c>
      <c r="H3141" s="79">
        <v>44281</v>
      </c>
      <c r="I3141" s="78">
        <v>52285</v>
      </c>
      <c r="J3141" s="78">
        <v>3</v>
      </c>
      <c r="K3141" s="79">
        <v>44284</v>
      </c>
      <c r="L3141" s="78">
        <v>11675</v>
      </c>
      <c r="M3141" s="78">
        <v>3</v>
      </c>
    </row>
    <row r="3142" spans="2:13" ht="14.1" customHeight="1" x14ac:dyDescent="0.25">
      <c r="B3142" s="78" t="str">
        <f t="shared" si="52"/>
        <v>2103-156-302029</v>
      </c>
      <c r="C3142" s="79">
        <v>44272</v>
      </c>
      <c r="D3142" s="78">
        <v>156</v>
      </c>
      <c r="E3142" s="78">
        <v>1</v>
      </c>
      <c r="F3142" s="78">
        <v>302029</v>
      </c>
      <c r="G3142" s="80" t="s">
        <v>1966</v>
      </c>
      <c r="H3142" s="79">
        <v>44281</v>
      </c>
      <c r="I3142" s="78">
        <v>52283</v>
      </c>
      <c r="J3142" s="78">
        <v>1</v>
      </c>
      <c r="K3142" s="79"/>
      <c r="L3142" s="78">
        <v>0</v>
      </c>
      <c r="M3142" s="78">
        <v>0</v>
      </c>
    </row>
    <row r="3143" spans="2:13" ht="14.1" customHeight="1" x14ac:dyDescent="0.25">
      <c r="B3143" s="78" t="str">
        <f t="shared" si="52"/>
        <v>2103-156-203639</v>
      </c>
      <c r="C3143" s="79">
        <v>44272</v>
      </c>
      <c r="D3143" s="78">
        <v>156</v>
      </c>
      <c r="E3143" s="78">
        <v>3</v>
      </c>
      <c r="F3143" s="78">
        <v>203639</v>
      </c>
      <c r="G3143" s="80" t="s">
        <v>266</v>
      </c>
      <c r="H3143" s="79">
        <v>44281</v>
      </c>
      <c r="I3143" s="78">
        <v>52284</v>
      </c>
      <c r="J3143" s="78">
        <v>2</v>
      </c>
      <c r="K3143" s="79">
        <v>44294</v>
      </c>
      <c r="L3143" s="78">
        <v>11743</v>
      </c>
      <c r="M3143" s="78">
        <v>2</v>
      </c>
    </row>
    <row r="3144" spans="2:13" ht="14.1" customHeight="1" x14ac:dyDescent="0.25">
      <c r="B3144" s="78" t="str">
        <f t="shared" si="52"/>
        <v>2103-157-107222</v>
      </c>
      <c r="C3144" s="79">
        <v>44272</v>
      </c>
      <c r="D3144" s="78">
        <v>157</v>
      </c>
      <c r="E3144" s="78">
        <v>10</v>
      </c>
      <c r="F3144" s="78">
        <v>107222</v>
      </c>
      <c r="G3144" s="80" t="s">
        <v>84</v>
      </c>
      <c r="H3144" s="79"/>
      <c r="I3144" s="78">
        <v>0</v>
      </c>
      <c r="J3144" s="78">
        <v>0</v>
      </c>
      <c r="K3144" s="79"/>
      <c r="L3144" s="78">
        <v>0</v>
      </c>
      <c r="M3144" s="78">
        <v>0</v>
      </c>
    </row>
    <row r="3145" spans="2:13" ht="14.1" customHeight="1" x14ac:dyDescent="0.25">
      <c r="B3145" s="78" t="str">
        <f t="shared" si="52"/>
        <v>2103-157-320375</v>
      </c>
      <c r="C3145" s="79">
        <v>44272</v>
      </c>
      <c r="D3145" s="78">
        <v>157</v>
      </c>
      <c r="E3145" s="78">
        <v>10</v>
      </c>
      <c r="F3145" s="78">
        <v>320375</v>
      </c>
      <c r="G3145" s="80" t="s">
        <v>1967</v>
      </c>
      <c r="H3145" s="79"/>
      <c r="I3145" s="78">
        <v>0</v>
      </c>
      <c r="J3145" s="78">
        <v>0</v>
      </c>
      <c r="K3145" s="79"/>
      <c r="L3145" s="78">
        <v>0</v>
      </c>
      <c r="M3145" s="78">
        <v>0</v>
      </c>
    </row>
    <row r="3146" spans="2:13" ht="14.1" customHeight="1" x14ac:dyDescent="0.25">
      <c r="B3146" s="78" t="str">
        <f t="shared" si="52"/>
        <v>2103-158-319292</v>
      </c>
      <c r="C3146" s="79">
        <v>44272</v>
      </c>
      <c r="D3146" s="78">
        <v>158</v>
      </c>
      <c r="E3146" s="78">
        <v>24</v>
      </c>
      <c r="F3146" s="78">
        <v>319292</v>
      </c>
      <c r="G3146" s="80" t="s">
        <v>65</v>
      </c>
      <c r="H3146" s="79"/>
      <c r="I3146" s="78">
        <v>0</v>
      </c>
      <c r="J3146" s="78">
        <v>0</v>
      </c>
      <c r="K3146" s="79"/>
      <c r="L3146" s="78">
        <v>0</v>
      </c>
      <c r="M3146" s="78">
        <v>0</v>
      </c>
    </row>
    <row r="3147" spans="2:13" ht="14.1" customHeight="1" x14ac:dyDescent="0.25">
      <c r="B3147" s="78" t="str">
        <f t="shared" si="52"/>
        <v>2103-159-320811</v>
      </c>
      <c r="C3147" s="79">
        <v>44272</v>
      </c>
      <c r="D3147" s="78">
        <v>159</v>
      </c>
      <c r="E3147" s="78">
        <v>2</v>
      </c>
      <c r="F3147" s="78">
        <v>320811</v>
      </c>
      <c r="G3147" s="80" t="s">
        <v>1700</v>
      </c>
      <c r="H3147" s="79"/>
      <c r="I3147" s="78">
        <v>0</v>
      </c>
      <c r="J3147" s="78">
        <v>0</v>
      </c>
      <c r="K3147" s="79"/>
      <c r="L3147" s="78">
        <v>0</v>
      </c>
      <c r="M3147" s="78">
        <v>0</v>
      </c>
    </row>
    <row r="3148" spans="2:13" ht="14.1" customHeight="1" x14ac:dyDescent="0.25">
      <c r="B3148" s="78" t="str">
        <f t="shared" si="52"/>
        <v>2103-160-320923</v>
      </c>
      <c r="C3148" s="79">
        <v>44272</v>
      </c>
      <c r="D3148" s="78">
        <v>160</v>
      </c>
      <c r="E3148" s="78">
        <v>32</v>
      </c>
      <c r="F3148" s="78">
        <v>320923</v>
      </c>
      <c r="G3148" s="80" t="s">
        <v>1968</v>
      </c>
      <c r="H3148" s="79">
        <v>44273</v>
      </c>
      <c r="I3148" s="78">
        <v>52177</v>
      </c>
      <c r="J3148" s="78">
        <v>32</v>
      </c>
      <c r="K3148" s="79">
        <v>44278</v>
      </c>
      <c r="L3148" s="78">
        <v>11607</v>
      </c>
      <c r="M3148" s="78">
        <v>32</v>
      </c>
    </row>
    <row r="3149" spans="2:13" ht="14.1" customHeight="1" x14ac:dyDescent="0.25">
      <c r="B3149" s="78" t="str">
        <f t="shared" si="52"/>
        <v>2103-160-320924</v>
      </c>
      <c r="C3149" s="79">
        <v>44272</v>
      </c>
      <c r="D3149" s="78">
        <v>160</v>
      </c>
      <c r="E3149" s="78">
        <v>32</v>
      </c>
      <c r="F3149" s="78">
        <v>320924</v>
      </c>
      <c r="G3149" s="80" t="s">
        <v>1969</v>
      </c>
      <c r="H3149" s="79">
        <v>44273</v>
      </c>
      <c r="I3149" s="78">
        <v>52177</v>
      </c>
      <c r="J3149" s="78">
        <v>32</v>
      </c>
      <c r="K3149" s="79">
        <v>44278</v>
      </c>
      <c r="L3149" s="78">
        <v>11607</v>
      </c>
      <c r="M3149" s="78">
        <v>32</v>
      </c>
    </row>
    <row r="3150" spans="2:13" ht="14.1" customHeight="1" x14ac:dyDescent="0.25">
      <c r="B3150" s="78" t="str">
        <f t="shared" si="52"/>
        <v>2103-164-304551</v>
      </c>
      <c r="C3150" s="79">
        <v>44272</v>
      </c>
      <c r="D3150" s="78">
        <v>164</v>
      </c>
      <c r="E3150" s="78">
        <v>12</v>
      </c>
      <c r="F3150" s="78">
        <v>304551</v>
      </c>
      <c r="G3150" s="80" t="s">
        <v>1970</v>
      </c>
      <c r="H3150" s="79">
        <v>44285</v>
      </c>
      <c r="I3150" s="78">
        <v>52309</v>
      </c>
      <c r="J3150" s="78">
        <v>12</v>
      </c>
      <c r="K3150" s="79">
        <v>44299</v>
      </c>
      <c r="L3150" s="78">
        <v>11802</v>
      </c>
      <c r="M3150" s="78">
        <v>12</v>
      </c>
    </row>
    <row r="3151" spans="2:13" ht="14.1" customHeight="1" x14ac:dyDescent="0.25">
      <c r="B3151" s="78" t="str">
        <f t="shared" si="52"/>
        <v>2103-168-320293</v>
      </c>
      <c r="C3151" s="79">
        <v>44272</v>
      </c>
      <c r="D3151" s="78">
        <v>168</v>
      </c>
      <c r="E3151" s="78">
        <v>8</v>
      </c>
      <c r="F3151" s="78">
        <v>320293</v>
      </c>
      <c r="G3151" s="80" t="s">
        <v>1021</v>
      </c>
      <c r="H3151" s="79"/>
      <c r="I3151" s="78">
        <v>0</v>
      </c>
      <c r="J3151" s="78">
        <v>0</v>
      </c>
      <c r="K3151" s="79"/>
      <c r="L3151" s="78">
        <v>0</v>
      </c>
      <c r="M3151" s="78">
        <v>0</v>
      </c>
    </row>
    <row r="3152" spans="2:13" ht="14.1" customHeight="1" x14ac:dyDescent="0.25">
      <c r="B3152" s="78" t="str">
        <f t="shared" si="52"/>
        <v>2103-168-203566</v>
      </c>
      <c r="C3152" s="79">
        <v>44272</v>
      </c>
      <c r="D3152" s="78">
        <v>168</v>
      </c>
      <c r="E3152" s="78">
        <v>4</v>
      </c>
      <c r="F3152" s="78">
        <v>203566</v>
      </c>
      <c r="G3152" s="80" t="s">
        <v>1971</v>
      </c>
      <c r="H3152" s="79"/>
      <c r="I3152" s="78">
        <v>0</v>
      </c>
      <c r="J3152" s="78">
        <v>0</v>
      </c>
      <c r="K3152" s="79"/>
      <c r="L3152" s="78">
        <v>0</v>
      </c>
      <c r="M3152" s="78">
        <v>0</v>
      </c>
    </row>
    <row r="3153" spans="2:13" ht="14.1" customHeight="1" x14ac:dyDescent="0.25">
      <c r="B3153" s="78" t="str">
        <f t="shared" si="52"/>
        <v>2103-169-301212</v>
      </c>
      <c r="C3153" s="79">
        <v>44272</v>
      </c>
      <c r="D3153" s="78">
        <v>169</v>
      </c>
      <c r="E3153" s="78">
        <v>3</v>
      </c>
      <c r="F3153" s="78">
        <v>301212</v>
      </c>
      <c r="G3153" s="80" t="s">
        <v>615</v>
      </c>
      <c r="H3153" s="79"/>
      <c r="I3153" s="78">
        <v>0</v>
      </c>
      <c r="J3153" s="78">
        <v>0</v>
      </c>
      <c r="K3153" s="79"/>
      <c r="L3153" s="78">
        <v>0</v>
      </c>
      <c r="M3153" s="78">
        <v>0</v>
      </c>
    </row>
    <row r="3154" spans="2:13" ht="14.1" customHeight="1" x14ac:dyDescent="0.25">
      <c r="B3154" s="78" t="str">
        <f t="shared" si="52"/>
        <v>2103-170-314431</v>
      </c>
      <c r="C3154" s="79">
        <v>44272</v>
      </c>
      <c r="D3154" s="78">
        <v>170</v>
      </c>
      <c r="E3154" s="78">
        <v>8</v>
      </c>
      <c r="F3154" s="78">
        <v>314431</v>
      </c>
      <c r="G3154" s="80" t="s">
        <v>1532</v>
      </c>
      <c r="H3154" s="79">
        <v>44273</v>
      </c>
      <c r="I3154" s="78">
        <v>52176</v>
      </c>
      <c r="J3154" s="78">
        <v>8</v>
      </c>
      <c r="K3154" s="79">
        <v>44274</v>
      </c>
      <c r="L3154" s="78">
        <v>11576</v>
      </c>
      <c r="M3154" s="78">
        <v>8</v>
      </c>
    </row>
    <row r="3155" spans="2:13" ht="14.1" customHeight="1" x14ac:dyDescent="0.25">
      <c r="B3155" s="78" t="str">
        <f t="shared" si="52"/>
        <v>2103-170-320928</v>
      </c>
      <c r="C3155" s="79">
        <v>44272</v>
      </c>
      <c r="D3155" s="78">
        <v>170</v>
      </c>
      <c r="E3155" s="78">
        <v>4</v>
      </c>
      <c r="F3155" s="78">
        <v>320928</v>
      </c>
      <c r="G3155" s="80" t="s">
        <v>1972</v>
      </c>
      <c r="H3155" s="79">
        <v>44273</v>
      </c>
      <c r="I3155" s="78">
        <v>52176</v>
      </c>
      <c r="J3155" s="78">
        <v>4</v>
      </c>
      <c r="K3155" s="79">
        <v>44274</v>
      </c>
      <c r="L3155" s="78">
        <v>11576</v>
      </c>
      <c r="M3155" s="78">
        <v>4</v>
      </c>
    </row>
    <row r="3156" spans="2:13" ht="14.1" customHeight="1" x14ac:dyDescent="0.25">
      <c r="B3156" s="78" t="str">
        <f t="shared" si="52"/>
        <v>2103-170-320929</v>
      </c>
      <c r="C3156" s="79">
        <v>44272</v>
      </c>
      <c r="D3156" s="78">
        <v>170</v>
      </c>
      <c r="E3156" s="78">
        <v>2</v>
      </c>
      <c r="F3156" s="78">
        <v>320929</v>
      </c>
      <c r="G3156" s="80" t="s">
        <v>1973</v>
      </c>
      <c r="H3156" s="79"/>
      <c r="I3156" s="78">
        <v>0</v>
      </c>
      <c r="J3156" s="78">
        <v>0</v>
      </c>
      <c r="K3156" s="79"/>
      <c r="L3156" s="78">
        <v>0</v>
      </c>
      <c r="M3156" s="78">
        <v>0</v>
      </c>
    </row>
    <row r="3157" spans="2:13" ht="14.1" customHeight="1" x14ac:dyDescent="0.25">
      <c r="B3157" s="78" t="str">
        <f t="shared" si="52"/>
        <v>2103-174-101176</v>
      </c>
      <c r="C3157" s="79">
        <v>44272</v>
      </c>
      <c r="D3157" s="78">
        <v>174</v>
      </c>
      <c r="E3157" s="78">
        <v>10</v>
      </c>
      <c r="F3157" s="78">
        <v>101176</v>
      </c>
      <c r="G3157" s="80" t="s">
        <v>1974</v>
      </c>
      <c r="H3157" s="79">
        <v>44272</v>
      </c>
      <c r="I3157" s="78">
        <v>52154</v>
      </c>
      <c r="J3157" s="78">
        <v>10</v>
      </c>
      <c r="K3157" s="79">
        <v>44273</v>
      </c>
      <c r="L3157" s="78">
        <v>11565</v>
      </c>
      <c r="M3157" s="78">
        <v>10</v>
      </c>
    </row>
    <row r="3158" spans="2:13" ht="14.1" customHeight="1" x14ac:dyDescent="0.25">
      <c r="B3158" s="78" t="str">
        <f t="shared" si="52"/>
        <v>2103-174-105898</v>
      </c>
      <c r="C3158" s="79">
        <v>44272</v>
      </c>
      <c r="D3158" s="78">
        <v>174</v>
      </c>
      <c r="E3158" s="78">
        <v>10</v>
      </c>
      <c r="F3158" s="78">
        <v>105898</v>
      </c>
      <c r="G3158" s="80" t="s">
        <v>441</v>
      </c>
      <c r="H3158" s="79">
        <v>44272</v>
      </c>
      <c r="I3158" s="78">
        <v>52154</v>
      </c>
      <c r="J3158" s="78">
        <v>10</v>
      </c>
      <c r="K3158" s="79">
        <v>44273</v>
      </c>
      <c r="L3158" s="78">
        <v>11565</v>
      </c>
      <c r="M3158" s="78">
        <v>10</v>
      </c>
    </row>
    <row r="3159" spans="2:13" ht="14.1" customHeight="1" x14ac:dyDescent="0.25">
      <c r="B3159" s="78" t="str">
        <f t="shared" si="52"/>
        <v>2103-177-320939</v>
      </c>
      <c r="C3159" s="79">
        <v>44272</v>
      </c>
      <c r="D3159" s="78">
        <v>177</v>
      </c>
      <c r="E3159" s="78">
        <v>15</v>
      </c>
      <c r="F3159" s="78">
        <v>320939</v>
      </c>
      <c r="G3159" s="80" t="s">
        <v>1982</v>
      </c>
      <c r="H3159" s="79">
        <v>44284</v>
      </c>
      <c r="I3159" s="78">
        <v>52296</v>
      </c>
      <c r="J3159" s="78">
        <v>15</v>
      </c>
      <c r="K3159" s="79"/>
      <c r="L3159" s="78">
        <v>0</v>
      </c>
      <c r="M3159" s="78">
        <v>0</v>
      </c>
    </row>
    <row r="3160" spans="2:13" ht="14.1" customHeight="1" x14ac:dyDescent="0.25">
      <c r="B3160" s="78" t="str">
        <f t="shared" si="52"/>
        <v>2103-177-320940</v>
      </c>
      <c r="C3160" s="79">
        <v>44272</v>
      </c>
      <c r="D3160" s="78">
        <v>177</v>
      </c>
      <c r="E3160" s="78">
        <v>2</v>
      </c>
      <c r="F3160" s="78">
        <v>320940</v>
      </c>
      <c r="G3160" s="80" t="s">
        <v>1983</v>
      </c>
      <c r="H3160" s="79"/>
      <c r="I3160" s="78">
        <v>0</v>
      </c>
      <c r="J3160" s="78">
        <v>0</v>
      </c>
      <c r="K3160" s="79"/>
      <c r="L3160" s="78">
        <v>0</v>
      </c>
      <c r="M3160" s="78">
        <v>0</v>
      </c>
    </row>
    <row r="3161" spans="2:13" ht="14.1" customHeight="1" x14ac:dyDescent="0.25">
      <c r="B3161" s="78" t="str">
        <f t="shared" si="52"/>
        <v>2103-177-320932</v>
      </c>
      <c r="C3161" s="79">
        <v>44272</v>
      </c>
      <c r="D3161" s="78">
        <v>177</v>
      </c>
      <c r="E3161" s="78">
        <v>2</v>
      </c>
      <c r="F3161" s="78">
        <v>320932</v>
      </c>
      <c r="G3161" s="80" t="s">
        <v>1975</v>
      </c>
      <c r="H3161" s="79">
        <v>44284</v>
      </c>
      <c r="I3161" s="78">
        <v>52296</v>
      </c>
      <c r="J3161" s="78">
        <v>2</v>
      </c>
      <c r="K3161" s="79"/>
      <c r="L3161" s="78">
        <v>0</v>
      </c>
      <c r="M3161" s="78">
        <v>0</v>
      </c>
    </row>
    <row r="3162" spans="2:13" ht="14.1" customHeight="1" x14ac:dyDescent="0.25">
      <c r="B3162" s="78" t="str">
        <f t="shared" si="52"/>
        <v>2103-177-320934</v>
      </c>
      <c r="C3162" s="79">
        <v>44272</v>
      </c>
      <c r="D3162" s="78">
        <v>177</v>
      </c>
      <c r="E3162" s="78">
        <v>2</v>
      </c>
      <c r="F3162" s="78">
        <v>320934</v>
      </c>
      <c r="G3162" s="80" t="s">
        <v>1977</v>
      </c>
      <c r="H3162" s="79">
        <v>44284</v>
      </c>
      <c r="I3162" s="78">
        <v>52296</v>
      </c>
      <c r="J3162" s="78">
        <v>2</v>
      </c>
      <c r="K3162" s="79"/>
      <c r="L3162" s="78">
        <v>0</v>
      </c>
      <c r="M3162" s="78">
        <v>0</v>
      </c>
    </row>
    <row r="3163" spans="2:13" ht="14.1" customHeight="1" x14ac:dyDescent="0.25">
      <c r="B3163" s="78" t="str">
        <f t="shared" si="52"/>
        <v>2103-177-320937</v>
      </c>
      <c r="C3163" s="79">
        <v>44272</v>
      </c>
      <c r="D3163" s="78">
        <v>177</v>
      </c>
      <c r="E3163" s="78">
        <v>15</v>
      </c>
      <c r="F3163" s="78">
        <v>320937</v>
      </c>
      <c r="G3163" s="80" t="s">
        <v>1980</v>
      </c>
      <c r="H3163" s="79">
        <v>44284</v>
      </c>
      <c r="I3163" s="78">
        <v>52296</v>
      </c>
      <c r="J3163" s="78">
        <v>15</v>
      </c>
      <c r="K3163" s="79"/>
      <c r="L3163" s="78">
        <v>0</v>
      </c>
      <c r="M3163" s="78">
        <v>0</v>
      </c>
    </row>
    <row r="3164" spans="2:13" ht="14.1" customHeight="1" x14ac:dyDescent="0.25">
      <c r="B3164" s="78" t="str">
        <f t="shared" si="52"/>
        <v>2103-177-320933</v>
      </c>
      <c r="C3164" s="79">
        <v>44272</v>
      </c>
      <c r="D3164" s="78">
        <v>177</v>
      </c>
      <c r="E3164" s="78">
        <v>2</v>
      </c>
      <c r="F3164" s="78">
        <v>320933</v>
      </c>
      <c r="G3164" s="80" t="s">
        <v>1976</v>
      </c>
      <c r="H3164" s="79">
        <v>44284</v>
      </c>
      <c r="I3164" s="78">
        <v>52296</v>
      </c>
      <c r="J3164" s="78">
        <v>2</v>
      </c>
      <c r="K3164" s="79"/>
      <c r="L3164" s="78">
        <v>0</v>
      </c>
      <c r="M3164" s="78">
        <v>0</v>
      </c>
    </row>
    <row r="3165" spans="2:13" ht="14.1" customHeight="1" x14ac:dyDescent="0.25">
      <c r="B3165" s="78" t="str">
        <f t="shared" si="52"/>
        <v>2103-177-320935</v>
      </c>
      <c r="C3165" s="79">
        <v>44272</v>
      </c>
      <c r="D3165" s="78">
        <v>177</v>
      </c>
      <c r="E3165" s="78">
        <v>3</v>
      </c>
      <c r="F3165" s="78">
        <v>320935</v>
      </c>
      <c r="G3165" s="80" t="s">
        <v>1978</v>
      </c>
      <c r="H3165" s="79">
        <v>44284</v>
      </c>
      <c r="I3165" s="78">
        <v>52296</v>
      </c>
      <c r="J3165" s="78">
        <v>3</v>
      </c>
      <c r="K3165" s="79"/>
      <c r="L3165" s="78">
        <v>0</v>
      </c>
      <c r="M3165" s="78">
        <v>0</v>
      </c>
    </row>
    <row r="3166" spans="2:13" ht="14.1" customHeight="1" x14ac:dyDescent="0.25">
      <c r="B3166" s="78" t="str">
        <f t="shared" si="52"/>
        <v>2103-177-320938</v>
      </c>
      <c r="C3166" s="79">
        <v>44272</v>
      </c>
      <c r="D3166" s="78">
        <v>177</v>
      </c>
      <c r="E3166" s="78">
        <v>5</v>
      </c>
      <c r="F3166" s="78">
        <v>320938</v>
      </c>
      <c r="G3166" s="80" t="s">
        <v>1981</v>
      </c>
      <c r="H3166" s="79">
        <v>44284</v>
      </c>
      <c r="I3166" s="78">
        <v>52296</v>
      </c>
      <c r="J3166" s="78">
        <v>5</v>
      </c>
      <c r="K3166" s="79"/>
      <c r="L3166" s="78">
        <v>0</v>
      </c>
      <c r="M3166" s="78">
        <v>0</v>
      </c>
    </row>
    <row r="3167" spans="2:13" ht="14.1" customHeight="1" x14ac:dyDescent="0.25">
      <c r="B3167" s="78" t="str">
        <f t="shared" si="52"/>
        <v>2103-177-320936</v>
      </c>
      <c r="C3167" s="79">
        <v>44272</v>
      </c>
      <c r="D3167" s="78">
        <v>177</v>
      </c>
      <c r="E3167" s="78">
        <v>15</v>
      </c>
      <c r="F3167" s="78">
        <v>320936</v>
      </c>
      <c r="G3167" s="80" t="s">
        <v>1979</v>
      </c>
      <c r="H3167" s="79">
        <v>44284</v>
      </c>
      <c r="I3167" s="78">
        <v>52296</v>
      </c>
      <c r="J3167" s="78">
        <v>15</v>
      </c>
      <c r="K3167" s="79"/>
      <c r="L3167" s="78">
        <v>0</v>
      </c>
      <c r="M3167" s="78">
        <v>0</v>
      </c>
    </row>
    <row r="3168" spans="2:13" ht="14.1" customHeight="1" x14ac:dyDescent="0.25">
      <c r="B3168" s="78" t="str">
        <f t="shared" si="52"/>
        <v>2103-178-204978</v>
      </c>
      <c r="C3168" s="79">
        <v>44273</v>
      </c>
      <c r="D3168" s="78">
        <v>178</v>
      </c>
      <c r="E3168" s="78">
        <v>2</v>
      </c>
      <c r="F3168" s="78">
        <v>204978</v>
      </c>
      <c r="G3168" s="80" t="s">
        <v>1984</v>
      </c>
      <c r="H3168" s="79"/>
      <c r="I3168" s="78">
        <v>0</v>
      </c>
      <c r="J3168" s="78">
        <v>0</v>
      </c>
      <c r="K3168" s="79"/>
      <c r="L3168" s="78">
        <v>0</v>
      </c>
      <c r="M3168" s="78">
        <v>0</v>
      </c>
    </row>
    <row r="3169" spans="2:13" ht="14.1" customHeight="1" x14ac:dyDescent="0.25">
      <c r="B3169" s="78" t="str">
        <f t="shared" ref="B3169:B3232" si="53">TEXT(C3169,"yy") &amp; TEXT(C3169,"mm") &amp;"-"&amp;(D3169) &amp;"-"&amp;(F3169)</f>
        <v>2103-179-203627</v>
      </c>
      <c r="C3169" s="79">
        <v>44273</v>
      </c>
      <c r="D3169" s="78">
        <v>179</v>
      </c>
      <c r="E3169" s="78">
        <v>1</v>
      </c>
      <c r="F3169" s="78">
        <v>203627</v>
      </c>
      <c r="G3169" s="80" t="s">
        <v>1986</v>
      </c>
      <c r="H3169" s="79"/>
      <c r="I3169" s="78">
        <v>0</v>
      </c>
      <c r="J3169" s="78">
        <v>0</v>
      </c>
      <c r="K3169" s="79"/>
      <c r="L3169" s="78">
        <v>0</v>
      </c>
      <c r="M3169" s="78">
        <v>0</v>
      </c>
    </row>
    <row r="3170" spans="2:13" ht="14.1" customHeight="1" x14ac:dyDescent="0.25">
      <c r="B3170" s="78" t="str">
        <f t="shared" si="53"/>
        <v>2103-179-205146</v>
      </c>
      <c r="C3170" s="79">
        <v>44273</v>
      </c>
      <c r="D3170" s="78">
        <v>179</v>
      </c>
      <c r="E3170" s="78">
        <v>2</v>
      </c>
      <c r="F3170" s="78">
        <v>205146</v>
      </c>
      <c r="G3170" s="80" t="s">
        <v>44</v>
      </c>
      <c r="H3170" s="79"/>
      <c r="I3170" s="78">
        <v>0</v>
      </c>
      <c r="J3170" s="78">
        <v>0</v>
      </c>
      <c r="K3170" s="79"/>
      <c r="L3170" s="78">
        <v>0</v>
      </c>
      <c r="M3170" s="78">
        <v>0</v>
      </c>
    </row>
    <row r="3171" spans="2:13" ht="14.1" customHeight="1" x14ac:dyDescent="0.25">
      <c r="B3171" s="78" t="str">
        <f t="shared" si="53"/>
        <v>2103-179-206290</v>
      </c>
      <c r="C3171" s="79">
        <v>44273</v>
      </c>
      <c r="D3171" s="78">
        <v>179</v>
      </c>
      <c r="E3171" s="78">
        <v>1</v>
      </c>
      <c r="F3171" s="78">
        <v>206290</v>
      </c>
      <c r="G3171" s="80" t="s">
        <v>1987</v>
      </c>
      <c r="H3171" s="79"/>
      <c r="I3171" s="78">
        <v>0</v>
      </c>
      <c r="J3171" s="78">
        <v>0</v>
      </c>
      <c r="K3171" s="79"/>
      <c r="L3171" s="78">
        <v>0</v>
      </c>
      <c r="M3171" s="78">
        <v>0</v>
      </c>
    </row>
    <row r="3172" spans="2:13" ht="14.1" customHeight="1" x14ac:dyDescent="0.25">
      <c r="B3172" s="78" t="str">
        <f t="shared" si="53"/>
        <v>2103-179-300285</v>
      </c>
      <c r="C3172" s="79">
        <v>44273</v>
      </c>
      <c r="D3172" s="78">
        <v>179</v>
      </c>
      <c r="E3172" s="78">
        <v>1</v>
      </c>
      <c r="F3172" s="78">
        <v>300285</v>
      </c>
      <c r="G3172" s="80" t="s">
        <v>1830</v>
      </c>
      <c r="H3172" s="79"/>
      <c r="I3172" s="78">
        <v>0</v>
      </c>
      <c r="J3172" s="78">
        <v>0</v>
      </c>
      <c r="K3172" s="79">
        <v>44299</v>
      </c>
      <c r="L3172" s="78">
        <v>11819</v>
      </c>
      <c r="M3172" s="78">
        <v>1</v>
      </c>
    </row>
    <row r="3173" spans="2:13" ht="14.1" customHeight="1" x14ac:dyDescent="0.25">
      <c r="B3173" s="78" t="str">
        <f t="shared" si="53"/>
        <v>2103-179-204816</v>
      </c>
      <c r="C3173" s="79">
        <v>44273</v>
      </c>
      <c r="D3173" s="78">
        <v>179</v>
      </c>
      <c r="E3173" s="78">
        <v>12</v>
      </c>
      <c r="F3173" s="78">
        <v>204816</v>
      </c>
      <c r="G3173" s="80" t="s">
        <v>1989</v>
      </c>
      <c r="H3173" s="79"/>
      <c r="I3173" s="78">
        <v>0</v>
      </c>
      <c r="J3173" s="78">
        <v>0</v>
      </c>
      <c r="K3173" s="79"/>
      <c r="L3173" s="78">
        <v>0</v>
      </c>
      <c r="M3173" s="78">
        <v>0</v>
      </c>
    </row>
    <row r="3174" spans="2:13" ht="14.1" customHeight="1" x14ac:dyDescent="0.25">
      <c r="B3174" s="78" t="str">
        <f t="shared" si="53"/>
        <v>2103-179-100140</v>
      </c>
      <c r="C3174" s="79">
        <v>44273</v>
      </c>
      <c r="D3174" s="78">
        <v>179</v>
      </c>
      <c r="E3174" s="78">
        <v>12</v>
      </c>
      <c r="F3174" s="78">
        <v>100140</v>
      </c>
      <c r="G3174" s="80" t="s">
        <v>1990</v>
      </c>
      <c r="H3174" s="79"/>
      <c r="I3174" s="78">
        <v>0</v>
      </c>
      <c r="J3174" s="78">
        <v>0</v>
      </c>
      <c r="K3174" s="79"/>
      <c r="L3174" s="78">
        <v>0</v>
      </c>
      <c r="M3174" s="78">
        <v>0</v>
      </c>
    </row>
    <row r="3175" spans="2:13" ht="14.1" customHeight="1" x14ac:dyDescent="0.25">
      <c r="B3175" s="78" t="str">
        <f t="shared" si="53"/>
        <v>2103-179-205827</v>
      </c>
      <c r="C3175" s="79">
        <v>44273</v>
      </c>
      <c r="D3175" s="78">
        <v>179</v>
      </c>
      <c r="E3175" s="78">
        <v>1</v>
      </c>
      <c r="F3175" s="78">
        <v>205827</v>
      </c>
      <c r="G3175" s="80" t="s">
        <v>1988</v>
      </c>
      <c r="H3175" s="79"/>
      <c r="I3175" s="78">
        <v>0</v>
      </c>
      <c r="J3175" s="78">
        <v>0</v>
      </c>
      <c r="K3175" s="79"/>
      <c r="L3175" s="78">
        <v>0</v>
      </c>
      <c r="M3175" s="78">
        <v>0</v>
      </c>
    </row>
    <row r="3176" spans="2:13" ht="14.1" customHeight="1" x14ac:dyDescent="0.25">
      <c r="B3176" s="78" t="str">
        <f t="shared" si="53"/>
        <v>2103-179-106771</v>
      </c>
      <c r="C3176" s="79">
        <v>44273</v>
      </c>
      <c r="D3176" s="78">
        <v>179</v>
      </c>
      <c r="E3176" s="78">
        <v>1</v>
      </c>
      <c r="F3176" s="78">
        <v>106771</v>
      </c>
      <c r="G3176" s="80" t="s">
        <v>1985</v>
      </c>
      <c r="H3176" s="79"/>
      <c r="I3176" s="78">
        <v>0</v>
      </c>
      <c r="J3176" s="78">
        <v>0</v>
      </c>
      <c r="K3176" s="79"/>
      <c r="L3176" s="78">
        <v>0</v>
      </c>
      <c r="M3176" s="78">
        <v>0</v>
      </c>
    </row>
    <row r="3177" spans="2:13" ht="14.1" customHeight="1" x14ac:dyDescent="0.25">
      <c r="B3177" s="78" t="str">
        <f t="shared" si="53"/>
        <v>2103-180-106644</v>
      </c>
      <c r="C3177" s="79">
        <v>44273</v>
      </c>
      <c r="D3177" s="78">
        <v>180</v>
      </c>
      <c r="E3177" s="78">
        <v>80</v>
      </c>
      <c r="F3177" s="78">
        <v>106644</v>
      </c>
      <c r="G3177" s="80" t="s">
        <v>83</v>
      </c>
      <c r="H3177" s="79">
        <v>44293</v>
      </c>
      <c r="I3177" s="78">
        <v>52384</v>
      </c>
      <c r="J3177" s="78">
        <v>80</v>
      </c>
      <c r="K3177" s="79">
        <v>44298</v>
      </c>
      <c r="L3177" s="78">
        <v>11787</v>
      </c>
      <c r="M3177" s="78">
        <v>80</v>
      </c>
    </row>
    <row r="3178" spans="2:13" ht="14.1" customHeight="1" x14ac:dyDescent="0.25">
      <c r="B3178" s="78" t="str">
        <f t="shared" si="53"/>
        <v>2103-180-205657</v>
      </c>
      <c r="C3178" s="79">
        <v>44273</v>
      </c>
      <c r="D3178" s="78">
        <v>180</v>
      </c>
      <c r="E3178" s="78">
        <v>4</v>
      </c>
      <c r="F3178" s="78">
        <v>205657</v>
      </c>
      <c r="G3178" s="80" t="s">
        <v>1670</v>
      </c>
      <c r="H3178" s="79">
        <v>44293</v>
      </c>
      <c r="I3178" s="78">
        <v>52387</v>
      </c>
      <c r="J3178" s="78">
        <v>4</v>
      </c>
      <c r="K3178" s="79"/>
      <c r="L3178" s="78">
        <v>0</v>
      </c>
      <c r="M3178" s="78">
        <v>0</v>
      </c>
    </row>
    <row r="3179" spans="2:13" ht="14.1" customHeight="1" x14ac:dyDescent="0.25">
      <c r="B3179" s="78" t="str">
        <f t="shared" si="53"/>
        <v>2103-180-320942</v>
      </c>
      <c r="C3179" s="79">
        <v>44273</v>
      </c>
      <c r="D3179" s="78">
        <v>180</v>
      </c>
      <c r="E3179" s="78">
        <v>2</v>
      </c>
      <c r="F3179" s="78">
        <v>320942</v>
      </c>
      <c r="G3179" s="80" t="s">
        <v>1991</v>
      </c>
      <c r="H3179" s="79">
        <v>44293</v>
      </c>
      <c r="I3179" s="78">
        <v>52383</v>
      </c>
      <c r="J3179" s="78">
        <v>2</v>
      </c>
      <c r="K3179" s="79">
        <v>44295</v>
      </c>
      <c r="L3179" s="78">
        <v>11775</v>
      </c>
      <c r="M3179" s="78">
        <v>2</v>
      </c>
    </row>
    <row r="3180" spans="2:13" ht="14.1" customHeight="1" x14ac:dyDescent="0.25">
      <c r="B3180" s="78" t="str">
        <f t="shared" si="53"/>
        <v>2103-181-304023</v>
      </c>
      <c r="C3180" s="79">
        <v>44273</v>
      </c>
      <c r="D3180" s="78">
        <v>181</v>
      </c>
      <c r="E3180" s="78">
        <v>3000</v>
      </c>
      <c r="F3180" s="78">
        <v>304023</v>
      </c>
      <c r="G3180" s="80" t="s">
        <v>1533</v>
      </c>
      <c r="H3180" s="79">
        <v>44280</v>
      </c>
      <c r="I3180" s="78">
        <v>52263</v>
      </c>
      <c r="J3180" s="78">
        <v>3000</v>
      </c>
      <c r="K3180" s="79">
        <v>44284</v>
      </c>
      <c r="L3180" s="78">
        <v>11667</v>
      </c>
      <c r="M3180" s="78">
        <v>3000</v>
      </c>
    </row>
    <row r="3181" spans="2:13" ht="14.1" customHeight="1" x14ac:dyDescent="0.25">
      <c r="B3181" s="78" t="str">
        <f t="shared" si="53"/>
        <v>2103-182-302261</v>
      </c>
      <c r="C3181" s="79">
        <v>44273</v>
      </c>
      <c r="D3181" s="78">
        <v>182</v>
      </c>
      <c r="E3181" s="78">
        <v>1</v>
      </c>
      <c r="F3181" s="78">
        <v>302261</v>
      </c>
      <c r="G3181" s="80" t="s">
        <v>1992</v>
      </c>
      <c r="H3181" s="79"/>
      <c r="I3181" s="78">
        <v>0</v>
      </c>
      <c r="J3181" s="78">
        <v>0</v>
      </c>
      <c r="K3181" s="79"/>
      <c r="L3181" s="78">
        <v>0</v>
      </c>
      <c r="M3181" s="78">
        <v>0</v>
      </c>
    </row>
    <row r="3182" spans="2:13" ht="14.1" customHeight="1" x14ac:dyDescent="0.25">
      <c r="B3182" s="78" t="str">
        <f t="shared" si="53"/>
        <v>2103-182-315008</v>
      </c>
      <c r="C3182" s="79">
        <v>44273</v>
      </c>
      <c r="D3182" s="78">
        <v>182</v>
      </c>
      <c r="E3182" s="78">
        <v>1.2</v>
      </c>
      <c r="F3182" s="78">
        <v>315008</v>
      </c>
      <c r="G3182" s="80" t="s">
        <v>319</v>
      </c>
      <c r="H3182" s="79"/>
      <c r="I3182" s="78">
        <v>0</v>
      </c>
      <c r="J3182" s="78">
        <v>0</v>
      </c>
      <c r="K3182" s="79"/>
      <c r="L3182" s="78">
        <v>0</v>
      </c>
      <c r="M3182" s="78">
        <v>0</v>
      </c>
    </row>
    <row r="3183" spans="2:13" ht="14.1" customHeight="1" x14ac:dyDescent="0.25">
      <c r="B3183" s="78" t="str">
        <f t="shared" si="53"/>
        <v>2103-182-204108</v>
      </c>
      <c r="C3183" s="79">
        <v>44273</v>
      </c>
      <c r="D3183" s="78">
        <v>182</v>
      </c>
      <c r="E3183" s="78">
        <v>1</v>
      </c>
      <c r="F3183" s="78">
        <v>204108</v>
      </c>
      <c r="G3183" s="80" t="s">
        <v>1994</v>
      </c>
      <c r="H3183" s="79"/>
      <c r="I3183" s="78">
        <v>0</v>
      </c>
      <c r="J3183" s="78">
        <v>0</v>
      </c>
      <c r="K3183" s="79"/>
      <c r="L3183" s="78">
        <v>0</v>
      </c>
      <c r="M3183" s="78">
        <v>0</v>
      </c>
    </row>
    <row r="3184" spans="2:13" ht="14.1" customHeight="1" x14ac:dyDescent="0.25">
      <c r="B3184" s="78" t="str">
        <f t="shared" si="53"/>
        <v>2103-182-301821</v>
      </c>
      <c r="C3184" s="79">
        <v>44273</v>
      </c>
      <c r="D3184" s="78">
        <v>182</v>
      </c>
      <c r="E3184" s="78">
        <v>1</v>
      </c>
      <c r="F3184" s="78">
        <v>301821</v>
      </c>
      <c r="G3184" s="80" t="s">
        <v>1993</v>
      </c>
      <c r="H3184" s="79"/>
      <c r="I3184" s="78">
        <v>0</v>
      </c>
      <c r="J3184" s="78">
        <v>0</v>
      </c>
      <c r="K3184" s="79"/>
      <c r="L3184" s="78">
        <v>0</v>
      </c>
      <c r="M3184" s="78">
        <v>0</v>
      </c>
    </row>
    <row r="3185" spans="2:13" ht="14.1" customHeight="1" x14ac:dyDescent="0.25">
      <c r="B3185" s="78" t="str">
        <f t="shared" si="53"/>
        <v>2103-187-200155</v>
      </c>
      <c r="C3185" s="79">
        <v>44273</v>
      </c>
      <c r="D3185" s="78">
        <v>187</v>
      </c>
      <c r="E3185" s="78">
        <v>60</v>
      </c>
      <c r="F3185" s="78">
        <v>200155</v>
      </c>
      <c r="G3185" s="80" t="s">
        <v>356</v>
      </c>
      <c r="H3185" s="79">
        <v>44277</v>
      </c>
      <c r="I3185" s="78">
        <v>52208</v>
      </c>
      <c r="J3185" s="78">
        <v>60</v>
      </c>
      <c r="K3185" s="79">
        <v>44273</v>
      </c>
      <c r="L3185" s="78">
        <v>11572</v>
      </c>
      <c r="M3185" s="78">
        <v>60</v>
      </c>
    </row>
    <row r="3186" spans="2:13" ht="14.1" customHeight="1" x14ac:dyDescent="0.25">
      <c r="B3186" s="78" t="str">
        <f t="shared" si="53"/>
        <v>2103-187-301987</v>
      </c>
      <c r="C3186" s="79">
        <v>44273</v>
      </c>
      <c r="D3186" s="78">
        <v>187</v>
      </c>
      <c r="E3186" s="78">
        <v>60</v>
      </c>
      <c r="F3186" s="78">
        <v>301987</v>
      </c>
      <c r="G3186" s="80" t="s">
        <v>357</v>
      </c>
      <c r="H3186" s="79">
        <v>44277</v>
      </c>
      <c r="I3186" s="78">
        <v>52208</v>
      </c>
      <c r="J3186" s="78">
        <v>60</v>
      </c>
      <c r="K3186" s="79">
        <v>44273</v>
      </c>
      <c r="L3186" s="78">
        <v>11572</v>
      </c>
      <c r="M3186" s="78">
        <v>60</v>
      </c>
    </row>
    <row r="3187" spans="2:13" ht="14.1" customHeight="1" x14ac:dyDescent="0.25">
      <c r="B3187" s="78" t="str">
        <f t="shared" si="53"/>
        <v>2103-188-205958</v>
      </c>
      <c r="C3187" s="79">
        <v>44273</v>
      </c>
      <c r="D3187" s="78">
        <v>188</v>
      </c>
      <c r="E3187" s="78">
        <v>8</v>
      </c>
      <c r="F3187" s="78">
        <v>205958</v>
      </c>
      <c r="G3187" s="80" t="s">
        <v>122</v>
      </c>
      <c r="H3187" s="79">
        <v>44280</v>
      </c>
      <c r="I3187" s="78">
        <v>52261</v>
      </c>
      <c r="J3187" s="78">
        <v>8</v>
      </c>
      <c r="K3187" s="79">
        <v>44281</v>
      </c>
      <c r="L3187" s="78">
        <v>11653</v>
      </c>
      <c r="M3187" s="78">
        <v>8</v>
      </c>
    </row>
    <row r="3188" spans="2:13" ht="14.1" customHeight="1" x14ac:dyDescent="0.25">
      <c r="B3188" s="78" t="str">
        <f t="shared" si="53"/>
        <v>2103-188-301219</v>
      </c>
      <c r="C3188" s="79">
        <v>44273</v>
      </c>
      <c r="D3188" s="78">
        <v>188</v>
      </c>
      <c r="E3188" s="78">
        <v>8</v>
      </c>
      <c r="F3188" s="78">
        <v>301219</v>
      </c>
      <c r="G3188" s="80" t="s">
        <v>121</v>
      </c>
      <c r="H3188" s="79">
        <v>44280</v>
      </c>
      <c r="I3188" s="78">
        <v>52261</v>
      </c>
      <c r="J3188" s="78">
        <v>8</v>
      </c>
      <c r="K3188" s="79">
        <v>44281</v>
      </c>
      <c r="L3188" s="78">
        <v>11653</v>
      </c>
      <c r="M3188" s="78">
        <v>8</v>
      </c>
    </row>
    <row r="3189" spans="2:13" ht="14.1" customHeight="1" x14ac:dyDescent="0.25">
      <c r="B3189" s="78" t="str">
        <f t="shared" si="53"/>
        <v>2103-188-206433</v>
      </c>
      <c r="C3189" s="79">
        <v>44273</v>
      </c>
      <c r="D3189" s="78">
        <v>188</v>
      </c>
      <c r="E3189" s="78">
        <v>8</v>
      </c>
      <c r="F3189" s="78">
        <v>206433</v>
      </c>
      <c r="G3189" s="80" t="s">
        <v>1996</v>
      </c>
      <c r="H3189" s="79">
        <v>44280</v>
      </c>
      <c r="I3189" s="78">
        <v>52261</v>
      </c>
      <c r="J3189" s="78">
        <v>8</v>
      </c>
      <c r="K3189" s="79">
        <v>44281</v>
      </c>
      <c r="L3189" s="78">
        <v>11653</v>
      </c>
      <c r="M3189" s="78">
        <v>8</v>
      </c>
    </row>
    <row r="3190" spans="2:13" ht="14.1" customHeight="1" x14ac:dyDescent="0.25">
      <c r="B3190" s="78" t="str">
        <f t="shared" si="53"/>
        <v>2103-188-206432</v>
      </c>
      <c r="C3190" s="79">
        <v>44273</v>
      </c>
      <c r="D3190" s="78">
        <v>188</v>
      </c>
      <c r="E3190" s="78">
        <v>8</v>
      </c>
      <c r="F3190" s="78">
        <v>206432</v>
      </c>
      <c r="G3190" s="80" t="s">
        <v>1995</v>
      </c>
      <c r="H3190" s="79">
        <v>44280</v>
      </c>
      <c r="I3190" s="78">
        <v>52261</v>
      </c>
      <c r="J3190" s="78">
        <v>8</v>
      </c>
      <c r="K3190" s="79">
        <v>44281</v>
      </c>
      <c r="L3190" s="78">
        <v>11653</v>
      </c>
      <c r="M3190" s="78">
        <v>8</v>
      </c>
    </row>
    <row r="3191" spans="2:13" ht="14.1" customHeight="1" x14ac:dyDescent="0.25">
      <c r="B3191" s="78" t="str">
        <f t="shared" si="53"/>
        <v>2103-190-200751</v>
      </c>
      <c r="C3191" s="79">
        <v>44274</v>
      </c>
      <c r="D3191" s="78">
        <v>190</v>
      </c>
      <c r="E3191" s="78">
        <v>30000</v>
      </c>
      <c r="F3191" s="78">
        <v>200751</v>
      </c>
      <c r="G3191" s="80" t="s">
        <v>151</v>
      </c>
      <c r="H3191" s="79">
        <v>44274</v>
      </c>
      <c r="I3191" s="78">
        <v>52200</v>
      </c>
      <c r="J3191" s="78">
        <v>10000</v>
      </c>
      <c r="K3191" s="79">
        <v>44277</v>
      </c>
      <c r="L3191" s="78">
        <v>11581</v>
      </c>
      <c r="M3191" s="78">
        <v>10000</v>
      </c>
    </row>
    <row r="3192" spans="2:13" ht="14.1" customHeight="1" x14ac:dyDescent="0.25">
      <c r="B3192" s="78" t="str">
        <f t="shared" si="53"/>
        <v>2103-190-200751</v>
      </c>
      <c r="C3192" s="79">
        <v>44274</v>
      </c>
      <c r="D3192" s="78">
        <v>190</v>
      </c>
      <c r="E3192" s="78">
        <v>30000</v>
      </c>
      <c r="F3192" s="78">
        <v>200751</v>
      </c>
      <c r="G3192" s="80" t="s">
        <v>151</v>
      </c>
      <c r="H3192" s="79">
        <v>44274</v>
      </c>
      <c r="I3192" s="78">
        <v>52200</v>
      </c>
      <c r="J3192" s="78">
        <v>10000</v>
      </c>
      <c r="K3192" s="79">
        <v>44277</v>
      </c>
      <c r="L3192" s="78">
        <v>11596</v>
      </c>
      <c r="M3192" s="78">
        <v>10000</v>
      </c>
    </row>
    <row r="3193" spans="2:13" ht="14.1" customHeight="1" x14ac:dyDescent="0.25">
      <c r="B3193" s="78" t="str">
        <f t="shared" si="53"/>
        <v>2103-190-200751</v>
      </c>
      <c r="C3193" s="79">
        <v>44274</v>
      </c>
      <c r="D3193" s="78">
        <v>190</v>
      </c>
      <c r="E3193" s="78">
        <v>30000</v>
      </c>
      <c r="F3193" s="78">
        <v>200751</v>
      </c>
      <c r="G3193" s="80" t="s">
        <v>151</v>
      </c>
      <c r="H3193" s="79">
        <v>44274</v>
      </c>
      <c r="I3193" s="78">
        <v>52200</v>
      </c>
      <c r="J3193" s="78">
        <v>10000</v>
      </c>
      <c r="K3193" s="79">
        <v>44278</v>
      </c>
      <c r="L3193" s="78">
        <v>11623</v>
      </c>
      <c r="M3193" s="78">
        <v>10000</v>
      </c>
    </row>
    <row r="3194" spans="2:13" ht="14.1" customHeight="1" x14ac:dyDescent="0.25">
      <c r="B3194" s="78" t="str">
        <f t="shared" si="53"/>
        <v>2103-190-200751</v>
      </c>
      <c r="C3194" s="79">
        <v>44274</v>
      </c>
      <c r="D3194" s="78">
        <v>190</v>
      </c>
      <c r="E3194" s="78">
        <v>30000</v>
      </c>
      <c r="F3194" s="78">
        <v>200751</v>
      </c>
      <c r="G3194" s="80" t="s">
        <v>151</v>
      </c>
      <c r="H3194" s="79">
        <v>44278</v>
      </c>
      <c r="I3194" s="78">
        <v>52232</v>
      </c>
      <c r="J3194" s="78">
        <v>10000</v>
      </c>
      <c r="K3194" s="79">
        <v>44277</v>
      </c>
      <c r="L3194" s="78">
        <v>11581</v>
      </c>
      <c r="M3194" s="78">
        <v>10000</v>
      </c>
    </row>
    <row r="3195" spans="2:13" ht="14.1" customHeight="1" x14ac:dyDescent="0.25">
      <c r="B3195" s="78" t="str">
        <f t="shared" si="53"/>
        <v>2103-190-200751</v>
      </c>
      <c r="C3195" s="79">
        <v>44274</v>
      </c>
      <c r="D3195" s="78">
        <v>190</v>
      </c>
      <c r="E3195" s="78">
        <v>30000</v>
      </c>
      <c r="F3195" s="78">
        <v>200751</v>
      </c>
      <c r="G3195" s="80" t="s">
        <v>151</v>
      </c>
      <c r="H3195" s="79">
        <v>44278</v>
      </c>
      <c r="I3195" s="78">
        <v>52232</v>
      </c>
      <c r="J3195" s="78">
        <v>10000</v>
      </c>
      <c r="K3195" s="79">
        <v>44277</v>
      </c>
      <c r="L3195" s="78">
        <v>11596</v>
      </c>
      <c r="M3195" s="78">
        <v>10000</v>
      </c>
    </row>
    <row r="3196" spans="2:13" ht="14.1" customHeight="1" x14ac:dyDescent="0.25">
      <c r="B3196" s="78" t="str">
        <f t="shared" si="53"/>
        <v>2103-190-200751</v>
      </c>
      <c r="C3196" s="79">
        <v>44274</v>
      </c>
      <c r="D3196" s="78">
        <v>190</v>
      </c>
      <c r="E3196" s="78">
        <v>30000</v>
      </c>
      <c r="F3196" s="78">
        <v>200751</v>
      </c>
      <c r="G3196" s="80" t="s">
        <v>151</v>
      </c>
      <c r="H3196" s="79">
        <v>44278</v>
      </c>
      <c r="I3196" s="78">
        <v>52232</v>
      </c>
      <c r="J3196" s="78">
        <v>10000</v>
      </c>
      <c r="K3196" s="79">
        <v>44278</v>
      </c>
      <c r="L3196" s="78">
        <v>11623</v>
      </c>
      <c r="M3196" s="78">
        <v>10000</v>
      </c>
    </row>
    <row r="3197" spans="2:13" ht="14.1" customHeight="1" x14ac:dyDescent="0.25">
      <c r="B3197" s="78" t="str">
        <f t="shared" si="53"/>
        <v>2103-190-200751</v>
      </c>
      <c r="C3197" s="79">
        <v>44274</v>
      </c>
      <c r="D3197" s="78">
        <v>190</v>
      </c>
      <c r="E3197" s="78">
        <v>30000</v>
      </c>
      <c r="F3197" s="78">
        <v>200751</v>
      </c>
      <c r="G3197" s="80" t="s">
        <v>151</v>
      </c>
      <c r="H3197" s="79">
        <v>44279</v>
      </c>
      <c r="I3197" s="78">
        <v>52241</v>
      </c>
      <c r="J3197" s="78">
        <v>10000</v>
      </c>
      <c r="K3197" s="79">
        <v>44277</v>
      </c>
      <c r="L3197" s="78">
        <v>11581</v>
      </c>
      <c r="M3197" s="78">
        <v>10000</v>
      </c>
    </row>
    <row r="3198" spans="2:13" ht="14.1" customHeight="1" x14ac:dyDescent="0.25">
      <c r="B3198" s="78" t="str">
        <f t="shared" si="53"/>
        <v>2103-190-200751</v>
      </c>
      <c r="C3198" s="79">
        <v>44274</v>
      </c>
      <c r="D3198" s="78">
        <v>190</v>
      </c>
      <c r="E3198" s="78">
        <v>30000</v>
      </c>
      <c r="F3198" s="78">
        <v>200751</v>
      </c>
      <c r="G3198" s="80" t="s">
        <v>151</v>
      </c>
      <c r="H3198" s="79">
        <v>44279</v>
      </c>
      <c r="I3198" s="78">
        <v>52241</v>
      </c>
      <c r="J3198" s="78">
        <v>10000</v>
      </c>
      <c r="K3198" s="79">
        <v>44277</v>
      </c>
      <c r="L3198" s="78">
        <v>11596</v>
      </c>
      <c r="M3198" s="78">
        <v>10000</v>
      </c>
    </row>
    <row r="3199" spans="2:13" ht="14.1" customHeight="1" x14ac:dyDescent="0.25">
      <c r="B3199" s="78" t="str">
        <f t="shared" si="53"/>
        <v>2103-190-200751</v>
      </c>
      <c r="C3199" s="79">
        <v>44274</v>
      </c>
      <c r="D3199" s="78">
        <v>190</v>
      </c>
      <c r="E3199" s="78">
        <v>30000</v>
      </c>
      <c r="F3199" s="78">
        <v>200751</v>
      </c>
      <c r="G3199" s="80" t="s">
        <v>151</v>
      </c>
      <c r="H3199" s="79">
        <v>44279</v>
      </c>
      <c r="I3199" s="78">
        <v>52241</v>
      </c>
      <c r="J3199" s="78">
        <v>10000</v>
      </c>
      <c r="K3199" s="79">
        <v>44278</v>
      </c>
      <c r="L3199" s="78">
        <v>11623</v>
      </c>
      <c r="M3199" s="78">
        <v>10000</v>
      </c>
    </row>
    <row r="3200" spans="2:13" ht="14.1" customHeight="1" x14ac:dyDescent="0.25">
      <c r="B3200" s="78" t="str">
        <f t="shared" si="53"/>
        <v>2103-191-206617</v>
      </c>
      <c r="C3200" s="79">
        <v>44274</v>
      </c>
      <c r="D3200" s="78">
        <v>191</v>
      </c>
      <c r="E3200" s="78">
        <v>4</v>
      </c>
      <c r="F3200" s="78">
        <v>206617</v>
      </c>
      <c r="G3200" s="80" t="s">
        <v>1997</v>
      </c>
      <c r="H3200" s="79">
        <v>44281</v>
      </c>
      <c r="I3200" s="78">
        <v>52275</v>
      </c>
      <c r="J3200" s="78">
        <v>4</v>
      </c>
      <c r="K3200" s="79">
        <v>44292</v>
      </c>
      <c r="L3200" s="78">
        <v>11735</v>
      </c>
      <c r="M3200" s="78">
        <v>4</v>
      </c>
    </row>
    <row r="3201" spans="2:13" ht="14.1" customHeight="1" x14ac:dyDescent="0.25">
      <c r="B3201" s="78" t="str">
        <f t="shared" si="53"/>
        <v>2103-191-302025</v>
      </c>
      <c r="C3201" s="79">
        <v>44274</v>
      </c>
      <c r="D3201" s="78">
        <v>191</v>
      </c>
      <c r="E3201" s="78">
        <v>10</v>
      </c>
      <c r="F3201" s="78">
        <v>302025</v>
      </c>
      <c r="G3201" s="80" t="s">
        <v>118</v>
      </c>
      <c r="H3201" s="79">
        <v>44281</v>
      </c>
      <c r="I3201" s="78">
        <v>52275</v>
      </c>
      <c r="J3201" s="78">
        <v>10</v>
      </c>
      <c r="K3201" s="79">
        <v>44292</v>
      </c>
      <c r="L3201" s="78">
        <v>11735</v>
      </c>
      <c r="M3201" s="78">
        <v>10</v>
      </c>
    </row>
    <row r="3202" spans="2:13" ht="14.1" customHeight="1" x14ac:dyDescent="0.25">
      <c r="B3202" s="78" t="str">
        <f t="shared" si="53"/>
        <v>2103-191-301162</v>
      </c>
      <c r="C3202" s="79">
        <v>44274</v>
      </c>
      <c r="D3202" s="78">
        <v>191</v>
      </c>
      <c r="E3202" s="78">
        <v>2</v>
      </c>
      <c r="F3202" s="78">
        <v>301162</v>
      </c>
      <c r="G3202" s="80" t="s">
        <v>1998</v>
      </c>
      <c r="H3202" s="79">
        <v>44281</v>
      </c>
      <c r="I3202" s="78">
        <v>52275</v>
      </c>
      <c r="J3202" s="78">
        <v>2</v>
      </c>
      <c r="K3202" s="79">
        <v>44292</v>
      </c>
      <c r="L3202" s="78">
        <v>11735</v>
      </c>
      <c r="M3202" s="78">
        <v>2</v>
      </c>
    </row>
    <row r="3203" spans="2:13" ht="14.1" customHeight="1" x14ac:dyDescent="0.25">
      <c r="B3203" s="78" t="str">
        <f t="shared" si="53"/>
        <v>2103-191-301219</v>
      </c>
      <c r="C3203" s="79">
        <v>44274</v>
      </c>
      <c r="D3203" s="78">
        <v>191</v>
      </c>
      <c r="E3203" s="78">
        <v>2</v>
      </c>
      <c r="F3203" s="78">
        <v>301219</v>
      </c>
      <c r="G3203" s="80" t="s">
        <v>121</v>
      </c>
      <c r="H3203" s="79">
        <v>44281</v>
      </c>
      <c r="I3203" s="78">
        <v>52275</v>
      </c>
      <c r="J3203" s="78">
        <v>2</v>
      </c>
      <c r="K3203" s="79">
        <v>44291</v>
      </c>
      <c r="L3203" s="78">
        <v>11696</v>
      </c>
      <c r="M3203" s="78">
        <v>2</v>
      </c>
    </row>
    <row r="3204" spans="2:13" ht="14.1" customHeight="1" x14ac:dyDescent="0.25">
      <c r="B3204" s="78" t="str">
        <f t="shared" si="53"/>
        <v>2103-191-301324</v>
      </c>
      <c r="C3204" s="79">
        <v>44274</v>
      </c>
      <c r="D3204" s="78">
        <v>191</v>
      </c>
      <c r="E3204" s="78">
        <v>10</v>
      </c>
      <c r="F3204" s="78">
        <v>301324</v>
      </c>
      <c r="G3204" s="80" t="s">
        <v>1920</v>
      </c>
      <c r="H3204" s="79">
        <v>44281</v>
      </c>
      <c r="I3204" s="78">
        <v>52275</v>
      </c>
      <c r="J3204" s="78">
        <v>10</v>
      </c>
      <c r="K3204" s="79">
        <v>44292</v>
      </c>
      <c r="L3204" s="78">
        <v>11735</v>
      </c>
      <c r="M3204" s="78">
        <v>10</v>
      </c>
    </row>
    <row r="3205" spans="2:13" ht="14.1" customHeight="1" x14ac:dyDescent="0.25">
      <c r="B3205" s="78" t="str">
        <f t="shared" si="53"/>
        <v>2103-191-312511</v>
      </c>
      <c r="C3205" s="79">
        <v>44274</v>
      </c>
      <c r="D3205" s="78">
        <v>191</v>
      </c>
      <c r="E3205" s="78">
        <v>1</v>
      </c>
      <c r="F3205" s="78">
        <v>312511</v>
      </c>
      <c r="G3205" s="80" t="s">
        <v>990</v>
      </c>
      <c r="H3205" s="79">
        <v>44281</v>
      </c>
      <c r="I3205" s="78">
        <v>52275</v>
      </c>
      <c r="J3205" s="78">
        <v>1</v>
      </c>
      <c r="K3205" s="79">
        <v>44292</v>
      </c>
      <c r="L3205" s="78">
        <v>11735</v>
      </c>
      <c r="M3205" s="78">
        <v>1</v>
      </c>
    </row>
    <row r="3206" spans="2:13" ht="14.1" customHeight="1" x14ac:dyDescent="0.25">
      <c r="B3206" s="78" t="str">
        <f t="shared" si="53"/>
        <v>2103-191-302026</v>
      </c>
      <c r="C3206" s="79">
        <v>44274</v>
      </c>
      <c r="D3206" s="78">
        <v>191</v>
      </c>
      <c r="E3206" s="78">
        <v>6</v>
      </c>
      <c r="F3206" s="78">
        <v>302026</v>
      </c>
      <c r="G3206" s="80" t="s">
        <v>120</v>
      </c>
      <c r="H3206" s="79">
        <v>44281</v>
      </c>
      <c r="I3206" s="78">
        <v>52275</v>
      </c>
      <c r="J3206" s="78">
        <v>6</v>
      </c>
      <c r="K3206" s="79">
        <v>44292</v>
      </c>
      <c r="L3206" s="78">
        <v>11735</v>
      </c>
      <c r="M3206" s="78">
        <v>6</v>
      </c>
    </row>
    <row r="3207" spans="2:13" ht="14.1" customHeight="1" x14ac:dyDescent="0.25">
      <c r="B3207" s="78" t="str">
        <f t="shared" si="53"/>
        <v>2103-191-302908</v>
      </c>
      <c r="C3207" s="79">
        <v>44274</v>
      </c>
      <c r="D3207" s="78">
        <v>191</v>
      </c>
      <c r="E3207" s="78">
        <v>2</v>
      </c>
      <c r="F3207" s="78">
        <v>302908</v>
      </c>
      <c r="G3207" s="80" t="s">
        <v>650</v>
      </c>
      <c r="H3207" s="79">
        <v>44281</v>
      </c>
      <c r="I3207" s="78">
        <v>52275</v>
      </c>
      <c r="J3207" s="78">
        <v>2</v>
      </c>
      <c r="K3207" s="79">
        <v>44292</v>
      </c>
      <c r="L3207" s="78">
        <v>11735</v>
      </c>
      <c r="M3207" s="78">
        <v>2</v>
      </c>
    </row>
    <row r="3208" spans="2:13" ht="14.1" customHeight="1" x14ac:dyDescent="0.25">
      <c r="B3208" s="78" t="str">
        <f t="shared" si="53"/>
        <v>2103-192-319688</v>
      </c>
      <c r="C3208" s="79">
        <v>44274</v>
      </c>
      <c r="D3208" s="78">
        <v>192</v>
      </c>
      <c r="E3208" s="78">
        <v>2000</v>
      </c>
      <c r="F3208" s="78">
        <v>319688</v>
      </c>
      <c r="G3208" s="80" t="s">
        <v>281</v>
      </c>
      <c r="H3208" s="79">
        <v>44280</v>
      </c>
      <c r="I3208" s="78">
        <v>52262</v>
      </c>
      <c r="J3208" s="78">
        <v>2000</v>
      </c>
      <c r="K3208" s="79">
        <v>44301</v>
      </c>
      <c r="L3208" s="78">
        <v>11846</v>
      </c>
      <c r="M3208" s="78">
        <v>2000</v>
      </c>
    </row>
    <row r="3209" spans="2:13" ht="14.1" customHeight="1" x14ac:dyDescent="0.25">
      <c r="B3209" s="78" t="str">
        <f t="shared" si="53"/>
        <v>2103-193-206013</v>
      </c>
      <c r="C3209" s="79">
        <v>44274</v>
      </c>
      <c r="D3209" s="78">
        <v>193</v>
      </c>
      <c r="E3209" s="78">
        <v>4</v>
      </c>
      <c r="F3209" s="78">
        <v>206013</v>
      </c>
      <c r="G3209" s="80" t="s">
        <v>575</v>
      </c>
      <c r="H3209" s="79">
        <v>44286</v>
      </c>
      <c r="I3209" s="78">
        <v>52335</v>
      </c>
      <c r="J3209" s="78">
        <v>4</v>
      </c>
      <c r="K3209" s="79">
        <v>44295</v>
      </c>
      <c r="L3209" s="78">
        <v>11772</v>
      </c>
      <c r="M3209" s="78">
        <v>4</v>
      </c>
    </row>
    <row r="3210" spans="2:13" ht="14.1" customHeight="1" x14ac:dyDescent="0.25">
      <c r="B3210" s="78" t="str">
        <f t="shared" si="53"/>
        <v>2103-194-106590</v>
      </c>
      <c r="C3210" s="79">
        <v>44274</v>
      </c>
      <c r="D3210" s="78">
        <v>194</v>
      </c>
      <c r="E3210" s="78">
        <v>1</v>
      </c>
      <c r="F3210" s="78">
        <v>106590</v>
      </c>
      <c r="G3210" s="80" t="s">
        <v>1578</v>
      </c>
      <c r="H3210" s="79">
        <v>44286</v>
      </c>
      <c r="I3210" s="78">
        <v>52330</v>
      </c>
      <c r="J3210" s="78">
        <v>1</v>
      </c>
      <c r="K3210" s="79"/>
      <c r="L3210" s="78">
        <v>0</v>
      </c>
      <c r="M3210" s="78">
        <v>0</v>
      </c>
    </row>
    <row r="3211" spans="2:13" ht="14.1" customHeight="1" x14ac:dyDescent="0.25">
      <c r="B3211" s="78" t="str">
        <f t="shared" si="53"/>
        <v>2103-195-204127</v>
      </c>
      <c r="C3211" s="79">
        <v>44277</v>
      </c>
      <c r="D3211" s="78">
        <v>195</v>
      </c>
      <c r="E3211" s="78">
        <v>2</v>
      </c>
      <c r="F3211" s="78">
        <v>204127</v>
      </c>
      <c r="G3211" s="80" t="s">
        <v>1113</v>
      </c>
      <c r="H3211" s="79">
        <v>44286</v>
      </c>
      <c r="I3211" s="78">
        <v>52331</v>
      </c>
      <c r="J3211" s="78">
        <v>2</v>
      </c>
      <c r="K3211" s="79">
        <v>44299</v>
      </c>
      <c r="L3211" s="78">
        <v>11804</v>
      </c>
      <c r="M3211" s="78">
        <v>2</v>
      </c>
    </row>
    <row r="3212" spans="2:13" ht="14.1" customHeight="1" x14ac:dyDescent="0.25">
      <c r="B3212" s="78" t="str">
        <f t="shared" si="53"/>
        <v>2103-195-204126</v>
      </c>
      <c r="C3212" s="79">
        <v>44277</v>
      </c>
      <c r="D3212" s="78">
        <v>195</v>
      </c>
      <c r="E3212" s="78">
        <v>3</v>
      </c>
      <c r="F3212" s="78">
        <v>204126</v>
      </c>
      <c r="G3212" s="80" t="s">
        <v>1112</v>
      </c>
      <c r="H3212" s="79">
        <v>44286</v>
      </c>
      <c r="I3212" s="78">
        <v>52331</v>
      </c>
      <c r="J3212" s="78">
        <v>3</v>
      </c>
      <c r="K3212" s="79">
        <v>44299</v>
      </c>
      <c r="L3212" s="78">
        <v>11804</v>
      </c>
      <c r="M3212" s="78">
        <v>3</v>
      </c>
    </row>
    <row r="3213" spans="2:13" ht="14.1" customHeight="1" x14ac:dyDescent="0.25">
      <c r="B3213" s="78" t="str">
        <f t="shared" si="53"/>
        <v>2103-195-204128</v>
      </c>
      <c r="C3213" s="79">
        <v>44277</v>
      </c>
      <c r="D3213" s="78">
        <v>195</v>
      </c>
      <c r="E3213" s="78">
        <v>9</v>
      </c>
      <c r="F3213" s="78">
        <v>204128</v>
      </c>
      <c r="G3213" s="80" t="s">
        <v>1114</v>
      </c>
      <c r="H3213" s="79">
        <v>44286</v>
      </c>
      <c r="I3213" s="78">
        <v>52331</v>
      </c>
      <c r="J3213" s="78">
        <v>9</v>
      </c>
      <c r="K3213" s="79">
        <v>44299</v>
      </c>
      <c r="L3213" s="78">
        <v>11804</v>
      </c>
      <c r="M3213" s="78">
        <v>9</v>
      </c>
    </row>
    <row r="3214" spans="2:13" ht="14.1" customHeight="1" x14ac:dyDescent="0.25">
      <c r="B3214" s="78" t="str">
        <f t="shared" si="53"/>
        <v>2103-196-309868</v>
      </c>
      <c r="C3214" s="79">
        <v>44277</v>
      </c>
      <c r="D3214" s="78">
        <v>196</v>
      </c>
      <c r="E3214" s="78">
        <v>1</v>
      </c>
      <c r="F3214" s="78">
        <v>309868</v>
      </c>
      <c r="G3214" s="80" t="s">
        <v>2001</v>
      </c>
      <c r="H3214" s="79">
        <v>44286</v>
      </c>
      <c r="I3214" s="78">
        <v>52333</v>
      </c>
      <c r="J3214" s="78">
        <v>1</v>
      </c>
      <c r="K3214" s="79">
        <v>44299</v>
      </c>
      <c r="L3214" s="78">
        <v>11805</v>
      </c>
      <c r="M3214" s="78">
        <v>1</v>
      </c>
    </row>
    <row r="3215" spans="2:13" ht="14.1" customHeight="1" x14ac:dyDescent="0.25">
      <c r="B3215" s="78" t="str">
        <f t="shared" si="53"/>
        <v>2103-196-314855</v>
      </c>
      <c r="C3215" s="79">
        <v>44277</v>
      </c>
      <c r="D3215" s="78">
        <v>196</v>
      </c>
      <c r="E3215" s="78">
        <v>2</v>
      </c>
      <c r="F3215" s="78">
        <v>314855</v>
      </c>
      <c r="G3215" s="80" t="s">
        <v>1999</v>
      </c>
      <c r="H3215" s="79">
        <v>44286</v>
      </c>
      <c r="I3215" s="78">
        <v>52333</v>
      </c>
      <c r="J3215" s="78">
        <v>2</v>
      </c>
      <c r="K3215" s="79">
        <v>44299</v>
      </c>
      <c r="L3215" s="78">
        <v>11805</v>
      </c>
      <c r="M3215" s="78">
        <v>2</v>
      </c>
    </row>
    <row r="3216" spans="2:13" ht="14.1" customHeight="1" x14ac:dyDescent="0.25">
      <c r="B3216" s="78" t="str">
        <f t="shared" si="53"/>
        <v>2103-196-314855</v>
      </c>
      <c r="C3216" s="79">
        <v>44277</v>
      </c>
      <c r="D3216" s="78">
        <v>196</v>
      </c>
      <c r="E3216" s="78">
        <v>2</v>
      </c>
      <c r="F3216" s="78">
        <v>314855</v>
      </c>
      <c r="G3216" s="80" t="s">
        <v>1999</v>
      </c>
      <c r="H3216" s="79">
        <v>44286</v>
      </c>
      <c r="I3216" s="78">
        <v>52333</v>
      </c>
      <c r="J3216" s="78">
        <v>2</v>
      </c>
      <c r="K3216" s="79">
        <v>44299</v>
      </c>
      <c r="L3216" s="78">
        <v>11805</v>
      </c>
      <c r="M3216" s="78">
        <v>2</v>
      </c>
    </row>
    <row r="3217" spans="2:13" ht="14.1" customHeight="1" x14ac:dyDescent="0.25">
      <c r="B3217" s="78" t="str">
        <f t="shared" si="53"/>
        <v>2103-196-305714</v>
      </c>
      <c r="C3217" s="79">
        <v>44277</v>
      </c>
      <c r="D3217" s="78">
        <v>196</v>
      </c>
      <c r="E3217" s="78">
        <v>1</v>
      </c>
      <c r="F3217" s="78">
        <v>305714</v>
      </c>
      <c r="G3217" s="80" t="s">
        <v>2000</v>
      </c>
      <c r="H3217" s="79">
        <v>44286</v>
      </c>
      <c r="I3217" s="78">
        <v>52333</v>
      </c>
      <c r="J3217" s="78">
        <v>1</v>
      </c>
      <c r="K3217" s="79">
        <v>44299</v>
      </c>
      <c r="L3217" s="78">
        <v>11805</v>
      </c>
      <c r="M3217" s="78">
        <v>1</v>
      </c>
    </row>
    <row r="3218" spans="2:13" ht="14.1" customHeight="1" x14ac:dyDescent="0.25">
      <c r="B3218" s="78" t="str">
        <f t="shared" si="53"/>
        <v>2103-196-305714</v>
      </c>
      <c r="C3218" s="79">
        <v>44277</v>
      </c>
      <c r="D3218" s="78">
        <v>196</v>
      </c>
      <c r="E3218" s="78">
        <v>2</v>
      </c>
      <c r="F3218" s="78">
        <v>305714</v>
      </c>
      <c r="G3218" s="80" t="s">
        <v>2000</v>
      </c>
      <c r="H3218" s="79">
        <v>44286</v>
      </c>
      <c r="I3218" s="78">
        <v>52333</v>
      </c>
      <c r="J3218" s="78">
        <v>2</v>
      </c>
      <c r="K3218" s="79">
        <v>44299</v>
      </c>
      <c r="L3218" s="78">
        <v>11805</v>
      </c>
      <c r="M3218" s="78">
        <v>2</v>
      </c>
    </row>
    <row r="3219" spans="2:13" ht="14.1" customHeight="1" x14ac:dyDescent="0.25">
      <c r="B3219" s="78" t="str">
        <f t="shared" si="53"/>
        <v>2103-198-307839</v>
      </c>
      <c r="C3219" s="79">
        <v>44277</v>
      </c>
      <c r="D3219" s="78">
        <v>198</v>
      </c>
      <c r="E3219" s="78">
        <v>1</v>
      </c>
      <c r="F3219" s="78">
        <v>307839</v>
      </c>
      <c r="G3219" s="80" t="s">
        <v>2003</v>
      </c>
      <c r="H3219" s="79">
        <v>44295</v>
      </c>
      <c r="I3219" s="78">
        <v>52435</v>
      </c>
      <c r="J3219" s="78">
        <v>1</v>
      </c>
      <c r="K3219" s="79">
        <v>44300</v>
      </c>
      <c r="L3219" s="78">
        <v>11822</v>
      </c>
      <c r="M3219" s="78">
        <v>1</v>
      </c>
    </row>
    <row r="3220" spans="2:13" ht="14.1" customHeight="1" x14ac:dyDescent="0.25">
      <c r="B3220" s="78" t="str">
        <f t="shared" si="53"/>
        <v>2103-198-310114</v>
      </c>
      <c r="C3220" s="79">
        <v>44277</v>
      </c>
      <c r="D3220" s="78">
        <v>198</v>
      </c>
      <c r="E3220" s="78">
        <v>1</v>
      </c>
      <c r="F3220" s="78">
        <v>310114</v>
      </c>
      <c r="G3220" s="80" t="s">
        <v>2004</v>
      </c>
      <c r="H3220" s="79">
        <v>44295</v>
      </c>
      <c r="I3220" s="78">
        <v>52436</v>
      </c>
      <c r="J3220" s="78">
        <v>1</v>
      </c>
      <c r="K3220" s="79">
        <v>44299</v>
      </c>
      <c r="L3220" s="78">
        <v>11801</v>
      </c>
      <c r="M3220" s="78">
        <v>1</v>
      </c>
    </row>
    <row r="3221" spans="2:13" ht="14.1" customHeight="1" x14ac:dyDescent="0.25">
      <c r="B3221" s="78" t="str">
        <f t="shared" si="53"/>
        <v>2103-198-100240</v>
      </c>
      <c r="C3221" s="79">
        <v>44277</v>
      </c>
      <c r="D3221" s="78">
        <v>198</v>
      </c>
      <c r="E3221" s="78">
        <v>1</v>
      </c>
      <c r="F3221" s="78">
        <v>100240</v>
      </c>
      <c r="G3221" s="80" t="s">
        <v>2002</v>
      </c>
      <c r="H3221" s="79">
        <v>44295</v>
      </c>
      <c r="I3221" s="78">
        <v>52434</v>
      </c>
      <c r="J3221" s="78">
        <v>1</v>
      </c>
      <c r="K3221" s="79">
        <v>44300</v>
      </c>
      <c r="L3221" s="78">
        <v>11822</v>
      </c>
      <c r="M3221" s="78">
        <v>1</v>
      </c>
    </row>
    <row r="3222" spans="2:13" ht="14.1" customHeight="1" x14ac:dyDescent="0.25">
      <c r="B3222" s="78" t="str">
        <f t="shared" si="53"/>
        <v>2103-198-315723</v>
      </c>
      <c r="C3222" s="79">
        <v>44277</v>
      </c>
      <c r="D3222" s="78">
        <v>198</v>
      </c>
      <c r="E3222" s="78">
        <v>1</v>
      </c>
      <c r="F3222" s="78">
        <v>315723</v>
      </c>
      <c r="G3222" s="80" t="s">
        <v>2005</v>
      </c>
      <c r="H3222" s="79">
        <v>44295</v>
      </c>
      <c r="I3222" s="78">
        <v>52435</v>
      </c>
      <c r="J3222" s="78">
        <v>1</v>
      </c>
      <c r="K3222" s="79">
        <v>44299</v>
      </c>
      <c r="L3222" s="78">
        <v>11807</v>
      </c>
      <c r="M3222" s="78">
        <v>1</v>
      </c>
    </row>
    <row r="3223" spans="2:13" ht="14.1" customHeight="1" x14ac:dyDescent="0.25">
      <c r="B3223" s="78" t="str">
        <f t="shared" si="53"/>
        <v>2103-212-312128</v>
      </c>
      <c r="C3223" s="79">
        <v>44277</v>
      </c>
      <c r="D3223" s="78">
        <v>212</v>
      </c>
      <c r="E3223" s="78">
        <v>1</v>
      </c>
      <c r="F3223" s="78">
        <v>312128</v>
      </c>
      <c r="G3223" s="80" t="s">
        <v>2006</v>
      </c>
      <c r="H3223" s="79">
        <v>44302</v>
      </c>
      <c r="I3223" s="78">
        <v>52492</v>
      </c>
      <c r="J3223" s="78">
        <v>1</v>
      </c>
      <c r="K3223" s="79"/>
      <c r="L3223" s="78">
        <v>0</v>
      </c>
      <c r="M3223" s="78">
        <v>0</v>
      </c>
    </row>
    <row r="3224" spans="2:13" ht="14.1" customHeight="1" x14ac:dyDescent="0.25">
      <c r="B3224" s="78" t="str">
        <f t="shared" si="53"/>
        <v>2103-213-306592</v>
      </c>
      <c r="C3224" s="79">
        <v>44277</v>
      </c>
      <c r="D3224" s="78">
        <v>213</v>
      </c>
      <c r="E3224" s="78">
        <v>4</v>
      </c>
      <c r="F3224" s="78">
        <v>306592</v>
      </c>
      <c r="G3224" s="80" t="s">
        <v>2008</v>
      </c>
      <c r="H3224" s="79">
        <v>44286</v>
      </c>
      <c r="I3224" s="78">
        <v>52320</v>
      </c>
      <c r="J3224" s="78">
        <v>4</v>
      </c>
      <c r="K3224" s="79">
        <v>44291</v>
      </c>
      <c r="L3224" s="78">
        <v>11695</v>
      </c>
      <c r="M3224" s="78">
        <v>4</v>
      </c>
    </row>
    <row r="3225" spans="2:13" ht="14.1" customHeight="1" x14ac:dyDescent="0.25">
      <c r="B3225" s="78" t="str">
        <f t="shared" si="53"/>
        <v>2103-213-320954</v>
      </c>
      <c r="C3225" s="79">
        <v>44277</v>
      </c>
      <c r="D3225" s="78">
        <v>213</v>
      </c>
      <c r="E3225" s="78">
        <v>3</v>
      </c>
      <c r="F3225" s="78">
        <v>320954</v>
      </c>
      <c r="G3225" s="80" t="s">
        <v>2007</v>
      </c>
      <c r="H3225" s="79">
        <v>44301</v>
      </c>
      <c r="I3225" s="78">
        <v>52489</v>
      </c>
      <c r="J3225" s="78">
        <v>3</v>
      </c>
      <c r="K3225" s="79"/>
      <c r="L3225" s="78">
        <v>0</v>
      </c>
      <c r="M3225" s="78">
        <v>0</v>
      </c>
    </row>
    <row r="3226" spans="2:13" ht="14.1" customHeight="1" x14ac:dyDescent="0.25">
      <c r="B3226" s="78" t="str">
        <f t="shared" si="53"/>
        <v>2103-214-320956</v>
      </c>
      <c r="C3226" s="79">
        <v>44277</v>
      </c>
      <c r="D3226" s="78">
        <v>214</v>
      </c>
      <c r="E3226" s="78">
        <v>2</v>
      </c>
      <c r="F3226" s="78">
        <v>320956</v>
      </c>
      <c r="G3226" s="80" t="s">
        <v>2010</v>
      </c>
      <c r="H3226" s="79"/>
      <c r="I3226" s="78">
        <v>0</v>
      </c>
      <c r="J3226" s="78">
        <v>0</v>
      </c>
      <c r="K3226" s="79"/>
      <c r="L3226" s="78">
        <v>0</v>
      </c>
      <c r="M3226" s="78">
        <v>0</v>
      </c>
    </row>
    <row r="3227" spans="2:13" ht="14.1" customHeight="1" x14ac:dyDescent="0.25">
      <c r="B3227" s="78" t="str">
        <f t="shared" si="53"/>
        <v>2103-214-320955</v>
      </c>
      <c r="C3227" s="79">
        <v>44277</v>
      </c>
      <c r="D3227" s="78">
        <v>214</v>
      </c>
      <c r="E3227" s="78">
        <v>2</v>
      </c>
      <c r="F3227" s="78">
        <v>320955</v>
      </c>
      <c r="G3227" s="80" t="s">
        <v>2009</v>
      </c>
      <c r="H3227" s="79"/>
      <c r="I3227" s="78">
        <v>0</v>
      </c>
      <c r="J3227" s="78">
        <v>0</v>
      </c>
      <c r="K3227" s="79"/>
      <c r="L3227" s="78">
        <v>0</v>
      </c>
      <c r="M3227" s="78">
        <v>0</v>
      </c>
    </row>
    <row r="3228" spans="2:13" ht="14.1" customHeight="1" x14ac:dyDescent="0.25">
      <c r="B3228" s="78" t="str">
        <f t="shared" si="53"/>
        <v>2103-216-107280</v>
      </c>
      <c r="C3228" s="79">
        <v>44278</v>
      </c>
      <c r="D3228" s="78">
        <v>216</v>
      </c>
      <c r="E3228" s="78">
        <v>6000</v>
      </c>
      <c r="F3228" s="78">
        <v>107280</v>
      </c>
      <c r="G3228" s="80" t="s">
        <v>131</v>
      </c>
      <c r="H3228" s="79">
        <v>44293</v>
      </c>
      <c r="I3228" s="78">
        <v>52389</v>
      </c>
      <c r="J3228" s="78">
        <v>6000</v>
      </c>
      <c r="K3228" s="79">
        <v>44299</v>
      </c>
      <c r="L3228" s="78">
        <v>11799</v>
      </c>
      <c r="M3228" s="78">
        <v>6000</v>
      </c>
    </row>
    <row r="3229" spans="2:13" ht="14.1" customHeight="1" x14ac:dyDescent="0.25">
      <c r="B3229" s="78" t="str">
        <f t="shared" si="53"/>
        <v>2103-216-305492</v>
      </c>
      <c r="C3229" s="79">
        <v>44278</v>
      </c>
      <c r="D3229" s="78">
        <v>216</v>
      </c>
      <c r="E3229" s="78">
        <v>20</v>
      </c>
      <c r="F3229" s="78">
        <v>305492</v>
      </c>
      <c r="G3229" s="80" t="s">
        <v>214</v>
      </c>
      <c r="H3229" s="79">
        <v>44293</v>
      </c>
      <c r="I3229" s="78">
        <v>52389</v>
      </c>
      <c r="J3229" s="78">
        <v>20</v>
      </c>
      <c r="K3229" s="79">
        <v>44299</v>
      </c>
      <c r="L3229" s="78">
        <v>11799</v>
      </c>
      <c r="M3229" s="78">
        <v>20</v>
      </c>
    </row>
    <row r="3230" spans="2:13" ht="14.1" customHeight="1" x14ac:dyDescent="0.25">
      <c r="B3230" s="78" t="str">
        <f t="shared" si="53"/>
        <v>2103-216-200225</v>
      </c>
      <c r="C3230" s="79">
        <v>44278</v>
      </c>
      <c r="D3230" s="78">
        <v>216</v>
      </c>
      <c r="E3230" s="78">
        <v>30</v>
      </c>
      <c r="F3230" s="78">
        <v>200225</v>
      </c>
      <c r="G3230" s="80" t="s">
        <v>1457</v>
      </c>
      <c r="H3230" s="79">
        <v>44293</v>
      </c>
      <c r="I3230" s="78">
        <v>52389</v>
      </c>
      <c r="J3230" s="78">
        <v>30</v>
      </c>
      <c r="K3230" s="79">
        <v>44299</v>
      </c>
      <c r="L3230" s="78">
        <v>11799</v>
      </c>
      <c r="M3230" s="78">
        <v>30</v>
      </c>
    </row>
    <row r="3231" spans="2:13" ht="14.1" customHeight="1" x14ac:dyDescent="0.25">
      <c r="B3231" s="78" t="str">
        <f t="shared" si="53"/>
        <v>2103-216-204518</v>
      </c>
      <c r="C3231" s="79">
        <v>44278</v>
      </c>
      <c r="D3231" s="78">
        <v>216</v>
      </c>
      <c r="E3231" s="78">
        <v>60</v>
      </c>
      <c r="F3231" s="78">
        <v>204518</v>
      </c>
      <c r="G3231" s="80" t="s">
        <v>216</v>
      </c>
      <c r="H3231" s="79">
        <v>44293</v>
      </c>
      <c r="I3231" s="78">
        <v>52389</v>
      </c>
      <c r="J3231" s="78">
        <v>60</v>
      </c>
      <c r="K3231" s="79">
        <v>44299</v>
      </c>
      <c r="L3231" s="78">
        <v>11799</v>
      </c>
      <c r="M3231" s="78">
        <v>60</v>
      </c>
    </row>
    <row r="3232" spans="2:13" ht="14.1" customHeight="1" x14ac:dyDescent="0.25">
      <c r="B3232" s="78" t="str">
        <f t="shared" si="53"/>
        <v>2103-225-303398</v>
      </c>
      <c r="C3232" s="79">
        <v>44278</v>
      </c>
      <c r="D3232" s="78">
        <v>225</v>
      </c>
      <c r="E3232" s="78">
        <v>150</v>
      </c>
      <c r="F3232" s="78">
        <v>303398</v>
      </c>
      <c r="G3232" s="80" t="s">
        <v>1961</v>
      </c>
      <c r="H3232" s="79"/>
      <c r="I3232" s="78">
        <v>0</v>
      </c>
      <c r="J3232" s="78">
        <v>0</v>
      </c>
      <c r="K3232" s="79"/>
      <c r="L3232" s="78">
        <v>0</v>
      </c>
      <c r="M3232" s="78">
        <v>0</v>
      </c>
    </row>
    <row r="3233" spans="2:13" ht="14.1" customHeight="1" x14ac:dyDescent="0.25">
      <c r="B3233" s="78" t="str">
        <f t="shared" ref="B3233:B3241" si="54">TEXT(C3233,"yy") &amp; TEXT(C3233,"mm") &amp;"-"&amp;(D3233) &amp;"-"&amp;(F3233)</f>
        <v>2103-225-320107</v>
      </c>
      <c r="C3233" s="79">
        <v>44278</v>
      </c>
      <c r="D3233" s="78">
        <v>225</v>
      </c>
      <c r="E3233" s="78">
        <v>1</v>
      </c>
      <c r="F3233" s="78">
        <v>320107</v>
      </c>
      <c r="G3233" s="80" t="s">
        <v>1959</v>
      </c>
      <c r="H3233" s="79"/>
      <c r="I3233" s="78">
        <v>0</v>
      </c>
      <c r="J3233" s="78">
        <v>0</v>
      </c>
      <c r="K3233" s="79"/>
      <c r="L3233" s="78">
        <v>0</v>
      </c>
      <c r="M3233" s="78">
        <v>0</v>
      </c>
    </row>
    <row r="3234" spans="2:13" ht="14.1" customHeight="1" x14ac:dyDescent="0.25">
      <c r="B3234" s="78" t="str">
        <f t="shared" si="54"/>
        <v>2103-225-307067</v>
      </c>
      <c r="C3234" s="79">
        <v>44278</v>
      </c>
      <c r="D3234" s="78">
        <v>225</v>
      </c>
      <c r="E3234" s="78">
        <v>5</v>
      </c>
      <c r="F3234" s="78">
        <v>307067</v>
      </c>
      <c r="G3234" s="80" t="s">
        <v>2017</v>
      </c>
      <c r="H3234" s="79"/>
      <c r="I3234" s="78">
        <v>0</v>
      </c>
      <c r="J3234" s="78">
        <v>0</v>
      </c>
      <c r="K3234" s="79"/>
      <c r="L3234" s="78">
        <v>0</v>
      </c>
      <c r="M3234" s="78">
        <v>0</v>
      </c>
    </row>
    <row r="3235" spans="2:13" ht="14.1" customHeight="1" x14ac:dyDescent="0.25">
      <c r="B3235" s="78" t="str">
        <f t="shared" si="54"/>
        <v>2103-225-314080</v>
      </c>
      <c r="C3235" s="79">
        <v>44278</v>
      </c>
      <c r="D3235" s="78">
        <v>225</v>
      </c>
      <c r="E3235" s="78">
        <v>200</v>
      </c>
      <c r="F3235" s="78">
        <v>314080</v>
      </c>
      <c r="G3235" s="80" t="s">
        <v>2012</v>
      </c>
      <c r="H3235" s="79"/>
      <c r="I3235" s="78">
        <v>0</v>
      </c>
      <c r="J3235" s="78">
        <v>0</v>
      </c>
      <c r="K3235" s="79"/>
      <c r="L3235" s="78">
        <v>0</v>
      </c>
      <c r="M3235" s="78">
        <v>0</v>
      </c>
    </row>
    <row r="3236" spans="2:13" ht="14.1" customHeight="1" x14ac:dyDescent="0.25">
      <c r="B3236" s="78" t="str">
        <f t="shared" si="54"/>
        <v>2103-225-314082</v>
      </c>
      <c r="C3236" s="79">
        <v>44278</v>
      </c>
      <c r="D3236" s="78">
        <v>225</v>
      </c>
      <c r="E3236" s="78">
        <v>30</v>
      </c>
      <c r="F3236" s="78">
        <v>314082</v>
      </c>
      <c r="G3236" s="80" t="s">
        <v>408</v>
      </c>
      <c r="H3236" s="79"/>
      <c r="I3236" s="78">
        <v>0</v>
      </c>
      <c r="J3236" s="78">
        <v>0</v>
      </c>
      <c r="K3236" s="79"/>
      <c r="L3236" s="78">
        <v>0</v>
      </c>
      <c r="M3236" s="78">
        <v>0</v>
      </c>
    </row>
    <row r="3237" spans="2:13" ht="14.1" customHeight="1" x14ac:dyDescent="0.25">
      <c r="B3237" s="78" t="str">
        <f t="shared" si="54"/>
        <v>2103-225-300915</v>
      </c>
      <c r="C3237" s="79">
        <v>44278</v>
      </c>
      <c r="D3237" s="78">
        <v>225</v>
      </c>
      <c r="E3237" s="78">
        <v>1</v>
      </c>
      <c r="F3237" s="78">
        <v>300915</v>
      </c>
      <c r="G3237" s="80" t="s">
        <v>1378</v>
      </c>
      <c r="H3237" s="79"/>
      <c r="I3237" s="78">
        <v>0</v>
      </c>
      <c r="J3237" s="78">
        <v>0</v>
      </c>
      <c r="K3237" s="79"/>
      <c r="L3237" s="78">
        <v>0</v>
      </c>
      <c r="M3237" s="78">
        <v>0</v>
      </c>
    </row>
    <row r="3238" spans="2:13" ht="14.1" customHeight="1" x14ac:dyDescent="0.25">
      <c r="B3238" s="78" t="str">
        <f t="shared" si="54"/>
        <v>2103-225-311492</v>
      </c>
      <c r="C3238" s="79">
        <v>44278</v>
      </c>
      <c r="D3238" s="78">
        <v>225</v>
      </c>
      <c r="E3238" s="78">
        <v>1</v>
      </c>
      <c r="F3238" s="78">
        <v>311492</v>
      </c>
      <c r="G3238" s="80" t="s">
        <v>1960</v>
      </c>
      <c r="H3238" s="79"/>
      <c r="I3238" s="78">
        <v>0</v>
      </c>
      <c r="J3238" s="78">
        <v>0</v>
      </c>
      <c r="K3238" s="79"/>
      <c r="L3238" s="78">
        <v>0</v>
      </c>
      <c r="M3238" s="78">
        <v>0</v>
      </c>
    </row>
    <row r="3239" spans="2:13" ht="14.1" customHeight="1" x14ac:dyDescent="0.25">
      <c r="B3239" s="78" t="str">
        <f t="shared" si="54"/>
        <v>2103-225-205181</v>
      </c>
      <c r="C3239" s="79">
        <v>44278</v>
      </c>
      <c r="D3239" s="78">
        <v>225</v>
      </c>
      <c r="E3239" s="78">
        <v>2</v>
      </c>
      <c r="F3239" s="78">
        <v>205181</v>
      </c>
      <c r="G3239" s="80" t="s">
        <v>1383</v>
      </c>
      <c r="H3239" s="79"/>
      <c r="I3239" s="78">
        <v>0</v>
      </c>
      <c r="J3239" s="78">
        <v>0</v>
      </c>
      <c r="K3239" s="79"/>
      <c r="L3239" s="78">
        <v>0</v>
      </c>
      <c r="M3239" s="78">
        <v>0</v>
      </c>
    </row>
    <row r="3240" spans="2:13" ht="14.1" customHeight="1" x14ac:dyDescent="0.25">
      <c r="B3240" s="78" t="str">
        <f t="shared" si="54"/>
        <v>2103-225-304779</v>
      </c>
      <c r="C3240" s="79">
        <v>44278</v>
      </c>
      <c r="D3240" s="78">
        <v>225</v>
      </c>
      <c r="E3240" s="78">
        <v>12</v>
      </c>
      <c r="F3240" s="78">
        <v>304779</v>
      </c>
      <c r="G3240" s="80" t="s">
        <v>683</v>
      </c>
      <c r="H3240" s="79"/>
      <c r="I3240" s="78">
        <v>0</v>
      </c>
      <c r="J3240" s="78">
        <v>0</v>
      </c>
      <c r="K3240" s="79"/>
      <c r="L3240" s="78">
        <v>0</v>
      </c>
      <c r="M3240" s="78">
        <v>0</v>
      </c>
    </row>
    <row r="3241" spans="2:13" ht="14.1" customHeight="1" x14ac:dyDescent="0.25">
      <c r="B3241" s="78" t="str">
        <f t="shared" si="54"/>
        <v>2103-225-302771</v>
      </c>
      <c r="C3241" s="79">
        <v>44278</v>
      </c>
      <c r="D3241" s="78">
        <v>225</v>
      </c>
      <c r="E3241" s="78">
        <v>9</v>
      </c>
      <c r="F3241" s="78">
        <v>302771</v>
      </c>
      <c r="G3241" s="80" t="s">
        <v>1954</v>
      </c>
      <c r="H3241" s="79"/>
      <c r="I3241" s="78">
        <v>0</v>
      </c>
      <c r="J3241" s="78">
        <v>0</v>
      </c>
      <c r="K3241" s="79"/>
      <c r="L3241" s="78">
        <v>0</v>
      </c>
      <c r="M3241" s="78">
        <v>0</v>
      </c>
    </row>
    <row r="3242" spans="2:13" ht="14.1" customHeight="1" x14ac:dyDescent="0.25">
      <c r="B3242" s="115" t="str">
        <f t="shared" ref="B3242:B3249" si="55">TEXT(C3242,"yy") &amp; TEXT(C3242,"mm") &amp;"-"&amp;(D3242) &amp;"-"&amp;(F3242)</f>
        <v>2103-225-320960</v>
      </c>
      <c r="C3242" s="116">
        <v>44278</v>
      </c>
      <c r="D3242" s="115">
        <v>225</v>
      </c>
      <c r="E3242" s="115">
        <v>1</v>
      </c>
      <c r="F3242" s="115">
        <v>320960</v>
      </c>
      <c r="G3242" s="117" t="s">
        <v>2011</v>
      </c>
      <c r="H3242" s="116"/>
      <c r="I3242" s="115">
        <v>0</v>
      </c>
      <c r="J3242" s="115">
        <v>0</v>
      </c>
      <c r="K3242" s="116"/>
      <c r="L3242" s="115">
        <v>0</v>
      </c>
      <c r="M3242" s="115">
        <v>0</v>
      </c>
    </row>
    <row r="3243" spans="2:13" ht="14.1" customHeight="1" x14ac:dyDescent="0.25">
      <c r="B3243" s="115" t="str">
        <f t="shared" si="55"/>
        <v>2103-225-300366</v>
      </c>
      <c r="C3243" s="116">
        <v>44278</v>
      </c>
      <c r="D3243" s="115">
        <v>225</v>
      </c>
      <c r="E3243" s="115">
        <v>1</v>
      </c>
      <c r="F3243" s="115">
        <v>300366</v>
      </c>
      <c r="G3243" s="117" t="s">
        <v>595</v>
      </c>
      <c r="H3243" s="116"/>
      <c r="I3243" s="115">
        <v>0</v>
      </c>
      <c r="J3243" s="115">
        <v>0</v>
      </c>
      <c r="K3243" s="116"/>
      <c r="L3243" s="115">
        <v>0</v>
      </c>
      <c r="M3243" s="115">
        <v>0</v>
      </c>
    </row>
    <row r="3244" spans="2:13" ht="14.1" customHeight="1" x14ac:dyDescent="0.25">
      <c r="B3244" s="115" t="str">
        <f t="shared" si="55"/>
        <v>2103-225-301712</v>
      </c>
      <c r="C3244" s="116">
        <v>44278</v>
      </c>
      <c r="D3244" s="115">
        <v>225</v>
      </c>
      <c r="E3244" s="115">
        <v>2</v>
      </c>
      <c r="F3244" s="115">
        <v>301712</v>
      </c>
      <c r="G3244" s="117" t="s">
        <v>2016</v>
      </c>
      <c r="H3244" s="116"/>
      <c r="I3244" s="115">
        <v>0</v>
      </c>
      <c r="J3244" s="115">
        <v>0</v>
      </c>
      <c r="K3244" s="116"/>
      <c r="L3244" s="115">
        <v>0</v>
      </c>
      <c r="M3244" s="115">
        <v>0</v>
      </c>
    </row>
    <row r="3245" spans="2:13" ht="14.1" customHeight="1" x14ac:dyDescent="0.25">
      <c r="B3245" s="115" t="str">
        <f t="shared" si="55"/>
        <v>2103-225-305178</v>
      </c>
      <c r="C3245" s="116">
        <v>44278</v>
      </c>
      <c r="D3245" s="115">
        <v>225</v>
      </c>
      <c r="E3245" s="115">
        <v>3</v>
      </c>
      <c r="F3245" s="115">
        <v>305178</v>
      </c>
      <c r="G3245" s="117" t="s">
        <v>1958</v>
      </c>
      <c r="H3245" s="116"/>
      <c r="I3245" s="115">
        <v>0</v>
      </c>
      <c r="J3245" s="115">
        <v>0</v>
      </c>
      <c r="K3245" s="116"/>
      <c r="L3245" s="115">
        <v>0</v>
      </c>
      <c r="M3245" s="115">
        <v>0</v>
      </c>
    </row>
    <row r="3246" spans="2:13" ht="14.1" customHeight="1" x14ac:dyDescent="0.25">
      <c r="B3246" s="115" t="str">
        <f t="shared" si="55"/>
        <v>2103-225-202691</v>
      </c>
      <c r="C3246" s="116">
        <v>44278</v>
      </c>
      <c r="D3246" s="115">
        <v>225</v>
      </c>
      <c r="E3246" s="115">
        <v>2</v>
      </c>
      <c r="F3246" s="115">
        <v>202691</v>
      </c>
      <c r="G3246" s="117" t="s">
        <v>1387</v>
      </c>
      <c r="H3246" s="116"/>
      <c r="I3246" s="115">
        <v>0</v>
      </c>
      <c r="J3246" s="115">
        <v>0</v>
      </c>
      <c r="K3246" s="116"/>
      <c r="L3246" s="115">
        <v>0</v>
      </c>
      <c r="M3246" s="115">
        <v>0</v>
      </c>
    </row>
    <row r="3247" spans="2:13" ht="14.1" customHeight="1" x14ac:dyDescent="0.25">
      <c r="B3247" s="115" t="str">
        <f t="shared" si="55"/>
        <v>2103-225-302525</v>
      </c>
      <c r="C3247" s="116">
        <v>44278</v>
      </c>
      <c r="D3247" s="115">
        <v>225</v>
      </c>
      <c r="E3247" s="115">
        <v>1</v>
      </c>
      <c r="F3247" s="115">
        <v>302525</v>
      </c>
      <c r="G3247" s="117" t="s">
        <v>2015</v>
      </c>
      <c r="H3247" s="116"/>
      <c r="I3247" s="115">
        <v>0</v>
      </c>
      <c r="J3247" s="115">
        <v>0</v>
      </c>
      <c r="K3247" s="116"/>
      <c r="L3247" s="115">
        <v>0</v>
      </c>
      <c r="M3247" s="115">
        <v>0</v>
      </c>
    </row>
    <row r="3248" spans="2:13" ht="14.1" customHeight="1" x14ac:dyDescent="0.25">
      <c r="B3248" s="115" t="str">
        <f t="shared" si="55"/>
        <v>2103-225-204417</v>
      </c>
      <c r="C3248" s="116">
        <v>44278</v>
      </c>
      <c r="D3248" s="115">
        <v>225</v>
      </c>
      <c r="E3248" s="115">
        <v>3</v>
      </c>
      <c r="F3248" s="115">
        <v>204417</v>
      </c>
      <c r="G3248" s="117" t="s">
        <v>538</v>
      </c>
      <c r="H3248" s="116"/>
      <c r="I3248" s="115">
        <v>0</v>
      </c>
      <c r="J3248" s="115">
        <v>0</v>
      </c>
      <c r="K3248" s="116"/>
      <c r="L3248" s="115">
        <v>0</v>
      </c>
      <c r="M3248" s="115">
        <v>0</v>
      </c>
    </row>
    <row r="3249" spans="2:13" ht="14.1" customHeight="1" x14ac:dyDescent="0.25">
      <c r="B3249" s="115" t="str">
        <f t="shared" si="55"/>
        <v>2103-225-106367</v>
      </c>
      <c r="C3249" s="116">
        <v>44278</v>
      </c>
      <c r="D3249" s="115">
        <v>225</v>
      </c>
      <c r="E3249" s="115">
        <v>1</v>
      </c>
      <c r="F3249" s="115">
        <v>106367</v>
      </c>
      <c r="G3249" s="117" t="s">
        <v>2014</v>
      </c>
      <c r="H3249" s="116"/>
      <c r="I3249" s="115">
        <v>0</v>
      </c>
      <c r="J3249" s="115">
        <v>0</v>
      </c>
      <c r="K3249" s="116"/>
      <c r="L3249" s="115">
        <v>0</v>
      </c>
      <c r="M3249" s="115">
        <v>0</v>
      </c>
    </row>
    <row r="3250" spans="2:13" ht="14.1" customHeight="1" x14ac:dyDescent="0.25">
      <c r="B3250" s="46" t="str">
        <f t="shared" ref="B3250:B3313" si="56">TEXT(C3250,"yy") &amp; TEXT(C3250,"mm") &amp;"-"&amp;(D3250) &amp;"-"&amp;(F3250)</f>
        <v>2103-225-205073</v>
      </c>
      <c r="C3250" s="47">
        <v>44278</v>
      </c>
      <c r="D3250" s="46">
        <v>225</v>
      </c>
      <c r="E3250" s="46">
        <v>2</v>
      </c>
      <c r="F3250" s="46">
        <v>205073</v>
      </c>
      <c r="G3250" s="48" t="s">
        <v>2013</v>
      </c>
      <c r="I3250" s="46">
        <v>0</v>
      </c>
      <c r="J3250" s="46">
        <v>0</v>
      </c>
      <c r="L3250" s="46">
        <v>0</v>
      </c>
      <c r="M3250" s="46">
        <v>0</v>
      </c>
    </row>
    <row r="3251" spans="2:13" ht="14.1" customHeight="1" x14ac:dyDescent="0.25">
      <c r="B3251" s="46" t="str">
        <f t="shared" si="56"/>
        <v>2103-225-205091</v>
      </c>
      <c r="C3251" s="47">
        <v>44278</v>
      </c>
      <c r="D3251" s="46">
        <v>225</v>
      </c>
      <c r="E3251" s="46">
        <v>3</v>
      </c>
      <c r="F3251" s="46">
        <v>205091</v>
      </c>
      <c r="G3251" s="48" t="s">
        <v>552</v>
      </c>
      <c r="I3251" s="46">
        <v>0</v>
      </c>
      <c r="J3251" s="46">
        <v>0</v>
      </c>
      <c r="L3251" s="46">
        <v>0</v>
      </c>
      <c r="M3251" s="46">
        <v>0</v>
      </c>
    </row>
    <row r="3252" spans="2:13" ht="14.1" customHeight="1" x14ac:dyDescent="0.25">
      <c r="B3252" s="46" t="str">
        <f t="shared" si="56"/>
        <v>2103-225-304195</v>
      </c>
      <c r="C3252" s="47">
        <v>44278</v>
      </c>
      <c r="D3252" s="46">
        <v>225</v>
      </c>
      <c r="E3252" s="46">
        <v>10</v>
      </c>
      <c r="F3252" s="46">
        <v>304195</v>
      </c>
      <c r="G3252" s="48" t="s">
        <v>1956</v>
      </c>
      <c r="I3252" s="46">
        <v>0</v>
      </c>
      <c r="J3252" s="46">
        <v>0</v>
      </c>
      <c r="L3252" s="46">
        <v>0</v>
      </c>
      <c r="M3252" s="46">
        <v>0</v>
      </c>
    </row>
    <row r="3253" spans="2:13" ht="14.1" customHeight="1" x14ac:dyDescent="0.25">
      <c r="B3253" s="46" t="str">
        <f t="shared" si="56"/>
        <v>2103-225-320111</v>
      </c>
      <c r="C3253" s="47">
        <v>44278</v>
      </c>
      <c r="D3253" s="46">
        <v>225</v>
      </c>
      <c r="E3253" s="46">
        <v>30</v>
      </c>
      <c r="F3253" s="46">
        <v>320111</v>
      </c>
      <c r="G3253" s="48" t="s">
        <v>1962</v>
      </c>
      <c r="I3253" s="46">
        <v>0</v>
      </c>
      <c r="J3253" s="46">
        <v>0</v>
      </c>
      <c r="L3253" s="46">
        <v>0</v>
      </c>
      <c r="M3253" s="46">
        <v>0</v>
      </c>
    </row>
    <row r="3254" spans="2:13" ht="14.1" customHeight="1" x14ac:dyDescent="0.25">
      <c r="B3254" s="46" t="str">
        <f t="shared" si="56"/>
        <v>2103-225-307560</v>
      </c>
      <c r="C3254" s="47">
        <v>44278</v>
      </c>
      <c r="D3254" s="46">
        <v>225</v>
      </c>
      <c r="E3254" s="46">
        <v>12</v>
      </c>
      <c r="F3254" s="46">
        <v>307560</v>
      </c>
      <c r="G3254" s="48" t="s">
        <v>1953</v>
      </c>
      <c r="I3254" s="46">
        <v>0</v>
      </c>
      <c r="J3254" s="46">
        <v>0</v>
      </c>
      <c r="L3254" s="46">
        <v>0</v>
      </c>
      <c r="M3254" s="46">
        <v>0</v>
      </c>
    </row>
    <row r="3255" spans="2:13" ht="14.1" customHeight="1" x14ac:dyDescent="0.25">
      <c r="B3255" s="46" t="str">
        <f t="shared" si="56"/>
        <v>2103-225-204039</v>
      </c>
      <c r="C3255" s="47">
        <v>44278</v>
      </c>
      <c r="D3255" s="46">
        <v>225</v>
      </c>
      <c r="E3255" s="46">
        <v>1</v>
      </c>
      <c r="F3255" s="46">
        <v>204039</v>
      </c>
      <c r="G3255" s="48" t="s">
        <v>1955</v>
      </c>
      <c r="I3255" s="46">
        <v>0</v>
      </c>
      <c r="J3255" s="46">
        <v>0</v>
      </c>
      <c r="L3255" s="46">
        <v>0</v>
      </c>
      <c r="M3255" s="46">
        <v>0</v>
      </c>
    </row>
    <row r="3256" spans="2:13" ht="14.1" customHeight="1" x14ac:dyDescent="0.25">
      <c r="B3256" s="46" t="str">
        <f t="shared" si="56"/>
        <v>2103-225-302338</v>
      </c>
      <c r="C3256" s="47">
        <v>44278</v>
      </c>
      <c r="D3256" s="46">
        <v>225</v>
      </c>
      <c r="E3256" s="46">
        <v>4</v>
      </c>
      <c r="F3256" s="46">
        <v>302338</v>
      </c>
      <c r="G3256" s="48" t="s">
        <v>639</v>
      </c>
      <c r="I3256" s="46">
        <v>0</v>
      </c>
      <c r="J3256" s="46">
        <v>0</v>
      </c>
      <c r="L3256" s="46">
        <v>0</v>
      </c>
      <c r="M3256" s="46">
        <v>0</v>
      </c>
    </row>
    <row r="3257" spans="2:13" ht="14.1" customHeight="1" x14ac:dyDescent="0.25">
      <c r="B3257" s="46" t="str">
        <f t="shared" si="56"/>
        <v>2103-225-315745</v>
      </c>
      <c r="C3257" s="47">
        <v>44278</v>
      </c>
      <c r="D3257" s="46">
        <v>225</v>
      </c>
      <c r="E3257" s="46">
        <v>4</v>
      </c>
      <c r="F3257" s="46">
        <v>315745</v>
      </c>
      <c r="G3257" s="48" t="s">
        <v>277</v>
      </c>
      <c r="I3257" s="46">
        <v>0</v>
      </c>
      <c r="J3257" s="46">
        <v>0</v>
      </c>
      <c r="L3257" s="46">
        <v>0</v>
      </c>
      <c r="M3257" s="46">
        <v>0</v>
      </c>
    </row>
    <row r="3258" spans="2:13" ht="14.1" customHeight="1" x14ac:dyDescent="0.25">
      <c r="B3258" s="46" t="str">
        <f t="shared" si="56"/>
        <v>2103-225-314081</v>
      </c>
      <c r="C3258" s="47">
        <v>44278</v>
      </c>
      <c r="D3258" s="46">
        <v>225</v>
      </c>
      <c r="E3258" s="46">
        <v>100</v>
      </c>
      <c r="F3258" s="46">
        <v>314081</v>
      </c>
      <c r="G3258" s="48" t="s">
        <v>1957</v>
      </c>
      <c r="I3258" s="46">
        <v>0</v>
      </c>
      <c r="J3258" s="46">
        <v>0</v>
      </c>
      <c r="L3258" s="46">
        <v>0</v>
      </c>
      <c r="M3258" s="46">
        <v>0</v>
      </c>
    </row>
    <row r="3259" spans="2:13" ht="14.1" customHeight="1" x14ac:dyDescent="0.25">
      <c r="B3259" s="46" t="str">
        <f t="shared" si="56"/>
        <v>2103-225-204410</v>
      </c>
      <c r="C3259" s="47">
        <v>44278</v>
      </c>
      <c r="D3259" s="46">
        <v>225</v>
      </c>
      <c r="E3259" s="46">
        <v>2</v>
      </c>
      <c r="F3259" s="46">
        <v>204410</v>
      </c>
      <c r="G3259" s="48" t="s">
        <v>537</v>
      </c>
      <c r="I3259" s="46">
        <v>0</v>
      </c>
      <c r="J3259" s="46">
        <v>0</v>
      </c>
      <c r="L3259" s="46">
        <v>0</v>
      </c>
      <c r="M3259" s="46">
        <v>0</v>
      </c>
    </row>
    <row r="3260" spans="2:13" ht="14.1" customHeight="1" x14ac:dyDescent="0.25">
      <c r="B3260" s="46" t="str">
        <f t="shared" si="56"/>
        <v>2103-226-204410</v>
      </c>
      <c r="C3260" s="47">
        <v>44278</v>
      </c>
      <c r="D3260" s="46">
        <v>226</v>
      </c>
      <c r="E3260" s="46">
        <v>4</v>
      </c>
      <c r="F3260" s="46">
        <v>204410</v>
      </c>
      <c r="G3260" s="48" t="s">
        <v>537</v>
      </c>
      <c r="I3260" s="46">
        <v>0</v>
      </c>
      <c r="J3260" s="46">
        <v>0</v>
      </c>
      <c r="L3260" s="46">
        <v>0</v>
      </c>
      <c r="M3260" s="46">
        <v>0</v>
      </c>
    </row>
    <row r="3261" spans="2:13" ht="14.1" customHeight="1" x14ac:dyDescent="0.25">
      <c r="B3261" s="46" t="str">
        <f t="shared" si="56"/>
        <v>2103-226-204417</v>
      </c>
      <c r="C3261" s="47">
        <v>44278</v>
      </c>
      <c r="D3261" s="46">
        <v>226</v>
      </c>
      <c r="E3261" s="46">
        <v>12</v>
      </c>
      <c r="F3261" s="46">
        <v>204417</v>
      </c>
      <c r="G3261" s="48" t="s">
        <v>538</v>
      </c>
      <c r="I3261" s="46">
        <v>0</v>
      </c>
      <c r="J3261" s="46">
        <v>0</v>
      </c>
      <c r="L3261" s="46">
        <v>0</v>
      </c>
      <c r="M3261" s="46">
        <v>0</v>
      </c>
    </row>
    <row r="3262" spans="2:13" ht="14.1" customHeight="1" x14ac:dyDescent="0.25">
      <c r="B3262" s="46" t="str">
        <f t="shared" si="56"/>
        <v>2103-226-203222</v>
      </c>
      <c r="C3262" s="47">
        <v>44278</v>
      </c>
      <c r="D3262" s="46">
        <v>226</v>
      </c>
      <c r="E3262" s="46">
        <v>3</v>
      </c>
      <c r="F3262" s="46">
        <v>203222</v>
      </c>
      <c r="G3262" s="48" t="s">
        <v>276</v>
      </c>
      <c r="I3262" s="46">
        <v>0</v>
      </c>
      <c r="J3262" s="46">
        <v>0</v>
      </c>
      <c r="L3262" s="46">
        <v>0</v>
      </c>
      <c r="M3262" s="46">
        <v>0</v>
      </c>
    </row>
    <row r="3263" spans="2:13" ht="14.1" customHeight="1" x14ac:dyDescent="0.25">
      <c r="B3263" s="46" t="str">
        <f t="shared" si="56"/>
        <v>2103-226-313520</v>
      </c>
      <c r="C3263" s="47">
        <v>44278</v>
      </c>
      <c r="D3263" s="46">
        <v>226</v>
      </c>
      <c r="E3263" s="46">
        <v>1</v>
      </c>
      <c r="F3263" s="46">
        <v>313520</v>
      </c>
      <c r="G3263" s="48" t="s">
        <v>275</v>
      </c>
      <c r="I3263" s="46">
        <v>0</v>
      </c>
      <c r="J3263" s="46">
        <v>0</v>
      </c>
      <c r="L3263" s="46">
        <v>0</v>
      </c>
      <c r="M3263" s="46">
        <v>0</v>
      </c>
    </row>
    <row r="3264" spans="2:13" ht="14.1" customHeight="1" x14ac:dyDescent="0.25">
      <c r="B3264" s="46" t="str">
        <f t="shared" si="56"/>
        <v>2103-226-203371</v>
      </c>
      <c r="C3264" s="47">
        <v>44278</v>
      </c>
      <c r="D3264" s="46">
        <v>226</v>
      </c>
      <c r="E3264" s="46">
        <v>60</v>
      </c>
      <c r="F3264" s="46">
        <v>203371</v>
      </c>
      <c r="G3264" s="48" t="s">
        <v>327</v>
      </c>
      <c r="I3264" s="46">
        <v>0</v>
      </c>
      <c r="J3264" s="46">
        <v>0</v>
      </c>
      <c r="L3264" s="46">
        <v>0</v>
      </c>
      <c r="M3264" s="46">
        <v>0</v>
      </c>
    </row>
    <row r="3265" spans="2:13" ht="14.1" customHeight="1" x14ac:dyDescent="0.25">
      <c r="B3265" s="46" t="str">
        <f t="shared" si="56"/>
        <v>2103-226-203259</v>
      </c>
      <c r="C3265" s="47">
        <v>44278</v>
      </c>
      <c r="D3265" s="46">
        <v>226</v>
      </c>
      <c r="E3265" s="46">
        <v>2</v>
      </c>
      <c r="F3265" s="46">
        <v>203259</v>
      </c>
      <c r="G3265" s="48" t="s">
        <v>1434</v>
      </c>
      <c r="I3265" s="46">
        <v>0</v>
      </c>
      <c r="J3265" s="46">
        <v>0</v>
      </c>
      <c r="L3265" s="46">
        <v>0</v>
      </c>
      <c r="M3265" s="46">
        <v>0</v>
      </c>
    </row>
    <row r="3266" spans="2:13" ht="14.1" customHeight="1" x14ac:dyDescent="0.25">
      <c r="B3266" s="46" t="str">
        <f t="shared" si="56"/>
        <v>2103-226-301266</v>
      </c>
      <c r="C3266" s="47">
        <v>44278</v>
      </c>
      <c r="D3266" s="46">
        <v>226</v>
      </c>
      <c r="E3266" s="46">
        <v>2</v>
      </c>
      <c r="F3266" s="46">
        <v>301266</v>
      </c>
      <c r="G3266" s="48" t="s">
        <v>617</v>
      </c>
      <c r="I3266" s="46">
        <v>0</v>
      </c>
      <c r="J3266" s="46">
        <v>0</v>
      </c>
      <c r="L3266" s="46">
        <v>0</v>
      </c>
      <c r="M3266" s="46">
        <v>0</v>
      </c>
    </row>
    <row r="3267" spans="2:13" ht="14.1" customHeight="1" x14ac:dyDescent="0.25">
      <c r="B3267" s="46" t="str">
        <f t="shared" si="56"/>
        <v>2103-226-205083</v>
      </c>
      <c r="C3267" s="47">
        <v>44278</v>
      </c>
      <c r="D3267" s="46">
        <v>226</v>
      </c>
      <c r="E3267" s="46">
        <v>1</v>
      </c>
      <c r="F3267" s="46">
        <v>205083</v>
      </c>
      <c r="G3267" s="48" t="s">
        <v>274</v>
      </c>
      <c r="I3267" s="46">
        <v>0</v>
      </c>
      <c r="J3267" s="46">
        <v>0</v>
      </c>
      <c r="L3267" s="46">
        <v>0</v>
      </c>
      <c r="M3267" s="46">
        <v>0</v>
      </c>
    </row>
    <row r="3268" spans="2:13" ht="14.1" customHeight="1" x14ac:dyDescent="0.25">
      <c r="B3268" s="46" t="str">
        <f t="shared" si="56"/>
        <v>2103-228-302515</v>
      </c>
      <c r="C3268" s="47">
        <v>44278</v>
      </c>
      <c r="D3268" s="46">
        <v>228</v>
      </c>
      <c r="E3268" s="46">
        <v>1</v>
      </c>
      <c r="F3268" s="46">
        <v>302515</v>
      </c>
      <c r="G3268" s="48" t="s">
        <v>144</v>
      </c>
      <c r="H3268" s="47">
        <v>44278</v>
      </c>
      <c r="I3268" s="46">
        <v>52235</v>
      </c>
      <c r="J3268" s="46">
        <v>1</v>
      </c>
      <c r="K3268" s="47">
        <v>44278</v>
      </c>
      <c r="L3268" s="46">
        <v>11614</v>
      </c>
      <c r="M3268" s="46">
        <v>1</v>
      </c>
    </row>
    <row r="3269" spans="2:13" ht="14.1" customHeight="1" x14ac:dyDescent="0.25">
      <c r="B3269" s="46" t="str">
        <f t="shared" si="56"/>
        <v>2103-228-204973</v>
      </c>
      <c r="C3269" s="47">
        <v>44278</v>
      </c>
      <c r="D3269" s="46">
        <v>228</v>
      </c>
      <c r="E3269" s="46">
        <v>2</v>
      </c>
      <c r="F3269" s="46">
        <v>204973</v>
      </c>
      <c r="G3269" s="48" t="s">
        <v>39</v>
      </c>
      <c r="H3269" s="47">
        <v>44278</v>
      </c>
      <c r="I3269" s="46">
        <v>52235</v>
      </c>
      <c r="J3269" s="46">
        <v>2</v>
      </c>
      <c r="K3269" s="47">
        <v>44278</v>
      </c>
      <c r="L3269" s="46">
        <v>11614</v>
      </c>
      <c r="M3269" s="46">
        <v>2</v>
      </c>
    </row>
    <row r="3270" spans="2:13" ht="14.1" customHeight="1" x14ac:dyDescent="0.25">
      <c r="B3270" s="46" t="str">
        <f t="shared" si="56"/>
        <v>2103-229-308392</v>
      </c>
      <c r="C3270" s="47">
        <v>44278</v>
      </c>
      <c r="D3270" s="46">
        <v>229</v>
      </c>
      <c r="E3270" s="46">
        <v>1</v>
      </c>
      <c r="F3270" s="46">
        <v>308392</v>
      </c>
      <c r="G3270" s="48" t="s">
        <v>2019</v>
      </c>
      <c r="I3270" s="46">
        <v>0</v>
      </c>
      <c r="J3270" s="46">
        <v>0</v>
      </c>
      <c r="L3270" s="46">
        <v>0</v>
      </c>
      <c r="M3270" s="46">
        <v>0</v>
      </c>
    </row>
    <row r="3271" spans="2:13" ht="14.1" customHeight="1" x14ac:dyDescent="0.25">
      <c r="B3271" s="46" t="str">
        <f t="shared" si="56"/>
        <v>2103-229-105923</v>
      </c>
      <c r="C3271" s="47">
        <v>44278</v>
      </c>
      <c r="D3271" s="46">
        <v>229</v>
      </c>
      <c r="E3271" s="46">
        <v>6</v>
      </c>
      <c r="F3271" s="46">
        <v>105923</v>
      </c>
      <c r="G3271" s="48" t="s">
        <v>2018</v>
      </c>
      <c r="I3271" s="46">
        <v>0</v>
      </c>
      <c r="J3271" s="46">
        <v>0</v>
      </c>
      <c r="L3271" s="46">
        <v>0</v>
      </c>
      <c r="M3271" s="46">
        <v>0</v>
      </c>
    </row>
    <row r="3272" spans="2:13" ht="14.1" customHeight="1" x14ac:dyDescent="0.25">
      <c r="B3272" s="46" t="str">
        <f t="shared" si="56"/>
        <v>2103-229-320961</v>
      </c>
      <c r="C3272" s="47">
        <v>44278</v>
      </c>
      <c r="D3272" s="46">
        <v>229</v>
      </c>
      <c r="E3272" s="46">
        <v>2</v>
      </c>
      <c r="F3272" s="46">
        <v>320961</v>
      </c>
      <c r="G3272" s="48" t="s">
        <v>2020</v>
      </c>
      <c r="I3272" s="46">
        <v>0</v>
      </c>
      <c r="J3272" s="46">
        <v>0</v>
      </c>
      <c r="L3272" s="46">
        <v>0</v>
      </c>
      <c r="M3272" s="46">
        <v>0</v>
      </c>
    </row>
    <row r="3273" spans="2:13" ht="14.1" customHeight="1" x14ac:dyDescent="0.25">
      <c r="B3273" s="46" t="str">
        <f t="shared" si="56"/>
        <v>2103-230-206122</v>
      </c>
      <c r="C3273" s="47">
        <v>44278</v>
      </c>
      <c r="D3273" s="46">
        <v>230</v>
      </c>
      <c r="E3273" s="46">
        <v>4</v>
      </c>
      <c r="F3273" s="46">
        <v>206122</v>
      </c>
      <c r="G3273" s="48" t="s">
        <v>1845</v>
      </c>
      <c r="I3273" s="46">
        <v>0</v>
      </c>
      <c r="J3273" s="46">
        <v>0</v>
      </c>
      <c r="L3273" s="46">
        <v>0</v>
      </c>
      <c r="M3273" s="46">
        <v>0</v>
      </c>
    </row>
    <row r="3274" spans="2:13" ht="14.1" customHeight="1" x14ac:dyDescent="0.25">
      <c r="B3274" s="46" t="str">
        <f t="shared" si="56"/>
        <v>2103-230-205602</v>
      </c>
      <c r="C3274" s="47">
        <v>44278</v>
      </c>
      <c r="D3274" s="46">
        <v>230</v>
      </c>
      <c r="E3274" s="46">
        <v>4</v>
      </c>
      <c r="F3274" s="46">
        <v>205602</v>
      </c>
      <c r="G3274" s="48" t="s">
        <v>2021</v>
      </c>
      <c r="I3274" s="46">
        <v>0</v>
      </c>
      <c r="J3274" s="46">
        <v>0</v>
      </c>
      <c r="L3274" s="46">
        <v>0</v>
      </c>
      <c r="M3274" s="46">
        <v>0</v>
      </c>
    </row>
    <row r="3275" spans="2:13" ht="14.1" customHeight="1" x14ac:dyDescent="0.25">
      <c r="B3275" s="46" t="str">
        <f t="shared" si="56"/>
        <v>2103-230-320962</v>
      </c>
      <c r="C3275" s="47">
        <v>44278</v>
      </c>
      <c r="D3275" s="46">
        <v>230</v>
      </c>
      <c r="E3275" s="46">
        <v>4</v>
      </c>
      <c r="F3275" s="46">
        <v>320962</v>
      </c>
      <c r="G3275" s="48" t="s">
        <v>2022</v>
      </c>
      <c r="I3275" s="46">
        <v>0</v>
      </c>
      <c r="J3275" s="46">
        <v>0</v>
      </c>
      <c r="L3275" s="46">
        <v>0</v>
      </c>
      <c r="M3275" s="46">
        <v>0</v>
      </c>
    </row>
    <row r="3276" spans="2:13" ht="14.1" customHeight="1" x14ac:dyDescent="0.25">
      <c r="B3276" s="46" t="str">
        <f t="shared" si="56"/>
        <v>2103-230-206617</v>
      </c>
      <c r="C3276" s="47">
        <v>44278</v>
      </c>
      <c r="D3276" s="46">
        <v>230</v>
      </c>
      <c r="E3276" s="46">
        <v>4</v>
      </c>
      <c r="F3276" s="46">
        <v>206617</v>
      </c>
      <c r="G3276" s="48" t="s">
        <v>1997</v>
      </c>
      <c r="I3276" s="46">
        <v>0</v>
      </c>
      <c r="J3276" s="46">
        <v>0</v>
      </c>
      <c r="L3276" s="46">
        <v>0</v>
      </c>
      <c r="M3276" s="46">
        <v>0</v>
      </c>
    </row>
    <row r="3277" spans="2:13" ht="14.1" customHeight="1" x14ac:dyDescent="0.25">
      <c r="B3277" s="46" t="str">
        <f t="shared" si="56"/>
        <v>2103-231-319359</v>
      </c>
      <c r="C3277" s="47">
        <v>44278</v>
      </c>
      <c r="D3277" s="46">
        <v>231</v>
      </c>
      <c r="E3277" s="46">
        <v>6000</v>
      </c>
      <c r="F3277" s="46">
        <v>319359</v>
      </c>
      <c r="G3277" s="48" t="s">
        <v>210</v>
      </c>
      <c r="H3277" s="47">
        <v>44299</v>
      </c>
      <c r="I3277" s="46">
        <v>52461</v>
      </c>
      <c r="J3277" s="46">
        <v>6000</v>
      </c>
      <c r="K3277" s="47">
        <v>44285</v>
      </c>
      <c r="L3277" s="46">
        <v>11686</v>
      </c>
      <c r="M3277" s="46">
        <v>6000</v>
      </c>
    </row>
    <row r="3278" spans="2:13" ht="14.1" customHeight="1" x14ac:dyDescent="0.25">
      <c r="B3278" s="46" t="str">
        <f t="shared" si="56"/>
        <v>2103-233-315665</v>
      </c>
      <c r="C3278" s="47">
        <v>44278</v>
      </c>
      <c r="D3278" s="46">
        <v>233</v>
      </c>
      <c r="E3278" s="46">
        <v>10</v>
      </c>
      <c r="F3278" s="46">
        <v>315665</v>
      </c>
      <c r="G3278" s="48" t="s">
        <v>116</v>
      </c>
      <c r="H3278" s="47">
        <v>44267</v>
      </c>
      <c r="I3278" s="46">
        <v>52332</v>
      </c>
      <c r="J3278" s="46">
        <v>10</v>
      </c>
      <c r="K3278" s="47">
        <v>44278</v>
      </c>
      <c r="L3278" s="46">
        <v>11617</v>
      </c>
      <c r="M3278" s="46">
        <v>10</v>
      </c>
    </row>
    <row r="3279" spans="2:13" ht="14.1" customHeight="1" x14ac:dyDescent="0.25">
      <c r="B3279" s="46" t="str">
        <f t="shared" si="56"/>
        <v>2103-234-315665</v>
      </c>
      <c r="C3279" s="47">
        <v>44278</v>
      </c>
      <c r="D3279" s="46">
        <v>234</v>
      </c>
      <c r="E3279" s="46">
        <v>20</v>
      </c>
      <c r="F3279" s="46">
        <v>315665</v>
      </c>
      <c r="G3279" s="48" t="s">
        <v>116</v>
      </c>
      <c r="H3279" s="47">
        <v>44286</v>
      </c>
      <c r="I3279" s="46">
        <v>52342</v>
      </c>
      <c r="J3279" s="46">
        <v>20</v>
      </c>
      <c r="K3279" s="47">
        <v>44278</v>
      </c>
      <c r="L3279" s="46">
        <v>11618</v>
      </c>
      <c r="M3279" s="46">
        <v>20</v>
      </c>
    </row>
    <row r="3280" spans="2:13" ht="14.1" customHeight="1" x14ac:dyDescent="0.25">
      <c r="B3280" s="46" t="str">
        <f t="shared" si="56"/>
        <v>2103-235-315711</v>
      </c>
      <c r="C3280" s="47">
        <v>44278</v>
      </c>
      <c r="D3280" s="46">
        <v>235</v>
      </c>
      <c r="E3280" s="46">
        <v>40</v>
      </c>
      <c r="F3280" s="46">
        <v>315711</v>
      </c>
      <c r="G3280" s="48" t="s">
        <v>2023</v>
      </c>
      <c r="I3280" s="46">
        <v>0</v>
      </c>
      <c r="J3280" s="46">
        <v>0</v>
      </c>
      <c r="L3280" s="46">
        <v>0</v>
      </c>
      <c r="M3280" s="46">
        <v>0</v>
      </c>
    </row>
    <row r="3281" spans="2:13" ht="14.1" customHeight="1" x14ac:dyDescent="0.25">
      <c r="B3281" s="46" t="str">
        <f t="shared" si="56"/>
        <v>2103-235-315501</v>
      </c>
      <c r="C3281" s="47">
        <v>44278</v>
      </c>
      <c r="D3281" s="46">
        <v>235</v>
      </c>
      <c r="E3281" s="46">
        <v>3</v>
      </c>
      <c r="F3281" s="46">
        <v>315501</v>
      </c>
      <c r="G3281" s="48" t="s">
        <v>2024</v>
      </c>
      <c r="I3281" s="46">
        <v>0</v>
      </c>
      <c r="J3281" s="46">
        <v>0</v>
      </c>
      <c r="L3281" s="46">
        <v>0</v>
      </c>
      <c r="M3281" s="46">
        <v>0</v>
      </c>
    </row>
    <row r="3282" spans="2:13" ht="14.1" customHeight="1" x14ac:dyDescent="0.25">
      <c r="B3282" s="46" t="str">
        <f t="shared" si="56"/>
        <v>2103-235-203372</v>
      </c>
      <c r="C3282" s="47">
        <v>44278</v>
      </c>
      <c r="D3282" s="46">
        <v>235</v>
      </c>
      <c r="E3282" s="46">
        <v>50</v>
      </c>
      <c r="F3282" s="46">
        <v>203372</v>
      </c>
      <c r="G3282" s="48" t="s">
        <v>101</v>
      </c>
      <c r="I3282" s="46">
        <v>0</v>
      </c>
      <c r="J3282" s="46">
        <v>0</v>
      </c>
      <c r="L3282" s="46">
        <v>0</v>
      </c>
      <c r="M3282" s="46">
        <v>0</v>
      </c>
    </row>
    <row r="3283" spans="2:13" ht="14.1" customHeight="1" x14ac:dyDescent="0.25">
      <c r="B3283" s="46" t="str">
        <f t="shared" si="56"/>
        <v>2103-236-204568</v>
      </c>
      <c r="C3283" s="47">
        <v>44278</v>
      </c>
      <c r="D3283" s="46">
        <v>236</v>
      </c>
      <c r="E3283" s="46">
        <v>40</v>
      </c>
      <c r="F3283" s="46">
        <v>204568</v>
      </c>
      <c r="G3283" s="48" t="s">
        <v>2025</v>
      </c>
      <c r="I3283" s="46">
        <v>0</v>
      </c>
      <c r="J3283" s="46">
        <v>0</v>
      </c>
      <c r="L3283" s="46">
        <v>0</v>
      </c>
      <c r="M3283" s="46">
        <v>0</v>
      </c>
    </row>
    <row r="3284" spans="2:13" ht="14.1" customHeight="1" x14ac:dyDescent="0.25">
      <c r="B3284" s="46" t="str">
        <f t="shared" si="56"/>
        <v>2103-237-314341</v>
      </c>
      <c r="C3284" s="47">
        <v>44278</v>
      </c>
      <c r="D3284" s="46">
        <v>237</v>
      </c>
      <c r="E3284" s="46">
        <v>4</v>
      </c>
      <c r="F3284" s="46">
        <v>314341</v>
      </c>
      <c r="G3284" s="48" t="s">
        <v>2026</v>
      </c>
      <c r="I3284" s="46">
        <v>0</v>
      </c>
      <c r="J3284" s="46">
        <v>0</v>
      </c>
      <c r="L3284" s="46">
        <v>0</v>
      </c>
      <c r="M3284" s="46">
        <v>0</v>
      </c>
    </row>
    <row r="3285" spans="2:13" ht="14.1" customHeight="1" x14ac:dyDescent="0.25">
      <c r="B3285" s="46" t="str">
        <f t="shared" si="56"/>
        <v>2103-241-310692</v>
      </c>
      <c r="C3285" s="47">
        <v>44278</v>
      </c>
      <c r="D3285" s="46">
        <v>241</v>
      </c>
      <c r="E3285" s="46">
        <v>4</v>
      </c>
      <c r="F3285" s="46">
        <v>310692</v>
      </c>
      <c r="G3285" s="48" t="s">
        <v>774</v>
      </c>
      <c r="H3285" s="47">
        <v>44286</v>
      </c>
      <c r="I3285" s="46">
        <v>52325</v>
      </c>
      <c r="J3285" s="46">
        <v>4</v>
      </c>
      <c r="K3285" s="47">
        <v>44291</v>
      </c>
      <c r="L3285" s="46">
        <v>11702</v>
      </c>
      <c r="M3285" s="46">
        <v>4</v>
      </c>
    </row>
    <row r="3286" spans="2:13" ht="14.1" customHeight="1" x14ac:dyDescent="0.25">
      <c r="B3286" s="46" t="str">
        <f t="shared" si="56"/>
        <v>2103-241-300500</v>
      </c>
      <c r="C3286" s="47">
        <v>44278</v>
      </c>
      <c r="D3286" s="46">
        <v>241</v>
      </c>
      <c r="E3286" s="46">
        <v>12</v>
      </c>
      <c r="F3286" s="46">
        <v>300500</v>
      </c>
      <c r="G3286" s="48" t="s">
        <v>346</v>
      </c>
      <c r="H3286" s="47">
        <v>44286</v>
      </c>
      <c r="I3286" s="46">
        <v>52318</v>
      </c>
      <c r="J3286" s="46">
        <v>12</v>
      </c>
      <c r="K3286" s="47">
        <v>44291</v>
      </c>
      <c r="L3286" s="46">
        <v>11689</v>
      </c>
      <c r="M3286" s="46">
        <v>12</v>
      </c>
    </row>
    <row r="3287" spans="2:13" ht="14.1" customHeight="1" x14ac:dyDescent="0.25">
      <c r="B3287" s="46" t="str">
        <f t="shared" si="56"/>
        <v>2103-241-310693</v>
      </c>
      <c r="C3287" s="47">
        <v>44278</v>
      </c>
      <c r="D3287" s="46">
        <v>241</v>
      </c>
      <c r="E3287" s="46">
        <v>1000</v>
      </c>
      <c r="F3287" s="46">
        <v>310693</v>
      </c>
      <c r="G3287" s="50" t="s">
        <v>775</v>
      </c>
      <c r="H3287" s="47">
        <v>44286</v>
      </c>
      <c r="I3287" s="46">
        <v>52325</v>
      </c>
      <c r="J3287" s="46">
        <v>1000</v>
      </c>
      <c r="K3287" s="47">
        <v>44291</v>
      </c>
      <c r="L3287" s="46">
        <v>11702</v>
      </c>
      <c r="M3287" s="46">
        <v>1000</v>
      </c>
    </row>
    <row r="3288" spans="2:13" ht="14.1" customHeight="1" x14ac:dyDescent="0.25">
      <c r="B3288" s="46" t="str">
        <f t="shared" si="56"/>
        <v>2103-242-200271</v>
      </c>
      <c r="C3288" s="47">
        <v>44278</v>
      </c>
      <c r="D3288" s="46">
        <v>242</v>
      </c>
      <c r="E3288" s="46">
        <v>440</v>
      </c>
      <c r="F3288" s="46">
        <v>200271</v>
      </c>
      <c r="G3288" s="48" t="s">
        <v>241</v>
      </c>
      <c r="H3288" s="47">
        <v>44294</v>
      </c>
      <c r="I3288" s="46">
        <v>52394</v>
      </c>
      <c r="J3288" s="46">
        <v>220</v>
      </c>
      <c r="L3288" s="46">
        <v>0</v>
      </c>
      <c r="M3288" s="46">
        <v>0</v>
      </c>
    </row>
    <row r="3289" spans="2:13" ht="14.1" customHeight="1" x14ac:dyDescent="0.25">
      <c r="B3289" s="46" t="str">
        <f t="shared" si="56"/>
        <v>2103-242-200267</v>
      </c>
      <c r="C3289" s="47">
        <v>44278</v>
      </c>
      <c r="D3289" s="46">
        <v>242</v>
      </c>
      <c r="E3289" s="46">
        <v>10</v>
      </c>
      <c r="F3289" s="46">
        <v>200267</v>
      </c>
      <c r="G3289" s="48" t="s">
        <v>1053</v>
      </c>
      <c r="H3289" s="47">
        <v>44294</v>
      </c>
      <c r="I3289" s="46">
        <v>52394</v>
      </c>
      <c r="J3289" s="46">
        <v>10</v>
      </c>
      <c r="L3289" s="46">
        <v>0</v>
      </c>
      <c r="M3289" s="46">
        <v>0</v>
      </c>
    </row>
    <row r="3290" spans="2:13" ht="14.1" customHeight="1" x14ac:dyDescent="0.25">
      <c r="B3290" s="46" t="str">
        <f t="shared" si="56"/>
        <v>2103-249-315939</v>
      </c>
      <c r="C3290" s="47">
        <v>44279</v>
      </c>
      <c r="D3290" s="46">
        <v>249</v>
      </c>
      <c r="E3290" s="46">
        <v>27</v>
      </c>
      <c r="F3290" s="46">
        <v>315939</v>
      </c>
      <c r="G3290" s="48" t="s">
        <v>2030</v>
      </c>
      <c r="I3290" s="46">
        <v>0</v>
      </c>
      <c r="J3290" s="46">
        <v>0</v>
      </c>
      <c r="L3290" s="46">
        <v>0</v>
      </c>
      <c r="M3290" s="46">
        <v>0</v>
      </c>
    </row>
    <row r="3291" spans="2:13" ht="14.1" customHeight="1" x14ac:dyDescent="0.25">
      <c r="B3291" s="46" t="str">
        <f t="shared" si="56"/>
        <v>2103-249-315940</v>
      </c>
      <c r="C3291" s="47">
        <v>44279</v>
      </c>
      <c r="D3291" s="46">
        <v>249</v>
      </c>
      <c r="E3291" s="46">
        <v>30</v>
      </c>
      <c r="F3291" s="46">
        <v>315940</v>
      </c>
      <c r="G3291" s="48" t="s">
        <v>2031</v>
      </c>
      <c r="I3291" s="46">
        <v>0</v>
      </c>
      <c r="J3291" s="46">
        <v>0</v>
      </c>
      <c r="L3291" s="46">
        <v>0</v>
      </c>
      <c r="M3291" s="46">
        <v>0</v>
      </c>
    </row>
    <row r="3292" spans="2:13" ht="14.1" customHeight="1" x14ac:dyDescent="0.25">
      <c r="B3292" s="46" t="str">
        <f t="shared" si="56"/>
        <v>2103-249-315936</v>
      </c>
      <c r="C3292" s="47">
        <v>44279</v>
      </c>
      <c r="D3292" s="46">
        <v>249</v>
      </c>
      <c r="E3292" s="46">
        <v>40</v>
      </c>
      <c r="F3292" s="46">
        <v>315936</v>
      </c>
      <c r="G3292" s="48" t="s">
        <v>2027</v>
      </c>
      <c r="I3292" s="46">
        <v>0</v>
      </c>
      <c r="J3292" s="46">
        <v>0</v>
      </c>
      <c r="L3292" s="46">
        <v>0</v>
      </c>
      <c r="M3292" s="46">
        <v>0</v>
      </c>
    </row>
    <row r="3293" spans="2:13" ht="14.1" customHeight="1" x14ac:dyDescent="0.25">
      <c r="B3293" s="46" t="str">
        <f t="shared" si="56"/>
        <v>2103-249-315938</v>
      </c>
      <c r="C3293" s="47">
        <v>44279</v>
      </c>
      <c r="D3293" s="46">
        <v>249</v>
      </c>
      <c r="E3293" s="46">
        <v>45</v>
      </c>
      <c r="F3293" s="46">
        <v>315938</v>
      </c>
      <c r="G3293" s="48" t="s">
        <v>2029</v>
      </c>
      <c r="I3293" s="46">
        <v>0</v>
      </c>
      <c r="J3293" s="46">
        <v>0</v>
      </c>
      <c r="L3293" s="46">
        <v>0</v>
      </c>
      <c r="M3293" s="46">
        <v>0</v>
      </c>
    </row>
    <row r="3294" spans="2:13" ht="14.1" customHeight="1" x14ac:dyDescent="0.25">
      <c r="B3294" s="46" t="str">
        <f t="shared" si="56"/>
        <v>2103-249-315937</v>
      </c>
      <c r="C3294" s="47">
        <v>44279</v>
      </c>
      <c r="D3294" s="46">
        <v>249</v>
      </c>
      <c r="E3294" s="46">
        <v>51</v>
      </c>
      <c r="F3294" s="46">
        <v>315937</v>
      </c>
      <c r="G3294" s="48" t="s">
        <v>2028</v>
      </c>
      <c r="I3294" s="46">
        <v>0</v>
      </c>
      <c r="J3294" s="46">
        <v>0</v>
      </c>
      <c r="L3294" s="46">
        <v>0</v>
      </c>
      <c r="M3294" s="46">
        <v>0</v>
      </c>
    </row>
    <row r="3295" spans="2:13" ht="14.1" customHeight="1" x14ac:dyDescent="0.25">
      <c r="B3295" s="46" t="str">
        <f t="shared" si="56"/>
        <v>2103-249-315941</v>
      </c>
      <c r="C3295" s="47">
        <v>44279</v>
      </c>
      <c r="D3295" s="46">
        <v>249</v>
      </c>
      <c r="E3295" s="46">
        <v>9</v>
      </c>
      <c r="F3295" s="46">
        <v>315941</v>
      </c>
      <c r="G3295" s="48" t="s">
        <v>2032</v>
      </c>
      <c r="I3295" s="46">
        <v>0</v>
      </c>
      <c r="J3295" s="46">
        <v>0</v>
      </c>
      <c r="L3295" s="46">
        <v>0</v>
      </c>
      <c r="M3295" s="46">
        <v>0</v>
      </c>
    </row>
    <row r="3296" spans="2:13" ht="14.1" customHeight="1" x14ac:dyDescent="0.25">
      <c r="B3296" s="46" t="str">
        <f t="shared" si="56"/>
        <v>2103-249-319358</v>
      </c>
      <c r="C3296" s="47">
        <v>44279</v>
      </c>
      <c r="D3296" s="46">
        <v>249</v>
      </c>
      <c r="E3296" s="46">
        <v>5</v>
      </c>
      <c r="F3296" s="46">
        <v>319358</v>
      </c>
      <c r="G3296" s="48" t="s">
        <v>2033</v>
      </c>
      <c r="I3296" s="46">
        <v>0</v>
      </c>
      <c r="J3296" s="46">
        <v>0</v>
      </c>
      <c r="L3296" s="46">
        <v>0</v>
      </c>
      <c r="M3296" s="46">
        <v>0</v>
      </c>
    </row>
    <row r="3297" spans="2:13" ht="14.1" customHeight="1" x14ac:dyDescent="0.25">
      <c r="B3297" s="46" t="str">
        <f t="shared" si="56"/>
        <v>2103-250-315937</v>
      </c>
      <c r="C3297" s="47">
        <v>44279</v>
      </c>
      <c r="D3297" s="46">
        <v>250</v>
      </c>
      <c r="E3297" s="46">
        <v>24</v>
      </c>
      <c r="F3297" s="46">
        <v>315937</v>
      </c>
      <c r="G3297" s="48" t="s">
        <v>2028</v>
      </c>
      <c r="I3297" s="46">
        <v>0</v>
      </c>
      <c r="J3297" s="46">
        <v>0</v>
      </c>
      <c r="L3297" s="46">
        <v>0</v>
      </c>
      <c r="M3297" s="46">
        <v>0</v>
      </c>
    </row>
    <row r="3298" spans="2:13" ht="14.1" customHeight="1" x14ac:dyDescent="0.25">
      <c r="B3298" s="46" t="str">
        <f t="shared" si="56"/>
        <v>2103-250-315939</v>
      </c>
      <c r="C3298" s="47">
        <v>44279</v>
      </c>
      <c r="D3298" s="46">
        <v>250</v>
      </c>
      <c r="E3298" s="46">
        <v>24</v>
      </c>
      <c r="F3298" s="46">
        <v>315939</v>
      </c>
      <c r="G3298" s="48" t="s">
        <v>2030</v>
      </c>
      <c r="I3298" s="46">
        <v>0</v>
      </c>
      <c r="J3298" s="46">
        <v>0</v>
      </c>
      <c r="L3298" s="46">
        <v>0</v>
      </c>
      <c r="M3298" s="46">
        <v>0</v>
      </c>
    </row>
    <row r="3299" spans="2:13" ht="14.1" customHeight="1" x14ac:dyDescent="0.25">
      <c r="B3299" s="46" t="str">
        <f t="shared" si="56"/>
        <v>2103-250-315938</v>
      </c>
      <c r="C3299" s="47">
        <v>44279</v>
      </c>
      <c r="D3299" s="46">
        <v>250</v>
      </c>
      <c r="E3299" s="46">
        <v>24</v>
      </c>
      <c r="F3299" s="46">
        <v>315938</v>
      </c>
      <c r="G3299" s="48" t="s">
        <v>2029</v>
      </c>
      <c r="I3299" s="46">
        <v>0</v>
      </c>
      <c r="J3299" s="46">
        <v>0</v>
      </c>
      <c r="L3299" s="46">
        <v>0</v>
      </c>
      <c r="M3299" s="46">
        <v>0</v>
      </c>
    </row>
    <row r="3300" spans="2:13" ht="14.1" customHeight="1" x14ac:dyDescent="0.25">
      <c r="B3300" s="46" t="str">
        <f t="shared" si="56"/>
        <v>2103-250-319358</v>
      </c>
      <c r="C3300" s="47">
        <v>44279</v>
      </c>
      <c r="D3300" s="46">
        <v>250</v>
      </c>
      <c r="E3300" s="46">
        <v>9</v>
      </c>
      <c r="F3300" s="46">
        <v>319358</v>
      </c>
      <c r="G3300" s="48" t="s">
        <v>2033</v>
      </c>
      <c r="I3300" s="46">
        <v>0</v>
      </c>
      <c r="J3300" s="46">
        <v>0</v>
      </c>
      <c r="L3300" s="46">
        <v>0</v>
      </c>
      <c r="M3300" s="46">
        <v>0</v>
      </c>
    </row>
    <row r="3301" spans="2:13" ht="14.1" customHeight="1" x14ac:dyDescent="0.25">
      <c r="B3301" s="46" t="str">
        <f t="shared" si="56"/>
        <v>2103-251-319845</v>
      </c>
      <c r="C3301" s="47">
        <v>44279</v>
      </c>
      <c r="D3301" s="46">
        <v>251</v>
      </c>
      <c r="E3301" s="46">
        <v>18</v>
      </c>
      <c r="F3301" s="46">
        <v>319845</v>
      </c>
      <c r="G3301" s="48" t="s">
        <v>2055</v>
      </c>
      <c r="I3301" s="46">
        <v>0</v>
      </c>
      <c r="J3301" s="46">
        <v>0</v>
      </c>
      <c r="L3301" s="46">
        <v>0</v>
      </c>
      <c r="M3301" s="46">
        <v>0</v>
      </c>
    </row>
    <row r="3302" spans="2:13" ht="14.1" customHeight="1" x14ac:dyDescent="0.25">
      <c r="B3302" s="46" t="str">
        <f t="shared" si="56"/>
        <v>2103-251-319844</v>
      </c>
      <c r="C3302" s="47">
        <v>44279</v>
      </c>
      <c r="D3302" s="46">
        <v>251</v>
      </c>
      <c r="E3302" s="46">
        <v>24</v>
      </c>
      <c r="F3302" s="46">
        <v>319844</v>
      </c>
      <c r="G3302" s="48" t="s">
        <v>2056</v>
      </c>
      <c r="I3302" s="46">
        <v>0</v>
      </c>
      <c r="J3302" s="46">
        <v>0</v>
      </c>
      <c r="L3302" s="46">
        <v>0</v>
      </c>
      <c r="M3302" s="46">
        <v>0</v>
      </c>
    </row>
    <row r="3303" spans="2:13" ht="14.1" customHeight="1" x14ac:dyDescent="0.25">
      <c r="B3303" s="46" t="str">
        <f t="shared" si="56"/>
        <v>2103-251-319843</v>
      </c>
      <c r="C3303" s="47">
        <v>44279</v>
      </c>
      <c r="D3303" s="46">
        <v>251</v>
      </c>
      <c r="E3303" s="46">
        <v>20</v>
      </c>
      <c r="F3303" s="46">
        <v>319843</v>
      </c>
      <c r="G3303" s="48" t="s">
        <v>2057</v>
      </c>
      <c r="I3303" s="46">
        <v>0</v>
      </c>
      <c r="J3303" s="46">
        <v>0</v>
      </c>
      <c r="L3303" s="46">
        <v>0</v>
      </c>
      <c r="M3303" s="46">
        <v>0</v>
      </c>
    </row>
    <row r="3304" spans="2:13" ht="14.1" customHeight="1" x14ac:dyDescent="0.25">
      <c r="B3304" s="46" t="str">
        <f t="shared" si="56"/>
        <v>2103-252-313314</v>
      </c>
      <c r="C3304" s="47">
        <v>44279</v>
      </c>
      <c r="D3304" s="46">
        <v>252</v>
      </c>
      <c r="E3304" s="46">
        <v>6</v>
      </c>
      <c r="F3304" s="46">
        <v>313314</v>
      </c>
      <c r="G3304" s="48" t="s">
        <v>2058</v>
      </c>
      <c r="I3304" s="46">
        <v>0</v>
      </c>
      <c r="J3304" s="46">
        <v>0</v>
      </c>
      <c r="L3304" s="46">
        <v>0</v>
      </c>
      <c r="M3304" s="46">
        <v>0</v>
      </c>
    </row>
    <row r="3305" spans="2:13" ht="14.1" customHeight="1" x14ac:dyDescent="0.25">
      <c r="B3305" s="46" t="str">
        <f t="shared" si="56"/>
        <v>2103-253-318592</v>
      </c>
      <c r="C3305" s="47">
        <v>44279</v>
      </c>
      <c r="D3305" s="46">
        <v>253</v>
      </c>
      <c r="E3305" s="46">
        <v>162</v>
      </c>
      <c r="F3305" s="46">
        <v>318592</v>
      </c>
      <c r="G3305" s="48" t="s">
        <v>2059</v>
      </c>
      <c r="I3305" s="46">
        <v>0</v>
      </c>
      <c r="J3305" s="46">
        <v>0</v>
      </c>
      <c r="L3305" s="46">
        <v>0</v>
      </c>
      <c r="M3305" s="46">
        <v>0</v>
      </c>
    </row>
    <row r="3306" spans="2:13" ht="14.1" customHeight="1" x14ac:dyDescent="0.25">
      <c r="B3306" s="46" t="str">
        <f t="shared" si="56"/>
        <v>2103-254-313459</v>
      </c>
      <c r="C3306" s="47">
        <v>44280</v>
      </c>
      <c r="D3306" s="46">
        <v>254</v>
      </c>
      <c r="E3306" s="46">
        <v>1</v>
      </c>
      <c r="F3306" s="46">
        <v>313459</v>
      </c>
      <c r="G3306" s="48" t="s">
        <v>2060</v>
      </c>
      <c r="I3306" s="46">
        <v>0</v>
      </c>
      <c r="J3306" s="46">
        <v>0</v>
      </c>
      <c r="L3306" s="46">
        <v>0</v>
      </c>
      <c r="M3306" s="46">
        <v>0</v>
      </c>
    </row>
    <row r="3307" spans="2:13" ht="14.1" customHeight="1" x14ac:dyDescent="0.25">
      <c r="B3307" s="46" t="str">
        <f t="shared" si="56"/>
        <v>2103-254-309405</v>
      </c>
      <c r="C3307" s="47">
        <v>44280</v>
      </c>
      <c r="D3307" s="46">
        <v>254</v>
      </c>
      <c r="E3307" s="46">
        <v>1</v>
      </c>
      <c r="F3307" s="46">
        <v>309405</v>
      </c>
      <c r="G3307" s="48" t="s">
        <v>2062</v>
      </c>
      <c r="I3307" s="46">
        <v>0</v>
      </c>
      <c r="J3307" s="46">
        <v>0</v>
      </c>
      <c r="L3307" s="46">
        <v>0</v>
      </c>
      <c r="M3307" s="46">
        <v>0</v>
      </c>
    </row>
    <row r="3308" spans="2:13" ht="14.1" customHeight="1" x14ac:dyDescent="0.25">
      <c r="B3308" s="46" t="str">
        <f t="shared" si="56"/>
        <v>2103-254-320969</v>
      </c>
      <c r="C3308" s="47">
        <v>44280</v>
      </c>
      <c r="D3308" s="46">
        <v>254</v>
      </c>
      <c r="E3308" s="46">
        <v>20</v>
      </c>
      <c r="F3308" s="46">
        <v>320969</v>
      </c>
      <c r="G3308" s="48" t="s">
        <v>2064</v>
      </c>
      <c r="H3308" s="47">
        <v>44299</v>
      </c>
      <c r="I3308" s="46">
        <v>52483</v>
      </c>
      <c r="J3308" s="46">
        <v>20</v>
      </c>
      <c r="L3308" s="46">
        <v>0</v>
      </c>
      <c r="M3308" s="46">
        <v>0</v>
      </c>
    </row>
    <row r="3309" spans="2:13" ht="14.1" customHeight="1" x14ac:dyDescent="0.25">
      <c r="B3309" s="46" t="str">
        <f t="shared" si="56"/>
        <v>2103-254-303170</v>
      </c>
      <c r="C3309" s="47">
        <v>44280</v>
      </c>
      <c r="D3309" s="46">
        <v>254</v>
      </c>
      <c r="E3309" s="46">
        <v>50</v>
      </c>
      <c r="F3309" s="46">
        <v>303170</v>
      </c>
      <c r="G3309" s="48" t="s">
        <v>2063</v>
      </c>
      <c r="H3309" s="47">
        <v>44299</v>
      </c>
      <c r="I3309" s="46">
        <v>52483</v>
      </c>
      <c r="J3309" s="46">
        <v>50</v>
      </c>
      <c r="L3309" s="46">
        <v>0</v>
      </c>
      <c r="M3309" s="46">
        <v>0</v>
      </c>
    </row>
    <row r="3310" spans="2:13" ht="14.1" customHeight="1" x14ac:dyDescent="0.25">
      <c r="B3310" s="46" t="str">
        <f t="shared" si="56"/>
        <v>2103-254-320968</v>
      </c>
      <c r="C3310" s="47">
        <v>44280</v>
      </c>
      <c r="D3310" s="46">
        <v>254</v>
      </c>
      <c r="E3310" s="46">
        <v>16</v>
      </c>
      <c r="F3310" s="46">
        <v>320968</v>
      </c>
      <c r="G3310" s="48" t="s">
        <v>2061</v>
      </c>
      <c r="I3310" s="46">
        <v>0</v>
      </c>
      <c r="J3310" s="46">
        <v>0</v>
      </c>
      <c r="L3310" s="46">
        <v>0</v>
      </c>
      <c r="M3310" s="46">
        <v>0</v>
      </c>
    </row>
    <row r="3311" spans="2:13" ht="14.1" customHeight="1" x14ac:dyDescent="0.25">
      <c r="B3311" s="46" t="str">
        <f t="shared" si="56"/>
        <v>2103-255-316335</v>
      </c>
      <c r="C3311" s="47">
        <v>44280</v>
      </c>
      <c r="D3311" s="46">
        <v>255</v>
      </c>
      <c r="E3311" s="46">
        <v>2</v>
      </c>
      <c r="F3311" s="46">
        <v>316335</v>
      </c>
      <c r="G3311" s="48" t="s">
        <v>2065</v>
      </c>
      <c r="I3311" s="46">
        <v>0</v>
      </c>
      <c r="J3311" s="46">
        <v>0</v>
      </c>
      <c r="L3311" s="46">
        <v>0</v>
      </c>
      <c r="M3311" s="46">
        <v>0</v>
      </c>
    </row>
    <row r="3312" spans="2:13" ht="14.1" customHeight="1" x14ac:dyDescent="0.25">
      <c r="B3312" s="46" t="str">
        <f t="shared" si="56"/>
        <v>2103-255-318734</v>
      </c>
      <c r="C3312" s="47">
        <v>44280</v>
      </c>
      <c r="D3312" s="46">
        <v>255</v>
      </c>
      <c r="E3312" s="46">
        <v>1</v>
      </c>
      <c r="F3312" s="46">
        <v>318734</v>
      </c>
      <c r="G3312" s="48" t="s">
        <v>2066</v>
      </c>
      <c r="I3312" s="46">
        <v>0</v>
      </c>
      <c r="J3312" s="46">
        <v>0</v>
      </c>
      <c r="L3312" s="46">
        <v>0</v>
      </c>
      <c r="M3312" s="46">
        <v>0</v>
      </c>
    </row>
    <row r="3313" spans="2:13" ht="14.1" customHeight="1" x14ac:dyDescent="0.25">
      <c r="B3313" s="46" t="str">
        <f t="shared" si="56"/>
        <v>2103-256-310416</v>
      </c>
      <c r="C3313" s="47">
        <v>44280</v>
      </c>
      <c r="D3313" s="46">
        <v>256</v>
      </c>
      <c r="E3313" s="46">
        <v>40</v>
      </c>
      <c r="F3313" s="46">
        <v>310416</v>
      </c>
      <c r="G3313" s="48" t="s">
        <v>240</v>
      </c>
      <c r="H3313" s="47">
        <v>44293</v>
      </c>
      <c r="I3313" s="46">
        <v>52385</v>
      </c>
      <c r="J3313" s="46">
        <v>40</v>
      </c>
      <c r="K3313" s="47">
        <v>44299</v>
      </c>
      <c r="L3313" s="46">
        <v>11800</v>
      </c>
      <c r="M3313" s="46">
        <v>40</v>
      </c>
    </row>
    <row r="3314" spans="2:13" ht="14.1" customHeight="1" x14ac:dyDescent="0.25">
      <c r="B3314" s="46" t="str">
        <f t="shared" ref="B3314:B3377" si="57">TEXT(C3314,"yy") &amp; TEXT(C3314,"mm") &amp;"-"&amp;(D3314) &amp;"-"&amp;(F3314)</f>
        <v>2103-256-106761</v>
      </c>
      <c r="C3314" s="47">
        <v>44280</v>
      </c>
      <c r="D3314" s="46">
        <v>256</v>
      </c>
      <c r="E3314" s="46">
        <v>20</v>
      </c>
      <c r="F3314" s="46">
        <v>106761</v>
      </c>
      <c r="G3314" s="48" t="s">
        <v>95</v>
      </c>
      <c r="H3314" s="47">
        <v>44293</v>
      </c>
      <c r="I3314" s="46">
        <v>52385</v>
      </c>
      <c r="J3314" s="46">
        <v>20</v>
      </c>
      <c r="K3314" s="47">
        <v>44299</v>
      </c>
      <c r="L3314" s="46">
        <v>11800</v>
      </c>
      <c r="M3314" s="46">
        <v>20</v>
      </c>
    </row>
    <row r="3315" spans="2:13" ht="14.1" customHeight="1" x14ac:dyDescent="0.25">
      <c r="B3315" s="46" t="str">
        <f t="shared" si="57"/>
        <v>2103-257-202093</v>
      </c>
      <c r="C3315" s="47">
        <v>44280</v>
      </c>
      <c r="D3315" s="46">
        <v>257</v>
      </c>
      <c r="E3315" s="46">
        <v>60</v>
      </c>
      <c r="F3315" s="46">
        <v>202093</v>
      </c>
      <c r="G3315" s="48" t="s">
        <v>497</v>
      </c>
      <c r="H3315" s="47">
        <v>44286</v>
      </c>
      <c r="I3315" s="46">
        <v>52319</v>
      </c>
      <c r="J3315" s="46">
        <v>60</v>
      </c>
      <c r="K3315" s="47">
        <v>44292</v>
      </c>
      <c r="L3315" s="46">
        <v>11711</v>
      </c>
      <c r="M3315" s="46">
        <v>60</v>
      </c>
    </row>
    <row r="3316" spans="2:13" ht="14.1" customHeight="1" x14ac:dyDescent="0.25">
      <c r="B3316" s="46" t="str">
        <f t="shared" si="57"/>
        <v>2103-260-203593</v>
      </c>
      <c r="C3316" s="47">
        <v>44280</v>
      </c>
      <c r="D3316" s="46">
        <v>260</v>
      </c>
      <c r="E3316" s="46">
        <v>1972</v>
      </c>
      <c r="F3316" s="46">
        <v>203593</v>
      </c>
      <c r="G3316" s="48" t="s">
        <v>211</v>
      </c>
      <c r="H3316" s="47">
        <v>44280</v>
      </c>
      <c r="I3316" s="46">
        <v>52269</v>
      </c>
      <c r="J3316" s="46">
        <v>1972</v>
      </c>
      <c r="K3316" s="47">
        <v>44280</v>
      </c>
      <c r="L3316" s="46">
        <v>11641</v>
      </c>
      <c r="M3316" s="46">
        <v>1972</v>
      </c>
    </row>
    <row r="3317" spans="2:13" ht="14.1" customHeight="1" x14ac:dyDescent="0.25">
      <c r="B3317" s="46" t="str">
        <f t="shared" si="57"/>
        <v>2103-267-206501</v>
      </c>
      <c r="C3317" s="47">
        <v>44280</v>
      </c>
      <c r="D3317" s="46">
        <v>267</v>
      </c>
      <c r="E3317" s="46">
        <v>1</v>
      </c>
      <c r="F3317" s="46">
        <v>206501</v>
      </c>
      <c r="G3317" s="48" t="s">
        <v>1838</v>
      </c>
      <c r="H3317" s="47">
        <v>44280</v>
      </c>
      <c r="I3317" s="46">
        <v>52264</v>
      </c>
      <c r="J3317" s="46">
        <v>1</v>
      </c>
      <c r="K3317" s="47">
        <v>44280</v>
      </c>
      <c r="L3317" s="46">
        <v>11648</v>
      </c>
      <c r="M3317" s="46">
        <v>1</v>
      </c>
    </row>
    <row r="3318" spans="2:13" ht="14.1" customHeight="1" x14ac:dyDescent="0.25">
      <c r="B3318" s="46" t="str">
        <f t="shared" si="57"/>
        <v>2103-267-314177</v>
      </c>
      <c r="C3318" s="47">
        <v>44280</v>
      </c>
      <c r="D3318" s="46">
        <v>267</v>
      </c>
      <c r="E3318" s="46">
        <v>1</v>
      </c>
      <c r="F3318" s="46">
        <v>314177</v>
      </c>
      <c r="G3318" s="48" t="s">
        <v>1220</v>
      </c>
      <c r="H3318" s="47">
        <v>44280</v>
      </c>
      <c r="I3318" s="46">
        <v>52264</v>
      </c>
      <c r="J3318" s="46">
        <v>1</v>
      </c>
      <c r="K3318" s="47">
        <v>44280</v>
      </c>
      <c r="L3318" s="46">
        <v>11648</v>
      </c>
      <c r="M3318" s="46">
        <v>1</v>
      </c>
    </row>
    <row r="3319" spans="2:13" ht="14.1" customHeight="1" x14ac:dyDescent="0.25">
      <c r="B3319" s="46" t="str">
        <f t="shared" si="57"/>
        <v>2103-267-205151</v>
      </c>
      <c r="C3319" s="47">
        <v>44280</v>
      </c>
      <c r="D3319" s="46">
        <v>267</v>
      </c>
      <c r="E3319" s="46">
        <v>1</v>
      </c>
      <c r="F3319" s="46">
        <v>205151</v>
      </c>
      <c r="G3319" s="48" t="s">
        <v>1836</v>
      </c>
      <c r="H3319" s="47">
        <v>44280</v>
      </c>
      <c r="I3319" s="46">
        <v>52264</v>
      </c>
      <c r="J3319" s="46">
        <v>1</v>
      </c>
      <c r="K3319" s="47">
        <v>44280</v>
      </c>
      <c r="L3319" s="46">
        <v>11648</v>
      </c>
      <c r="M3319" s="46">
        <v>1</v>
      </c>
    </row>
    <row r="3320" spans="2:13" ht="14.1" customHeight="1" x14ac:dyDescent="0.25">
      <c r="B3320" s="46" t="str">
        <f t="shared" si="57"/>
        <v>2103-267-316873</v>
      </c>
      <c r="C3320" s="47">
        <v>44280</v>
      </c>
      <c r="D3320" s="46">
        <v>267</v>
      </c>
      <c r="E3320" s="46">
        <v>1</v>
      </c>
      <c r="F3320" s="46">
        <v>316873</v>
      </c>
      <c r="G3320" s="48" t="s">
        <v>2067</v>
      </c>
      <c r="H3320" s="47">
        <v>44280</v>
      </c>
      <c r="I3320" s="46">
        <v>52264</v>
      </c>
      <c r="J3320" s="46">
        <v>1</v>
      </c>
      <c r="K3320" s="47">
        <v>44280</v>
      </c>
      <c r="L3320" s="46">
        <v>11648</v>
      </c>
      <c r="M3320" s="46">
        <v>1</v>
      </c>
    </row>
    <row r="3321" spans="2:13" ht="14.1" customHeight="1" x14ac:dyDescent="0.25">
      <c r="B3321" s="46" t="str">
        <f t="shared" si="57"/>
        <v>2103-267-105292</v>
      </c>
      <c r="C3321" s="47">
        <v>44280</v>
      </c>
      <c r="D3321" s="46">
        <v>267</v>
      </c>
      <c r="E3321" s="46">
        <v>1</v>
      </c>
      <c r="F3321" s="46">
        <v>105292</v>
      </c>
      <c r="G3321" s="48" t="s">
        <v>2068</v>
      </c>
      <c r="H3321" s="47">
        <v>44280</v>
      </c>
      <c r="I3321" s="46">
        <v>52264</v>
      </c>
      <c r="J3321" s="46">
        <v>1</v>
      </c>
      <c r="K3321" s="47">
        <v>44280</v>
      </c>
      <c r="L3321" s="46">
        <v>11648</v>
      </c>
      <c r="M3321" s="46">
        <v>1</v>
      </c>
    </row>
    <row r="3322" spans="2:13" ht="14.1" customHeight="1" x14ac:dyDescent="0.25">
      <c r="B3322" s="46" t="str">
        <f t="shared" si="57"/>
        <v>2103-267-100526</v>
      </c>
      <c r="C3322" s="47">
        <v>44280</v>
      </c>
      <c r="D3322" s="46">
        <v>267</v>
      </c>
      <c r="E3322" s="46">
        <v>1</v>
      </c>
      <c r="F3322" s="46">
        <v>100526</v>
      </c>
      <c r="G3322" s="48" t="s">
        <v>335</v>
      </c>
      <c r="H3322" s="47">
        <v>44280</v>
      </c>
      <c r="I3322" s="46">
        <v>52264</v>
      </c>
      <c r="J3322" s="46">
        <v>1</v>
      </c>
      <c r="K3322" s="47">
        <v>44280</v>
      </c>
      <c r="L3322" s="46">
        <v>11648</v>
      </c>
      <c r="M3322" s="46">
        <v>1</v>
      </c>
    </row>
    <row r="3323" spans="2:13" ht="14.1" customHeight="1" x14ac:dyDescent="0.25">
      <c r="B3323" s="46" t="str">
        <f t="shared" si="57"/>
        <v>2103-267-311393</v>
      </c>
      <c r="C3323" s="47">
        <v>44280</v>
      </c>
      <c r="D3323" s="46">
        <v>267</v>
      </c>
      <c r="E3323" s="46">
        <v>1</v>
      </c>
      <c r="F3323" s="46">
        <v>311393</v>
      </c>
      <c r="G3323" s="48" t="s">
        <v>334</v>
      </c>
      <c r="H3323" s="47">
        <v>44280</v>
      </c>
      <c r="I3323" s="46">
        <v>52264</v>
      </c>
      <c r="J3323" s="46">
        <v>1</v>
      </c>
      <c r="K3323" s="47">
        <v>44280</v>
      </c>
      <c r="L3323" s="46">
        <v>11648</v>
      </c>
      <c r="M3323" s="46">
        <v>1</v>
      </c>
    </row>
    <row r="3324" spans="2:13" ht="14.1" customHeight="1" x14ac:dyDescent="0.25">
      <c r="B3324" s="46" t="str">
        <f t="shared" si="57"/>
        <v>2103-269-313275</v>
      </c>
      <c r="C3324" s="47">
        <v>44280</v>
      </c>
      <c r="D3324" s="46">
        <v>269</v>
      </c>
      <c r="E3324" s="46">
        <v>1</v>
      </c>
      <c r="F3324" s="46">
        <v>313275</v>
      </c>
      <c r="G3324" s="48" t="s">
        <v>2069</v>
      </c>
      <c r="H3324" s="47">
        <v>44280</v>
      </c>
      <c r="I3324" s="46">
        <v>52265</v>
      </c>
      <c r="J3324" s="46">
        <v>1</v>
      </c>
      <c r="K3324" s="47">
        <v>44280</v>
      </c>
      <c r="L3324" s="46">
        <v>11650</v>
      </c>
      <c r="M3324" s="46">
        <v>1</v>
      </c>
    </row>
    <row r="3325" spans="2:13" ht="14.1" customHeight="1" x14ac:dyDescent="0.25">
      <c r="B3325" s="46" t="str">
        <f t="shared" si="57"/>
        <v>2103-269-314177</v>
      </c>
      <c r="C3325" s="47">
        <v>44280</v>
      </c>
      <c r="D3325" s="46">
        <v>269</v>
      </c>
      <c r="E3325" s="46">
        <v>1</v>
      </c>
      <c r="F3325" s="46">
        <v>314177</v>
      </c>
      <c r="G3325" s="48" t="s">
        <v>1220</v>
      </c>
      <c r="H3325" s="47">
        <v>44280</v>
      </c>
      <c r="I3325" s="46">
        <v>52265</v>
      </c>
      <c r="J3325" s="46">
        <v>1</v>
      </c>
      <c r="K3325" s="47">
        <v>44280</v>
      </c>
      <c r="L3325" s="46">
        <v>11650</v>
      </c>
      <c r="M3325" s="46">
        <v>1</v>
      </c>
    </row>
    <row r="3326" spans="2:13" ht="14.1" customHeight="1" x14ac:dyDescent="0.25">
      <c r="B3326" s="46" t="str">
        <f t="shared" si="57"/>
        <v>2103-269-205742</v>
      </c>
      <c r="C3326" s="47">
        <v>44280</v>
      </c>
      <c r="D3326" s="46">
        <v>269</v>
      </c>
      <c r="E3326" s="46">
        <v>2</v>
      </c>
      <c r="F3326" s="46">
        <v>205742</v>
      </c>
      <c r="G3326" s="48" t="s">
        <v>1146</v>
      </c>
      <c r="H3326" s="47">
        <v>44280</v>
      </c>
      <c r="I3326" s="46">
        <v>52265</v>
      </c>
      <c r="J3326" s="46">
        <v>2</v>
      </c>
      <c r="K3326" s="47">
        <v>44280</v>
      </c>
      <c r="L3326" s="46">
        <v>11650</v>
      </c>
      <c r="M3326" s="46">
        <v>2</v>
      </c>
    </row>
    <row r="3327" spans="2:13" ht="14.1" customHeight="1" x14ac:dyDescent="0.25">
      <c r="B3327" s="46" t="str">
        <f t="shared" si="57"/>
        <v>2103-269-316873</v>
      </c>
      <c r="C3327" s="47">
        <v>44280</v>
      </c>
      <c r="D3327" s="46">
        <v>269</v>
      </c>
      <c r="E3327" s="46">
        <v>1</v>
      </c>
      <c r="F3327" s="46">
        <v>316873</v>
      </c>
      <c r="G3327" s="48" t="s">
        <v>2067</v>
      </c>
      <c r="H3327" s="47">
        <v>44280</v>
      </c>
      <c r="I3327" s="46">
        <v>52265</v>
      </c>
      <c r="J3327" s="46">
        <v>1</v>
      </c>
      <c r="K3327" s="47">
        <v>44280</v>
      </c>
      <c r="L3327" s="46">
        <v>11650</v>
      </c>
      <c r="M3327" s="46">
        <v>1</v>
      </c>
    </row>
    <row r="3328" spans="2:13" ht="14.1" customHeight="1" x14ac:dyDescent="0.25">
      <c r="B3328" s="46" t="str">
        <f t="shared" si="57"/>
        <v>2103-271-306617</v>
      </c>
      <c r="C3328" s="47">
        <v>44281</v>
      </c>
      <c r="D3328" s="46">
        <v>271</v>
      </c>
      <c r="E3328" s="46">
        <v>1</v>
      </c>
      <c r="F3328" s="46">
        <v>306617</v>
      </c>
      <c r="G3328" s="48" t="s">
        <v>2071</v>
      </c>
      <c r="I3328" s="46">
        <v>0</v>
      </c>
      <c r="J3328" s="46">
        <v>0</v>
      </c>
      <c r="L3328" s="46">
        <v>0</v>
      </c>
      <c r="M3328" s="46">
        <v>0</v>
      </c>
    </row>
    <row r="3329" spans="2:13" ht="14.1" customHeight="1" x14ac:dyDescent="0.25">
      <c r="B3329" s="46" t="str">
        <f t="shared" si="57"/>
        <v>2103-271-320970</v>
      </c>
      <c r="C3329" s="47">
        <v>44281</v>
      </c>
      <c r="D3329" s="46">
        <v>271</v>
      </c>
      <c r="E3329" s="46">
        <v>2</v>
      </c>
      <c r="F3329" s="46">
        <v>320970</v>
      </c>
      <c r="G3329" s="48" t="s">
        <v>2070</v>
      </c>
      <c r="I3329" s="46">
        <v>0</v>
      </c>
      <c r="J3329" s="46">
        <v>0</v>
      </c>
      <c r="L3329" s="46">
        <v>0</v>
      </c>
      <c r="M3329" s="46">
        <v>0</v>
      </c>
    </row>
    <row r="3330" spans="2:13" ht="14.1" customHeight="1" x14ac:dyDescent="0.25">
      <c r="B3330" s="46" t="str">
        <f t="shared" si="57"/>
        <v>2103-271-319981</v>
      </c>
      <c r="C3330" s="47">
        <v>44281</v>
      </c>
      <c r="D3330" s="46">
        <v>271</v>
      </c>
      <c r="E3330" s="46">
        <v>1</v>
      </c>
      <c r="F3330" s="46">
        <v>319981</v>
      </c>
      <c r="G3330" s="48" t="s">
        <v>2072</v>
      </c>
      <c r="I3330" s="46">
        <v>0</v>
      </c>
      <c r="J3330" s="46">
        <v>0</v>
      </c>
      <c r="L3330" s="46">
        <v>0</v>
      </c>
      <c r="M3330" s="46">
        <v>0</v>
      </c>
    </row>
    <row r="3331" spans="2:13" ht="14.1" customHeight="1" x14ac:dyDescent="0.25">
      <c r="B3331" s="46" t="str">
        <f t="shared" si="57"/>
        <v>2103-271-316894</v>
      </c>
      <c r="C3331" s="47">
        <v>44281</v>
      </c>
      <c r="D3331" s="46">
        <v>271</v>
      </c>
      <c r="E3331" s="46">
        <v>1</v>
      </c>
      <c r="F3331" s="46">
        <v>316894</v>
      </c>
      <c r="G3331" s="48" t="s">
        <v>1521</v>
      </c>
      <c r="I3331" s="46">
        <v>0</v>
      </c>
      <c r="J3331" s="46">
        <v>0</v>
      </c>
      <c r="L3331" s="46">
        <v>0</v>
      </c>
      <c r="M3331" s="46">
        <v>0</v>
      </c>
    </row>
    <row r="3332" spans="2:13" ht="14.1" customHeight="1" x14ac:dyDescent="0.25">
      <c r="B3332" s="46" t="str">
        <f t="shared" si="57"/>
        <v>2103-271-202904</v>
      </c>
      <c r="C3332" s="47">
        <v>44281</v>
      </c>
      <c r="D3332" s="46">
        <v>271</v>
      </c>
      <c r="E3332" s="46">
        <v>2</v>
      </c>
      <c r="F3332" s="46">
        <v>202904</v>
      </c>
      <c r="G3332" s="48" t="s">
        <v>109</v>
      </c>
      <c r="I3332" s="46">
        <v>0</v>
      </c>
      <c r="J3332" s="46">
        <v>0</v>
      </c>
      <c r="L3332" s="46">
        <v>0</v>
      </c>
      <c r="M3332" s="46">
        <v>0</v>
      </c>
    </row>
    <row r="3333" spans="2:13" ht="14.1" customHeight="1" x14ac:dyDescent="0.25">
      <c r="B3333" s="46" t="str">
        <f t="shared" si="57"/>
        <v>2103-271-300448</v>
      </c>
      <c r="C3333" s="47">
        <v>44281</v>
      </c>
      <c r="D3333" s="46">
        <v>271</v>
      </c>
      <c r="E3333" s="46">
        <v>8</v>
      </c>
      <c r="F3333" s="46">
        <v>300448</v>
      </c>
      <c r="G3333" s="48" t="s">
        <v>2073</v>
      </c>
      <c r="I3333" s="46">
        <v>0</v>
      </c>
      <c r="J3333" s="46">
        <v>0</v>
      </c>
      <c r="L3333" s="46">
        <v>0</v>
      </c>
      <c r="M3333" s="46">
        <v>0</v>
      </c>
    </row>
    <row r="3334" spans="2:13" ht="14.1" customHeight="1" x14ac:dyDescent="0.25">
      <c r="B3334" s="46" t="str">
        <f t="shared" si="57"/>
        <v>2103-271-300451</v>
      </c>
      <c r="C3334" s="47">
        <v>44281</v>
      </c>
      <c r="D3334" s="46">
        <v>271</v>
      </c>
      <c r="E3334" s="46">
        <v>4</v>
      </c>
      <c r="F3334" s="46">
        <v>300451</v>
      </c>
      <c r="G3334" s="48" t="s">
        <v>2074</v>
      </c>
      <c r="I3334" s="46">
        <v>0</v>
      </c>
      <c r="J3334" s="46">
        <v>0</v>
      </c>
      <c r="L3334" s="46">
        <v>0</v>
      </c>
      <c r="M3334" s="46">
        <v>0</v>
      </c>
    </row>
    <row r="3335" spans="2:13" ht="14.1" customHeight="1" x14ac:dyDescent="0.25">
      <c r="B3335" s="46" t="str">
        <f t="shared" si="57"/>
        <v>2103-271-106306</v>
      </c>
      <c r="C3335" s="47">
        <v>44281</v>
      </c>
      <c r="D3335" s="46">
        <v>271</v>
      </c>
      <c r="E3335" s="46">
        <v>4</v>
      </c>
      <c r="F3335" s="46">
        <v>106306</v>
      </c>
      <c r="G3335" s="48" t="s">
        <v>2075</v>
      </c>
      <c r="I3335" s="46">
        <v>0</v>
      </c>
      <c r="J3335" s="46">
        <v>0</v>
      </c>
      <c r="L3335" s="46">
        <v>0</v>
      </c>
      <c r="M3335" s="46">
        <v>0</v>
      </c>
    </row>
    <row r="3336" spans="2:13" ht="14.1" customHeight="1" x14ac:dyDescent="0.25">
      <c r="B3336" s="46" t="str">
        <f t="shared" si="57"/>
        <v>2103-272-312990</v>
      </c>
      <c r="C3336" s="47">
        <v>44281</v>
      </c>
      <c r="D3336" s="46">
        <v>272</v>
      </c>
      <c r="E3336" s="46">
        <v>6</v>
      </c>
      <c r="F3336" s="46">
        <v>312990</v>
      </c>
      <c r="G3336" s="48" t="s">
        <v>302</v>
      </c>
      <c r="H3336" s="47">
        <v>44299</v>
      </c>
      <c r="I3336" s="46">
        <v>52481</v>
      </c>
      <c r="J3336" s="46">
        <v>6</v>
      </c>
      <c r="L3336" s="46">
        <v>0</v>
      </c>
      <c r="M3336" s="46">
        <v>0</v>
      </c>
    </row>
    <row r="3337" spans="2:13" ht="14.1" customHeight="1" x14ac:dyDescent="0.25">
      <c r="B3337" s="46" t="str">
        <f t="shared" si="57"/>
        <v>2103-273-313814</v>
      </c>
      <c r="C3337" s="47">
        <v>44281</v>
      </c>
      <c r="D3337" s="46">
        <v>273</v>
      </c>
      <c r="E3337" s="46">
        <v>1</v>
      </c>
      <c r="F3337" s="46">
        <v>313814</v>
      </c>
      <c r="G3337" s="48" t="s">
        <v>224</v>
      </c>
      <c r="H3337" s="47">
        <v>44299</v>
      </c>
      <c r="I3337" s="46">
        <v>52449</v>
      </c>
      <c r="J3337" s="46">
        <v>1</v>
      </c>
      <c r="K3337" s="47">
        <v>44294</v>
      </c>
      <c r="L3337" s="46">
        <v>11754</v>
      </c>
      <c r="M3337" s="46">
        <v>1</v>
      </c>
    </row>
    <row r="3338" spans="2:13" ht="14.1" customHeight="1" x14ac:dyDescent="0.25">
      <c r="B3338" s="46" t="str">
        <f t="shared" si="57"/>
        <v>2103-273-303716</v>
      </c>
      <c r="C3338" s="47">
        <v>44281</v>
      </c>
      <c r="D3338" s="46">
        <v>273</v>
      </c>
      <c r="E3338" s="46">
        <v>1</v>
      </c>
      <c r="F3338" s="46">
        <v>303716</v>
      </c>
      <c r="G3338" s="48" t="s">
        <v>35</v>
      </c>
      <c r="H3338" s="47">
        <v>44299</v>
      </c>
      <c r="I3338" s="46">
        <v>52449</v>
      </c>
      <c r="J3338" s="46">
        <v>1</v>
      </c>
      <c r="K3338" s="47">
        <v>44294</v>
      </c>
      <c r="L3338" s="46">
        <v>11754</v>
      </c>
      <c r="M3338" s="46">
        <v>1</v>
      </c>
    </row>
    <row r="3339" spans="2:13" ht="14.1" customHeight="1" x14ac:dyDescent="0.25">
      <c r="B3339" s="46" t="str">
        <f t="shared" si="57"/>
        <v>2103-274-105898</v>
      </c>
      <c r="C3339" s="47">
        <v>44281</v>
      </c>
      <c r="D3339" s="46">
        <v>274</v>
      </c>
      <c r="E3339" s="46">
        <v>30</v>
      </c>
      <c r="F3339" s="46">
        <v>105898</v>
      </c>
      <c r="G3339" s="48" t="s">
        <v>441</v>
      </c>
      <c r="H3339" s="47">
        <v>44295</v>
      </c>
      <c r="I3339" s="46">
        <v>52432</v>
      </c>
      <c r="J3339" s="46">
        <v>30</v>
      </c>
      <c r="K3339" s="47">
        <v>44301</v>
      </c>
      <c r="L3339" s="46">
        <v>11844</v>
      </c>
      <c r="M3339" s="46">
        <v>30</v>
      </c>
    </row>
    <row r="3340" spans="2:13" ht="14.1" customHeight="1" x14ac:dyDescent="0.25">
      <c r="B3340" s="46" t="str">
        <f t="shared" si="57"/>
        <v>2103-274-201824</v>
      </c>
      <c r="C3340" s="47">
        <v>44281</v>
      </c>
      <c r="D3340" s="46">
        <v>274</v>
      </c>
      <c r="E3340" s="46">
        <v>60</v>
      </c>
      <c r="F3340" s="46">
        <v>201824</v>
      </c>
      <c r="G3340" s="48" t="s">
        <v>33</v>
      </c>
      <c r="H3340" s="47">
        <v>44295</v>
      </c>
      <c r="I3340" s="46">
        <v>52432</v>
      </c>
      <c r="J3340" s="46">
        <v>60</v>
      </c>
      <c r="K3340" s="47">
        <v>44301</v>
      </c>
      <c r="L3340" s="46">
        <v>11844</v>
      </c>
      <c r="M3340" s="46">
        <v>60</v>
      </c>
    </row>
    <row r="3341" spans="2:13" ht="14.1" customHeight="1" x14ac:dyDescent="0.25">
      <c r="B3341" s="46" t="str">
        <f t="shared" si="57"/>
        <v>2103-275-320107</v>
      </c>
      <c r="C3341" s="47">
        <v>44281</v>
      </c>
      <c r="D3341" s="46">
        <v>275</v>
      </c>
      <c r="E3341" s="46">
        <v>1</v>
      </c>
      <c r="F3341" s="46">
        <v>320107</v>
      </c>
      <c r="G3341" s="48" t="s">
        <v>1959</v>
      </c>
      <c r="H3341" s="47">
        <v>44285</v>
      </c>
      <c r="I3341" s="46">
        <v>52307</v>
      </c>
      <c r="J3341" s="46">
        <v>1</v>
      </c>
      <c r="K3341" s="47">
        <v>44294</v>
      </c>
      <c r="L3341" s="46">
        <v>11741</v>
      </c>
      <c r="M3341" s="46">
        <v>1</v>
      </c>
    </row>
    <row r="3342" spans="2:13" ht="14.1" customHeight="1" x14ac:dyDescent="0.25">
      <c r="B3342" s="46" t="str">
        <f t="shared" si="57"/>
        <v>2103-275-301254</v>
      </c>
      <c r="C3342" s="47">
        <v>44281</v>
      </c>
      <c r="D3342" s="46">
        <v>275</v>
      </c>
      <c r="E3342" s="46">
        <v>1</v>
      </c>
      <c r="F3342" s="46">
        <v>301254</v>
      </c>
      <c r="G3342" s="48" t="s">
        <v>2076</v>
      </c>
      <c r="H3342" s="47">
        <v>44285</v>
      </c>
      <c r="I3342" s="46">
        <v>52307</v>
      </c>
      <c r="J3342" s="46">
        <v>1</v>
      </c>
      <c r="K3342" s="47">
        <v>44294</v>
      </c>
      <c r="L3342" s="46">
        <v>11741</v>
      </c>
      <c r="M3342" s="46">
        <v>1</v>
      </c>
    </row>
    <row r="3343" spans="2:13" ht="14.1" customHeight="1" x14ac:dyDescent="0.25">
      <c r="B3343" s="46" t="str">
        <f t="shared" si="57"/>
        <v>2103-275-304779</v>
      </c>
      <c r="C3343" s="47">
        <v>44281</v>
      </c>
      <c r="D3343" s="46">
        <v>275</v>
      </c>
      <c r="E3343" s="46">
        <v>12</v>
      </c>
      <c r="F3343" s="46">
        <v>304779</v>
      </c>
      <c r="G3343" s="48" t="s">
        <v>683</v>
      </c>
      <c r="H3343" s="47">
        <v>44285</v>
      </c>
      <c r="I3343" s="46">
        <v>52307</v>
      </c>
      <c r="J3343" s="46">
        <v>12</v>
      </c>
      <c r="K3343" s="47">
        <v>44294</v>
      </c>
      <c r="L3343" s="46">
        <v>11741</v>
      </c>
      <c r="M3343" s="46">
        <v>12</v>
      </c>
    </row>
    <row r="3344" spans="2:13" ht="14.1" customHeight="1" x14ac:dyDescent="0.25">
      <c r="B3344" s="46" t="str">
        <f t="shared" si="57"/>
        <v>2103-276-320971</v>
      </c>
      <c r="C3344" s="47">
        <v>44281</v>
      </c>
      <c r="D3344" s="46">
        <v>276</v>
      </c>
      <c r="E3344" s="46">
        <v>5</v>
      </c>
      <c r="F3344" s="46">
        <v>320971</v>
      </c>
      <c r="G3344" s="48" t="s">
        <v>2077</v>
      </c>
      <c r="H3344" s="47">
        <v>44284</v>
      </c>
      <c r="I3344" s="46">
        <v>52292</v>
      </c>
      <c r="J3344" s="46">
        <v>5</v>
      </c>
      <c r="K3344" s="47">
        <v>44291</v>
      </c>
      <c r="L3344" s="46">
        <v>11698</v>
      </c>
      <c r="M3344" s="46">
        <v>5</v>
      </c>
    </row>
    <row r="3345" spans="2:13" ht="14.1" customHeight="1" x14ac:dyDescent="0.25">
      <c r="B3345" s="46" t="str">
        <f t="shared" si="57"/>
        <v>2103-278-203593</v>
      </c>
      <c r="C3345" s="47">
        <v>44281</v>
      </c>
      <c r="D3345" s="46">
        <v>278</v>
      </c>
      <c r="E3345" s="46">
        <v>30000</v>
      </c>
      <c r="F3345" s="46">
        <v>203593</v>
      </c>
      <c r="G3345" s="48" t="s">
        <v>211</v>
      </c>
      <c r="H3345" s="47">
        <v>44299</v>
      </c>
      <c r="I3345" s="46">
        <v>52447</v>
      </c>
      <c r="J3345" s="46">
        <v>30000</v>
      </c>
      <c r="K3345" s="47">
        <v>44281</v>
      </c>
      <c r="L3345" s="46">
        <v>11659</v>
      </c>
      <c r="M3345" s="46">
        <v>30000</v>
      </c>
    </row>
    <row r="3346" spans="2:13" ht="14.1" customHeight="1" x14ac:dyDescent="0.25">
      <c r="B3346" s="46" t="str">
        <f t="shared" si="57"/>
        <v>2103-283-319866</v>
      </c>
      <c r="C3346" s="47">
        <v>44284</v>
      </c>
      <c r="D3346" s="46">
        <v>283</v>
      </c>
      <c r="E3346" s="46">
        <v>3</v>
      </c>
      <c r="F3346" s="46">
        <v>319866</v>
      </c>
      <c r="G3346" s="48" t="s">
        <v>2078</v>
      </c>
      <c r="I3346" s="46">
        <v>0</v>
      </c>
      <c r="J3346" s="46">
        <v>0</v>
      </c>
      <c r="L3346" s="46">
        <v>0</v>
      </c>
      <c r="M3346" s="46">
        <v>0</v>
      </c>
    </row>
    <row r="3347" spans="2:13" ht="14.1" customHeight="1" x14ac:dyDescent="0.25">
      <c r="B3347" s="46" t="str">
        <f t="shared" si="57"/>
        <v>2103-284-309457</v>
      </c>
      <c r="C3347" s="47">
        <v>44284</v>
      </c>
      <c r="D3347" s="46">
        <v>284</v>
      </c>
      <c r="E3347" s="46">
        <v>1</v>
      </c>
      <c r="F3347" s="46">
        <v>309457</v>
      </c>
      <c r="G3347" s="48" t="s">
        <v>1222</v>
      </c>
      <c r="H3347" s="47">
        <v>44285</v>
      </c>
      <c r="I3347" s="46">
        <v>52317</v>
      </c>
      <c r="J3347" s="46">
        <v>1</v>
      </c>
      <c r="K3347" s="47">
        <v>44300</v>
      </c>
      <c r="L3347" s="46">
        <v>11823</v>
      </c>
      <c r="M3347" s="46">
        <v>1</v>
      </c>
    </row>
    <row r="3348" spans="2:13" ht="14.1" customHeight="1" x14ac:dyDescent="0.25">
      <c r="B3348" s="46" t="str">
        <f t="shared" si="57"/>
        <v>2103-285-317952</v>
      </c>
      <c r="C3348" s="47">
        <v>44284</v>
      </c>
      <c r="D3348" s="46">
        <v>285</v>
      </c>
      <c r="E3348" s="46">
        <v>4</v>
      </c>
      <c r="F3348" s="46">
        <v>317952</v>
      </c>
      <c r="G3348" s="48" t="s">
        <v>2109</v>
      </c>
      <c r="H3348" s="47">
        <v>44293</v>
      </c>
      <c r="I3348" s="46">
        <v>52390</v>
      </c>
      <c r="J3348" s="46">
        <v>4</v>
      </c>
      <c r="L3348" s="46">
        <v>0</v>
      </c>
      <c r="M3348" s="46">
        <v>0</v>
      </c>
    </row>
    <row r="3349" spans="2:13" ht="14.1" customHeight="1" x14ac:dyDescent="0.25">
      <c r="B3349" s="46" t="str">
        <f t="shared" si="57"/>
        <v>2103-285-320991</v>
      </c>
      <c r="C3349" s="47">
        <v>44284</v>
      </c>
      <c r="D3349" s="46">
        <v>285</v>
      </c>
      <c r="E3349" s="46">
        <v>4</v>
      </c>
      <c r="F3349" s="46">
        <v>320991</v>
      </c>
      <c r="G3349" s="48" t="s">
        <v>2110</v>
      </c>
      <c r="H3349" s="47">
        <v>44293</v>
      </c>
      <c r="I3349" s="46">
        <v>52390</v>
      </c>
      <c r="J3349" s="46">
        <v>4</v>
      </c>
      <c r="L3349" s="46">
        <v>0</v>
      </c>
      <c r="M3349" s="46">
        <v>0</v>
      </c>
    </row>
    <row r="3350" spans="2:13" ht="14.1" customHeight="1" x14ac:dyDescent="0.25">
      <c r="B3350" s="46" t="str">
        <f t="shared" si="57"/>
        <v>2103-285-320995</v>
      </c>
      <c r="C3350" s="47">
        <v>44284</v>
      </c>
      <c r="D3350" s="46">
        <v>285</v>
      </c>
      <c r="E3350" s="46">
        <v>2</v>
      </c>
      <c r="F3350" s="46">
        <v>320995</v>
      </c>
      <c r="G3350" s="48" t="s">
        <v>2111</v>
      </c>
      <c r="H3350" s="47">
        <v>44293</v>
      </c>
      <c r="I3350" s="46">
        <v>52390</v>
      </c>
      <c r="J3350" s="46">
        <v>2</v>
      </c>
      <c r="L3350" s="46">
        <v>0</v>
      </c>
      <c r="M3350" s="46">
        <v>0</v>
      </c>
    </row>
    <row r="3351" spans="2:13" ht="14.1" customHeight="1" x14ac:dyDescent="0.25">
      <c r="B3351" s="46" t="str">
        <f t="shared" si="57"/>
        <v>2103-285-320998</v>
      </c>
      <c r="C3351" s="47">
        <v>44284</v>
      </c>
      <c r="D3351" s="46">
        <v>285</v>
      </c>
      <c r="E3351" s="46">
        <v>4</v>
      </c>
      <c r="F3351" s="46">
        <v>320998</v>
      </c>
      <c r="G3351" s="48" t="s">
        <v>2112</v>
      </c>
      <c r="H3351" s="47">
        <v>44293</v>
      </c>
      <c r="I3351" s="46">
        <v>52390</v>
      </c>
      <c r="J3351" s="46">
        <v>4</v>
      </c>
      <c r="L3351" s="46">
        <v>0</v>
      </c>
      <c r="M3351" s="46">
        <v>0</v>
      </c>
    </row>
    <row r="3352" spans="2:13" ht="14.1" customHeight="1" x14ac:dyDescent="0.25">
      <c r="B3352" s="46" t="str">
        <f t="shared" si="57"/>
        <v>2103-285-320999</v>
      </c>
      <c r="C3352" s="47">
        <v>44284</v>
      </c>
      <c r="D3352" s="46">
        <v>285</v>
      </c>
      <c r="E3352" s="46">
        <v>2</v>
      </c>
      <c r="F3352" s="46">
        <v>320999</v>
      </c>
      <c r="G3352" s="48" t="s">
        <v>2113</v>
      </c>
      <c r="H3352" s="47">
        <v>44293</v>
      </c>
      <c r="I3352" s="46">
        <v>52390</v>
      </c>
      <c r="J3352" s="46">
        <v>2</v>
      </c>
      <c r="L3352" s="46">
        <v>0</v>
      </c>
      <c r="M3352" s="46">
        <v>0</v>
      </c>
    </row>
    <row r="3353" spans="2:13" ht="14.1" customHeight="1" x14ac:dyDescent="0.25">
      <c r="B3353" s="46" t="str">
        <f t="shared" si="57"/>
        <v>2103-285-320984</v>
      </c>
      <c r="C3353" s="47">
        <v>44284</v>
      </c>
      <c r="D3353" s="46">
        <v>285</v>
      </c>
      <c r="E3353" s="46">
        <v>2</v>
      </c>
      <c r="F3353" s="46">
        <v>320984</v>
      </c>
      <c r="G3353" s="48" t="s">
        <v>2079</v>
      </c>
      <c r="H3353" s="47">
        <v>44293</v>
      </c>
      <c r="I3353" s="46">
        <v>52390</v>
      </c>
      <c r="J3353" s="46">
        <v>2</v>
      </c>
      <c r="L3353" s="46">
        <v>0</v>
      </c>
      <c r="M3353" s="46">
        <v>0</v>
      </c>
    </row>
    <row r="3354" spans="2:13" ht="14.1" customHeight="1" x14ac:dyDescent="0.25">
      <c r="B3354" s="46" t="str">
        <f t="shared" si="57"/>
        <v>2103-285-321004</v>
      </c>
      <c r="C3354" s="47">
        <v>44284</v>
      </c>
      <c r="D3354" s="46">
        <v>285</v>
      </c>
      <c r="E3354" s="46">
        <v>8</v>
      </c>
      <c r="F3354" s="46">
        <v>321004</v>
      </c>
      <c r="G3354" s="48" t="s">
        <v>2108</v>
      </c>
      <c r="H3354" s="47">
        <v>44293</v>
      </c>
      <c r="I3354" s="46">
        <v>52390</v>
      </c>
      <c r="J3354" s="46">
        <v>8</v>
      </c>
      <c r="L3354" s="46">
        <v>0</v>
      </c>
      <c r="M3354" s="46">
        <v>0</v>
      </c>
    </row>
    <row r="3355" spans="2:13" ht="14.1" customHeight="1" x14ac:dyDescent="0.25">
      <c r="B3355" s="46" t="str">
        <f t="shared" si="57"/>
        <v>2103-285-321006</v>
      </c>
      <c r="C3355" s="47">
        <v>44284</v>
      </c>
      <c r="D3355" s="46">
        <v>285</v>
      </c>
      <c r="E3355" s="46">
        <v>4</v>
      </c>
      <c r="F3355" s="46">
        <v>321006</v>
      </c>
      <c r="G3355" s="48" t="s">
        <v>2097</v>
      </c>
      <c r="H3355" s="47">
        <v>44293</v>
      </c>
      <c r="I3355" s="46">
        <v>52390</v>
      </c>
      <c r="J3355" s="46">
        <v>4</v>
      </c>
      <c r="L3355" s="46">
        <v>0</v>
      </c>
      <c r="M3355" s="46">
        <v>0</v>
      </c>
    </row>
    <row r="3356" spans="2:13" ht="14.1" customHeight="1" x14ac:dyDescent="0.25">
      <c r="B3356" s="46" t="str">
        <f t="shared" si="57"/>
        <v>2103-285-321013</v>
      </c>
      <c r="C3356" s="47">
        <v>44284</v>
      </c>
      <c r="D3356" s="46">
        <v>285</v>
      </c>
      <c r="E3356" s="46">
        <v>4</v>
      </c>
      <c r="F3356" s="46">
        <v>321013</v>
      </c>
      <c r="G3356" s="48" t="s">
        <v>2098</v>
      </c>
      <c r="H3356" s="47">
        <v>44293</v>
      </c>
      <c r="I3356" s="46">
        <v>52390</v>
      </c>
      <c r="J3356" s="46">
        <v>4</v>
      </c>
      <c r="L3356" s="46">
        <v>0</v>
      </c>
      <c r="M3356" s="46">
        <v>0</v>
      </c>
    </row>
    <row r="3357" spans="2:13" ht="14.1" customHeight="1" x14ac:dyDescent="0.25">
      <c r="B3357" s="46" t="str">
        <f t="shared" si="57"/>
        <v>2103-285-320993</v>
      </c>
      <c r="C3357" s="47">
        <v>44284</v>
      </c>
      <c r="D3357" s="46">
        <v>285</v>
      </c>
      <c r="E3357" s="46">
        <v>2</v>
      </c>
      <c r="F3357" s="46">
        <v>320993</v>
      </c>
      <c r="G3357" s="48" t="s">
        <v>2096</v>
      </c>
      <c r="H3357" s="47">
        <v>44293</v>
      </c>
      <c r="I3357" s="46">
        <v>52390</v>
      </c>
      <c r="J3357" s="46">
        <v>2</v>
      </c>
      <c r="L3357" s="46">
        <v>0</v>
      </c>
      <c r="M3357" s="46">
        <v>0</v>
      </c>
    </row>
    <row r="3358" spans="2:13" ht="14.1" customHeight="1" x14ac:dyDescent="0.25">
      <c r="B3358" s="46" t="str">
        <f t="shared" si="57"/>
        <v>2103-285-320994</v>
      </c>
      <c r="C3358" s="47">
        <v>44284</v>
      </c>
      <c r="D3358" s="46">
        <v>285</v>
      </c>
      <c r="E3358" s="46">
        <v>2</v>
      </c>
      <c r="F3358" s="46">
        <v>320994</v>
      </c>
      <c r="G3358" s="48" t="s">
        <v>2085</v>
      </c>
      <c r="H3358" s="47">
        <v>44293</v>
      </c>
      <c r="I3358" s="46">
        <v>52390</v>
      </c>
      <c r="J3358" s="46">
        <v>2</v>
      </c>
      <c r="L3358" s="46">
        <v>0</v>
      </c>
      <c r="M3358" s="46">
        <v>0</v>
      </c>
    </row>
    <row r="3359" spans="2:13" ht="14.1" customHeight="1" x14ac:dyDescent="0.25">
      <c r="B3359" s="46" t="str">
        <f t="shared" si="57"/>
        <v>2103-285-320997</v>
      </c>
      <c r="C3359" s="47">
        <v>44284</v>
      </c>
      <c r="D3359" s="46">
        <v>285</v>
      </c>
      <c r="E3359" s="46">
        <v>2</v>
      </c>
      <c r="F3359" s="46">
        <v>320997</v>
      </c>
      <c r="G3359" s="48" t="s">
        <v>2086</v>
      </c>
      <c r="H3359" s="47">
        <v>44293</v>
      </c>
      <c r="I3359" s="46">
        <v>52390</v>
      </c>
      <c r="J3359" s="46">
        <v>2</v>
      </c>
      <c r="L3359" s="46">
        <v>0</v>
      </c>
      <c r="M3359" s="46">
        <v>0</v>
      </c>
    </row>
    <row r="3360" spans="2:13" ht="14.1" customHeight="1" x14ac:dyDescent="0.25">
      <c r="B3360" s="46" t="str">
        <f t="shared" si="57"/>
        <v>2103-285-321007</v>
      </c>
      <c r="C3360" s="47">
        <v>44284</v>
      </c>
      <c r="D3360" s="46">
        <v>285</v>
      </c>
      <c r="E3360" s="46">
        <v>4</v>
      </c>
      <c r="F3360" s="46">
        <v>321007</v>
      </c>
      <c r="G3360" s="48" t="s">
        <v>2114</v>
      </c>
      <c r="H3360" s="47">
        <v>44293</v>
      </c>
      <c r="I3360" s="46">
        <v>52390</v>
      </c>
      <c r="J3360" s="46">
        <v>4</v>
      </c>
      <c r="L3360" s="46">
        <v>0</v>
      </c>
      <c r="M3360" s="46">
        <v>0</v>
      </c>
    </row>
    <row r="3361" spans="2:13" ht="14.1" customHeight="1" x14ac:dyDescent="0.25">
      <c r="B3361" s="46" t="str">
        <f t="shared" si="57"/>
        <v>2103-285-321011</v>
      </c>
      <c r="C3361" s="47">
        <v>44284</v>
      </c>
      <c r="D3361" s="46">
        <v>285</v>
      </c>
      <c r="E3361" s="46">
        <v>2</v>
      </c>
      <c r="F3361" s="46">
        <v>321011</v>
      </c>
      <c r="G3361" s="48" t="s">
        <v>2103</v>
      </c>
      <c r="H3361" s="47">
        <v>44293</v>
      </c>
      <c r="I3361" s="46">
        <v>52390</v>
      </c>
      <c r="J3361" s="46">
        <v>2</v>
      </c>
      <c r="L3361" s="46">
        <v>0</v>
      </c>
      <c r="M3361" s="46">
        <v>0</v>
      </c>
    </row>
    <row r="3362" spans="2:13" ht="14.1" customHeight="1" x14ac:dyDescent="0.25">
      <c r="B3362" s="46" t="str">
        <f t="shared" si="57"/>
        <v>2103-285-321014</v>
      </c>
      <c r="C3362" s="47">
        <v>44284</v>
      </c>
      <c r="D3362" s="46">
        <v>285</v>
      </c>
      <c r="E3362" s="46">
        <v>4</v>
      </c>
      <c r="F3362" s="46">
        <v>321014</v>
      </c>
      <c r="G3362" s="48" t="s">
        <v>2104</v>
      </c>
      <c r="H3362" s="47">
        <v>44293</v>
      </c>
      <c r="I3362" s="46">
        <v>52390</v>
      </c>
      <c r="J3362" s="46">
        <v>4</v>
      </c>
      <c r="L3362" s="46">
        <v>0</v>
      </c>
      <c r="M3362" s="46">
        <v>0</v>
      </c>
    </row>
    <row r="3363" spans="2:13" ht="14.1" customHeight="1" x14ac:dyDescent="0.25">
      <c r="B3363" s="46" t="str">
        <f t="shared" si="57"/>
        <v>2103-285-320992</v>
      </c>
      <c r="C3363" s="47">
        <v>44284</v>
      </c>
      <c r="D3363" s="46">
        <v>285</v>
      </c>
      <c r="E3363" s="46">
        <v>4</v>
      </c>
      <c r="F3363" s="46">
        <v>320992</v>
      </c>
      <c r="G3363" s="48" t="s">
        <v>2105</v>
      </c>
      <c r="H3363" s="47">
        <v>44293</v>
      </c>
      <c r="I3363" s="46">
        <v>52390</v>
      </c>
      <c r="J3363" s="46">
        <v>4</v>
      </c>
      <c r="L3363" s="46">
        <v>0</v>
      </c>
      <c r="M3363" s="46">
        <v>0</v>
      </c>
    </row>
    <row r="3364" spans="2:13" ht="14.1" customHeight="1" x14ac:dyDescent="0.25">
      <c r="B3364" s="46" t="str">
        <f t="shared" si="57"/>
        <v>2103-285-320996</v>
      </c>
      <c r="C3364" s="47">
        <v>44284</v>
      </c>
      <c r="D3364" s="46">
        <v>285</v>
      </c>
      <c r="E3364" s="46">
        <v>2</v>
      </c>
      <c r="F3364" s="46">
        <v>320996</v>
      </c>
      <c r="G3364" s="48" t="s">
        <v>2106</v>
      </c>
      <c r="H3364" s="47">
        <v>44293</v>
      </c>
      <c r="I3364" s="46">
        <v>52390</v>
      </c>
      <c r="J3364" s="46">
        <v>2</v>
      </c>
      <c r="L3364" s="46">
        <v>0</v>
      </c>
      <c r="M3364" s="46">
        <v>0</v>
      </c>
    </row>
    <row r="3365" spans="2:13" ht="14.1" customHeight="1" x14ac:dyDescent="0.25">
      <c r="B3365" s="46" t="str">
        <f t="shared" si="57"/>
        <v>2103-285-321001</v>
      </c>
      <c r="C3365" s="47">
        <v>44284</v>
      </c>
      <c r="D3365" s="46">
        <v>285</v>
      </c>
      <c r="E3365" s="46">
        <v>4</v>
      </c>
      <c r="F3365" s="46">
        <v>321001</v>
      </c>
      <c r="G3365" s="48" t="s">
        <v>2107</v>
      </c>
      <c r="H3365" s="47">
        <v>44293</v>
      </c>
      <c r="I3365" s="46">
        <v>52390</v>
      </c>
      <c r="J3365" s="46">
        <v>4</v>
      </c>
      <c r="L3365" s="46">
        <v>0</v>
      </c>
      <c r="M3365" s="46">
        <v>0</v>
      </c>
    </row>
    <row r="3366" spans="2:13" ht="14.1" customHeight="1" x14ac:dyDescent="0.25">
      <c r="B3366" s="46" t="str">
        <f t="shared" si="57"/>
        <v>2103-285-321002</v>
      </c>
      <c r="C3366" s="47">
        <v>44284</v>
      </c>
      <c r="D3366" s="46">
        <v>285</v>
      </c>
      <c r="E3366" s="46">
        <v>4</v>
      </c>
      <c r="F3366" s="46">
        <v>321002</v>
      </c>
      <c r="G3366" s="48" t="s">
        <v>2089</v>
      </c>
      <c r="H3366" s="47">
        <v>44293</v>
      </c>
      <c r="I3366" s="46">
        <v>52390</v>
      </c>
      <c r="J3366" s="46">
        <v>4</v>
      </c>
      <c r="L3366" s="46">
        <v>0</v>
      </c>
      <c r="M3366" s="46">
        <v>0</v>
      </c>
    </row>
    <row r="3367" spans="2:13" ht="14.1" customHeight="1" x14ac:dyDescent="0.25">
      <c r="B3367" s="46" t="str">
        <f t="shared" si="57"/>
        <v>2103-285-321005</v>
      </c>
      <c r="C3367" s="47">
        <v>44284</v>
      </c>
      <c r="D3367" s="46">
        <v>285</v>
      </c>
      <c r="E3367" s="46">
        <v>6</v>
      </c>
      <c r="F3367" s="46">
        <v>321005</v>
      </c>
      <c r="G3367" s="48" t="s">
        <v>2090</v>
      </c>
      <c r="I3367" s="46">
        <v>0</v>
      </c>
      <c r="J3367" s="46">
        <v>0</v>
      </c>
      <c r="L3367" s="46">
        <v>0</v>
      </c>
      <c r="M3367" s="46">
        <v>0</v>
      </c>
    </row>
    <row r="3368" spans="2:13" ht="14.1" customHeight="1" x14ac:dyDescent="0.25">
      <c r="B3368" s="46" t="str">
        <f t="shared" si="57"/>
        <v>2103-285-320985</v>
      </c>
      <c r="C3368" s="47">
        <v>44284</v>
      </c>
      <c r="D3368" s="46">
        <v>285</v>
      </c>
      <c r="E3368" s="46">
        <v>4</v>
      </c>
      <c r="F3368" s="46">
        <v>320985</v>
      </c>
      <c r="G3368" s="48" t="s">
        <v>2092</v>
      </c>
      <c r="H3368" s="47">
        <v>44293</v>
      </c>
      <c r="I3368" s="46">
        <v>52390</v>
      </c>
      <c r="J3368" s="46">
        <v>4</v>
      </c>
      <c r="L3368" s="46">
        <v>0</v>
      </c>
      <c r="M3368" s="46">
        <v>0</v>
      </c>
    </row>
    <row r="3369" spans="2:13" ht="14.1" customHeight="1" x14ac:dyDescent="0.25">
      <c r="B3369" s="46" t="str">
        <f t="shared" si="57"/>
        <v>2103-285-320989</v>
      </c>
      <c r="C3369" s="47">
        <v>44284</v>
      </c>
      <c r="D3369" s="46">
        <v>285</v>
      </c>
      <c r="E3369" s="46">
        <v>4</v>
      </c>
      <c r="F3369" s="46">
        <v>320989</v>
      </c>
      <c r="G3369" s="48" t="s">
        <v>2093</v>
      </c>
      <c r="H3369" s="47">
        <v>44293</v>
      </c>
      <c r="I3369" s="46">
        <v>52390</v>
      </c>
      <c r="J3369" s="46">
        <v>4</v>
      </c>
      <c r="L3369" s="46">
        <v>0</v>
      </c>
      <c r="M3369" s="46">
        <v>0</v>
      </c>
    </row>
    <row r="3370" spans="2:13" ht="14.1" customHeight="1" x14ac:dyDescent="0.25">
      <c r="B3370" s="46" t="str">
        <f t="shared" si="57"/>
        <v>2103-285-321008</v>
      </c>
      <c r="C3370" s="47">
        <v>44284</v>
      </c>
      <c r="D3370" s="46">
        <v>285</v>
      </c>
      <c r="E3370" s="46">
        <v>4</v>
      </c>
      <c r="F3370" s="46">
        <v>321008</v>
      </c>
      <c r="G3370" s="48" t="s">
        <v>2094</v>
      </c>
      <c r="H3370" s="47">
        <v>44293</v>
      </c>
      <c r="I3370" s="46">
        <v>52390</v>
      </c>
      <c r="J3370" s="46">
        <v>4</v>
      </c>
      <c r="L3370" s="46">
        <v>0</v>
      </c>
      <c r="M3370" s="46">
        <v>0</v>
      </c>
    </row>
    <row r="3371" spans="2:13" ht="14.1" customHeight="1" x14ac:dyDescent="0.25">
      <c r="B3371" s="46" t="str">
        <f t="shared" si="57"/>
        <v>2103-285-321009</v>
      </c>
      <c r="C3371" s="47">
        <v>44284</v>
      </c>
      <c r="D3371" s="46">
        <v>285</v>
      </c>
      <c r="E3371" s="46">
        <v>4</v>
      </c>
      <c r="F3371" s="46">
        <v>321009</v>
      </c>
      <c r="G3371" s="48" t="s">
        <v>2095</v>
      </c>
      <c r="H3371" s="47">
        <v>44293</v>
      </c>
      <c r="I3371" s="46">
        <v>52390</v>
      </c>
      <c r="J3371" s="46">
        <v>4</v>
      </c>
      <c r="L3371" s="46">
        <v>0</v>
      </c>
      <c r="M3371" s="46">
        <v>0</v>
      </c>
    </row>
    <row r="3372" spans="2:13" ht="14.1" customHeight="1" x14ac:dyDescent="0.25">
      <c r="B3372" s="46" t="str">
        <f t="shared" si="57"/>
        <v>2103-285-320983</v>
      </c>
      <c r="C3372" s="47">
        <v>44284</v>
      </c>
      <c r="D3372" s="46">
        <v>285</v>
      </c>
      <c r="E3372" s="46">
        <v>2</v>
      </c>
      <c r="F3372" s="46">
        <v>320983</v>
      </c>
      <c r="G3372" s="48" t="s">
        <v>2100</v>
      </c>
      <c r="H3372" s="47">
        <v>44293</v>
      </c>
      <c r="I3372" s="46">
        <v>52390</v>
      </c>
      <c r="J3372" s="46">
        <v>2</v>
      </c>
      <c r="L3372" s="46">
        <v>0</v>
      </c>
      <c r="M3372" s="46">
        <v>0</v>
      </c>
    </row>
    <row r="3373" spans="2:13" ht="14.1" customHeight="1" x14ac:dyDescent="0.25">
      <c r="B3373" s="46" t="str">
        <f t="shared" si="57"/>
        <v>2103-285-320982</v>
      </c>
      <c r="C3373" s="47">
        <v>44284</v>
      </c>
      <c r="D3373" s="46">
        <v>285</v>
      </c>
      <c r="E3373" s="46">
        <v>2</v>
      </c>
      <c r="F3373" s="46">
        <v>320982</v>
      </c>
      <c r="G3373" s="48" t="s">
        <v>2101</v>
      </c>
      <c r="I3373" s="46">
        <v>0</v>
      </c>
      <c r="J3373" s="46">
        <v>0</v>
      </c>
      <c r="L3373" s="46">
        <v>0</v>
      </c>
      <c r="M3373" s="46">
        <v>0</v>
      </c>
    </row>
    <row r="3374" spans="2:13" ht="14.1" customHeight="1" x14ac:dyDescent="0.25">
      <c r="B3374" s="46" t="str">
        <f t="shared" si="57"/>
        <v>2103-285-320986</v>
      </c>
      <c r="C3374" s="47">
        <v>44284</v>
      </c>
      <c r="D3374" s="46">
        <v>285</v>
      </c>
      <c r="E3374" s="46">
        <v>2</v>
      </c>
      <c r="F3374" s="46">
        <v>320986</v>
      </c>
      <c r="G3374" s="48" t="s">
        <v>2102</v>
      </c>
      <c r="H3374" s="47">
        <v>44293</v>
      </c>
      <c r="I3374" s="46">
        <v>52390</v>
      </c>
      <c r="J3374" s="46">
        <v>2</v>
      </c>
      <c r="L3374" s="46">
        <v>0</v>
      </c>
      <c r="M3374" s="46">
        <v>0</v>
      </c>
    </row>
    <row r="3375" spans="2:13" ht="14.1" customHeight="1" x14ac:dyDescent="0.25">
      <c r="B3375" s="46" t="str">
        <f t="shared" si="57"/>
        <v>2103-285-320990</v>
      </c>
      <c r="C3375" s="47">
        <v>44284</v>
      </c>
      <c r="D3375" s="46">
        <v>285</v>
      </c>
      <c r="E3375" s="46">
        <v>4</v>
      </c>
      <c r="F3375" s="46">
        <v>320990</v>
      </c>
      <c r="G3375" s="48" t="s">
        <v>2091</v>
      </c>
      <c r="H3375" s="47">
        <v>44293</v>
      </c>
      <c r="I3375" s="46">
        <v>52390</v>
      </c>
      <c r="J3375" s="46">
        <v>4</v>
      </c>
      <c r="L3375" s="46">
        <v>0</v>
      </c>
      <c r="M3375" s="46">
        <v>0</v>
      </c>
    </row>
    <row r="3376" spans="2:13" ht="14.1" customHeight="1" x14ac:dyDescent="0.25">
      <c r="B3376" s="46" t="str">
        <f t="shared" si="57"/>
        <v>2103-285-320988</v>
      </c>
      <c r="C3376" s="47">
        <v>44284</v>
      </c>
      <c r="D3376" s="46">
        <v>285</v>
      </c>
      <c r="E3376" s="46">
        <v>2</v>
      </c>
      <c r="F3376" s="46">
        <v>320988</v>
      </c>
      <c r="G3376" s="48" t="s">
        <v>2087</v>
      </c>
      <c r="H3376" s="47">
        <v>44293</v>
      </c>
      <c r="I3376" s="46">
        <v>52390</v>
      </c>
      <c r="J3376" s="46">
        <v>2</v>
      </c>
      <c r="L3376" s="46">
        <v>0</v>
      </c>
      <c r="M3376" s="46">
        <v>0</v>
      </c>
    </row>
    <row r="3377" spans="2:13" ht="14.1" customHeight="1" x14ac:dyDescent="0.25">
      <c r="B3377" s="46" t="str">
        <f t="shared" si="57"/>
        <v>2103-285-321000</v>
      </c>
      <c r="C3377" s="47">
        <v>44284</v>
      </c>
      <c r="D3377" s="46">
        <v>285</v>
      </c>
      <c r="E3377" s="46">
        <v>4</v>
      </c>
      <c r="F3377" s="46">
        <v>321000</v>
      </c>
      <c r="G3377" s="48" t="s">
        <v>2088</v>
      </c>
      <c r="H3377" s="47">
        <v>44293</v>
      </c>
      <c r="I3377" s="46">
        <v>52390</v>
      </c>
      <c r="J3377" s="46">
        <v>4</v>
      </c>
      <c r="L3377" s="46">
        <v>0</v>
      </c>
      <c r="M3377" s="46">
        <v>0</v>
      </c>
    </row>
    <row r="3378" spans="2:13" ht="14.1" customHeight="1" x14ac:dyDescent="0.25">
      <c r="B3378" s="46" t="str">
        <f t="shared" ref="B3378:B3441" si="58">TEXT(C3378,"yy") &amp; TEXT(C3378,"mm") &amp;"-"&amp;(D3378) &amp;"-"&amp;(F3378)</f>
        <v>2103-285-320987</v>
      </c>
      <c r="C3378" s="47">
        <v>44284</v>
      </c>
      <c r="D3378" s="46">
        <v>285</v>
      </c>
      <c r="E3378" s="46">
        <v>2</v>
      </c>
      <c r="F3378" s="46">
        <v>320987</v>
      </c>
      <c r="G3378" s="50" t="s">
        <v>2080</v>
      </c>
      <c r="H3378" s="47">
        <v>44293</v>
      </c>
      <c r="I3378" s="46">
        <v>52390</v>
      </c>
      <c r="J3378" s="46">
        <v>2</v>
      </c>
      <c r="L3378" s="46">
        <v>0</v>
      </c>
      <c r="M3378" s="46">
        <v>0</v>
      </c>
    </row>
    <row r="3379" spans="2:13" ht="14.1" customHeight="1" x14ac:dyDescent="0.25">
      <c r="B3379" s="46" t="str">
        <f t="shared" si="58"/>
        <v>2103-285-321003</v>
      </c>
      <c r="C3379" s="47">
        <v>44284</v>
      </c>
      <c r="D3379" s="46">
        <v>285</v>
      </c>
      <c r="E3379" s="46">
        <v>16</v>
      </c>
      <c r="F3379" s="46">
        <v>321003</v>
      </c>
      <c r="G3379" s="48" t="s">
        <v>2081</v>
      </c>
      <c r="H3379" s="47">
        <v>44293</v>
      </c>
      <c r="I3379" s="46">
        <v>52390</v>
      </c>
      <c r="J3379" s="46">
        <v>16</v>
      </c>
      <c r="L3379" s="46">
        <v>0</v>
      </c>
      <c r="M3379" s="46">
        <v>0</v>
      </c>
    </row>
    <row r="3380" spans="2:13" ht="14.1" customHeight="1" x14ac:dyDescent="0.25">
      <c r="B3380" s="46" t="str">
        <f t="shared" si="58"/>
        <v>2103-285-321010</v>
      </c>
      <c r="C3380" s="47">
        <v>44284</v>
      </c>
      <c r="D3380" s="46">
        <v>285</v>
      </c>
      <c r="E3380" s="46">
        <v>4</v>
      </c>
      <c r="F3380" s="46">
        <v>321010</v>
      </c>
      <c r="G3380" s="48" t="s">
        <v>2082</v>
      </c>
      <c r="H3380" s="47">
        <v>44293</v>
      </c>
      <c r="I3380" s="46">
        <v>52390</v>
      </c>
      <c r="J3380" s="46">
        <v>4</v>
      </c>
      <c r="L3380" s="46">
        <v>0</v>
      </c>
      <c r="M3380" s="46">
        <v>0</v>
      </c>
    </row>
    <row r="3381" spans="2:13" ht="14.1" customHeight="1" x14ac:dyDescent="0.25">
      <c r="B3381" s="46" t="str">
        <f t="shared" si="58"/>
        <v>2103-285-321012</v>
      </c>
      <c r="C3381" s="47">
        <v>44284</v>
      </c>
      <c r="D3381" s="46">
        <v>285</v>
      </c>
      <c r="E3381" s="46">
        <v>2</v>
      </c>
      <c r="F3381" s="46">
        <v>321012</v>
      </c>
      <c r="G3381" s="48" t="s">
        <v>2083</v>
      </c>
      <c r="H3381" s="47">
        <v>44293</v>
      </c>
      <c r="I3381" s="46">
        <v>52390</v>
      </c>
      <c r="J3381" s="46">
        <v>2</v>
      </c>
      <c r="L3381" s="46">
        <v>0</v>
      </c>
      <c r="M3381" s="46">
        <v>0</v>
      </c>
    </row>
    <row r="3382" spans="2:13" ht="14.1" customHeight="1" x14ac:dyDescent="0.25">
      <c r="B3382" s="46" t="str">
        <f t="shared" si="58"/>
        <v>2103-285-321015</v>
      </c>
      <c r="C3382" s="47">
        <v>44284</v>
      </c>
      <c r="D3382" s="46">
        <v>285</v>
      </c>
      <c r="E3382" s="46">
        <v>4</v>
      </c>
      <c r="F3382" s="46">
        <v>321015</v>
      </c>
      <c r="G3382" s="48" t="s">
        <v>2084</v>
      </c>
      <c r="H3382" s="47">
        <v>44293</v>
      </c>
      <c r="I3382" s="46">
        <v>52390</v>
      </c>
      <c r="J3382" s="46">
        <v>4</v>
      </c>
      <c r="L3382" s="46">
        <v>0</v>
      </c>
      <c r="M3382" s="46">
        <v>0</v>
      </c>
    </row>
    <row r="3383" spans="2:13" ht="14.1" customHeight="1" x14ac:dyDescent="0.25">
      <c r="B3383" s="46" t="str">
        <f t="shared" si="58"/>
        <v>2103-285-319579</v>
      </c>
      <c r="C3383" s="47">
        <v>44284</v>
      </c>
      <c r="D3383" s="46">
        <v>285</v>
      </c>
      <c r="E3383" s="46">
        <v>2</v>
      </c>
      <c r="F3383" s="46">
        <v>319579</v>
      </c>
      <c r="G3383" s="48" t="s">
        <v>2099</v>
      </c>
      <c r="H3383" s="47">
        <v>44293</v>
      </c>
      <c r="I3383" s="46">
        <v>52390</v>
      </c>
      <c r="J3383" s="46">
        <v>2</v>
      </c>
      <c r="L3383" s="46">
        <v>0</v>
      </c>
      <c r="M3383" s="46">
        <v>0</v>
      </c>
    </row>
    <row r="3384" spans="2:13" ht="14.1" customHeight="1" x14ac:dyDescent="0.25">
      <c r="B3384" s="46" t="str">
        <f t="shared" si="58"/>
        <v>2103-286-200318</v>
      </c>
      <c r="C3384" s="47">
        <v>44284</v>
      </c>
      <c r="D3384" s="46">
        <v>286</v>
      </c>
      <c r="E3384" s="46">
        <v>10</v>
      </c>
      <c r="F3384" s="46">
        <v>200318</v>
      </c>
      <c r="G3384" s="48" t="s">
        <v>112</v>
      </c>
      <c r="I3384" s="46">
        <v>0</v>
      </c>
      <c r="J3384" s="46">
        <v>0</v>
      </c>
      <c r="L3384" s="46">
        <v>0</v>
      </c>
      <c r="M3384" s="46">
        <v>0</v>
      </c>
    </row>
    <row r="3385" spans="2:13" ht="14.1" customHeight="1" x14ac:dyDescent="0.25">
      <c r="B3385" s="46" t="str">
        <f t="shared" si="58"/>
        <v>2103-286-200864</v>
      </c>
      <c r="C3385" s="47">
        <v>44284</v>
      </c>
      <c r="D3385" s="46">
        <v>286</v>
      </c>
      <c r="E3385" s="46">
        <v>10</v>
      </c>
      <c r="F3385" s="46">
        <v>200864</v>
      </c>
      <c r="G3385" s="48" t="s">
        <v>299</v>
      </c>
      <c r="I3385" s="46">
        <v>0</v>
      </c>
      <c r="J3385" s="46">
        <v>0</v>
      </c>
      <c r="L3385" s="46">
        <v>0</v>
      </c>
      <c r="M3385" s="46">
        <v>0</v>
      </c>
    </row>
    <row r="3386" spans="2:13" ht="14.1" customHeight="1" x14ac:dyDescent="0.25">
      <c r="B3386" s="46" t="str">
        <f t="shared" si="58"/>
        <v>2103-286-200154</v>
      </c>
      <c r="C3386" s="47">
        <v>44284</v>
      </c>
      <c r="D3386" s="46">
        <v>286</v>
      </c>
      <c r="E3386" s="46">
        <v>30</v>
      </c>
      <c r="F3386" s="46">
        <v>200154</v>
      </c>
      <c r="G3386" s="48" t="s">
        <v>98</v>
      </c>
      <c r="I3386" s="46">
        <v>0</v>
      </c>
      <c r="J3386" s="46">
        <v>0</v>
      </c>
      <c r="L3386" s="46">
        <v>0</v>
      </c>
      <c r="M3386" s="46">
        <v>0</v>
      </c>
    </row>
    <row r="3387" spans="2:13" ht="14.1" customHeight="1" x14ac:dyDescent="0.25">
      <c r="B3387" s="46" t="str">
        <f t="shared" si="58"/>
        <v>2103-286-200226</v>
      </c>
      <c r="C3387" s="47">
        <v>44284</v>
      </c>
      <c r="D3387" s="46">
        <v>286</v>
      </c>
      <c r="E3387" s="46">
        <v>100</v>
      </c>
      <c r="F3387" s="46">
        <v>200226</v>
      </c>
      <c r="G3387" s="48" t="s">
        <v>137</v>
      </c>
      <c r="I3387" s="46">
        <v>0</v>
      </c>
      <c r="J3387" s="46">
        <v>0</v>
      </c>
      <c r="L3387" s="46">
        <v>0</v>
      </c>
      <c r="M3387" s="46">
        <v>0</v>
      </c>
    </row>
    <row r="3388" spans="2:13" ht="14.1" customHeight="1" x14ac:dyDescent="0.25">
      <c r="B3388" s="46" t="str">
        <f t="shared" si="58"/>
        <v>2103-286-201003</v>
      </c>
      <c r="C3388" s="47">
        <v>44284</v>
      </c>
      <c r="D3388" s="46">
        <v>286</v>
      </c>
      <c r="E3388" s="46">
        <v>25</v>
      </c>
      <c r="F3388" s="46">
        <v>201003</v>
      </c>
      <c r="G3388" s="48" t="s">
        <v>110</v>
      </c>
      <c r="I3388" s="46">
        <v>0</v>
      </c>
      <c r="J3388" s="46">
        <v>0</v>
      </c>
      <c r="L3388" s="46">
        <v>0</v>
      </c>
      <c r="M3388" s="46">
        <v>0</v>
      </c>
    </row>
    <row r="3389" spans="2:13" ht="14.1" customHeight="1" x14ac:dyDescent="0.25">
      <c r="B3389" s="46" t="str">
        <f t="shared" si="58"/>
        <v>2103-286-200158</v>
      </c>
      <c r="C3389" s="47">
        <v>44284</v>
      </c>
      <c r="D3389" s="46">
        <v>286</v>
      </c>
      <c r="E3389" s="46">
        <v>15</v>
      </c>
      <c r="F3389" s="46">
        <v>200158</v>
      </c>
      <c r="G3389" s="48" t="s">
        <v>2124</v>
      </c>
      <c r="I3389" s="46">
        <v>0</v>
      </c>
      <c r="J3389" s="46">
        <v>0</v>
      </c>
      <c r="L3389" s="46">
        <v>0</v>
      </c>
      <c r="M3389" s="46">
        <v>0</v>
      </c>
    </row>
    <row r="3390" spans="2:13" ht="14.1" customHeight="1" x14ac:dyDescent="0.25">
      <c r="B3390" s="46" t="str">
        <f t="shared" si="58"/>
        <v>2103-286-205175</v>
      </c>
      <c r="C3390" s="47">
        <v>44284</v>
      </c>
      <c r="D3390" s="46">
        <v>286</v>
      </c>
      <c r="E3390" s="46">
        <v>40</v>
      </c>
      <c r="F3390" s="46">
        <v>205175</v>
      </c>
      <c r="G3390" s="48" t="s">
        <v>208</v>
      </c>
      <c r="I3390" s="46">
        <v>0</v>
      </c>
      <c r="J3390" s="46">
        <v>0</v>
      </c>
      <c r="L3390" s="46">
        <v>0</v>
      </c>
      <c r="M3390" s="46">
        <v>0</v>
      </c>
    </row>
    <row r="3391" spans="2:13" ht="14.1" customHeight="1" x14ac:dyDescent="0.25">
      <c r="B3391" s="46" t="str">
        <f t="shared" si="58"/>
        <v>2103-286-204542</v>
      </c>
      <c r="C3391" s="47">
        <v>44284</v>
      </c>
      <c r="D3391" s="46">
        <v>286</v>
      </c>
      <c r="E3391" s="46">
        <v>25</v>
      </c>
      <c r="F3391" s="46">
        <v>204542</v>
      </c>
      <c r="G3391" s="48" t="s">
        <v>148</v>
      </c>
      <c r="I3391" s="46">
        <v>0</v>
      </c>
      <c r="J3391" s="46">
        <v>0</v>
      </c>
      <c r="L3391" s="46">
        <v>0</v>
      </c>
      <c r="M3391" s="46">
        <v>0</v>
      </c>
    </row>
    <row r="3392" spans="2:13" ht="14.1" customHeight="1" x14ac:dyDescent="0.25">
      <c r="B3392" s="46" t="str">
        <f t="shared" si="58"/>
        <v>2103-286-303337</v>
      </c>
      <c r="C3392" s="47">
        <v>44284</v>
      </c>
      <c r="D3392" s="46">
        <v>286</v>
      </c>
      <c r="E3392" s="46">
        <v>40</v>
      </c>
      <c r="F3392" s="46">
        <v>303337</v>
      </c>
      <c r="G3392" s="48" t="s">
        <v>209</v>
      </c>
      <c r="I3392" s="46">
        <v>0</v>
      </c>
      <c r="J3392" s="46">
        <v>0</v>
      </c>
      <c r="L3392" s="46">
        <v>0</v>
      </c>
      <c r="M3392" s="46">
        <v>0</v>
      </c>
    </row>
    <row r="3393" spans="2:13" ht="14.1" customHeight="1" x14ac:dyDescent="0.25">
      <c r="B3393" s="46" t="str">
        <f t="shared" si="58"/>
        <v>2103-286-203683</v>
      </c>
      <c r="C3393" s="47">
        <v>44284</v>
      </c>
      <c r="D3393" s="46">
        <v>286</v>
      </c>
      <c r="E3393" s="46">
        <v>6</v>
      </c>
      <c r="F3393" s="46">
        <v>203683</v>
      </c>
      <c r="G3393" s="48" t="s">
        <v>179</v>
      </c>
      <c r="I3393" s="46">
        <v>0</v>
      </c>
      <c r="J3393" s="46">
        <v>0</v>
      </c>
      <c r="L3393" s="46">
        <v>0</v>
      </c>
      <c r="M3393" s="46">
        <v>0</v>
      </c>
    </row>
    <row r="3394" spans="2:13" ht="14.1" customHeight="1" x14ac:dyDescent="0.25">
      <c r="B3394" s="46" t="str">
        <f t="shared" si="58"/>
        <v>2103-286-107441</v>
      </c>
      <c r="C3394" s="47">
        <v>44284</v>
      </c>
      <c r="D3394" s="46">
        <v>286</v>
      </c>
      <c r="E3394" s="46">
        <v>40</v>
      </c>
      <c r="F3394" s="46">
        <v>107441</v>
      </c>
      <c r="G3394" s="48" t="s">
        <v>232</v>
      </c>
      <c r="I3394" s="46">
        <v>0</v>
      </c>
      <c r="J3394" s="46">
        <v>0</v>
      </c>
      <c r="L3394" s="46">
        <v>0</v>
      </c>
      <c r="M3394" s="46">
        <v>0</v>
      </c>
    </row>
    <row r="3395" spans="2:13" ht="14.1" customHeight="1" x14ac:dyDescent="0.25">
      <c r="B3395" s="46" t="str">
        <f t="shared" si="58"/>
        <v>2103-287-105734</v>
      </c>
      <c r="C3395" s="47">
        <v>44284</v>
      </c>
      <c r="D3395" s="46">
        <v>287</v>
      </c>
      <c r="E3395" s="46">
        <v>6</v>
      </c>
      <c r="F3395" s="46">
        <v>105734</v>
      </c>
      <c r="G3395" s="48" t="s">
        <v>2125</v>
      </c>
      <c r="I3395" s="46">
        <v>0</v>
      </c>
      <c r="J3395" s="46">
        <v>0</v>
      </c>
      <c r="L3395" s="46">
        <v>0</v>
      </c>
      <c r="M3395" s="46">
        <v>0</v>
      </c>
    </row>
    <row r="3396" spans="2:13" ht="14.1" customHeight="1" x14ac:dyDescent="0.25">
      <c r="B3396" s="46" t="str">
        <f t="shared" si="58"/>
        <v>2103-287-203676</v>
      </c>
      <c r="C3396" s="47">
        <v>44284</v>
      </c>
      <c r="D3396" s="46">
        <v>287</v>
      </c>
      <c r="E3396" s="46">
        <v>4</v>
      </c>
      <c r="F3396" s="46">
        <v>203676</v>
      </c>
      <c r="G3396" s="48" t="s">
        <v>1492</v>
      </c>
      <c r="I3396" s="46">
        <v>0</v>
      </c>
      <c r="J3396" s="46">
        <v>0</v>
      </c>
      <c r="L3396" s="46">
        <v>0</v>
      </c>
      <c r="M3396" s="46">
        <v>0</v>
      </c>
    </row>
    <row r="3397" spans="2:13" ht="14.1" customHeight="1" x14ac:dyDescent="0.25">
      <c r="B3397" s="46" t="str">
        <f t="shared" si="58"/>
        <v>2103-288-319608</v>
      </c>
      <c r="C3397" s="47">
        <v>44284</v>
      </c>
      <c r="D3397" s="46">
        <v>288</v>
      </c>
      <c r="E3397" s="46">
        <v>100</v>
      </c>
      <c r="F3397" s="46">
        <v>319608</v>
      </c>
      <c r="G3397" s="48" t="s">
        <v>230</v>
      </c>
      <c r="H3397" s="47">
        <v>44292</v>
      </c>
      <c r="I3397" s="46">
        <v>52370</v>
      </c>
      <c r="J3397" s="46">
        <v>100</v>
      </c>
      <c r="K3397" s="47">
        <v>44295</v>
      </c>
      <c r="L3397" s="46">
        <v>11769</v>
      </c>
      <c r="M3397" s="46">
        <v>100</v>
      </c>
    </row>
    <row r="3398" spans="2:13" ht="14.1" customHeight="1" x14ac:dyDescent="0.25">
      <c r="B3398" s="46" t="str">
        <f t="shared" si="58"/>
        <v>2103-288-320725</v>
      </c>
      <c r="C3398" s="47">
        <v>44284</v>
      </c>
      <c r="D3398" s="46">
        <v>288</v>
      </c>
      <c r="E3398" s="46">
        <v>30</v>
      </c>
      <c r="F3398" s="46">
        <v>320725</v>
      </c>
      <c r="G3398" s="48" t="s">
        <v>2115</v>
      </c>
      <c r="H3398" s="47">
        <v>44292</v>
      </c>
      <c r="I3398" s="46">
        <v>52370</v>
      </c>
      <c r="J3398" s="46">
        <v>30</v>
      </c>
      <c r="K3398" s="47">
        <v>44295</v>
      </c>
      <c r="L3398" s="46">
        <v>11769</v>
      </c>
      <c r="M3398" s="46">
        <v>30</v>
      </c>
    </row>
    <row r="3399" spans="2:13" ht="14.1" customHeight="1" x14ac:dyDescent="0.25">
      <c r="B3399" s="46" t="str">
        <f t="shared" si="58"/>
        <v>2103-292-307261</v>
      </c>
      <c r="C3399" s="47">
        <v>44285</v>
      </c>
      <c r="D3399" s="46">
        <v>292</v>
      </c>
      <c r="E3399" s="46">
        <v>1</v>
      </c>
      <c r="F3399" s="46">
        <v>307261</v>
      </c>
      <c r="G3399" s="48" t="s">
        <v>2116</v>
      </c>
      <c r="I3399" s="46">
        <v>0</v>
      </c>
      <c r="J3399" s="46">
        <v>0</v>
      </c>
      <c r="L3399" s="46">
        <v>0</v>
      </c>
      <c r="M3399" s="46">
        <v>0</v>
      </c>
    </row>
    <row r="3400" spans="2:13" ht="14.1" customHeight="1" x14ac:dyDescent="0.25">
      <c r="B3400" s="46" t="str">
        <f t="shared" si="58"/>
        <v>2103-292-309247</v>
      </c>
      <c r="C3400" s="47">
        <v>44285</v>
      </c>
      <c r="D3400" s="46">
        <v>292</v>
      </c>
      <c r="E3400" s="46">
        <v>1</v>
      </c>
      <c r="F3400" s="46">
        <v>309247</v>
      </c>
      <c r="G3400" s="48" t="s">
        <v>2117</v>
      </c>
      <c r="I3400" s="46">
        <v>0</v>
      </c>
      <c r="J3400" s="46">
        <v>0</v>
      </c>
      <c r="L3400" s="46">
        <v>0</v>
      </c>
      <c r="M3400" s="46">
        <v>0</v>
      </c>
    </row>
    <row r="3401" spans="2:13" ht="14.1" customHeight="1" x14ac:dyDescent="0.25">
      <c r="B3401" s="46" t="str">
        <f t="shared" si="58"/>
        <v>2103-294-206626</v>
      </c>
      <c r="C3401" s="47">
        <v>44285</v>
      </c>
      <c r="D3401" s="46">
        <v>294</v>
      </c>
      <c r="E3401" s="46">
        <v>1.5</v>
      </c>
      <c r="F3401" s="46">
        <v>206626</v>
      </c>
      <c r="G3401" s="48" t="s">
        <v>82</v>
      </c>
      <c r="I3401" s="46">
        <v>0</v>
      </c>
      <c r="J3401" s="46">
        <v>0</v>
      </c>
      <c r="L3401" s="46">
        <v>0</v>
      </c>
      <c r="M3401" s="46">
        <v>0</v>
      </c>
    </row>
    <row r="3402" spans="2:13" ht="14.1" customHeight="1" x14ac:dyDescent="0.25">
      <c r="B3402" s="46" t="str">
        <f t="shared" si="58"/>
        <v>2103-294-321020</v>
      </c>
      <c r="C3402" s="47">
        <v>44285</v>
      </c>
      <c r="D3402" s="46">
        <v>294</v>
      </c>
      <c r="E3402" s="46">
        <v>0.2</v>
      </c>
      <c r="F3402" s="46">
        <v>321020</v>
      </c>
      <c r="G3402" s="48" t="s">
        <v>2126</v>
      </c>
      <c r="I3402" s="46">
        <v>0</v>
      </c>
      <c r="J3402" s="46">
        <v>0</v>
      </c>
      <c r="L3402" s="46">
        <v>0</v>
      </c>
      <c r="M3402" s="46">
        <v>0</v>
      </c>
    </row>
    <row r="3403" spans="2:13" ht="14.1" customHeight="1" x14ac:dyDescent="0.25">
      <c r="B3403" s="46" t="str">
        <f t="shared" si="58"/>
        <v>2103-294-318858</v>
      </c>
      <c r="C3403" s="47">
        <v>44285</v>
      </c>
      <c r="D3403" s="46">
        <v>294</v>
      </c>
      <c r="E3403" s="46">
        <v>2</v>
      </c>
      <c r="F3403" s="46">
        <v>318858</v>
      </c>
      <c r="G3403" s="48" t="s">
        <v>2118</v>
      </c>
      <c r="I3403" s="46">
        <v>0</v>
      </c>
      <c r="J3403" s="46">
        <v>0</v>
      </c>
      <c r="L3403" s="46">
        <v>0</v>
      </c>
      <c r="M3403" s="46">
        <v>0</v>
      </c>
    </row>
    <row r="3404" spans="2:13" ht="14.1" customHeight="1" x14ac:dyDescent="0.25">
      <c r="B3404" s="46" t="str">
        <f t="shared" si="58"/>
        <v>2103-294-315842</v>
      </c>
      <c r="C3404" s="47">
        <v>44285</v>
      </c>
      <c r="D3404" s="46">
        <v>294</v>
      </c>
      <c r="E3404" s="46">
        <v>4</v>
      </c>
      <c r="F3404" s="46">
        <v>315842</v>
      </c>
      <c r="G3404" s="48" t="s">
        <v>991</v>
      </c>
      <c r="I3404" s="46">
        <v>0</v>
      </c>
      <c r="J3404" s="46">
        <v>0</v>
      </c>
      <c r="L3404" s="46">
        <v>0</v>
      </c>
      <c r="M3404" s="46">
        <v>0</v>
      </c>
    </row>
    <row r="3405" spans="2:13" ht="14.1" customHeight="1" x14ac:dyDescent="0.25">
      <c r="B3405" s="46" t="str">
        <f t="shared" si="58"/>
        <v>2103-295-203124</v>
      </c>
      <c r="C3405" s="47">
        <v>44285</v>
      </c>
      <c r="D3405" s="46">
        <v>295</v>
      </c>
      <c r="E3405" s="46">
        <v>20</v>
      </c>
      <c r="F3405" s="46">
        <v>203124</v>
      </c>
      <c r="G3405" s="48" t="s">
        <v>2216</v>
      </c>
      <c r="I3405" s="46">
        <v>0</v>
      </c>
      <c r="J3405" s="46">
        <v>0</v>
      </c>
      <c r="L3405" s="46">
        <v>0</v>
      </c>
      <c r="M3405" s="46">
        <v>0</v>
      </c>
    </row>
    <row r="3406" spans="2:13" ht="14.1" customHeight="1" x14ac:dyDescent="0.25">
      <c r="B3406" s="46" t="str">
        <f t="shared" si="58"/>
        <v>2103-295-105717</v>
      </c>
      <c r="C3406" s="47">
        <v>44285</v>
      </c>
      <c r="D3406" s="46">
        <v>295</v>
      </c>
      <c r="E3406" s="46">
        <v>1</v>
      </c>
      <c r="F3406" s="46">
        <v>105717</v>
      </c>
      <c r="G3406" s="48" t="s">
        <v>1673</v>
      </c>
      <c r="I3406" s="46">
        <v>0</v>
      </c>
      <c r="J3406" s="46">
        <v>0</v>
      </c>
      <c r="L3406" s="46">
        <v>0</v>
      </c>
      <c r="M3406" s="46">
        <v>0</v>
      </c>
    </row>
    <row r="3407" spans="2:13" ht="14.1" customHeight="1" x14ac:dyDescent="0.25">
      <c r="B3407" s="46" t="str">
        <f t="shared" si="58"/>
        <v>2103-295-204667</v>
      </c>
      <c r="C3407" s="47">
        <v>44285</v>
      </c>
      <c r="D3407" s="46">
        <v>295</v>
      </c>
      <c r="E3407" s="46">
        <v>12</v>
      </c>
      <c r="F3407" s="46">
        <v>204667</v>
      </c>
      <c r="G3407" s="48" t="s">
        <v>2120</v>
      </c>
      <c r="I3407" s="46">
        <v>0</v>
      </c>
      <c r="J3407" s="46">
        <v>0</v>
      </c>
      <c r="L3407" s="46">
        <v>0</v>
      </c>
      <c r="M3407" s="46">
        <v>0</v>
      </c>
    </row>
    <row r="3408" spans="2:13" ht="14.1" customHeight="1" x14ac:dyDescent="0.25">
      <c r="B3408" s="46" t="str">
        <f t="shared" si="58"/>
        <v>2103-295-301684</v>
      </c>
      <c r="C3408" s="47">
        <v>44285</v>
      </c>
      <c r="D3408" s="46">
        <v>295</v>
      </c>
      <c r="E3408" s="46">
        <v>2</v>
      </c>
      <c r="F3408" s="46">
        <v>301684</v>
      </c>
      <c r="G3408" s="48" t="s">
        <v>2119</v>
      </c>
      <c r="I3408" s="46">
        <v>0</v>
      </c>
      <c r="J3408" s="46">
        <v>0</v>
      </c>
      <c r="L3408" s="46">
        <v>0</v>
      </c>
      <c r="M3408" s="46">
        <v>0</v>
      </c>
    </row>
    <row r="3409" spans="2:13" ht="14.1" customHeight="1" x14ac:dyDescent="0.25">
      <c r="B3409" s="46" t="str">
        <f t="shared" si="58"/>
        <v>2103-296-103877</v>
      </c>
      <c r="C3409" s="47">
        <v>44285</v>
      </c>
      <c r="D3409" s="46">
        <v>296</v>
      </c>
      <c r="E3409" s="46">
        <v>48</v>
      </c>
      <c r="F3409" s="46">
        <v>103877</v>
      </c>
      <c r="G3409" s="48" t="s">
        <v>425</v>
      </c>
      <c r="I3409" s="46">
        <v>0</v>
      </c>
      <c r="J3409" s="46">
        <v>0</v>
      </c>
      <c r="L3409" s="46">
        <v>0</v>
      </c>
      <c r="M3409" s="46">
        <v>0</v>
      </c>
    </row>
    <row r="3410" spans="2:13" ht="14.1" customHeight="1" x14ac:dyDescent="0.25">
      <c r="B3410" s="46" t="str">
        <f t="shared" si="58"/>
        <v>2103-296-206678</v>
      </c>
      <c r="C3410" s="47">
        <v>44285</v>
      </c>
      <c r="D3410" s="46">
        <v>296</v>
      </c>
      <c r="E3410" s="46">
        <v>2</v>
      </c>
      <c r="F3410" s="46">
        <v>206678</v>
      </c>
      <c r="G3410" s="48" t="s">
        <v>2121</v>
      </c>
      <c r="I3410" s="46">
        <v>0</v>
      </c>
      <c r="J3410" s="46">
        <v>0</v>
      </c>
      <c r="L3410" s="46">
        <v>0</v>
      </c>
      <c r="M3410" s="46">
        <v>0</v>
      </c>
    </row>
    <row r="3411" spans="2:13" ht="14.1" customHeight="1" x14ac:dyDescent="0.25">
      <c r="B3411" s="46" t="str">
        <f t="shared" si="58"/>
        <v>2103-296-309954</v>
      </c>
      <c r="C3411" s="47">
        <v>44285</v>
      </c>
      <c r="D3411" s="46">
        <v>296</v>
      </c>
      <c r="E3411" s="46">
        <v>14</v>
      </c>
      <c r="F3411" s="46">
        <v>309954</v>
      </c>
      <c r="G3411" s="48" t="s">
        <v>2123</v>
      </c>
      <c r="I3411" s="46">
        <v>0</v>
      </c>
      <c r="J3411" s="46">
        <v>0</v>
      </c>
      <c r="L3411" s="46">
        <v>0</v>
      </c>
      <c r="M3411" s="46">
        <v>0</v>
      </c>
    </row>
    <row r="3412" spans="2:13" ht="14.1" customHeight="1" x14ac:dyDescent="0.25">
      <c r="B3412" s="46" t="str">
        <f t="shared" si="58"/>
        <v>2103-296-205952</v>
      </c>
      <c r="C3412" s="47">
        <v>44285</v>
      </c>
      <c r="D3412" s="46">
        <v>296</v>
      </c>
      <c r="E3412" s="46">
        <v>4</v>
      </c>
      <c r="F3412" s="46">
        <v>205952</v>
      </c>
      <c r="G3412" s="48" t="s">
        <v>256</v>
      </c>
      <c r="I3412" s="46">
        <v>0</v>
      </c>
      <c r="J3412" s="46">
        <v>0</v>
      </c>
      <c r="L3412" s="46">
        <v>0</v>
      </c>
      <c r="M3412" s="46">
        <v>0</v>
      </c>
    </row>
    <row r="3413" spans="2:13" ht="14.1" customHeight="1" x14ac:dyDescent="0.25">
      <c r="B3413" s="46" t="str">
        <f t="shared" si="58"/>
        <v>2103-296-203426</v>
      </c>
      <c r="C3413" s="47">
        <v>44285</v>
      </c>
      <c r="D3413" s="46">
        <v>296</v>
      </c>
      <c r="E3413" s="46">
        <v>1</v>
      </c>
      <c r="F3413" s="46">
        <v>203426</v>
      </c>
      <c r="G3413" s="48" t="s">
        <v>2122</v>
      </c>
      <c r="I3413" s="46">
        <v>0</v>
      </c>
      <c r="J3413" s="46">
        <v>0</v>
      </c>
      <c r="L3413" s="46">
        <v>0</v>
      </c>
      <c r="M3413" s="46">
        <v>0</v>
      </c>
    </row>
    <row r="3414" spans="2:13" ht="14.1" customHeight="1" x14ac:dyDescent="0.25">
      <c r="B3414" s="46" t="str">
        <f t="shared" si="58"/>
        <v>2103-297-318077</v>
      </c>
      <c r="C3414" s="47">
        <v>44285</v>
      </c>
      <c r="D3414" s="46">
        <v>297</v>
      </c>
      <c r="E3414" s="46">
        <v>3</v>
      </c>
      <c r="F3414" s="46">
        <v>318077</v>
      </c>
      <c r="G3414" s="48" t="s">
        <v>287</v>
      </c>
      <c r="I3414" s="46">
        <v>0</v>
      </c>
      <c r="J3414" s="46">
        <v>0</v>
      </c>
      <c r="L3414" s="46">
        <v>0</v>
      </c>
      <c r="M3414" s="46">
        <v>0</v>
      </c>
    </row>
    <row r="3415" spans="2:13" ht="14.1" customHeight="1" x14ac:dyDescent="0.25">
      <c r="B3415" s="46" t="str">
        <f t="shared" si="58"/>
        <v>2103-297-107024</v>
      </c>
      <c r="C3415" s="47">
        <v>44285</v>
      </c>
      <c r="D3415" s="46">
        <v>297</v>
      </c>
      <c r="E3415" s="46">
        <v>3</v>
      </c>
      <c r="F3415" s="46">
        <v>107024</v>
      </c>
      <c r="G3415" s="48" t="s">
        <v>2127</v>
      </c>
      <c r="I3415" s="46">
        <v>0</v>
      </c>
      <c r="J3415" s="46">
        <v>0</v>
      </c>
      <c r="L3415" s="46">
        <v>0</v>
      </c>
      <c r="M3415" s="46">
        <v>0</v>
      </c>
    </row>
    <row r="3416" spans="2:13" ht="14.1" customHeight="1" x14ac:dyDescent="0.25">
      <c r="B3416" s="46" t="str">
        <f t="shared" si="58"/>
        <v>2103-298-308490</v>
      </c>
      <c r="C3416" s="47">
        <v>44285</v>
      </c>
      <c r="D3416" s="46">
        <v>298</v>
      </c>
      <c r="E3416" s="46">
        <v>2</v>
      </c>
      <c r="F3416" s="46">
        <v>308490</v>
      </c>
      <c r="G3416" s="48" t="s">
        <v>2130</v>
      </c>
      <c r="H3416" s="47">
        <v>44285</v>
      </c>
      <c r="I3416" s="46">
        <v>52314</v>
      </c>
      <c r="J3416" s="46">
        <v>2</v>
      </c>
      <c r="K3416" s="47">
        <v>44285</v>
      </c>
      <c r="L3416" s="46">
        <v>11683</v>
      </c>
      <c r="M3416" s="46">
        <v>2</v>
      </c>
    </row>
    <row r="3417" spans="2:13" ht="14.1" customHeight="1" x14ac:dyDescent="0.25">
      <c r="B3417" s="46" t="str">
        <f t="shared" si="58"/>
        <v>2103-298-106600</v>
      </c>
      <c r="C3417" s="47">
        <v>44285</v>
      </c>
      <c r="D3417" s="46">
        <v>298</v>
      </c>
      <c r="E3417" s="46">
        <v>1</v>
      </c>
      <c r="F3417" s="46">
        <v>106600</v>
      </c>
      <c r="G3417" s="48" t="s">
        <v>2128</v>
      </c>
      <c r="H3417" s="47">
        <v>44285</v>
      </c>
      <c r="I3417" s="46">
        <v>52314</v>
      </c>
      <c r="J3417" s="46">
        <v>1</v>
      </c>
      <c r="K3417" s="47">
        <v>44285</v>
      </c>
      <c r="L3417" s="46">
        <v>11683</v>
      </c>
      <c r="M3417" s="46">
        <v>1</v>
      </c>
    </row>
    <row r="3418" spans="2:13" ht="14.1" customHeight="1" x14ac:dyDescent="0.25">
      <c r="B3418" s="46" t="str">
        <f t="shared" si="58"/>
        <v>2103-298-302932</v>
      </c>
      <c r="C3418" s="47">
        <v>44285</v>
      </c>
      <c r="D3418" s="46">
        <v>298</v>
      </c>
      <c r="E3418" s="46">
        <v>2</v>
      </c>
      <c r="F3418" s="46">
        <v>302932</v>
      </c>
      <c r="G3418" s="48" t="s">
        <v>2129</v>
      </c>
      <c r="H3418" s="47">
        <v>44285</v>
      </c>
      <c r="I3418" s="46">
        <v>52314</v>
      </c>
      <c r="J3418" s="46">
        <v>2</v>
      </c>
      <c r="K3418" s="47">
        <v>44285</v>
      </c>
      <c r="L3418" s="46">
        <v>11683</v>
      </c>
      <c r="M3418" s="46">
        <v>2</v>
      </c>
    </row>
    <row r="3419" spans="2:13" ht="14.1" customHeight="1" x14ac:dyDescent="0.25">
      <c r="B3419" s="46" t="str">
        <f t="shared" si="58"/>
        <v>2103-300-107662</v>
      </c>
      <c r="C3419" s="47">
        <v>44285</v>
      </c>
      <c r="D3419" s="46">
        <v>300</v>
      </c>
      <c r="E3419" s="46">
        <v>1</v>
      </c>
      <c r="F3419" s="46">
        <v>107662</v>
      </c>
      <c r="G3419" s="48" t="s">
        <v>2132</v>
      </c>
      <c r="H3419" s="47">
        <v>44285</v>
      </c>
      <c r="I3419" s="46">
        <v>52315</v>
      </c>
      <c r="J3419" s="46">
        <v>1</v>
      </c>
      <c r="K3419" s="47">
        <v>44285</v>
      </c>
      <c r="L3419" s="46">
        <v>11685</v>
      </c>
      <c r="M3419" s="46">
        <v>1</v>
      </c>
    </row>
    <row r="3420" spans="2:13" ht="14.1" customHeight="1" x14ac:dyDescent="0.25">
      <c r="B3420" s="46" t="str">
        <f t="shared" si="58"/>
        <v>2103-300-107663</v>
      </c>
      <c r="C3420" s="47">
        <v>44285</v>
      </c>
      <c r="D3420" s="46">
        <v>300</v>
      </c>
      <c r="E3420" s="46">
        <v>1</v>
      </c>
      <c r="F3420" s="46">
        <v>107663</v>
      </c>
      <c r="G3420" s="48" t="s">
        <v>2133</v>
      </c>
      <c r="H3420" s="47">
        <v>44285</v>
      </c>
      <c r="I3420" s="46">
        <v>52315</v>
      </c>
      <c r="J3420" s="46">
        <v>1</v>
      </c>
      <c r="K3420" s="47">
        <v>44285</v>
      </c>
      <c r="L3420" s="46">
        <v>11685</v>
      </c>
      <c r="M3420" s="46">
        <v>1</v>
      </c>
    </row>
    <row r="3421" spans="2:13" ht="14.1" customHeight="1" x14ac:dyDescent="0.25">
      <c r="B3421" s="46" t="str">
        <f t="shared" si="58"/>
        <v>2103-300-312269</v>
      </c>
      <c r="C3421" s="47">
        <v>44285</v>
      </c>
      <c r="D3421" s="46">
        <v>300</v>
      </c>
      <c r="E3421" s="46">
        <v>1</v>
      </c>
      <c r="F3421" s="46">
        <v>312269</v>
      </c>
      <c r="G3421" s="48" t="s">
        <v>2131</v>
      </c>
      <c r="H3421" s="47">
        <v>44285</v>
      </c>
      <c r="I3421" s="46">
        <v>52315</v>
      </c>
      <c r="J3421" s="46">
        <v>1</v>
      </c>
      <c r="K3421" s="47">
        <v>44285</v>
      </c>
      <c r="L3421" s="46">
        <v>11685</v>
      </c>
      <c r="M3421" s="46">
        <v>1</v>
      </c>
    </row>
    <row r="3422" spans="2:13" ht="14.1" customHeight="1" x14ac:dyDescent="0.25">
      <c r="B3422" s="46" t="str">
        <f t="shared" si="58"/>
        <v>2103-301-304147</v>
      </c>
      <c r="C3422" s="47">
        <v>44286</v>
      </c>
      <c r="D3422" s="46">
        <v>301</v>
      </c>
      <c r="E3422" s="46">
        <v>2</v>
      </c>
      <c r="F3422" s="46">
        <v>304147</v>
      </c>
      <c r="G3422" s="48" t="s">
        <v>2152</v>
      </c>
      <c r="H3422" s="47">
        <v>44288</v>
      </c>
      <c r="I3422" s="46">
        <v>52444</v>
      </c>
      <c r="J3422" s="46">
        <v>2</v>
      </c>
      <c r="K3422" s="47">
        <v>44299</v>
      </c>
      <c r="L3422" s="46">
        <v>11814</v>
      </c>
      <c r="M3422" s="46">
        <v>2</v>
      </c>
    </row>
    <row r="3423" spans="2:13" ht="14.1" customHeight="1" x14ac:dyDescent="0.25">
      <c r="B3423" s="46" t="str">
        <f t="shared" si="58"/>
        <v>2103-301-301616</v>
      </c>
      <c r="C3423" s="47">
        <v>44286</v>
      </c>
      <c r="D3423" s="46">
        <v>301</v>
      </c>
      <c r="E3423" s="46">
        <v>2</v>
      </c>
      <c r="F3423" s="46">
        <v>301616</v>
      </c>
      <c r="G3423" s="48" t="s">
        <v>2154</v>
      </c>
      <c r="H3423" s="47">
        <v>44288</v>
      </c>
      <c r="I3423" s="46">
        <v>52444</v>
      </c>
      <c r="J3423" s="46">
        <v>2</v>
      </c>
      <c r="K3423" s="47">
        <v>44299</v>
      </c>
      <c r="L3423" s="46">
        <v>11814</v>
      </c>
      <c r="M3423" s="46">
        <v>2</v>
      </c>
    </row>
    <row r="3424" spans="2:13" ht="14.1" customHeight="1" x14ac:dyDescent="0.25">
      <c r="B3424" s="46" t="str">
        <f t="shared" si="58"/>
        <v>2103-301-309630</v>
      </c>
      <c r="C3424" s="47">
        <v>44286</v>
      </c>
      <c r="D3424" s="46">
        <v>301</v>
      </c>
      <c r="E3424" s="46">
        <v>2</v>
      </c>
      <c r="F3424" s="46">
        <v>309630</v>
      </c>
      <c r="G3424" s="48" t="s">
        <v>2153</v>
      </c>
      <c r="H3424" s="47">
        <v>44288</v>
      </c>
      <c r="I3424" s="46">
        <v>52444</v>
      </c>
      <c r="J3424" s="46">
        <v>2</v>
      </c>
      <c r="K3424" s="47">
        <v>44299</v>
      </c>
      <c r="L3424" s="46">
        <v>11814</v>
      </c>
      <c r="M3424" s="46">
        <v>2</v>
      </c>
    </row>
    <row r="3425" spans="2:13" ht="14.1" customHeight="1" x14ac:dyDescent="0.25">
      <c r="B3425" s="46" t="str">
        <f t="shared" si="58"/>
        <v>2103-302-317517</v>
      </c>
      <c r="C3425" s="47">
        <v>44286</v>
      </c>
      <c r="D3425" s="46">
        <v>302</v>
      </c>
      <c r="E3425" s="46">
        <v>4</v>
      </c>
      <c r="F3425" s="46">
        <v>317517</v>
      </c>
      <c r="G3425" s="48" t="s">
        <v>2155</v>
      </c>
      <c r="I3425" s="46">
        <v>0</v>
      </c>
      <c r="J3425" s="46">
        <v>0</v>
      </c>
      <c r="L3425" s="46">
        <v>0</v>
      </c>
      <c r="M3425" s="46">
        <v>0</v>
      </c>
    </row>
    <row r="3426" spans="2:13" ht="14.1" customHeight="1" x14ac:dyDescent="0.25">
      <c r="B3426" s="46" t="str">
        <f t="shared" si="58"/>
        <v>2103-303-315665</v>
      </c>
      <c r="C3426" s="47">
        <v>44286</v>
      </c>
      <c r="D3426" s="46">
        <v>303</v>
      </c>
      <c r="E3426" s="46">
        <v>20</v>
      </c>
      <c r="F3426" s="46">
        <v>315665</v>
      </c>
      <c r="G3426" s="48" t="s">
        <v>116</v>
      </c>
      <c r="H3426" s="47">
        <v>44294</v>
      </c>
      <c r="I3426" s="46">
        <v>52427</v>
      </c>
      <c r="J3426" s="46">
        <v>20</v>
      </c>
      <c r="K3426" s="47">
        <v>44286</v>
      </c>
      <c r="L3426" s="46">
        <v>11688</v>
      </c>
      <c r="M3426" s="46">
        <v>20</v>
      </c>
    </row>
    <row r="3427" spans="2:13" ht="14.1" customHeight="1" x14ac:dyDescent="0.25">
      <c r="B3427" s="46" t="str">
        <f t="shared" si="58"/>
        <v>2103-304-106145</v>
      </c>
      <c r="C3427" s="47">
        <v>44286</v>
      </c>
      <c r="D3427" s="46">
        <v>304</v>
      </c>
      <c r="E3427" s="46">
        <v>20</v>
      </c>
      <c r="F3427" s="46">
        <v>106145</v>
      </c>
      <c r="G3427" s="48" t="s">
        <v>48</v>
      </c>
      <c r="H3427" s="47">
        <v>44294</v>
      </c>
      <c r="I3427" s="46">
        <v>52399</v>
      </c>
      <c r="J3427" s="46">
        <v>20</v>
      </c>
      <c r="K3427" s="47">
        <v>44302</v>
      </c>
      <c r="L3427" s="46">
        <v>11853</v>
      </c>
      <c r="M3427" s="46">
        <v>20</v>
      </c>
    </row>
    <row r="3428" spans="2:13" ht="14.1" customHeight="1" x14ac:dyDescent="0.25">
      <c r="B3428" s="46" t="str">
        <f t="shared" si="58"/>
        <v>2103-304-206715</v>
      </c>
      <c r="C3428" s="47">
        <v>44286</v>
      </c>
      <c r="D3428" s="46">
        <v>304</v>
      </c>
      <c r="E3428" s="46">
        <v>20</v>
      </c>
      <c r="F3428" s="46">
        <v>206715</v>
      </c>
      <c r="G3428" s="48" t="s">
        <v>47</v>
      </c>
      <c r="H3428" s="47">
        <v>44294</v>
      </c>
      <c r="I3428" s="46">
        <v>52399</v>
      </c>
      <c r="J3428" s="46">
        <v>20</v>
      </c>
      <c r="K3428" s="47">
        <v>44302</v>
      </c>
      <c r="L3428" s="46">
        <v>11853</v>
      </c>
      <c r="M3428" s="46">
        <v>20</v>
      </c>
    </row>
    <row r="3429" spans="2:13" ht="14.1" customHeight="1" x14ac:dyDescent="0.25">
      <c r="B3429" s="46" t="str">
        <f t="shared" si="58"/>
        <v>2103-304-303344</v>
      </c>
      <c r="C3429" s="47">
        <v>44286</v>
      </c>
      <c r="D3429" s="46">
        <v>304</v>
      </c>
      <c r="E3429" s="46">
        <v>5</v>
      </c>
      <c r="F3429" s="46">
        <v>303344</v>
      </c>
      <c r="G3429" s="48" t="s">
        <v>2156</v>
      </c>
      <c r="H3429" s="47">
        <v>44294</v>
      </c>
      <c r="I3429" s="46">
        <v>52399</v>
      </c>
      <c r="J3429" s="46">
        <v>5</v>
      </c>
      <c r="K3429" s="47">
        <v>44302</v>
      </c>
      <c r="L3429" s="46">
        <v>11853</v>
      </c>
      <c r="M3429" s="46">
        <v>5</v>
      </c>
    </row>
    <row r="3430" spans="2:13" ht="14.1" customHeight="1" x14ac:dyDescent="0.25">
      <c r="B3430" s="46" t="str">
        <f t="shared" si="58"/>
        <v>2103-304-306994</v>
      </c>
      <c r="C3430" s="47">
        <v>44286</v>
      </c>
      <c r="D3430" s="46">
        <v>304</v>
      </c>
      <c r="E3430" s="46">
        <v>10</v>
      </c>
      <c r="F3430" s="46">
        <v>306994</v>
      </c>
      <c r="G3430" s="48" t="s">
        <v>67</v>
      </c>
      <c r="H3430" s="47">
        <v>44294</v>
      </c>
      <c r="I3430" s="46">
        <v>52399</v>
      </c>
      <c r="J3430" s="46">
        <v>10</v>
      </c>
      <c r="K3430" s="47">
        <v>44302</v>
      </c>
      <c r="L3430" s="46">
        <v>11853</v>
      </c>
      <c r="M3430" s="46">
        <v>10</v>
      </c>
    </row>
    <row r="3431" spans="2:13" ht="14.1" customHeight="1" x14ac:dyDescent="0.25">
      <c r="B3431" s="46" t="str">
        <f t="shared" si="58"/>
        <v>2104-1-202013</v>
      </c>
      <c r="C3431" s="47">
        <v>44291</v>
      </c>
      <c r="D3431" s="46">
        <v>1</v>
      </c>
      <c r="E3431" s="46">
        <v>80000</v>
      </c>
      <c r="F3431" s="46">
        <v>202013</v>
      </c>
      <c r="G3431" s="48" t="s">
        <v>149</v>
      </c>
      <c r="H3431" s="47">
        <v>44291</v>
      </c>
      <c r="I3431" s="46">
        <v>52352</v>
      </c>
      <c r="J3431" s="46">
        <v>80000</v>
      </c>
      <c r="K3431" s="47">
        <v>44299</v>
      </c>
      <c r="L3431" s="46">
        <v>11812</v>
      </c>
      <c r="M3431" s="46">
        <v>80000</v>
      </c>
    </row>
    <row r="3432" spans="2:13" ht="14.1" customHeight="1" x14ac:dyDescent="0.25">
      <c r="B3432" s="46" t="str">
        <f t="shared" si="58"/>
        <v>2104-1-200275</v>
      </c>
      <c r="C3432" s="47">
        <v>44291</v>
      </c>
      <c r="D3432" s="46">
        <v>1</v>
      </c>
      <c r="E3432" s="46">
        <v>48</v>
      </c>
      <c r="F3432" s="46">
        <v>200275</v>
      </c>
      <c r="G3432" s="48" t="s">
        <v>193</v>
      </c>
      <c r="H3432" s="47">
        <v>44291</v>
      </c>
      <c r="I3432" s="46">
        <v>52353</v>
      </c>
      <c r="J3432" s="46">
        <v>48</v>
      </c>
      <c r="K3432" s="47">
        <v>44295</v>
      </c>
      <c r="L3432" s="46">
        <v>11770</v>
      </c>
      <c r="M3432" s="46">
        <v>38</v>
      </c>
    </row>
    <row r="3433" spans="2:13" ht="14.1" customHeight="1" x14ac:dyDescent="0.25">
      <c r="B3433" s="46" t="str">
        <f t="shared" si="58"/>
        <v>2104-2-201163</v>
      </c>
      <c r="C3433" s="47">
        <v>44291</v>
      </c>
      <c r="D3433" s="46">
        <v>2</v>
      </c>
      <c r="E3433" s="46">
        <v>1</v>
      </c>
      <c r="F3433" s="46">
        <v>201163</v>
      </c>
      <c r="G3433" s="48" t="s">
        <v>248</v>
      </c>
      <c r="I3433" s="46">
        <v>0</v>
      </c>
      <c r="J3433" s="46">
        <v>0</v>
      </c>
      <c r="L3433" s="46">
        <v>0</v>
      </c>
      <c r="M3433" s="46">
        <v>0</v>
      </c>
    </row>
    <row r="3434" spans="2:13" ht="14.1" customHeight="1" x14ac:dyDescent="0.25">
      <c r="B3434" s="46" t="str">
        <f t="shared" si="58"/>
        <v>2104-2-200779</v>
      </c>
      <c r="C3434" s="47">
        <v>44291</v>
      </c>
      <c r="D3434" s="46">
        <v>2</v>
      </c>
      <c r="E3434" s="46">
        <v>20</v>
      </c>
      <c r="F3434" s="46">
        <v>200779</v>
      </c>
      <c r="G3434" s="48" t="s">
        <v>73</v>
      </c>
      <c r="I3434" s="46">
        <v>0</v>
      </c>
      <c r="J3434" s="46">
        <v>0</v>
      </c>
      <c r="L3434" s="46">
        <v>0</v>
      </c>
      <c r="M3434" s="46">
        <v>0</v>
      </c>
    </row>
    <row r="3435" spans="2:13" ht="14.1" customHeight="1" x14ac:dyDescent="0.25">
      <c r="B3435" s="46" t="str">
        <f t="shared" si="58"/>
        <v>2104-2-305797</v>
      </c>
      <c r="C3435" s="47">
        <v>44291</v>
      </c>
      <c r="D3435" s="46">
        <v>2</v>
      </c>
      <c r="E3435" s="46">
        <v>2</v>
      </c>
      <c r="F3435" s="46">
        <v>305797</v>
      </c>
      <c r="G3435" s="48" t="s">
        <v>76</v>
      </c>
      <c r="I3435" s="46">
        <v>0</v>
      </c>
      <c r="J3435" s="46">
        <v>0</v>
      </c>
      <c r="L3435" s="46">
        <v>0</v>
      </c>
      <c r="M3435" s="46">
        <v>0</v>
      </c>
    </row>
    <row r="3436" spans="2:13" ht="14.1" customHeight="1" x14ac:dyDescent="0.25">
      <c r="B3436" s="46" t="str">
        <f t="shared" si="58"/>
        <v>2104-2-311570</v>
      </c>
      <c r="C3436" s="47">
        <v>44291</v>
      </c>
      <c r="D3436" s="46">
        <v>2</v>
      </c>
      <c r="E3436" s="46">
        <v>6</v>
      </c>
      <c r="F3436" s="46">
        <v>311570</v>
      </c>
      <c r="G3436" s="48" t="s">
        <v>251</v>
      </c>
      <c r="I3436" s="46">
        <v>0</v>
      </c>
      <c r="J3436" s="46">
        <v>0</v>
      </c>
      <c r="L3436" s="46">
        <v>0</v>
      </c>
      <c r="M3436" s="46">
        <v>0</v>
      </c>
    </row>
    <row r="3437" spans="2:13" ht="14.1" customHeight="1" x14ac:dyDescent="0.25">
      <c r="B3437" s="46" t="str">
        <f t="shared" si="58"/>
        <v>2104-2-203879</v>
      </c>
      <c r="C3437" s="47">
        <v>44291</v>
      </c>
      <c r="D3437" s="46">
        <v>2</v>
      </c>
      <c r="E3437" s="46">
        <v>10</v>
      </c>
      <c r="F3437" s="46">
        <v>203879</v>
      </c>
      <c r="G3437" s="48" t="s">
        <v>2157</v>
      </c>
      <c r="I3437" s="46">
        <v>0</v>
      </c>
      <c r="J3437" s="46">
        <v>0</v>
      </c>
      <c r="L3437" s="46">
        <v>0</v>
      </c>
      <c r="M3437" s="46">
        <v>0</v>
      </c>
    </row>
    <row r="3438" spans="2:13" ht="14.1" customHeight="1" x14ac:dyDescent="0.25">
      <c r="B3438" s="46" t="str">
        <f t="shared" si="58"/>
        <v>2104-2-305785</v>
      </c>
      <c r="C3438" s="47">
        <v>44291</v>
      </c>
      <c r="D3438" s="46">
        <v>2</v>
      </c>
      <c r="E3438" s="46">
        <v>30</v>
      </c>
      <c r="F3438" s="46">
        <v>305785</v>
      </c>
      <c r="G3438" s="48" t="s">
        <v>235</v>
      </c>
      <c r="I3438" s="46">
        <v>0</v>
      </c>
      <c r="J3438" s="46">
        <v>0</v>
      </c>
      <c r="L3438" s="46">
        <v>0</v>
      </c>
      <c r="M3438" s="46">
        <v>0</v>
      </c>
    </row>
    <row r="3439" spans="2:13" ht="14.1" customHeight="1" x14ac:dyDescent="0.25">
      <c r="B3439" s="46" t="str">
        <f t="shared" si="58"/>
        <v>2104-2-305795</v>
      </c>
      <c r="C3439" s="47">
        <v>44291</v>
      </c>
      <c r="D3439" s="46">
        <v>2</v>
      </c>
      <c r="E3439" s="46">
        <v>5</v>
      </c>
      <c r="F3439" s="46">
        <v>305795</v>
      </c>
      <c r="G3439" s="48" t="s">
        <v>355</v>
      </c>
      <c r="I3439" s="46">
        <v>0</v>
      </c>
      <c r="J3439" s="46">
        <v>0</v>
      </c>
      <c r="L3439" s="46">
        <v>0</v>
      </c>
      <c r="M3439" s="46">
        <v>0</v>
      </c>
    </row>
    <row r="3440" spans="2:13" ht="14.1" customHeight="1" x14ac:dyDescent="0.25">
      <c r="B3440" s="46" t="str">
        <f t="shared" si="58"/>
        <v>2104-2-200336</v>
      </c>
      <c r="C3440" s="47">
        <v>44291</v>
      </c>
      <c r="D3440" s="46">
        <v>2</v>
      </c>
      <c r="E3440" s="46">
        <v>3</v>
      </c>
      <c r="F3440" s="46">
        <v>200336</v>
      </c>
      <c r="G3440" s="48" t="s">
        <v>74</v>
      </c>
      <c r="I3440" s="46">
        <v>0</v>
      </c>
      <c r="J3440" s="46">
        <v>0</v>
      </c>
      <c r="L3440" s="46">
        <v>0</v>
      </c>
      <c r="M3440" s="46">
        <v>0</v>
      </c>
    </row>
    <row r="3441" spans="2:13" ht="14.1" customHeight="1" x14ac:dyDescent="0.25">
      <c r="B3441" s="46" t="str">
        <f t="shared" si="58"/>
        <v>2104-2-305798</v>
      </c>
      <c r="C3441" s="47">
        <v>44291</v>
      </c>
      <c r="D3441" s="46">
        <v>2</v>
      </c>
      <c r="E3441" s="46">
        <v>3</v>
      </c>
      <c r="F3441" s="46">
        <v>305798</v>
      </c>
      <c r="G3441" s="48" t="s">
        <v>75</v>
      </c>
      <c r="I3441" s="46">
        <v>0</v>
      </c>
      <c r="J3441" s="46">
        <v>0</v>
      </c>
      <c r="L3441" s="46">
        <v>0</v>
      </c>
      <c r="M3441" s="46">
        <v>0</v>
      </c>
    </row>
    <row r="3442" spans="2:13" ht="14.1" customHeight="1" x14ac:dyDescent="0.25">
      <c r="B3442" s="46" t="str">
        <f t="shared" ref="B3442:B3501" si="59">TEXT(C3442,"yy") &amp; TEXT(C3442,"mm") &amp;"-"&amp;(D3442) &amp;"-"&amp;(F3442)</f>
        <v>2104-2-304184</v>
      </c>
      <c r="C3442" s="47">
        <v>44291</v>
      </c>
      <c r="D3442" s="46">
        <v>2</v>
      </c>
      <c r="E3442" s="46">
        <v>3</v>
      </c>
      <c r="F3442" s="46">
        <v>304184</v>
      </c>
      <c r="G3442" s="48" t="s">
        <v>247</v>
      </c>
      <c r="I3442" s="46">
        <v>0</v>
      </c>
      <c r="J3442" s="46">
        <v>0</v>
      </c>
      <c r="L3442" s="46">
        <v>0</v>
      </c>
      <c r="M3442" s="46">
        <v>0</v>
      </c>
    </row>
    <row r="3443" spans="2:13" ht="14.1" customHeight="1" x14ac:dyDescent="0.25">
      <c r="B3443" s="46" t="str">
        <f t="shared" si="59"/>
        <v>2104-2-305796</v>
      </c>
      <c r="C3443" s="47">
        <v>44291</v>
      </c>
      <c r="D3443" s="46">
        <v>2</v>
      </c>
      <c r="E3443" s="46">
        <v>3</v>
      </c>
      <c r="F3443" s="46">
        <v>305796</v>
      </c>
      <c r="G3443" s="48" t="s">
        <v>78</v>
      </c>
      <c r="I3443" s="46">
        <v>0</v>
      </c>
      <c r="J3443" s="46">
        <v>0</v>
      </c>
      <c r="L3443" s="46">
        <v>0</v>
      </c>
      <c r="M3443" s="46">
        <v>0</v>
      </c>
    </row>
    <row r="3444" spans="2:13" ht="14.1" customHeight="1" x14ac:dyDescent="0.25">
      <c r="B3444" s="46" t="str">
        <f t="shared" si="59"/>
        <v>2104-2-203876</v>
      </c>
      <c r="C3444" s="47">
        <v>44291</v>
      </c>
      <c r="D3444" s="46">
        <v>2</v>
      </c>
      <c r="E3444" s="46">
        <v>20</v>
      </c>
      <c r="F3444" s="46">
        <v>203876</v>
      </c>
      <c r="G3444" s="48" t="s">
        <v>71</v>
      </c>
      <c r="I3444" s="46">
        <v>0</v>
      </c>
      <c r="J3444" s="46">
        <v>0</v>
      </c>
      <c r="L3444" s="46">
        <v>0</v>
      </c>
      <c r="M3444" s="46">
        <v>0</v>
      </c>
    </row>
    <row r="3445" spans="2:13" ht="14.1" customHeight="1" x14ac:dyDescent="0.25">
      <c r="B3445" s="46" t="str">
        <f t="shared" si="59"/>
        <v>2104-2-204138</v>
      </c>
      <c r="C3445" s="47">
        <v>44291</v>
      </c>
      <c r="D3445" s="46">
        <v>2</v>
      </c>
      <c r="E3445" s="46">
        <v>10000</v>
      </c>
      <c r="F3445" s="46">
        <v>204138</v>
      </c>
      <c r="G3445" s="48" t="s">
        <v>72</v>
      </c>
      <c r="I3445" s="46">
        <v>0</v>
      </c>
      <c r="J3445" s="46">
        <v>0</v>
      </c>
      <c r="L3445" s="46">
        <v>0</v>
      </c>
      <c r="M3445" s="46">
        <v>0</v>
      </c>
    </row>
    <row r="3446" spans="2:13" ht="14.1" customHeight="1" x14ac:dyDescent="0.25">
      <c r="B3446" s="46" t="str">
        <f t="shared" si="59"/>
        <v>2104-3-100277</v>
      </c>
      <c r="C3446" s="47">
        <v>44291</v>
      </c>
      <c r="D3446" s="46">
        <v>3</v>
      </c>
      <c r="E3446" s="46">
        <v>60</v>
      </c>
      <c r="F3446" s="46">
        <v>100277</v>
      </c>
      <c r="G3446" s="48" t="s">
        <v>212</v>
      </c>
      <c r="H3446" s="47">
        <v>44295</v>
      </c>
      <c r="I3446" s="46">
        <v>52430</v>
      </c>
      <c r="J3446" s="46">
        <v>60</v>
      </c>
      <c r="L3446" s="46">
        <v>0</v>
      </c>
      <c r="M3446" s="46">
        <v>0</v>
      </c>
    </row>
    <row r="3447" spans="2:13" ht="14.1" customHeight="1" x14ac:dyDescent="0.25">
      <c r="B3447" s="46" t="str">
        <f t="shared" si="59"/>
        <v>2104-3-206149</v>
      </c>
      <c r="C3447" s="47">
        <v>44291</v>
      </c>
      <c r="D3447" s="46">
        <v>3</v>
      </c>
      <c r="E3447" s="46">
        <v>10</v>
      </c>
      <c r="F3447" s="46">
        <v>206149</v>
      </c>
      <c r="G3447" s="48" t="s">
        <v>2158</v>
      </c>
      <c r="H3447" s="47">
        <v>44295</v>
      </c>
      <c r="I3447" s="46">
        <v>52430</v>
      </c>
      <c r="J3447" s="46">
        <v>10</v>
      </c>
      <c r="L3447" s="46">
        <v>0</v>
      </c>
      <c r="M3447" s="46">
        <v>0</v>
      </c>
    </row>
    <row r="3448" spans="2:13" ht="14.1" customHeight="1" x14ac:dyDescent="0.25">
      <c r="B3448" s="46" t="str">
        <f t="shared" si="59"/>
        <v>2104-3-200930</v>
      </c>
      <c r="C3448" s="47">
        <v>44291</v>
      </c>
      <c r="D3448" s="46">
        <v>3</v>
      </c>
      <c r="E3448" s="46">
        <v>1000</v>
      </c>
      <c r="F3448" s="46">
        <v>200930</v>
      </c>
      <c r="G3448" s="48" t="s">
        <v>264</v>
      </c>
      <c r="H3448" s="47">
        <v>44295</v>
      </c>
      <c r="I3448" s="46">
        <v>52433</v>
      </c>
      <c r="J3448" s="46">
        <v>1000</v>
      </c>
      <c r="K3448" s="47">
        <v>44301</v>
      </c>
      <c r="L3448" s="46">
        <v>11845</v>
      </c>
      <c r="M3448" s="46">
        <v>1000</v>
      </c>
    </row>
    <row r="3449" spans="2:13" ht="14.1" customHeight="1" x14ac:dyDescent="0.25">
      <c r="B3449" s="46" t="str">
        <f t="shared" si="59"/>
        <v>2104-3-311660</v>
      </c>
      <c r="C3449" s="47">
        <v>44291</v>
      </c>
      <c r="D3449" s="46">
        <v>3</v>
      </c>
      <c r="E3449" s="46">
        <v>20</v>
      </c>
      <c r="F3449" s="46">
        <v>311660</v>
      </c>
      <c r="G3449" s="48" t="s">
        <v>97</v>
      </c>
      <c r="H3449" s="47">
        <v>44294</v>
      </c>
      <c r="I3449" s="46">
        <v>52403</v>
      </c>
      <c r="J3449" s="46">
        <v>20</v>
      </c>
      <c r="L3449" s="46">
        <v>0</v>
      </c>
      <c r="M3449" s="46">
        <v>0</v>
      </c>
    </row>
    <row r="3450" spans="2:13" ht="14.1" customHeight="1" x14ac:dyDescent="0.25">
      <c r="B3450" s="46" t="str">
        <f t="shared" si="59"/>
        <v>2104-3-310416</v>
      </c>
      <c r="C3450" s="47">
        <v>44291</v>
      </c>
      <c r="D3450" s="46">
        <v>3</v>
      </c>
      <c r="E3450" s="46">
        <v>30</v>
      </c>
      <c r="F3450" s="46">
        <v>310416</v>
      </c>
      <c r="G3450" s="48" t="s">
        <v>240</v>
      </c>
      <c r="H3450" s="47">
        <v>44294</v>
      </c>
      <c r="I3450" s="46">
        <v>52403</v>
      </c>
      <c r="J3450" s="46">
        <v>30</v>
      </c>
      <c r="L3450" s="46">
        <v>0</v>
      </c>
      <c r="M3450" s="46">
        <v>0</v>
      </c>
    </row>
    <row r="3451" spans="2:13" ht="14.1" customHeight="1" x14ac:dyDescent="0.25">
      <c r="B3451" s="46" t="str">
        <f t="shared" si="59"/>
        <v>2104-3-200837</v>
      </c>
      <c r="C3451" s="47">
        <v>44291</v>
      </c>
      <c r="D3451" s="46">
        <v>3</v>
      </c>
      <c r="E3451" s="46">
        <v>15</v>
      </c>
      <c r="F3451" s="46">
        <v>200837</v>
      </c>
      <c r="G3451" s="48" t="s">
        <v>1141</v>
      </c>
      <c r="H3451" s="47">
        <v>44295</v>
      </c>
      <c r="I3451" s="46">
        <v>52430</v>
      </c>
      <c r="J3451" s="46">
        <v>15</v>
      </c>
      <c r="L3451" s="46">
        <v>0</v>
      </c>
      <c r="M3451" s="46">
        <v>0</v>
      </c>
    </row>
    <row r="3452" spans="2:13" ht="14.1" customHeight="1" x14ac:dyDescent="0.25">
      <c r="B3452" s="46" t="str">
        <f t="shared" si="59"/>
        <v>2104-3-311507</v>
      </c>
      <c r="C3452" s="47">
        <v>44291</v>
      </c>
      <c r="D3452" s="46">
        <v>3</v>
      </c>
      <c r="E3452" s="46">
        <v>20</v>
      </c>
      <c r="F3452" s="46">
        <v>311507</v>
      </c>
      <c r="G3452" s="48" t="s">
        <v>51</v>
      </c>
      <c r="H3452" s="47">
        <v>44295</v>
      </c>
      <c r="I3452" s="46">
        <v>52430</v>
      </c>
      <c r="J3452" s="46">
        <v>10</v>
      </c>
      <c r="L3452" s="46">
        <v>0</v>
      </c>
      <c r="M3452" s="46">
        <v>0</v>
      </c>
    </row>
    <row r="3453" spans="2:13" ht="14.1" customHeight="1" x14ac:dyDescent="0.25">
      <c r="B3453" s="46" t="str">
        <f t="shared" si="59"/>
        <v>2104-3-206316</v>
      </c>
      <c r="C3453" s="47">
        <v>44291</v>
      </c>
      <c r="D3453" s="46">
        <v>3</v>
      </c>
      <c r="E3453" s="46">
        <v>10</v>
      </c>
      <c r="F3453" s="46">
        <v>206316</v>
      </c>
      <c r="G3453" s="48" t="s">
        <v>300</v>
      </c>
      <c r="H3453" s="47">
        <v>44294</v>
      </c>
      <c r="I3453" s="46">
        <v>52403</v>
      </c>
      <c r="J3453" s="46">
        <v>10</v>
      </c>
      <c r="L3453" s="46">
        <v>0</v>
      </c>
      <c r="M3453" s="46">
        <v>0</v>
      </c>
    </row>
    <row r="3454" spans="2:13" ht="14.1" customHeight="1" x14ac:dyDescent="0.25">
      <c r="B3454" s="46" t="str">
        <f t="shared" si="59"/>
        <v>2104-3-312470</v>
      </c>
      <c r="C3454" s="47">
        <v>44291</v>
      </c>
      <c r="D3454" s="46">
        <v>3</v>
      </c>
      <c r="E3454" s="46">
        <v>10</v>
      </c>
      <c r="F3454" s="46">
        <v>312470</v>
      </c>
      <c r="G3454" s="48" t="s">
        <v>2159</v>
      </c>
      <c r="H3454" s="47">
        <v>44295</v>
      </c>
      <c r="I3454" s="46">
        <v>52430</v>
      </c>
      <c r="J3454" s="46">
        <v>10</v>
      </c>
      <c r="L3454" s="46">
        <v>0</v>
      </c>
      <c r="M3454" s="46">
        <v>0</v>
      </c>
    </row>
    <row r="3455" spans="2:13" ht="14.1" customHeight="1" x14ac:dyDescent="0.25">
      <c r="B3455" s="46" t="str">
        <f t="shared" si="59"/>
        <v>2104-3-310867</v>
      </c>
      <c r="C3455" s="47">
        <v>44291</v>
      </c>
      <c r="D3455" s="46">
        <v>3</v>
      </c>
      <c r="E3455" s="46">
        <v>20</v>
      </c>
      <c r="F3455" s="46">
        <v>310867</v>
      </c>
      <c r="G3455" s="48" t="s">
        <v>96</v>
      </c>
      <c r="H3455" s="47">
        <v>44295</v>
      </c>
      <c r="I3455" s="46">
        <v>52430</v>
      </c>
      <c r="J3455" s="46">
        <v>20</v>
      </c>
      <c r="L3455" s="46">
        <v>0</v>
      </c>
      <c r="M3455" s="46">
        <v>0</v>
      </c>
    </row>
    <row r="3456" spans="2:13" ht="14.1" customHeight="1" x14ac:dyDescent="0.25">
      <c r="B3456" s="46" t="str">
        <f t="shared" si="59"/>
        <v>2104-3-310870</v>
      </c>
      <c r="C3456" s="47">
        <v>44291</v>
      </c>
      <c r="D3456" s="46">
        <v>3</v>
      </c>
      <c r="E3456" s="46">
        <v>10</v>
      </c>
      <c r="F3456" s="46">
        <v>310870</v>
      </c>
      <c r="G3456" s="48" t="s">
        <v>2160</v>
      </c>
      <c r="H3456" s="47">
        <v>44295</v>
      </c>
      <c r="I3456" s="46">
        <v>52430</v>
      </c>
      <c r="J3456" s="46">
        <v>10</v>
      </c>
      <c r="L3456" s="46">
        <v>0</v>
      </c>
      <c r="M3456" s="46">
        <v>0</v>
      </c>
    </row>
    <row r="3457" spans="2:13" ht="14.1" customHeight="1" x14ac:dyDescent="0.25">
      <c r="B3457" s="46" t="str">
        <f t="shared" si="59"/>
        <v>2104-3-106761</v>
      </c>
      <c r="C3457" s="47">
        <v>44291</v>
      </c>
      <c r="D3457" s="46">
        <v>3</v>
      </c>
      <c r="E3457" s="46">
        <v>15</v>
      </c>
      <c r="F3457" s="46">
        <v>106761</v>
      </c>
      <c r="G3457" s="48" t="s">
        <v>95</v>
      </c>
      <c r="H3457" s="47">
        <v>44294</v>
      </c>
      <c r="I3457" s="46">
        <v>52403</v>
      </c>
      <c r="J3457" s="46">
        <v>15</v>
      </c>
      <c r="L3457" s="46">
        <v>0</v>
      </c>
      <c r="M3457" s="46">
        <v>0</v>
      </c>
    </row>
    <row r="3458" spans="2:13" ht="14.1" customHeight="1" x14ac:dyDescent="0.25">
      <c r="B3458" s="46" t="str">
        <f t="shared" si="59"/>
        <v>2104-3-206218</v>
      </c>
      <c r="C3458" s="47">
        <v>44291</v>
      </c>
      <c r="D3458" s="46">
        <v>3</v>
      </c>
      <c r="E3458" s="46">
        <v>4000</v>
      </c>
      <c r="F3458" s="46">
        <v>206218</v>
      </c>
      <c r="G3458" s="48" t="s">
        <v>213</v>
      </c>
      <c r="H3458" s="47">
        <v>44295</v>
      </c>
      <c r="I3458" s="46">
        <v>52433</v>
      </c>
      <c r="J3458" s="46">
        <v>4000</v>
      </c>
      <c r="K3458" s="47">
        <v>44301</v>
      </c>
      <c r="L3458" s="46">
        <v>11845</v>
      </c>
      <c r="M3458" s="46">
        <v>4000</v>
      </c>
    </row>
    <row r="3459" spans="2:13" ht="14.1" customHeight="1" x14ac:dyDescent="0.25">
      <c r="B3459" s="46" t="str">
        <f t="shared" si="59"/>
        <v>2104-3-107539</v>
      </c>
      <c r="C3459" s="47">
        <v>44291</v>
      </c>
      <c r="D3459" s="46">
        <v>3</v>
      </c>
      <c r="E3459" s="46">
        <v>20</v>
      </c>
      <c r="F3459" s="46">
        <v>107539</v>
      </c>
      <c r="G3459" s="48" t="s">
        <v>113</v>
      </c>
      <c r="H3459" s="47">
        <v>44294</v>
      </c>
      <c r="I3459" s="46">
        <v>52403</v>
      </c>
      <c r="J3459" s="46">
        <v>20</v>
      </c>
      <c r="L3459" s="46">
        <v>0</v>
      </c>
      <c r="M3459" s="46">
        <v>0</v>
      </c>
    </row>
    <row r="3460" spans="2:13" ht="14.1" customHeight="1" x14ac:dyDescent="0.25">
      <c r="B3460" s="46" t="str">
        <f t="shared" si="59"/>
        <v>2104-4-205512</v>
      </c>
      <c r="C3460" s="47">
        <v>44291</v>
      </c>
      <c r="D3460" s="46">
        <v>4</v>
      </c>
      <c r="E3460" s="46">
        <v>20</v>
      </c>
      <c r="F3460" s="46">
        <v>205512</v>
      </c>
      <c r="G3460" s="48" t="s">
        <v>104</v>
      </c>
      <c r="I3460" s="46">
        <v>0</v>
      </c>
      <c r="J3460" s="46">
        <v>0</v>
      </c>
      <c r="L3460" s="46">
        <v>0</v>
      </c>
      <c r="M3460" s="46">
        <v>0</v>
      </c>
    </row>
    <row r="3461" spans="2:13" ht="14.1" customHeight="1" x14ac:dyDescent="0.25">
      <c r="B3461" s="46" t="str">
        <f t="shared" si="59"/>
        <v>2104-5-300685</v>
      </c>
      <c r="C3461" s="47">
        <v>44291</v>
      </c>
      <c r="D3461" s="46">
        <v>5</v>
      </c>
      <c r="E3461" s="46">
        <v>1000</v>
      </c>
      <c r="F3461" s="46">
        <v>300685</v>
      </c>
      <c r="G3461" s="48" t="s">
        <v>108</v>
      </c>
      <c r="I3461" s="46">
        <v>0</v>
      </c>
      <c r="J3461" s="46">
        <v>0</v>
      </c>
      <c r="L3461" s="46">
        <v>0</v>
      </c>
      <c r="M3461" s="46">
        <v>0</v>
      </c>
    </row>
    <row r="3462" spans="2:13" ht="14.1" customHeight="1" x14ac:dyDescent="0.25">
      <c r="B3462" s="46" t="str">
        <f t="shared" si="59"/>
        <v>2104-5-307763</v>
      </c>
      <c r="C3462" s="47">
        <v>44291</v>
      </c>
      <c r="D3462" s="46">
        <v>5</v>
      </c>
      <c r="E3462" s="46">
        <v>10</v>
      </c>
      <c r="F3462" s="46">
        <v>307763</v>
      </c>
      <c r="G3462" s="48" t="s">
        <v>226</v>
      </c>
      <c r="I3462" s="46">
        <v>0</v>
      </c>
      <c r="J3462" s="46">
        <v>0</v>
      </c>
      <c r="L3462" s="46">
        <v>0</v>
      </c>
      <c r="M3462" s="46">
        <v>0</v>
      </c>
    </row>
    <row r="3463" spans="2:13" ht="14.1" customHeight="1" x14ac:dyDescent="0.25">
      <c r="B3463" s="46" t="str">
        <f t="shared" si="59"/>
        <v>2104-5-315720</v>
      </c>
      <c r="C3463" s="47">
        <v>44291</v>
      </c>
      <c r="D3463" s="46">
        <v>5</v>
      </c>
      <c r="E3463" s="46">
        <v>1000</v>
      </c>
      <c r="F3463" s="46">
        <v>315720</v>
      </c>
      <c r="G3463" s="48" t="s">
        <v>105</v>
      </c>
      <c r="I3463" s="46">
        <v>0</v>
      </c>
      <c r="J3463" s="46">
        <v>0</v>
      </c>
      <c r="L3463" s="46">
        <v>0</v>
      </c>
      <c r="M3463" s="46">
        <v>0</v>
      </c>
    </row>
    <row r="3464" spans="2:13" ht="14.1" customHeight="1" x14ac:dyDescent="0.25">
      <c r="B3464" s="46" t="str">
        <f t="shared" si="59"/>
        <v>2104-5-302248</v>
      </c>
      <c r="C3464" s="47">
        <v>44291</v>
      </c>
      <c r="D3464" s="46">
        <v>5</v>
      </c>
      <c r="E3464" s="46">
        <v>10</v>
      </c>
      <c r="F3464" s="46">
        <v>302248</v>
      </c>
      <c r="G3464" s="48" t="s">
        <v>637</v>
      </c>
      <c r="I3464" s="46">
        <v>0</v>
      </c>
      <c r="J3464" s="46">
        <v>0</v>
      </c>
      <c r="L3464" s="46">
        <v>0</v>
      </c>
      <c r="M3464" s="46">
        <v>0</v>
      </c>
    </row>
    <row r="3465" spans="2:13" ht="14.1" customHeight="1" x14ac:dyDescent="0.25">
      <c r="B3465" s="46" t="str">
        <f t="shared" si="59"/>
        <v>2104-5-205558</v>
      </c>
      <c r="C3465" s="47">
        <v>44291</v>
      </c>
      <c r="D3465" s="46">
        <v>5</v>
      </c>
      <c r="E3465" s="46">
        <v>10</v>
      </c>
      <c r="F3465" s="46">
        <v>205558</v>
      </c>
      <c r="G3465" s="48" t="s">
        <v>2161</v>
      </c>
      <c r="I3465" s="46">
        <v>0</v>
      </c>
      <c r="J3465" s="46">
        <v>0</v>
      </c>
      <c r="L3465" s="46">
        <v>0</v>
      </c>
      <c r="M3465" s="46">
        <v>0</v>
      </c>
    </row>
    <row r="3466" spans="2:13" ht="14.1" customHeight="1" x14ac:dyDescent="0.25">
      <c r="B3466" s="46" t="str">
        <f t="shared" si="59"/>
        <v>2104-6-205291</v>
      </c>
      <c r="C3466" s="47">
        <v>44291</v>
      </c>
      <c r="D3466" s="46">
        <v>6</v>
      </c>
      <c r="E3466" s="46">
        <v>55</v>
      </c>
      <c r="F3466" s="46">
        <v>205291</v>
      </c>
      <c r="G3466" s="48" t="s">
        <v>2162</v>
      </c>
      <c r="H3466" s="47">
        <v>44293</v>
      </c>
      <c r="I3466" s="46">
        <v>52391</v>
      </c>
      <c r="J3466" s="46">
        <v>55</v>
      </c>
      <c r="K3466" s="47">
        <v>44299</v>
      </c>
      <c r="L3466" s="46">
        <v>11803</v>
      </c>
      <c r="M3466" s="46">
        <v>55</v>
      </c>
    </row>
    <row r="3467" spans="2:13" ht="14.1" customHeight="1" x14ac:dyDescent="0.25">
      <c r="B3467" s="46" t="str">
        <f t="shared" si="59"/>
        <v>2104-6-205752</v>
      </c>
      <c r="C3467" s="47">
        <v>44291</v>
      </c>
      <c r="D3467" s="46">
        <v>6</v>
      </c>
      <c r="E3467" s="46">
        <v>110</v>
      </c>
      <c r="F3467" s="46">
        <v>205752</v>
      </c>
      <c r="G3467" s="48" t="s">
        <v>197</v>
      </c>
      <c r="H3467" s="47">
        <v>44293</v>
      </c>
      <c r="I3467" s="46">
        <v>52391</v>
      </c>
      <c r="J3467" s="46">
        <v>110</v>
      </c>
      <c r="K3467" s="47">
        <v>44299</v>
      </c>
      <c r="L3467" s="46">
        <v>11803</v>
      </c>
      <c r="M3467" s="46">
        <v>110</v>
      </c>
    </row>
    <row r="3468" spans="2:13" ht="14.1" customHeight="1" x14ac:dyDescent="0.25">
      <c r="B3468" s="46" t="str">
        <f t="shared" si="59"/>
        <v>2104-8-312508</v>
      </c>
      <c r="C3468" s="47">
        <v>44291</v>
      </c>
      <c r="D3468" s="46">
        <v>8</v>
      </c>
      <c r="E3468" s="46">
        <v>1</v>
      </c>
      <c r="F3468" s="46">
        <v>312508</v>
      </c>
      <c r="G3468" s="48" t="s">
        <v>313</v>
      </c>
      <c r="H3468" s="47">
        <v>44299</v>
      </c>
      <c r="I3468" s="46">
        <v>52450</v>
      </c>
      <c r="J3468" s="46">
        <v>1</v>
      </c>
      <c r="K3468" s="47">
        <v>44294</v>
      </c>
      <c r="L3468" s="46">
        <v>11760</v>
      </c>
      <c r="M3468" s="46">
        <v>1</v>
      </c>
    </row>
    <row r="3469" spans="2:13" ht="14.1" customHeight="1" x14ac:dyDescent="0.25">
      <c r="B3469" s="46" t="str">
        <f t="shared" si="59"/>
        <v>2104-8-206211</v>
      </c>
      <c r="C3469" s="47">
        <v>44291</v>
      </c>
      <c r="D3469" s="46">
        <v>8</v>
      </c>
      <c r="E3469" s="46">
        <v>4</v>
      </c>
      <c r="F3469" s="46">
        <v>206211</v>
      </c>
      <c r="G3469" s="48" t="s">
        <v>68</v>
      </c>
      <c r="H3469" s="47">
        <v>44292</v>
      </c>
      <c r="I3469" s="46">
        <v>52366</v>
      </c>
      <c r="J3469" s="46">
        <v>4</v>
      </c>
      <c r="K3469" s="47">
        <v>44294</v>
      </c>
      <c r="L3469" s="46">
        <v>11744</v>
      </c>
      <c r="M3469" s="46">
        <v>4</v>
      </c>
    </row>
    <row r="3470" spans="2:13" ht="14.1" customHeight="1" x14ac:dyDescent="0.25">
      <c r="B3470" s="46" t="str">
        <f t="shared" si="59"/>
        <v>2104-9-308979</v>
      </c>
      <c r="C3470" s="47">
        <v>44291</v>
      </c>
      <c r="D3470" s="46">
        <v>9</v>
      </c>
      <c r="E3470" s="46">
        <v>6</v>
      </c>
      <c r="F3470" s="46">
        <v>308979</v>
      </c>
      <c r="G3470" s="48" t="s">
        <v>1250</v>
      </c>
      <c r="H3470" s="47">
        <v>44291</v>
      </c>
      <c r="I3470" s="46">
        <v>52360</v>
      </c>
      <c r="J3470" s="46">
        <v>6</v>
      </c>
      <c r="K3470" s="47">
        <v>44292</v>
      </c>
      <c r="L3470" s="46">
        <v>11725</v>
      </c>
      <c r="M3470" s="46">
        <v>6</v>
      </c>
    </row>
    <row r="3471" spans="2:13" ht="14.1" customHeight="1" x14ac:dyDescent="0.25">
      <c r="B3471" s="46" t="str">
        <f t="shared" si="59"/>
        <v>2104-9-309630</v>
      </c>
      <c r="C3471" s="47">
        <v>44291</v>
      </c>
      <c r="D3471" s="46">
        <v>9</v>
      </c>
      <c r="E3471" s="46">
        <v>6</v>
      </c>
      <c r="F3471" s="46">
        <v>309630</v>
      </c>
      <c r="G3471" s="48" t="s">
        <v>2153</v>
      </c>
      <c r="H3471" s="47">
        <v>44291</v>
      </c>
      <c r="I3471" s="46">
        <v>52360</v>
      </c>
      <c r="J3471" s="46">
        <v>6</v>
      </c>
      <c r="K3471" s="47">
        <v>44292</v>
      </c>
      <c r="L3471" s="46">
        <v>11725</v>
      </c>
      <c r="M3471" s="46">
        <v>6</v>
      </c>
    </row>
    <row r="3472" spans="2:13" ht="14.1" customHeight="1" x14ac:dyDescent="0.25">
      <c r="B3472" s="46" t="str">
        <f t="shared" si="59"/>
        <v>2104-10-317339</v>
      </c>
      <c r="C3472" s="47">
        <v>44291</v>
      </c>
      <c r="D3472" s="46">
        <v>10</v>
      </c>
      <c r="E3472" s="46">
        <v>2</v>
      </c>
      <c r="F3472" s="46">
        <v>317339</v>
      </c>
      <c r="G3472" s="48" t="s">
        <v>2163</v>
      </c>
      <c r="I3472" s="46">
        <v>0</v>
      </c>
      <c r="J3472" s="46">
        <v>0</v>
      </c>
      <c r="L3472" s="46">
        <v>0</v>
      </c>
      <c r="M3472" s="46">
        <v>0</v>
      </c>
    </row>
    <row r="3473" spans="2:13" ht="14.1" customHeight="1" x14ac:dyDescent="0.25">
      <c r="B3473" s="46" t="str">
        <f t="shared" si="59"/>
        <v>2104-10-321033</v>
      </c>
      <c r="C3473" s="47">
        <v>44291</v>
      </c>
      <c r="D3473" s="46">
        <v>10</v>
      </c>
      <c r="E3473" s="46">
        <v>1</v>
      </c>
      <c r="F3473" s="46">
        <v>321033</v>
      </c>
      <c r="G3473" s="48" t="s">
        <v>2176</v>
      </c>
      <c r="I3473" s="46">
        <v>0</v>
      </c>
      <c r="J3473" s="46">
        <v>0</v>
      </c>
      <c r="L3473" s="46">
        <v>0</v>
      </c>
      <c r="M3473" s="46">
        <v>0</v>
      </c>
    </row>
    <row r="3474" spans="2:13" ht="14.1" customHeight="1" x14ac:dyDescent="0.25">
      <c r="B3474" s="46" t="str">
        <f t="shared" si="59"/>
        <v>2104-10-321034</v>
      </c>
      <c r="C3474" s="47">
        <v>44291</v>
      </c>
      <c r="D3474" s="46">
        <v>10</v>
      </c>
      <c r="E3474" s="46">
        <v>1</v>
      </c>
      <c r="F3474" s="46">
        <v>321034</v>
      </c>
      <c r="G3474" s="48" t="s">
        <v>2175</v>
      </c>
      <c r="I3474" s="46">
        <v>0</v>
      </c>
      <c r="J3474" s="46">
        <v>0</v>
      </c>
      <c r="L3474" s="46">
        <v>0</v>
      </c>
      <c r="M3474" s="46">
        <v>0</v>
      </c>
    </row>
    <row r="3475" spans="2:13" ht="14.1" customHeight="1" x14ac:dyDescent="0.25">
      <c r="B3475" s="46" t="str">
        <f t="shared" si="59"/>
        <v>2104-11-321035</v>
      </c>
      <c r="C3475" s="47">
        <v>44291</v>
      </c>
      <c r="D3475" s="46">
        <v>11</v>
      </c>
      <c r="E3475" s="46">
        <v>1</v>
      </c>
      <c r="F3475" s="46">
        <v>321035</v>
      </c>
      <c r="G3475" s="48" t="s">
        <v>2177</v>
      </c>
      <c r="I3475" s="46">
        <v>0</v>
      </c>
      <c r="J3475" s="46">
        <v>0</v>
      </c>
      <c r="L3475" s="46">
        <v>0</v>
      </c>
      <c r="M3475" s="46">
        <v>0</v>
      </c>
    </row>
    <row r="3476" spans="2:13" ht="14.1" customHeight="1" x14ac:dyDescent="0.25">
      <c r="B3476" s="46" t="str">
        <f t="shared" si="59"/>
        <v>2104-11-321038</v>
      </c>
      <c r="C3476" s="47">
        <v>44291</v>
      </c>
      <c r="D3476" s="46">
        <v>11</v>
      </c>
      <c r="E3476" s="46">
        <v>1</v>
      </c>
      <c r="F3476" s="46">
        <v>321038</v>
      </c>
      <c r="G3476" s="48" t="s">
        <v>2178</v>
      </c>
      <c r="I3476" s="46">
        <v>0</v>
      </c>
      <c r="J3476" s="46">
        <v>0</v>
      </c>
      <c r="L3476" s="46">
        <v>0</v>
      </c>
      <c r="M3476" s="46">
        <v>0</v>
      </c>
    </row>
    <row r="3477" spans="2:13" ht="14.1" customHeight="1" x14ac:dyDescent="0.25">
      <c r="B3477" s="46" t="str">
        <f t="shared" si="59"/>
        <v>2104-11-321037</v>
      </c>
      <c r="C3477" s="47">
        <v>44291</v>
      </c>
      <c r="D3477" s="46">
        <v>11</v>
      </c>
      <c r="E3477" s="46">
        <v>1</v>
      </c>
      <c r="F3477" s="46">
        <v>321037</v>
      </c>
      <c r="G3477" s="48" t="s">
        <v>2180</v>
      </c>
      <c r="I3477" s="46">
        <v>0</v>
      </c>
      <c r="J3477" s="46">
        <v>0</v>
      </c>
      <c r="L3477" s="46">
        <v>0</v>
      </c>
      <c r="M3477" s="46">
        <v>0</v>
      </c>
    </row>
    <row r="3478" spans="2:13" ht="14.1" customHeight="1" x14ac:dyDescent="0.25">
      <c r="B3478" s="46" t="str">
        <f t="shared" si="59"/>
        <v>2104-11-321036</v>
      </c>
      <c r="C3478" s="47">
        <v>44291</v>
      </c>
      <c r="D3478" s="46">
        <v>11</v>
      </c>
      <c r="E3478" s="46">
        <v>1</v>
      </c>
      <c r="F3478" s="46">
        <v>321036</v>
      </c>
      <c r="G3478" s="48" t="s">
        <v>2179</v>
      </c>
      <c r="I3478" s="46">
        <v>0</v>
      </c>
      <c r="J3478" s="46">
        <v>0</v>
      </c>
      <c r="L3478" s="46">
        <v>0</v>
      </c>
      <c r="M3478" s="46">
        <v>0</v>
      </c>
    </row>
    <row r="3479" spans="2:13" ht="14.1" customHeight="1" x14ac:dyDescent="0.25">
      <c r="B3479" s="46" t="str">
        <f t="shared" si="59"/>
        <v>2104-12-300379</v>
      </c>
      <c r="C3479" s="47">
        <v>44291</v>
      </c>
      <c r="D3479" s="46">
        <v>12</v>
      </c>
      <c r="E3479" s="46">
        <v>4</v>
      </c>
      <c r="F3479" s="46">
        <v>300379</v>
      </c>
      <c r="G3479" s="48" t="s">
        <v>2164</v>
      </c>
      <c r="I3479" s="46">
        <v>0</v>
      </c>
      <c r="J3479" s="46">
        <v>0</v>
      </c>
      <c r="L3479" s="46">
        <v>0</v>
      </c>
      <c r="M3479" s="46">
        <v>0</v>
      </c>
    </row>
    <row r="3480" spans="2:13" ht="14.1" customHeight="1" x14ac:dyDescent="0.25">
      <c r="B3480" s="46" t="str">
        <f t="shared" si="59"/>
        <v>2104-13-319139</v>
      </c>
      <c r="C3480" s="47">
        <v>44291</v>
      </c>
      <c r="D3480" s="46">
        <v>13</v>
      </c>
      <c r="E3480" s="46">
        <v>2</v>
      </c>
      <c r="F3480" s="46">
        <v>319139</v>
      </c>
      <c r="G3480" s="48" t="s">
        <v>2165</v>
      </c>
      <c r="I3480" s="46">
        <v>0</v>
      </c>
      <c r="J3480" s="46">
        <v>0</v>
      </c>
      <c r="L3480" s="46">
        <v>0</v>
      </c>
      <c r="M3480" s="46">
        <v>0</v>
      </c>
    </row>
    <row r="3481" spans="2:13" ht="14.1" customHeight="1" x14ac:dyDescent="0.25">
      <c r="B3481" s="46" t="str">
        <f t="shared" si="59"/>
        <v>2104-16-315697</v>
      </c>
      <c r="C3481" s="47">
        <v>44291</v>
      </c>
      <c r="D3481" s="46">
        <v>16</v>
      </c>
      <c r="E3481" s="46">
        <v>1</v>
      </c>
      <c r="F3481" s="46">
        <v>315697</v>
      </c>
      <c r="G3481" s="48" t="s">
        <v>2166</v>
      </c>
      <c r="I3481" s="46">
        <v>0</v>
      </c>
      <c r="J3481" s="46">
        <v>0</v>
      </c>
      <c r="L3481" s="46">
        <v>0</v>
      </c>
      <c r="M3481" s="46">
        <v>0</v>
      </c>
    </row>
    <row r="3482" spans="2:13" ht="14.1" customHeight="1" x14ac:dyDescent="0.25">
      <c r="B3482" s="46" t="str">
        <f t="shared" si="59"/>
        <v>2104-17-200751</v>
      </c>
      <c r="C3482" s="47">
        <v>44291</v>
      </c>
      <c r="D3482" s="46">
        <v>17</v>
      </c>
      <c r="E3482" s="46">
        <v>30000</v>
      </c>
      <c r="F3482" s="46">
        <v>200751</v>
      </c>
      <c r="G3482" s="48" t="s">
        <v>151</v>
      </c>
      <c r="H3482" s="47">
        <v>44299</v>
      </c>
      <c r="I3482" s="46">
        <v>52448</v>
      </c>
      <c r="J3482" s="46">
        <v>9717</v>
      </c>
      <c r="K3482" s="47">
        <v>44291</v>
      </c>
      <c r="L3482" s="46">
        <v>11706</v>
      </c>
      <c r="M3482" s="46">
        <v>9717</v>
      </c>
    </row>
    <row r="3483" spans="2:13" ht="14.1" customHeight="1" x14ac:dyDescent="0.25">
      <c r="B3483" s="46" t="str">
        <f t="shared" si="59"/>
        <v>2104-17-200751</v>
      </c>
      <c r="C3483" s="47">
        <v>44291</v>
      </c>
      <c r="D3483" s="46">
        <v>17</v>
      </c>
      <c r="E3483" s="46">
        <v>30000</v>
      </c>
      <c r="F3483" s="46">
        <v>200751</v>
      </c>
      <c r="G3483" s="48" t="s">
        <v>151</v>
      </c>
      <c r="H3483" s="47">
        <v>44299</v>
      </c>
      <c r="I3483" s="46">
        <v>52448</v>
      </c>
      <c r="J3483" s="46">
        <v>9717</v>
      </c>
      <c r="K3483" s="47">
        <v>44291</v>
      </c>
      <c r="L3483" s="46">
        <v>11707</v>
      </c>
      <c r="M3483" s="46">
        <v>9717</v>
      </c>
    </row>
    <row r="3484" spans="2:13" ht="14.1" customHeight="1" x14ac:dyDescent="0.25">
      <c r="B3484" s="46" t="str">
        <f t="shared" si="59"/>
        <v>2104-17-200751</v>
      </c>
      <c r="C3484" s="47">
        <v>44291</v>
      </c>
      <c r="D3484" s="46">
        <v>17</v>
      </c>
      <c r="E3484" s="46">
        <v>30000</v>
      </c>
      <c r="F3484" s="46">
        <v>200751</v>
      </c>
      <c r="G3484" s="48" t="s">
        <v>151</v>
      </c>
      <c r="H3484" s="47">
        <v>44299</v>
      </c>
      <c r="I3484" s="46">
        <v>52448</v>
      </c>
      <c r="J3484" s="46">
        <v>9717</v>
      </c>
      <c r="K3484" s="47">
        <v>44294</v>
      </c>
      <c r="L3484" s="46">
        <v>11767</v>
      </c>
      <c r="M3484" s="46">
        <v>9717</v>
      </c>
    </row>
    <row r="3485" spans="2:13" ht="14.1" customHeight="1" x14ac:dyDescent="0.25">
      <c r="B3485" s="46" t="str">
        <f t="shared" si="59"/>
        <v>2104-17-200751</v>
      </c>
      <c r="C3485" s="47">
        <v>44291</v>
      </c>
      <c r="D3485" s="46">
        <v>17</v>
      </c>
      <c r="E3485" s="46">
        <v>30000</v>
      </c>
      <c r="F3485" s="46">
        <v>200751</v>
      </c>
      <c r="G3485" s="48" t="s">
        <v>151</v>
      </c>
      <c r="H3485" s="47">
        <v>44299</v>
      </c>
      <c r="I3485" s="46">
        <v>52474</v>
      </c>
      <c r="J3485" s="46">
        <v>9717</v>
      </c>
      <c r="K3485" s="47">
        <v>44291</v>
      </c>
      <c r="L3485" s="46">
        <v>11706</v>
      </c>
      <c r="M3485" s="46">
        <v>9717</v>
      </c>
    </row>
    <row r="3486" spans="2:13" ht="14.1" customHeight="1" x14ac:dyDescent="0.25">
      <c r="B3486" s="46" t="str">
        <f t="shared" si="59"/>
        <v>2104-17-200751</v>
      </c>
      <c r="C3486" s="47">
        <v>44291</v>
      </c>
      <c r="D3486" s="46">
        <v>17</v>
      </c>
      <c r="E3486" s="46">
        <v>30000</v>
      </c>
      <c r="F3486" s="46">
        <v>200751</v>
      </c>
      <c r="G3486" s="48" t="s">
        <v>151</v>
      </c>
      <c r="H3486" s="47">
        <v>44299</v>
      </c>
      <c r="I3486" s="46">
        <v>52474</v>
      </c>
      <c r="J3486" s="46">
        <v>9717</v>
      </c>
      <c r="K3486" s="47">
        <v>44291</v>
      </c>
      <c r="L3486" s="46">
        <v>11707</v>
      </c>
      <c r="M3486" s="46">
        <v>9717</v>
      </c>
    </row>
    <row r="3487" spans="2:13" ht="14.1" customHeight="1" x14ac:dyDescent="0.25">
      <c r="B3487" s="46" t="str">
        <f t="shared" si="59"/>
        <v>2104-17-200751</v>
      </c>
      <c r="C3487" s="47">
        <v>44291</v>
      </c>
      <c r="D3487" s="46">
        <v>17</v>
      </c>
      <c r="E3487" s="46">
        <v>30000</v>
      </c>
      <c r="F3487" s="46">
        <v>200751</v>
      </c>
      <c r="G3487" s="48" t="s">
        <v>151</v>
      </c>
      <c r="H3487" s="47">
        <v>44299</v>
      </c>
      <c r="I3487" s="46">
        <v>52474</v>
      </c>
      <c r="J3487" s="46">
        <v>9717</v>
      </c>
      <c r="K3487" s="47">
        <v>44294</v>
      </c>
      <c r="L3487" s="46">
        <v>11767</v>
      </c>
      <c r="M3487" s="46">
        <v>9717</v>
      </c>
    </row>
    <row r="3488" spans="2:13" ht="14.1" customHeight="1" x14ac:dyDescent="0.25">
      <c r="B3488" s="46" t="str">
        <f t="shared" si="59"/>
        <v>2104-17-200751</v>
      </c>
      <c r="C3488" s="47">
        <v>44291</v>
      </c>
      <c r="D3488" s="46">
        <v>17</v>
      </c>
      <c r="E3488" s="46">
        <v>30000</v>
      </c>
      <c r="F3488" s="46">
        <v>200751</v>
      </c>
      <c r="G3488" s="48" t="s">
        <v>151</v>
      </c>
      <c r="H3488" s="47">
        <v>44299</v>
      </c>
      <c r="I3488" s="46">
        <v>52476</v>
      </c>
      <c r="J3488" s="46">
        <v>9717</v>
      </c>
      <c r="K3488" s="47">
        <v>44291</v>
      </c>
      <c r="L3488" s="46">
        <v>11706</v>
      </c>
      <c r="M3488" s="46">
        <v>9717</v>
      </c>
    </row>
    <row r="3489" spans="2:13" ht="14.1" customHeight="1" x14ac:dyDescent="0.25">
      <c r="B3489" s="46" t="str">
        <f t="shared" si="59"/>
        <v>2104-17-200751</v>
      </c>
      <c r="C3489" s="47">
        <v>44291</v>
      </c>
      <c r="D3489" s="46">
        <v>17</v>
      </c>
      <c r="E3489" s="46">
        <v>30000</v>
      </c>
      <c r="F3489" s="46">
        <v>200751</v>
      </c>
      <c r="G3489" s="48" t="s">
        <v>151</v>
      </c>
      <c r="H3489" s="47">
        <v>44299</v>
      </c>
      <c r="I3489" s="46">
        <v>52476</v>
      </c>
      <c r="J3489" s="46">
        <v>9717</v>
      </c>
      <c r="K3489" s="47">
        <v>44291</v>
      </c>
      <c r="L3489" s="46">
        <v>11707</v>
      </c>
      <c r="M3489" s="46">
        <v>9717</v>
      </c>
    </row>
    <row r="3490" spans="2:13" ht="14.1" customHeight="1" x14ac:dyDescent="0.25">
      <c r="B3490" s="46" t="str">
        <f t="shared" si="59"/>
        <v>2104-17-200751</v>
      </c>
      <c r="C3490" s="47">
        <v>44291</v>
      </c>
      <c r="D3490" s="46">
        <v>17</v>
      </c>
      <c r="E3490" s="46">
        <v>30000</v>
      </c>
      <c r="F3490" s="46">
        <v>200751</v>
      </c>
      <c r="G3490" s="48" t="s">
        <v>151</v>
      </c>
      <c r="H3490" s="47">
        <v>44299</v>
      </c>
      <c r="I3490" s="46">
        <v>52476</v>
      </c>
      <c r="J3490" s="46">
        <v>9717</v>
      </c>
      <c r="K3490" s="47">
        <v>44294</v>
      </c>
      <c r="L3490" s="46">
        <v>11767</v>
      </c>
      <c r="M3490" s="46">
        <v>9717</v>
      </c>
    </row>
    <row r="3491" spans="2:13" ht="14.1" customHeight="1" x14ac:dyDescent="0.25">
      <c r="B3491" s="46" t="str">
        <f t="shared" si="59"/>
        <v>2104-18-301225</v>
      </c>
      <c r="C3491" s="47">
        <v>44291</v>
      </c>
      <c r="D3491" s="46">
        <v>18</v>
      </c>
      <c r="E3491" s="46">
        <v>8</v>
      </c>
      <c r="F3491" s="46">
        <v>301225</v>
      </c>
      <c r="G3491" s="48" t="s">
        <v>304</v>
      </c>
      <c r="I3491" s="46">
        <v>0</v>
      </c>
      <c r="J3491" s="46">
        <v>0</v>
      </c>
      <c r="L3491" s="46">
        <v>0</v>
      </c>
      <c r="M3491" s="46">
        <v>0</v>
      </c>
    </row>
    <row r="3492" spans="2:13" ht="14.1" customHeight="1" x14ac:dyDescent="0.25">
      <c r="B3492" s="46" t="str">
        <f t="shared" si="59"/>
        <v>2104-18-301224</v>
      </c>
      <c r="C3492" s="47">
        <v>44291</v>
      </c>
      <c r="D3492" s="46">
        <v>18</v>
      </c>
      <c r="E3492" s="46">
        <v>2</v>
      </c>
      <c r="F3492" s="46">
        <v>301224</v>
      </c>
      <c r="G3492" s="48" t="s">
        <v>132</v>
      </c>
      <c r="I3492" s="46">
        <v>0</v>
      </c>
      <c r="J3492" s="46">
        <v>0</v>
      </c>
      <c r="L3492" s="46">
        <v>0</v>
      </c>
      <c r="M3492" s="46">
        <v>0</v>
      </c>
    </row>
    <row r="3493" spans="2:13" ht="14.1" customHeight="1" x14ac:dyDescent="0.25">
      <c r="B3493" s="46" t="str">
        <f t="shared" si="59"/>
        <v>2104-19-311021</v>
      </c>
      <c r="C3493" s="47">
        <v>44292</v>
      </c>
      <c r="D3493" s="46">
        <v>19</v>
      </c>
      <c r="E3493" s="46">
        <v>20</v>
      </c>
      <c r="F3493" s="46">
        <v>311021</v>
      </c>
      <c r="G3493" s="48" t="s">
        <v>2181</v>
      </c>
      <c r="I3493" s="46">
        <v>0</v>
      </c>
      <c r="J3493" s="46">
        <v>0</v>
      </c>
      <c r="L3493" s="46">
        <v>0</v>
      </c>
      <c r="M3493" s="46">
        <v>0</v>
      </c>
    </row>
    <row r="3494" spans="2:13" ht="14.1" customHeight="1" x14ac:dyDescent="0.25">
      <c r="B3494" s="46" t="str">
        <f t="shared" si="59"/>
        <v>2104-20-206149</v>
      </c>
      <c r="C3494" s="47">
        <v>44292</v>
      </c>
      <c r="D3494" s="46">
        <v>20</v>
      </c>
      <c r="E3494" s="46">
        <v>20</v>
      </c>
      <c r="F3494" s="46">
        <v>206149</v>
      </c>
      <c r="G3494" s="48" t="s">
        <v>2158</v>
      </c>
      <c r="I3494" s="46">
        <v>0</v>
      </c>
      <c r="J3494" s="46">
        <v>0</v>
      </c>
      <c r="L3494" s="46">
        <v>0</v>
      </c>
      <c r="M3494" s="46">
        <v>0</v>
      </c>
    </row>
    <row r="3495" spans="2:13" ht="14.1" customHeight="1" x14ac:dyDescent="0.25">
      <c r="B3495" s="46" t="str">
        <f t="shared" si="59"/>
        <v>2104-21-311020</v>
      </c>
      <c r="C3495" s="47">
        <v>44292</v>
      </c>
      <c r="D3495" s="46">
        <v>21</v>
      </c>
      <c r="E3495" s="46">
        <v>15</v>
      </c>
      <c r="F3495" s="46">
        <v>311020</v>
      </c>
      <c r="G3495" s="48" t="s">
        <v>2182</v>
      </c>
      <c r="I3495" s="46">
        <v>0</v>
      </c>
      <c r="J3495" s="46">
        <v>0</v>
      </c>
      <c r="L3495" s="46">
        <v>0</v>
      </c>
      <c r="M3495" s="46">
        <v>0</v>
      </c>
    </row>
    <row r="3496" spans="2:13" ht="14.1" customHeight="1" x14ac:dyDescent="0.25">
      <c r="B3496" s="46" t="str">
        <f t="shared" si="59"/>
        <v>2104-22-319847</v>
      </c>
      <c r="C3496" s="47">
        <v>44292</v>
      </c>
      <c r="D3496" s="46">
        <v>22</v>
      </c>
      <c r="E3496" s="46">
        <v>33</v>
      </c>
      <c r="F3496" s="46">
        <v>319847</v>
      </c>
      <c r="G3496" s="48" t="s">
        <v>2184</v>
      </c>
      <c r="I3496" s="46">
        <v>0</v>
      </c>
      <c r="J3496" s="46">
        <v>0</v>
      </c>
      <c r="L3496" s="46">
        <v>0</v>
      </c>
      <c r="M3496" s="46">
        <v>0</v>
      </c>
    </row>
    <row r="3497" spans="2:13" ht="14.1" customHeight="1" x14ac:dyDescent="0.25">
      <c r="B3497" s="46" t="str">
        <f t="shared" si="59"/>
        <v>2104-22-319848</v>
      </c>
      <c r="C3497" s="47">
        <v>44292</v>
      </c>
      <c r="D3497" s="46">
        <v>22</v>
      </c>
      <c r="E3497" s="46">
        <v>30</v>
      </c>
      <c r="F3497" s="46">
        <v>319848</v>
      </c>
      <c r="G3497" s="48" t="s">
        <v>2185</v>
      </c>
      <c r="I3497" s="46">
        <v>0</v>
      </c>
      <c r="J3497" s="46">
        <v>0</v>
      </c>
      <c r="L3497" s="46">
        <v>0</v>
      </c>
      <c r="M3497" s="46">
        <v>0</v>
      </c>
    </row>
    <row r="3498" spans="2:13" ht="14.1" customHeight="1" x14ac:dyDescent="0.25">
      <c r="B3498" s="46" t="str">
        <f t="shared" si="59"/>
        <v>2104-22-319849</v>
      </c>
      <c r="C3498" s="47">
        <v>44292</v>
      </c>
      <c r="D3498" s="46">
        <v>22</v>
      </c>
      <c r="E3498" s="46">
        <v>20</v>
      </c>
      <c r="F3498" s="46">
        <v>319849</v>
      </c>
      <c r="G3498" s="48" t="s">
        <v>2183</v>
      </c>
      <c r="I3498" s="46">
        <v>0</v>
      </c>
      <c r="J3498" s="46">
        <v>0</v>
      </c>
      <c r="L3498" s="46">
        <v>0</v>
      </c>
      <c r="M3498" s="46">
        <v>0</v>
      </c>
    </row>
    <row r="3499" spans="2:13" ht="14.1" customHeight="1" x14ac:dyDescent="0.25">
      <c r="B3499" s="46" t="str">
        <f t="shared" si="59"/>
        <v>2104-31-315848</v>
      </c>
      <c r="C3499" s="47">
        <v>44292</v>
      </c>
      <c r="D3499" s="46">
        <v>31</v>
      </c>
      <c r="E3499" s="46">
        <v>5</v>
      </c>
      <c r="F3499" s="46">
        <v>315848</v>
      </c>
      <c r="G3499" s="48" t="s">
        <v>2187</v>
      </c>
      <c r="I3499" s="46">
        <v>0</v>
      </c>
      <c r="J3499" s="46">
        <v>0</v>
      </c>
      <c r="L3499" s="46">
        <v>0</v>
      </c>
      <c r="M3499" s="46">
        <v>0</v>
      </c>
    </row>
    <row r="3500" spans="2:13" ht="14.1" customHeight="1" x14ac:dyDescent="0.25">
      <c r="B3500" s="46" t="str">
        <f t="shared" si="59"/>
        <v>2104-31-204038</v>
      </c>
      <c r="C3500" s="47">
        <v>44292</v>
      </c>
      <c r="D3500" s="46">
        <v>31</v>
      </c>
      <c r="E3500" s="46">
        <v>5</v>
      </c>
      <c r="F3500" s="46">
        <v>204038</v>
      </c>
      <c r="G3500" s="48" t="s">
        <v>524</v>
      </c>
      <c r="I3500" s="46">
        <v>0</v>
      </c>
      <c r="J3500" s="46">
        <v>0</v>
      </c>
      <c r="L3500" s="46">
        <v>0</v>
      </c>
      <c r="M3500" s="46">
        <v>0</v>
      </c>
    </row>
    <row r="3501" spans="2:13" ht="14.1" customHeight="1" x14ac:dyDescent="0.25">
      <c r="B3501" s="46" t="str">
        <f t="shared" si="59"/>
        <v>2104-31-308702</v>
      </c>
      <c r="C3501" s="47">
        <v>44292</v>
      </c>
      <c r="D3501" s="46">
        <v>31</v>
      </c>
      <c r="E3501" s="46">
        <v>2</v>
      </c>
      <c r="F3501" s="46">
        <v>308702</v>
      </c>
      <c r="G3501" s="48" t="s">
        <v>1227</v>
      </c>
      <c r="H3501" s="47">
        <v>44294</v>
      </c>
      <c r="I3501" s="46">
        <v>52400</v>
      </c>
      <c r="J3501" s="46">
        <v>2</v>
      </c>
      <c r="K3501" s="47">
        <v>44298</v>
      </c>
      <c r="L3501" s="46">
        <v>11781</v>
      </c>
      <c r="M3501" s="46">
        <v>2</v>
      </c>
    </row>
    <row r="3502" spans="2:13" ht="14.1" customHeight="1" x14ac:dyDescent="0.25">
      <c r="B3502" s="46" t="str">
        <f t="shared" ref="B3502:B3516" si="60">TEXT(C3502,"yy") &amp; TEXT(C3502,"mm") &amp;"-"&amp;(D3502) &amp;"-"&amp;(F3502)</f>
        <v>2104-31-307441</v>
      </c>
      <c r="C3502" s="47">
        <v>44292</v>
      </c>
      <c r="D3502" s="46">
        <v>31</v>
      </c>
      <c r="E3502" s="46">
        <v>48</v>
      </c>
      <c r="F3502" s="46">
        <v>307441</v>
      </c>
      <c r="G3502" s="48" t="s">
        <v>2190</v>
      </c>
      <c r="I3502" s="46">
        <v>0</v>
      </c>
      <c r="J3502" s="46">
        <v>0</v>
      </c>
      <c r="L3502" s="46">
        <v>0</v>
      </c>
      <c r="M3502" s="46">
        <v>0</v>
      </c>
    </row>
    <row r="3503" spans="2:13" ht="14.1" customHeight="1" x14ac:dyDescent="0.25">
      <c r="B3503" s="46" t="str">
        <f t="shared" si="60"/>
        <v>2104-31-312389</v>
      </c>
      <c r="C3503" s="47">
        <v>44292</v>
      </c>
      <c r="D3503" s="46">
        <v>31</v>
      </c>
      <c r="E3503" s="46">
        <v>100</v>
      </c>
      <c r="F3503" s="46">
        <v>312389</v>
      </c>
      <c r="G3503" s="48" t="s">
        <v>2188</v>
      </c>
      <c r="I3503" s="46">
        <v>0</v>
      </c>
      <c r="J3503" s="46">
        <v>0</v>
      </c>
      <c r="L3503" s="46">
        <v>0</v>
      </c>
      <c r="M3503" s="46">
        <v>0</v>
      </c>
    </row>
    <row r="3504" spans="2:13" ht="14.1" customHeight="1" x14ac:dyDescent="0.25">
      <c r="B3504" s="46" t="str">
        <f t="shared" si="60"/>
        <v>2104-31-318852</v>
      </c>
      <c r="C3504" s="47">
        <v>44292</v>
      </c>
      <c r="D3504" s="46">
        <v>31</v>
      </c>
      <c r="E3504" s="46">
        <v>6</v>
      </c>
      <c r="F3504" s="46">
        <v>318852</v>
      </c>
      <c r="G3504" s="48" t="s">
        <v>2192</v>
      </c>
      <c r="I3504" s="46">
        <v>0</v>
      </c>
      <c r="J3504" s="46">
        <v>0</v>
      </c>
      <c r="L3504" s="46">
        <v>0</v>
      </c>
      <c r="M3504" s="46">
        <v>0</v>
      </c>
    </row>
    <row r="3505" spans="2:13" ht="14.1" customHeight="1" x14ac:dyDescent="0.25">
      <c r="B3505" s="46" t="str">
        <f t="shared" si="60"/>
        <v>2104-31-308308</v>
      </c>
      <c r="C3505" s="47">
        <v>44292</v>
      </c>
      <c r="D3505" s="46">
        <v>31</v>
      </c>
      <c r="E3505" s="46">
        <v>1</v>
      </c>
      <c r="F3505" s="46">
        <v>308308</v>
      </c>
      <c r="G3505" s="48" t="s">
        <v>2191</v>
      </c>
      <c r="I3505" s="46">
        <v>0</v>
      </c>
      <c r="J3505" s="46">
        <v>0</v>
      </c>
      <c r="L3505" s="46">
        <v>0</v>
      </c>
      <c r="M3505" s="46">
        <v>0</v>
      </c>
    </row>
    <row r="3506" spans="2:13" ht="14.1" customHeight="1" x14ac:dyDescent="0.25">
      <c r="B3506" s="46" t="str">
        <f t="shared" si="60"/>
        <v>2104-31-315847</v>
      </c>
      <c r="C3506" s="47">
        <v>44292</v>
      </c>
      <c r="D3506" s="46">
        <v>31</v>
      </c>
      <c r="E3506" s="46">
        <v>4</v>
      </c>
      <c r="F3506" s="46">
        <v>315847</v>
      </c>
      <c r="G3506" s="48" t="s">
        <v>2189</v>
      </c>
      <c r="I3506" s="46">
        <v>0</v>
      </c>
      <c r="J3506" s="46">
        <v>0</v>
      </c>
      <c r="L3506" s="46">
        <v>0</v>
      </c>
      <c r="M3506" s="46">
        <v>0</v>
      </c>
    </row>
    <row r="3507" spans="2:13" ht="14.1" customHeight="1" x14ac:dyDescent="0.25">
      <c r="B3507" s="46" t="str">
        <f t="shared" si="60"/>
        <v>2104-32-317525</v>
      </c>
      <c r="C3507" s="47">
        <v>44292</v>
      </c>
      <c r="D3507" s="46">
        <v>32</v>
      </c>
      <c r="E3507" s="46">
        <v>1</v>
      </c>
      <c r="F3507" s="46">
        <v>317525</v>
      </c>
      <c r="G3507" s="48" t="s">
        <v>2193</v>
      </c>
      <c r="I3507" s="46">
        <v>0</v>
      </c>
      <c r="J3507" s="46">
        <v>0</v>
      </c>
      <c r="L3507" s="46">
        <v>0</v>
      </c>
      <c r="M3507" s="46">
        <v>0</v>
      </c>
    </row>
    <row r="3508" spans="2:13" ht="14.1" customHeight="1" x14ac:dyDescent="0.25">
      <c r="B3508" s="46" t="str">
        <f t="shared" si="60"/>
        <v>2104-32-317525</v>
      </c>
      <c r="C3508" s="47">
        <v>44292</v>
      </c>
      <c r="D3508" s="46">
        <v>32</v>
      </c>
      <c r="E3508" s="46">
        <v>1</v>
      </c>
      <c r="F3508" s="46">
        <v>317525</v>
      </c>
      <c r="G3508" s="48" t="s">
        <v>2193</v>
      </c>
      <c r="I3508" s="46">
        <v>0</v>
      </c>
      <c r="J3508" s="46">
        <v>0</v>
      </c>
      <c r="L3508" s="46">
        <v>0</v>
      </c>
      <c r="M3508" s="46">
        <v>0</v>
      </c>
    </row>
    <row r="3509" spans="2:13" ht="14.1" customHeight="1" x14ac:dyDescent="0.25">
      <c r="B3509" s="46" t="str">
        <f t="shared" si="60"/>
        <v>2104-39-205416</v>
      </c>
      <c r="C3509" s="47">
        <v>44292</v>
      </c>
      <c r="D3509" s="46">
        <v>39</v>
      </c>
      <c r="E3509" s="46">
        <v>8</v>
      </c>
      <c r="F3509" s="46">
        <v>205416</v>
      </c>
      <c r="G3509" s="48" t="s">
        <v>2195</v>
      </c>
      <c r="H3509" s="47">
        <v>44293</v>
      </c>
      <c r="I3509" s="46">
        <v>52379</v>
      </c>
      <c r="J3509" s="46">
        <v>8</v>
      </c>
      <c r="K3509" s="47">
        <v>44294</v>
      </c>
      <c r="L3509" s="46">
        <v>11749</v>
      </c>
      <c r="M3509" s="46">
        <v>8</v>
      </c>
    </row>
    <row r="3510" spans="2:13" ht="14.1" customHeight="1" x14ac:dyDescent="0.25">
      <c r="B3510" s="46" t="str">
        <f t="shared" si="60"/>
        <v>2104-39-200525</v>
      </c>
      <c r="C3510" s="47">
        <v>44292</v>
      </c>
      <c r="D3510" s="46">
        <v>39</v>
      </c>
      <c r="E3510" s="46">
        <v>1</v>
      </c>
      <c r="F3510" s="46">
        <v>200525</v>
      </c>
      <c r="G3510" s="48" t="s">
        <v>2194</v>
      </c>
      <c r="H3510" s="47">
        <v>44293</v>
      </c>
      <c r="I3510" s="46">
        <v>52379</v>
      </c>
      <c r="J3510" s="46">
        <v>1</v>
      </c>
      <c r="L3510" s="46">
        <v>0</v>
      </c>
      <c r="M3510" s="46">
        <v>0</v>
      </c>
    </row>
    <row r="3511" spans="2:13" ht="14.1" customHeight="1" x14ac:dyDescent="0.25">
      <c r="B3511" s="46" t="str">
        <f t="shared" si="60"/>
        <v>2104-39-316537</v>
      </c>
      <c r="C3511" s="47">
        <v>44292</v>
      </c>
      <c r="D3511" s="46">
        <v>39</v>
      </c>
      <c r="E3511" s="46">
        <v>1</v>
      </c>
      <c r="F3511" s="46">
        <v>316537</v>
      </c>
      <c r="G3511" s="48" t="s">
        <v>2201</v>
      </c>
      <c r="H3511" s="47">
        <v>44293</v>
      </c>
      <c r="I3511" s="46">
        <v>52379</v>
      </c>
      <c r="J3511" s="46">
        <v>1</v>
      </c>
      <c r="K3511" s="47">
        <v>44294</v>
      </c>
      <c r="L3511" s="46">
        <v>11749</v>
      </c>
      <c r="M3511" s="46">
        <v>1</v>
      </c>
    </row>
    <row r="3512" spans="2:13" ht="14.1" customHeight="1" x14ac:dyDescent="0.25">
      <c r="B3512" s="46" t="str">
        <f t="shared" si="60"/>
        <v>2104-39-307534</v>
      </c>
      <c r="C3512" s="47">
        <v>44292</v>
      </c>
      <c r="D3512" s="46">
        <v>39</v>
      </c>
      <c r="E3512" s="46">
        <v>8</v>
      </c>
      <c r="F3512" s="46">
        <v>307534</v>
      </c>
      <c r="G3512" s="48" t="s">
        <v>2202</v>
      </c>
      <c r="H3512" s="47">
        <v>44293</v>
      </c>
      <c r="I3512" s="46">
        <v>52379</v>
      </c>
      <c r="J3512" s="46">
        <v>8</v>
      </c>
      <c r="K3512" s="47">
        <v>44294</v>
      </c>
      <c r="L3512" s="46">
        <v>11749</v>
      </c>
      <c r="M3512" s="46">
        <v>8</v>
      </c>
    </row>
    <row r="3513" spans="2:13" ht="14.1" customHeight="1" x14ac:dyDescent="0.25">
      <c r="B3513" s="46" t="str">
        <f t="shared" si="60"/>
        <v>2104-39-100035</v>
      </c>
      <c r="C3513" s="47">
        <v>44292</v>
      </c>
      <c r="D3513" s="46">
        <v>39</v>
      </c>
      <c r="E3513" s="46">
        <v>1</v>
      </c>
      <c r="F3513" s="46">
        <v>100035</v>
      </c>
      <c r="G3513" s="48" t="s">
        <v>2198</v>
      </c>
      <c r="H3513" s="47">
        <v>44293</v>
      </c>
      <c r="I3513" s="46">
        <v>52379</v>
      </c>
      <c r="J3513" s="46">
        <v>1</v>
      </c>
      <c r="K3513" s="47">
        <v>44294</v>
      </c>
      <c r="L3513" s="46">
        <v>11749</v>
      </c>
      <c r="M3513" s="46">
        <v>1</v>
      </c>
    </row>
    <row r="3514" spans="2:13" ht="14.1" customHeight="1" x14ac:dyDescent="0.25">
      <c r="B3514" s="46" t="str">
        <f t="shared" si="60"/>
        <v>2104-39-105118</v>
      </c>
      <c r="C3514" s="47">
        <v>44292</v>
      </c>
      <c r="D3514" s="46">
        <v>39</v>
      </c>
      <c r="E3514" s="46">
        <v>1</v>
      </c>
      <c r="F3514" s="46">
        <v>105118</v>
      </c>
      <c r="G3514" s="48" t="s">
        <v>2199</v>
      </c>
      <c r="H3514" s="47">
        <v>44293</v>
      </c>
      <c r="I3514" s="46">
        <v>52379</v>
      </c>
      <c r="J3514" s="46">
        <v>1</v>
      </c>
      <c r="K3514" s="47">
        <v>44294</v>
      </c>
      <c r="L3514" s="46">
        <v>11749</v>
      </c>
      <c r="M3514" s="46">
        <v>1</v>
      </c>
    </row>
    <row r="3515" spans="2:13" ht="14.1" customHeight="1" x14ac:dyDescent="0.25">
      <c r="B3515" s="46" t="str">
        <f t="shared" si="60"/>
        <v>2104-39-320175</v>
      </c>
      <c r="C3515" s="47">
        <v>44292</v>
      </c>
      <c r="D3515" s="46">
        <v>39</v>
      </c>
      <c r="E3515" s="46">
        <v>1</v>
      </c>
      <c r="F3515" s="46">
        <v>320175</v>
      </c>
      <c r="G3515" s="48" t="s">
        <v>2200</v>
      </c>
      <c r="H3515" s="47">
        <v>44293</v>
      </c>
      <c r="I3515" s="46">
        <v>52379</v>
      </c>
      <c r="J3515" s="46">
        <v>1</v>
      </c>
      <c r="L3515" s="46">
        <v>0</v>
      </c>
      <c r="M3515" s="46">
        <v>0</v>
      </c>
    </row>
    <row r="3516" spans="2:13" ht="14.1" customHeight="1" x14ac:dyDescent="0.25">
      <c r="B3516" s="46" t="str">
        <f t="shared" si="60"/>
        <v>2104-39-302490</v>
      </c>
      <c r="C3516" s="47">
        <v>44292</v>
      </c>
      <c r="D3516" s="46">
        <v>39</v>
      </c>
      <c r="E3516" s="46">
        <v>1</v>
      </c>
      <c r="F3516" s="46">
        <v>302490</v>
      </c>
      <c r="G3516" s="48" t="s">
        <v>2197</v>
      </c>
      <c r="H3516" s="47">
        <v>44293</v>
      </c>
      <c r="I3516" s="46">
        <v>52379</v>
      </c>
      <c r="J3516" s="46">
        <v>1</v>
      </c>
      <c r="L3516" s="46">
        <v>0</v>
      </c>
      <c r="M3516" s="46">
        <v>0</v>
      </c>
    </row>
    <row r="3517" spans="2:13" ht="14.1" customHeight="1" x14ac:dyDescent="0.25">
      <c r="B3517" s="251" t="str">
        <f t="shared" ref="B3517:B3548" si="61">TEXT(C3517,"yy") &amp; TEXT(C3517,"mm") &amp;"-"&amp;(D3517) &amp;"-"&amp;(F3517)</f>
        <v>2104-39-309173</v>
      </c>
      <c r="C3517" s="252">
        <v>44292</v>
      </c>
      <c r="D3517" s="251">
        <v>39</v>
      </c>
      <c r="E3517" s="251">
        <v>2</v>
      </c>
      <c r="F3517" s="251">
        <v>309173</v>
      </c>
      <c r="G3517" s="253" t="s">
        <v>2196</v>
      </c>
      <c r="H3517" s="252">
        <v>44293</v>
      </c>
      <c r="I3517" s="251">
        <v>52379</v>
      </c>
      <c r="J3517" s="251">
        <v>2</v>
      </c>
      <c r="K3517" s="252"/>
      <c r="L3517" s="251">
        <v>0</v>
      </c>
      <c r="M3517" s="251">
        <v>0</v>
      </c>
    </row>
    <row r="3518" spans="2:13" ht="14.1" customHeight="1" x14ac:dyDescent="0.25">
      <c r="B3518" s="251" t="str">
        <f t="shared" si="61"/>
        <v>2104-46-319688</v>
      </c>
      <c r="C3518" s="252">
        <v>44293</v>
      </c>
      <c r="D3518" s="251">
        <v>46</v>
      </c>
      <c r="E3518" s="251">
        <v>2000</v>
      </c>
      <c r="F3518" s="251">
        <v>319688</v>
      </c>
      <c r="G3518" s="253" t="s">
        <v>281</v>
      </c>
      <c r="H3518" s="252">
        <v>44294</v>
      </c>
      <c r="I3518" s="251">
        <v>52397</v>
      </c>
      <c r="J3518" s="251">
        <v>2000</v>
      </c>
      <c r="K3518" s="252">
        <v>44298</v>
      </c>
      <c r="L3518" s="251">
        <v>11780</v>
      </c>
      <c r="M3518" s="251">
        <v>2000</v>
      </c>
    </row>
    <row r="3519" spans="2:13" ht="14.1" customHeight="1" x14ac:dyDescent="0.25">
      <c r="B3519" s="251" t="str">
        <f t="shared" si="61"/>
        <v>2104-47-315137</v>
      </c>
      <c r="C3519" s="252">
        <v>44293</v>
      </c>
      <c r="D3519" s="251">
        <v>47</v>
      </c>
      <c r="E3519" s="251">
        <v>8</v>
      </c>
      <c r="F3519" s="251">
        <v>315137</v>
      </c>
      <c r="G3519" s="253" t="s">
        <v>328</v>
      </c>
      <c r="H3519" s="252">
        <v>44295</v>
      </c>
      <c r="I3519" s="251">
        <v>52431</v>
      </c>
      <c r="J3519" s="251">
        <v>8</v>
      </c>
      <c r="K3519" s="252"/>
      <c r="L3519" s="251">
        <v>0</v>
      </c>
      <c r="M3519" s="251">
        <v>0</v>
      </c>
    </row>
    <row r="3520" spans="2:13" ht="14.1" customHeight="1" x14ac:dyDescent="0.25">
      <c r="B3520" s="251" t="str">
        <f t="shared" si="61"/>
        <v>2104-48-320698</v>
      </c>
      <c r="C3520" s="252">
        <v>44294</v>
      </c>
      <c r="D3520" s="251">
        <v>48</v>
      </c>
      <c r="E3520" s="251">
        <v>1</v>
      </c>
      <c r="F3520" s="251">
        <v>320698</v>
      </c>
      <c r="G3520" s="253" t="s">
        <v>2207</v>
      </c>
      <c r="H3520" s="252">
        <v>44294</v>
      </c>
      <c r="I3520" s="251">
        <v>52398</v>
      </c>
      <c r="J3520" s="251">
        <v>1</v>
      </c>
      <c r="K3520" s="252"/>
      <c r="L3520" s="251">
        <v>0</v>
      </c>
      <c r="M3520" s="251">
        <v>0</v>
      </c>
    </row>
    <row r="3521" spans="2:13" ht="14.1" customHeight="1" x14ac:dyDescent="0.25">
      <c r="B3521" s="251" t="str">
        <f t="shared" si="61"/>
        <v>2104-48-320698</v>
      </c>
      <c r="C3521" s="252">
        <v>44294</v>
      </c>
      <c r="D3521" s="251">
        <v>48</v>
      </c>
      <c r="E3521" s="251">
        <v>1</v>
      </c>
      <c r="F3521" s="251">
        <v>320698</v>
      </c>
      <c r="G3521" s="253" t="s">
        <v>2207</v>
      </c>
      <c r="H3521" s="252">
        <v>44294</v>
      </c>
      <c r="I3521" s="251">
        <v>52398</v>
      </c>
      <c r="J3521" s="251">
        <v>1</v>
      </c>
      <c r="K3521" s="252"/>
      <c r="L3521" s="251">
        <v>0</v>
      </c>
      <c r="M3521" s="251">
        <v>0</v>
      </c>
    </row>
    <row r="3522" spans="2:13" ht="14.1" customHeight="1" x14ac:dyDescent="0.25">
      <c r="B3522" s="251" t="str">
        <f t="shared" si="61"/>
        <v>2104-48-319524</v>
      </c>
      <c r="C3522" s="252">
        <v>44294</v>
      </c>
      <c r="D3522" s="251">
        <v>48</v>
      </c>
      <c r="E3522" s="251">
        <v>1</v>
      </c>
      <c r="F3522" s="251">
        <v>319524</v>
      </c>
      <c r="G3522" s="253" t="s">
        <v>935</v>
      </c>
      <c r="H3522" s="252">
        <v>44294</v>
      </c>
      <c r="I3522" s="251">
        <v>52402</v>
      </c>
      <c r="J3522" s="251">
        <v>1</v>
      </c>
      <c r="K3522" s="252">
        <v>44298</v>
      </c>
      <c r="L3522" s="251">
        <v>11784</v>
      </c>
      <c r="M3522" s="251">
        <v>1</v>
      </c>
    </row>
    <row r="3523" spans="2:13" ht="14.1" customHeight="1" x14ac:dyDescent="0.25">
      <c r="B3523" s="251" t="str">
        <f t="shared" si="61"/>
        <v>2104-50-206168</v>
      </c>
      <c r="C3523" s="252">
        <v>44294</v>
      </c>
      <c r="D3523" s="251">
        <v>50</v>
      </c>
      <c r="E3523" s="251">
        <v>20</v>
      </c>
      <c r="F3523" s="251">
        <v>206168</v>
      </c>
      <c r="G3523" s="253" t="s">
        <v>1121</v>
      </c>
      <c r="H3523" s="252"/>
      <c r="I3523" s="251">
        <v>0</v>
      </c>
      <c r="J3523" s="251">
        <v>0</v>
      </c>
      <c r="K3523" s="252"/>
      <c r="L3523" s="251">
        <v>0</v>
      </c>
      <c r="M3523" s="251">
        <v>0</v>
      </c>
    </row>
    <row r="3524" spans="2:13" ht="14.1" customHeight="1" x14ac:dyDescent="0.25">
      <c r="B3524" s="251" t="str">
        <f t="shared" si="61"/>
        <v>2104-50-202478</v>
      </c>
      <c r="C3524" s="252">
        <v>44294</v>
      </c>
      <c r="D3524" s="251">
        <v>50</v>
      </c>
      <c r="E3524" s="251">
        <v>20</v>
      </c>
      <c r="F3524" s="251">
        <v>202478</v>
      </c>
      <c r="G3524" s="253" t="s">
        <v>1122</v>
      </c>
      <c r="H3524" s="252"/>
      <c r="I3524" s="251">
        <v>0</v>
      </c>
      <c r="J3524" s="251">
        <v>0</v>
      </c>
      <c r="K3524" s="252"/>
      <c r="L3524" s="251">
        <v>0</v>
      </c>
      <c r="M3524" s="251">
        <v>0</v>
      </c>
    </row>
    <row r="3525" spans="2:13" ht="14.1" customHeight="1" x14ac:dyDescent="0.25">
      <c r="B3525" s="251" t="str">
        <f t="shared" si="61"/>
        <v>2104-50-202477</v>
      </c>
      <c r="C3525" s="252">
        <v>44294</v>
      </c>
      <c r="D3525" s="251">
        <v>50</v>
      </c>
      <c r="E3525" s="251">
        <v>4</v>
      </c>
      <c r="F3525" s="251">
        <v>202477</v>
      </c>
      <c r="G3525" s="253" t="s">
        <v>1120</v>
      </c>
      <c r="H3525" s="252"/>
      <c r="I3525" s="251">
        <v>0</v>
      </c>
      <c r="J3525" s="251">
        <v>0</v>
      </c>
      <c r="K3525" s="252"/>
      <c r="L3525" s="251">
        <v>0</v>
      </c>
      <c r="M3525" s="251">
        <v>0</v>
      </c>
    </row>
    <row r="3526" spans="2:13" ht="14.1" customHeight="1" x14ac:dyDescent="0.25">
      <c r="B3526" s="251" t="str">
        <f t="shared" si="61"/>
        <v>2104-54-313812</v>
      </c>
      <c r="C3526" s="252">
        <v>44294</v>
      </c>
      <c r="D3526" s="251">
        <v>54</v>
      </c>
      <c r="E3526" s="251">
        <v>1</v>
      </c>
      <c r="F3526" s="251">
        <v>313812</v>
      </c>
      <c r="G3526" s="253" t="s">
        <v>225</v>
      </c>
      <c r="H3526" s="252">
        <v>44299</v>
      </c>
      <c r="I3526" s="251">
        <v>52449</v>
      </c>
      <c r="J3526" s="251">
        <v>1</v>
      </c>
      <c r="K3526" s="252">
        <v>44294</v>
      </c>
      <c r="L3526" s="251">
        <v>11753</v>
      </c>
      <c r="M3526" s="251">
        <v>1</v>
      </c>
    </row>
    <row r="3527" spans="2:13" ht="14.1" customHeight="1" x14ac:dyDescent="0.25">
      <c r="B3527" s="251" t="str">
        <f t="shared" si="61"/>
        <v>2104-55-202512</v>
      </c>
      <c r="C3527" s="252">
        <v>44294</v>
      </c>
      <c r="D3527" s="251">
        <v>55</v>
      </c>
      <c r="E3527" s="251">
        <v>2</v>
      </c>
      <c r="F3527" s="251">
        <v>202512</v>
      </c>
      <c r="G3527" s="253" t="s">
        <v>292</v>
      </c>
      <c r="H3527" s="252"/>
      <c r="I3527" s="251">
        <v>0</v>
      </c>
      <c r="J3527" s="251">
        <v>0</v>
      </c>
      <c r="K3527" s="252"/>
      <c r="L3527" s="251">
        <v>0</v>
      </c>
      <c r="M3527" s="251">
        <v>0</v>
      </c>
    </row>
    <row r="3528" spans="2:13" ht="14.1" customHeight="1" x14ac:dyDescent="0.25">
      <c r="B3528" s="251" t="str">
        <f t="shared" si="61"/>
        <v>2104-55-319327</v>
      </c>
      <c r="C3528" s="252">
        <v>44294</v>
      </c>
      <c r="D3528" s="251">
        <v>55</v>
      </c>
      <c r="E3528" s="251">
        <v>8</v>
      </c>
      <c r="F3528" s="251">
        <v>319327</v>
      </c>
      <c r="G3528" s="253" t="s">
        <v>80</v>
      </c>
      <c r="H3528" s="252"/>
      <c r="I3528" s="251">
        <v>0</v>
      </c>
      <c r="J3528" s="251">
        <v>0</v>
      </c>
      <c r="K3528" s="252"/>
      <c r="L3528" s="251">
        <v>0</v>
      </c>
      <c r="M3528" s="251">
        <v>0</v>
      </c>
    </row>
    <row r="3529" spans="2:13" ht="14.1" customHeight="1" x14ac:dyDescent="0.25">
      <c r="B3529" s="251" t="str">
        <f t="shared" si="61"/>
        <v>2104-61-313498</v>
      </c>
      <c r="C3529" s="252">
        <v>44294</v>
      </c>
      <c r="D3529" s="251">
        <v>61</v>
      </c>
      <c r="E3529" s="251">
        <v>1</v>
      </c>
      <c r="F3529" s="251">
        <v>313498</v>
      </c>
      <c r="G3529" s="253" t="s">
        <v>2217</v>
      </c>
      <c r="H3529" s="252">
        <v>44299</v>
      </c>
      <c r="I3529" s="251">
        <v>52450</v>
      </c>
      <c r="J3529" s="251">
        <v>1</v>
      </c>
      <c r="K3529" s="252">
        <v>44294</v>
      </c>
      <c r="L3529" s="251">
        <v>11761</v>
      </c>
      <c r="M3529" s="251">
        <v>1</v>
      </c>
    </row>
    <row r="3530" spans="2:13" ht="14.1" customHeight="1" x14ac:dyDescent="0.25">
      <c r="B3530" s="251" t="str">
        <f t="shared" si="61"/>
        <v>2104-66-305120</v>
      </c>
      <c r="C3530" s="252">
        <v>44294</v>
      </c>
      <c r="D3530" s="251">
        <v>66</v>
      </c>
      <c r="E3530" s="251">
        <v>2</v>
      </c>
      <c r="F3530" s="251">
        <v>305120</v>
      </c>
      <c r="G3530" s="253" t="s">
        <v>2219</v>
      </c>
      <c r="H3530" s="252"/>
      <c r="I3530" s="251">
        <v>0</v>
      </c>
      <c r="J3530" s="251">
        <v>0</v>
      </c>
      <c r="K3530" s="252"/>
      <c r="L3530" s="251">
        <v>0</v>
      </c>
      <c r="M3530" s="251">
        <v>0</v>
      </c>
    </row>
    <row r="3531" spans="2:13" ht="14.1" customHeight="1" x14ac:dyDescent="0.25">
      <c r="B3531" s="251" t="str">
        <f t="shared" si="61"/>
        <v>2104-66-318777</v>
      </c>
      <c r="C3531" s="252">
        <v>44294</v>
      </c>
      <c r="D3531" s="251">
        <v>66</v>
      </c>
      <c r="E3531" s="251">
        <v>1</v>
      </c>
      <c r="F3531" s="251">
        <v>318777</v>
      </c>
      <c r="G3531" s="253" t="s">
        <v>2220</v>
      </c>
      <c r="H3531" s="252"/>
      <c r="I3531" s="251">
        <v>0</v>
      </c>
      <c r="J3531" s="251">
        <v>0</v>
      </c>
      <c r="K3531" s="252"/>
      <c r="L3531" s="251">
        <v>0</v>
      </c>
      <c r="M3531" s="251">
        <v>0</v>
      </c>
    </row>
    <row r="3532" spans="2:13" ht="14.1" customHeight="1" x14ac:dyDescent="0.25">
      <c r="B3532" s="251" t="str">
        <f t="shared" si="61"/>
        <v>2104-66-312811</v>
      </c>
      <c r="C3532" s="252">
        <v>44294</v>
      </c>
      <c r="D3532" s="251">
        <v>66</v>
      </c>
      <c r="E3532" s="251">
        <v>2</v>
      </c>
      <c r="F3532" s="251">
        <v>312811</v>
      </c>
      <c r="G3532" s="253" t="s">
        <v>2218</v>
      </c>
      <c r="H3532" s="252"/>
      <c r="I3532" s="251">
        <v>0</v>
      </c>
      <c r="J3532" s="251">
        <v>0</v>
      </c>
      <c r="K3532" s="252"/>
      <c r="L3532" s="251">
        <v>0</v>
      </c>
      <c r="M3532" s="251">
        <v>0</v>
      </c>
    </row>
    <row r="3533" spans="2:13" ht="14.1" customHeight="1" x14ac:dyDescent="0.25">
      <c r="B3533" s="251" t="str">
        <f t="shared" si="61"/>
        <v>2104-68-319359</v>
      </c>
      <c r="C3533" s="252">
        <v>44294</v>
      </c>
      <c r="D3533" s="251">
        <v>68</v>
      </c>
      <c r="E3533" s="251">
        <v>6000</v>
      </c>
      <c r="F3533" s="251">
        <v>319359</v>
      </c>
      <c r="G3533" s="253" t="s">
        <v>210</v>
      </c>
      <c r="H3533" s="252"/>
      <c r="I3533" s="251">
        <v>0</v>
      </c>
      <c r="J3533" s="251">
        <v>0</v>
      </c>
      <c r="K3533" s="252">
        <v>44298</v>
      </c>
      <c r="L3533" s="251">
        <v>11797</v>
      </c>
      <c r="M3533" s="251">
        <v>6000</v>
      </c>
    </row>
    <row r="3534" spans="2:13" ht="14.1" customHeight="1" x14ac:dyDescent="0.25">
      <c r="B3534" s="251" t="str">
        <f t="shared" si="61"/>
        <v>2104-69-200751</v>
      </c>
      <c r="C3534" s="252">
        <v>44294</v>
      </c>
      <c r="D3534" s="251">
        <v>69</v>
      </c>
      <c r="E3534" s="251">
        <v>20000</v>
      </c>
      <c r="F3534" s="251">
        <v>200751</v>
      </c>
      <c r="G3534" s="253" t="s">
        <v>151</v>
      </c>
      <c r="H3534" s="252"/>
      <c r="I3534" s="251">
        <v>0</v>
      </c>
      <c r="J3534" s="251">
        <v>0</v>
      </c>
      <c r="K3534" s="252">
        <v>44299</v>
      </c>
      <c r="L3534" s="251">
        <v>11818</v>
      </c>
      <c r="M3534" s="251">
        <v>9717</v>
      </c>
    </row>
    <row r="3535" spans="2:13" ht="14.1" customHeight="1" x14ac:dyDescent="0.25">
      <c r="B3535" s="251" t="str">
        <f t="shared" si="61"/>
        <v>2104-69-200751</v>
      </c>
      <c r="C3535" s="252">
        <v>44294</v>
      </c>
      <c r="D3535" s="251">
        <v>69</v>
      </c>
      <c r="E3535" s="251">
        <v>20000</v>
      </c>
      <c r="F3535" s="251">
        <v>200751</v>
      </c>
      <c r="G3535" s="253" t="s">
        <v>151</v>
      </c>
      <c r="H3535" s="252"/>
      <c r="I3535" s="251">
        <v>0</v>
      </c>
      <c r="J3535" s="251">
        <v>0</v>
      </c>
      <c r="K3535" s="252">
        <v>44299</v>
      </c>
      <c r="L3535" s="251">
        <v>11820</v>
      </c>
      <c r="M3535" s="251">
        <v>9717</v>
      </c>
    </row>
    <row r="3536" spans="2:13" ht="14.1" customHeight="1" x14ac:dyDescent="0.25">
      <c r="B3536" s="251" t="str">
        <f t="shared" si="61"/>
        <v>2104-70-316612</v>
      </c>
      <c r="C3536" s="252">
        <v>44295</v>
      </c>
      <c r="D3536" s="251">
        <v>70</v>
      </c>
      <c r="E3536" s="251">
        <v>500</v>
      </c>
      <c r="F3536" s="251">
        <v>316612</v>
      </c>
      <c r="G3536" s="253" t="s">
        <v>126</v>
      </c>
      <c r="H3536" s="252">
        <v>44299</v>
      </c>
      <c r="I3536" s="251">
        <v>52479</v>
      </c>
      <c r="J3536" s="251">
        <v>500</v>
      </c>
      <c r="K3536" s="252">
        <v>44301</v>
      </c>
      <c r="L3536" s="251">
        <v>11847</v>
      </c>
      <c r="M3536" s="251">
        <v>500</v>
      </c>
    </row>
    <row r="3537" spans="2:13" ht="14.1" customHeight="1" x14ac:dyDescent="0.25">
      <c r="B3537" s="251" t="str">
        <f t="shared" si="61"/>
        <v>2104-70-320658</v>
      </c>
      <c r="C3537" s="252">
        <v>44295</v>
      </c>
      <c r="D3537" s="251">
        <v>70</v>
      </c>
      <c r="E3537" s="251">
        <v>100</v>
      </c>
      <c r="F3537" s="251">
        <v>320658</v>
      </c>
      <c r="G3537" s="253" t="s">
        <v>1438</v>
      </c>
      <c r="H3537" s="252">
        <v>44299</v>
      </c>
      <c r="I3537" s="251">
        <v>52480</v>
      </c>
      <c r="J3537" s="251">
        <v>100</v>
      </c>
      <c r="K3537" s="252">
        <v>44302</v>
      </c>
      <c r="L3537" s="251">
        <v>11848</v>
      </c>
      <c r="M3537" s="251">
        <v>100</v>
      </c>
    </row>
    <row r="3538" spans="2:13" ht="14.1" customHeight="1" x14ac:dyDescent="0.25">
      <c r="B3538" s="251" t="str">
        <f t="shared" si="61"/>
        <v>2104-70-320657</v>
      </c>
      <c r="C3538" s="252">
        <v>44295</v>
      </c>
      <c r="D3538" s="251">
        <v>70</v>
      </c>
      <c r="E3538" s="251">
        <v>100</v>
      </c>
      <c r="F3538" s="251">
        <v>320657</v>
      </c>
      <c r="G3538" s="253" t="s">
        <v>1437</v>
      </c>
      <c r="H3538" s="252">
        <v>44299</v>
      </c>
      <c r="I3538" s="251">
        <v>52480</v>
      </c>
      <c r="J3538" s="251">
        <v>100</v>
      </c>
      <c r="K3538" s="252">
        <v>44302</v>
      </c>
      <c r="L3538" s="251">
        <v>11848</v>
      </c>
      <c r="M3538" s="251">
        <v>100</v>
      </c>
    </row>
    <row r="3539" spans="2:13" ht="14.1" customHeight="1" x14ac:dyDescent="0.25">
      <c r="B3539" s="251" t="str">
        <f t="shared" si="61"/>
        <v>2104-70-320659</v>
      </c>
      <c r="C3539" s="252">
        <v>44295</v>
      </c>
      <c r="D3539" s="251">
        <v>70</v>
      </c>
      <c r="E3539" s="251">
        <v>300</v>
      </c>
      <c r="F3539" s="251">
        <v>320659</v>
      </c>
      <c r="G3539" s="253" t="s">
        <v>1439</v>
      </c>
      <c r="H3539" s="252">
        <v>44299</v>
      </c>
      <c r="I3539" s="251">
        <v>52480</v>
      </c>
      <c r="J3539" s="251">
        <v>300</v>
      </c>
      <c r="K3539" s="252">
        <v>44302</v>
      </c>
      <c r="L3539" s="251">
        <v>11848</v>
      </c>
      <c r="M3539" s="251">
        <v>300</v>
      </c>
    </row>
    <row r="3540" spans="2:13" ht="14.1" customHeight="1" x14ac:dyDescent="0.25">
      <c r="B3540" s="251" t="str">
        <f t="shared" si="61"/>
        <v>2104-71-301684</v>
      </c>
      <c r="C3540" s="252">
        <v>44295</v>
      </c>
      <c r="D3540" s="251">
        <v>71</v>
      </c>
      <c r="E3540" s="251">
        <v>2</v>
      </c>
      <c r="F3540" s="251">
        <v>301684</v>
      </c>
      <c r="G3540" s="253" t="s">
        <v>2119</v>
      </c>
      <c r="H3540" s="252"/>
      <c r="I3540" s="251">
        <v>0</v>
      </c>
      <c r="J3540" s="251">
        <v>0</v>
      </c>
      <c r="K3540" s="252"/>
      <c r="L3540" s="251">
        <v>0</v>
      </c>
      <c r="M3540" s="251">
        <v>0</v>
      </c>
    </row>
    <row r="3541" spans="2:13" ht="14.1" customHeight="1" x14ac:dyDescent="0.25">
      <c r="B3541" s="251" t="str">
        <f t="shared" si="61"/>
        <v>2104-72-205515</v>
      </c>
      <c r="C3541" s="252">
        <v>44295</v>
      </c>
      <c r="D3541" s="251">
        <v>72</v>
      </c>
      <c r="E3541" s="251">
        <v>4</v>
      </c>
      <c r="F3541" s="251">
        <v>205515</v>
      </c>
      <c r="G3541" s="253" t="s">
        <v>2221</v>
      </c>
      <c r="H3541" s="252"/>
      <c r="I3541" s="251">
        <v>0</v>
      </c>
      <c r="J3541" s="251">
        <v>0</v>
      </c>
      <c r="K3541" s="252"/>
      <c r="L3541" s="251">
        <v>0</v>
      </c>
      <c r="M3541" s="251">
        <v>0</v>
      </c>
    </row>
    <row r="3542" spans="2:13" ht="14.1" customHeight="1" x14ac:dyDescent="0.25">
      <c r="B3542" s="251" t="str">
        <f t="shared" si="61"/>
        <v>2104-72-319091</v>
      </c>
      <c r="C3542" s="252">
        <v>44295</v>
      </c>
      <c r="D3542" s="251">
        <v>72</v>
      </c>
      <c r="E3542" s="251">
        <v>4</v>
      </c>
      <c r="F3542" s="251">
        <v>319091</v>
      </c>
      <c r="G3542" s="253" t="s">
        <v>2222</v>
      </c>
      <c r="H3542" s="252"/>
      <c r="I3542" s="251">
        <v>0</v>
      </c>
      <c r="J3542" s="251">
        <v>0</v>
      </c>
      <c r="K3542" s="252"/>
      <c r="L3542" s="251">
        <v>0</v>
      </c>
      <c r="M3542" s="251">
        <v>0</v>
      </c>
    </row>
    <row r="3543" spans="2:13" ht="14.1" customHeight="1" x14ac:dyDescent="0.25">
      <c r="B3543" s="251" t="str">
        <f t="shared" si="61"/>
        <v>2104-73-315665</v>
      </c>
      <c r="C3543" s="252">
        <v>44295</v>
      </c>
      <c r="D3543" s="251">
        <v>73</v>
      </c>
      <c r="E3543" s="251">
        <v>10</v>
      </c>
      <c r="F3543" s="251">
        <v>315665</v>
      </c>
      <c r="G3543" s="253" t="s">
        <v>116</v>
      </c>
      <c r="H3543" s="252"/>
      <c r="I3543" s="251">
        <v>0</v>
      </c>
      <c r="J3543" s="251">
        <v>0</v>
      </c>
      <c r="K3543" s="252">
        <v>44295</v>
      </c>
      <c r="L3543" s="251">
        <v>11773</v>
      </c>
      <c r="M3543" s="251">
        <v>10</v>
      </c>
    </row>
    <row r="3544" spans="2:13" ht="14.1" customHeight="1" x14ac:dyDescent="0.25">
      <c r="B3544" s="251" t="str">
        <f t="shared" si="61"/>
        <v>2104-74-302932</v>
      </c>
      <c r="C3544" s="252">
        <v>44295</v>
      </c>
      <c r="D3544" s="251">
        <v>74</v>
      </c>
      <c r="E3544" s="251">
        <v>3</v>
      </c>
      <c r="F3544" s="251">
        <v>302932</v>
      </c>
      <c r="G3544" s="253" t="s">
        <v>2129</v>
      </c>
      <c r="H3544" s="252">
        <v>44299</v>
      </c>
      <c r="I3544" s="251">
        <v>52451</v>
      </c>
      <c r="J3544" s="251">
        <v>3</v>
      </c>
      <c r="K3544" s="252">
        <v>44295</v>
      </c>
      <c r="L3544" s="251">
        <v>11774</v>
      </c>
      <c r="M3544" s="251">
        <v>3</v>
      </c>
    </row>
    <row r="3545" spans="2:13" ht="14.1" customHeight="1" x14ac:dyDescent="0.25">
      <c r="B3545" s="251" t="str">
        <f t="shared" si="61"/>
        <v>2104-75-107653</v>
      </c>
      <c r="C3545" s="252">
        <v>44298</v>
      </c>
      <c r="D3545" s="251">
        <v>75</v>
      </c>
      <c r="E3545" s="251">
        <v>2.7</v>
      </c>
      <c r="F3545" s="251">
        <v>107653</v>
      </c>
      <c r="G3545" s="253" t="s">
        <v>2227</v>
      </c>
      <c r="H3545" s="252"/>
      <c r="I3545" s="251">
        <v>0</v>
      </c>
      <c r="J3545" s="251">
        <v>0</v>
      </c>
      <c r="K3545" s="252">
        <v>44298</v>
      </c>
      <c r="L3545" s="251">
        <v>11776</v>
      </c>
      <c r="M3545" s="251">
        <v>2.7</v>
      </c>
    </row>
    <row r="3546" spans="2:13" ht="14.1" customHeight="1" x14ac:dyDescent="0.25">
      <c r="B3546" s="251" t="str">
        <f t="shared" si="61"/>
        <v>2104-75-203657</v>
      </c>
      <c r="C3546" s="252">
        <v>44298</v>
      </c>
      <c r="D3546" s="251">
        <v>75</v>
      </c>
      <c r="E3546" s="251">
        <v>4</v>
      </c>
      <c r="F3546" s="251">
        <v>203657</v>
      </c>
      <c r="G3546" s="253" t="s">
        <v>2228</v>
      </c>
      <c r="H3546" s="252"/>
      <c r="I3546" s="251">
        <v>0</v>
      </c>
      <c r="J3546" s="251">
        <v>0</v>
      </c>
      <c r="K3546" s="252">
        <v>44298</v>
      </c>
      <c r="L3546" s="251">
        <v>11776</v>
      </c>
      <c r="M3546" s="251">
        <v>4</v>
      </c>
    </row>
    <row r="3547" spans="2:13" ht="14.1" customHeight="1" x14ac:dyDescent="0.25">
      <c r="B3547" s="251" t="str">
        <f t="shared" si="61"/>
        <v>2104-76-203748</v>
      </c>
      <c r="C3547" s="252">
        <v>44298</v>
      </c>
      <c r="D3547" s="251">
        <v>76</v>
      </c>
      <c r="E3547" s="251">
        <v>1</v>
      </c>
      <c r="F3547" s="251">
        <v>203748</v>
      </c>
      <c r="G3547" s="253" t="s">
        <v>2229</v>
      </c>
      <c r="H3547" s="252"/>
      <c r="I3547" s="251">
        <v>0</v>
      </c>
      <c r="J3547" s="251">
        <v>0</v>
      </c>
      <c r="K3547" s="252">
        <v>44298</v>
      </c>
      <c r="L3547" s="251">
        <v>11777</v>
      </c>
      <c r="M3547" s="251">
        <v>1</v>
      </c>
    </row>
    <row r="3548" spans="2:13" ht="14.1" customHeight="1" x14ac:dyDescent="0.25">
      <c r="B3548" s="251" t="str">
        <f t="shared" si="61"/>
        <v>2104-77-320505</v>
      </c>
      <c r="C3548" s="252">
        <v>44298</v>
      </c>
      <c r="D3548" s="251">
        <v>77</v>
      </c>
      <c r="E3548" s="251">
        <v>1</v>
      </c>
      <c r="F3548" s="251">
        <v>320505</v>
      </c>
      <c r="G3548" s="253" t="s">
        <v>1094</v>
      </c>
      <c r="H3548" s="252"/>
      <c r="I3548" s="251">
        <v>0</v>
      </c>
      <c r="J3548" s="251">
        <v>0</v>
      </c>
      <c r="K3548" s="252">
        <v>44298</v>
      </c>
      <c r="L3548" s="251">
        <v>11778</v>
      </c>
      <c r="M3548" s="251">
        <v>1</v>
      </c>
    </row>
    <row r="3549" spans="2:13" ht="14.1" customHeight="1" x14ac:dyDescent="0.25">
      <c r="B3549" s="251" t="str">
        <f t="shared" ref="B3549:B3580" si="62">TEXT(C3549,"yy") &amp; TEXT(C3549,"mm") &amp;"-"&amp;(D3549) &amp;"-"&amp;(F3549)</f>
        <v>2104-77-310107</v>
      </c>
      <c r="C3549" s="252">
        <v>44298</v>
      </c>
      <c r="D3549" s="251">
        <v>77</v>
      </c>
      <c r="E3549" s="251">
        <v>3</v>
      </c>
      <c r="F3549" s="251">
        <v>310107</v>
      </c>
      <c r="G3549" s="253" t="s">
        <v>2230</v>
      </c>
      <c r="H3549" s="252"/>
      <c r="I3549" s="251">
        <v>0</v>
      </c>
      <c r="J3549" s="251">
        <v>0</v>
      </c>
      <c r="K3549" s="252">
        <v>44298</v>
      </c>
      <c r="L3549" s="251">
        <v>11778</v>
      </c>
      <c r="M3549" s="251">
        <v>3</v>
      </c>
    </row>
    <row r="3550" spans="2:13" ht="14.1" customHeight="1" x14ac:dyDescent="0.25">
      <c r="B3550" s="251" t="str">
        <f t="shared" si="62"/>
        <v>2104-77-205865</v>
      </c>
      <c r="C3550" s="252">
        <v>44298</v>
      </c>
      <c r="D3550" s="251">
        <v>77</v>
      </c>
      <c r="E3550" s="251">
        <v>4</v>
      </c>
      <c r="F3550" s="251">
        <v>205865</v>
      </c>
      <c r="G3550" s="253" t="s">
        <v>2231</v>
      </c>
      <c r="H3550" s="252"/>
      <c r="I3550" s="251">
        <v>0</v>
      </c>
      <c r="J3550" s="251">
        <v>0</v>
      </c>
      <c r="K3550" s="252">
        <v>44298</v>
      </c>
      <c r="L3550" s="251">
        <v>11778</v>
      </c>
      <c r="M3550" s="251">
        <v>4</v>
      </c>
    </row>
    <row r="3551" spans="2:13" ht="14.1" customHeight="1" x14ac:dyDescent="0.25">
      <c r="B3551" s="251" t="str">
        <f t="shared" si="62"/>
        <v>2104-78-304674</v>
      </c>
      <c r="C3551" s="252">
        <v>44298</v>
      </c>
      <c r="D3551" s="251">
        <v>78</v>
      </c>
      <c r="E3551" s="251">
        <v>2</v>
      </c>
      <c r="F3551" s="251">
        <v>304674</v>
      </c>
      <c r="G3551" s="253" t="s">
        <v>2232</v>
      </c>
      <c r="H3551" s="252"/>
      <c r="I3551" s="251">
        <v>0</v>
      </c>
      <c r="J3551" s="251">
        <v>0</v>
      </c>
      <c r="K3551" s="252">
        <v>44298</v>
      </c>
      <c r="L3551" s="251">
        <v>11788</v>
      </c>
      <c r="M3551" s="251">
        <v>2</v>
      </c>
    </row>
    <row r="3552" spans="2:13" ht="14.1" customHeight="1" x14ac:dyDescent="0.25">
      <c r="B3552" s="251" t="str">
        <f t="shared" si="62"/>
        <v>2104-78-305448</v>
      </c>
      <c r="C3552" s="252">
        <v>44298</v>
      </c>
      <c r="D3552" s="251">
        <v>78</v>
      </c>
      <c r="E3552" s="251">
        <v>3</v>
      </c>
      <c r="F3552" s="251">
        <v>305448</v>
      </c>
      <c r="G3552" s="253" t="s">
        <v>2233</v>
      </c>
      <c r="H3552" s="252"/>
      <c r="I3552" s="251">
        <v>0</v>
      </c>
      <c r="J3552" s="251">
        <v>0</v>
      </c>
      <c r="K3552" s="252">
        <v>44298</v>
      </c>
      <c r="L3552" s="251">
        <v>11788</v>
      </c>
      <c r="M3552" s="251">
        <v>3</v>
      </c>
    </row>
    <row r="3553" spans="2:13" ht="14.1" customHeight="1" x14ac:dyDescent="0.25">
      <c r="B3553" s="251" t="str">
        <f t="shared" si="62"/>
        <v>2104-78-301153</v>
      </c>
      <c r="C3553" s="252">
        <v>44298</v>
      </c>
      <c r="D3553" s="251">
        <v>78</v>
      </c>
      <c r="E3553" s="251">
        <v>3</v>
      </c>
      <c r="F3553" s="251">
        <v>301153</v>
      </c>
      <c r="G3553" s="253" t="s">
        <v>2234</v>
      </c>
      <c r="H3553" s="252"/>
      <c r="I3553" s="251">
        <v>0</v>
      </c>
      <c r="J3553" s="251">
        <v>0</v>
      </c>
      <c r="K3553" s="252">
        <v>44298</v>
      </c>
      <c r="L3553" s="251">
        <v>11788</v>
      </c>
      <c r="M3553" s="251">
        <v>3</v>
      </c>
    </row>
    <row r="3554" spans="2:13" ht="14.1" customHeight="1" x14ac:dyDescent="0.25">
      <c r="B3554" s="251" t="str">
        <f t="shared" si="62"/>
        <v>2104-79-206069</v>
      </c>
      <c r="C3554" s="252">
        <v>44298</v>
      </c>
      <c r="D3554" s="251">
        <v>79</v>
      </c>
      <c r="E3554" s="251">
        <v>10</v>
      </c>
      <c r="F3554" s="251">
        <v>206069</v>
      </c>
      <c r="G3554" s="253" t="s">
        <v>2235</v>
      </c>
      <c r="H3554" s="252"/>
      <c r="I3554" s="251">
        <v>0</v>
      </c>
      <c r="J3554" s="251">
        <v>0</v>
      </c>
      <c r="K3554" s="252">
        <v>44298</v>
      </c>
      <c r="L3554" s="251">
        <v>11789</v>
      </c>
      <c r="M3554" s="251">
        <v>10</v>
      </c>
    </row>
    <row r="3555" spans="2:13" ht="14.1" customHeight="1" x14ac:dyDescent="0.25">
      <c r="B3555" s="251" t="str">
        <f t="shared" si="62"/>
        <v>2104-79-303669</v>
      </c>
      <c r="C3555" s="252">
        <v>44298</v>
      </c>
      <c r="D3555" s="251">
        <v>79</v>
      </c>
      <c r="E3555" s="251">
        <v>4</v>
      </c>
      <c r="F3555" s="251">
        <v>303669</v>
      </c>
      <c r="G3555" s="253" t="s">
        <v>1699</v>
      </c>
      <c r="H3555" s="252"/>
      <c r="I3555" s="251">
        <v>0</v>
      </c>
      <c r="J3555" s="251">
        <v>0</v>
      </c>
      <c r="K3555" s="252">
        <v>44298</v>
      </c>
      <c r="L3555" s="251">
        <v>11789</v>
      </c>
      <c r="M3555" s="251">
        <v>4</v>
      </c>
    </row>
    <row r="3556" spans="2:13" ht="14.1" customHeight="1" x14ac:dyDescent="0.25">
      <c r="B3556" s="251" t="str">
        <f t="shared" si="62"/>
        <v>2104-80-206618</v>
      </c>
      <c r="C3556" s="252">
        <v>44298</v>
      </c>
      <c r="D3556" s="251">
        <v>80</v>
      </c>
      <c r="E3556" s="251">
        <v>2</v>
      </c>
      <c r="F3556" s="251">
        <v>206618</v>
      </c>
      <c r="G3556" s="253" t="s">
        <v>588</v>
      </c>
      <c r="H3556" s="252"/>
      <c r="I3556" s="251">
        <v>0</v>
      </c>
      <c r="J3556" s="251">
        <v>0</v>
      </c>
      <c r="K3556" s="252"/>
      <c r="L3556" s="251">
        <v>0</v>
      </c>
      <c r="M3556" s="251">
        <v>0</v>
      </c>
    </row>
    <row r="3557" spans="2:13" ht="14.1" customHeight="1" x14ac:dyDescent="0.25">
      <c r="B3557" s="251" t="str">
        <f t="shared" si="62"/>
        <v>2104-80-312036</v>
      </c>
      <c r="C3557" s="252">
        <v>44298</v>
      </c>
      <c r="D3557" s="251">
        <v>80</v>
      </c>
      <c r="E3557" s="251">
        <v>2</v>
      </c>
      <c r="F3557" s="251">
        <v>312036</v>
      </c>
      <c r="G3557" s="253" t="s">
        <v>2236</v>
      </c>
      <c r="H3557" s="252"/>
      <c r="I3557" s="251">
        <v>0</v>
      </c>
      <c r="J3557" s="251">
        <v>0</v>
      </c>
      <c r="K3557" s="252"/>
      <c r="L3557" s="251">
        <v>0</v>
      </c>
      <c r="M3557" s="251">
        <v>0</v>
      </c>
    </row>
    <row r="3558" spans="2:13" ht="14.1" customHeight="1" x14ac:dyDescent="0.25">
      <c r="B3558" s="251" t="str">
        <f t="shared" si="62"/>
        <v>2104-80-203639</v>
      </c>
      <c r="C3558" s="252">
        <v>44298</v>
      </c>
      <c r="D3558" s="251">
        <v>80</v>
      </c>
      <c r="E3558" s="251">
        <v>2</v>
      </c>
      <c r="F3558" s="251">
        <v>203639</v>
      </c>
      <c r="G3558" s="253" t="s">
        <v>266</v>
      </c>
      <c r="H3558" s="252"/>
      <c r="I3558" s="251">
        <v>0</v>
      </c>
      <c r="J3558" s="251">
        <v>0</v>
      </c>
      <c r="K3558" s="252"/>
      <c r="L3558" s="251">
        <v>0</v>
      </c>
      <c r="M3558" s="251">
        <v>0</v>
      </c>
    </row>
    <row r="3559" spans="2:13" ht="14.1" customHeight="1" x14ac:dyDescent="0.25">
      <c r="B3559" s="251" t="str">
        <f t="shared" si="62"/>
        <v>2104-81-107102</v>
      </c>
      <c r="C3559" s="252">
        <v>44298</v>
      </c>
      <c r="D3559" s="251">
        <v>81</v>
      </c>
      <c r="E3559" s="251">
        <v>2</v>
      </c>
      <c r="F3559" s="251">
        <v>107102</v>
      </c>
      <c r="G3559" s="253" t="s">
        <v>2237</v>
      </c>
      <c r="H3559" s="252"/>
      <c r="I3559" s="251">
        <v>0</v>
      </c>
      <c r="J3559" s="251">
        <v>0</v>
      </c>
      <c r="K3559" s="252">
        <v>44298</v>
      </c>
      <c r="L3559" s="251">
        <v>11790</v>
      </c>
      <c r="M3559" s="251">
        <v>2</v>
      </c>
    </row>
    <row r="3560" spans="2:13" ht="14.1" customHeight="1" x14ac:dyDescent="0.25">
      <c r="B3560" s="251" t="str">
        <f t="shared" si="62"/>
        <v>2104-82-203739</v>
      </c>
      <c r="C3560" s="252">
        <v>44298</v>
      </c>
      <c r="D3560" s="251">
        <v>82</v>
      </c>
      <c r="E3560" s="251">
        <v>1</v>
      </c>
      <c r="F3560" s="251">
        <v>203739</v>
      </c>
      <c r="G3560" s="253" t="s">
        <v>516</v>
      </c>
      <c r="H3560" s="252"/>
      <c r="I3560" s="251">
        <v>0</v>
      </c>
      <c r="J3560" s="251">
        <v>0</v>
      </c>
      <c r="K3560" s="252">
        <v>44298</v>
      </c>
      <c r="L3560" s="251">
        <v>11791</v>
      </c>
      <c r="M3560" s="251">
        <v>1</v>
      </c>
    </row>
    <row r="3561" spans="2:13" ht="14.1" customHeight="1" x14ac:dyDescent="0.25">
      <c r="B3561" s="251" t="str">
        <f t="shared" si="62"/>
        <v>2104-83-309995</v>
      </c>
      <c r="C3561" s="252">
        <v>44298</v>
      </c>
      <c r="D3561" s="251">
        <v>83</v>
      </c>
      <c r="E3561" s="251">
        <v>6</v>
      </c>
      <c r="F3561" s="251">
        <v>309995</v>
      </c>
      <c r="G3561" s="253" t="s">
        <v>2238</v>
      </c>
      <c r="H3561" s="252"/>
      <c r="I3561" s="251">
        <v>0</v>
      </c>
      <c r="J3561" s="251">
        <v>0</v>
      </c>
      <c r="K3561" s="252"/>
      <c r="L3561" s="251">
        <v>0</v>
      </c>
      <c r="M3561" s="251">
        <v>0</v>
      </c>
    </row>
    <row r="3562" spans="2:13" ht="14.1" customHeight="1" x14ac:dyDescent="0.25">
      <c r="B3562" s="251" t="str">
        <f t="shared" si="62"/>
        <v>2104-83-300653</v>
      </c>
      <c r="C3562" s="252">
        <v>44298</v>
      </c>
      <c r="D3562" s="251">
        <v>83</v>
      </c>
      <c r="E3562" s="251">
        <v>8</v>
      </c>
      <c r="F3562" s="251">
        <v>300653</v>
      </c>
      <c r="G3562" s="253" t="s">
        <v>2239</v>
      </c>
      <c r="H3562" s="252"/>
      <c r="I3562" s="251">
        <v>0</v>
      </c>
      <c r="J3562" s="251">
        <v>0</v>
      </c>
      <c r="K3562" s="252"/>
      <c r="L3562" s="251">
        <v>0</v>
      </c>
      <c r="M3562" s="251">
        <v>0</v>
      </c>
    </row>
    <row r="3563" spans="2:13" ht="14.1" customHeight="1" x14ac:dyDescent="0.25">
      <c r="B3563" s="251" t="str">
        <f t="shared" si="62"/>
        <v>2104-83-309830</v>
      </c>
      <c r="C3563" s="252">
        <v>44298</v>
      </c>
      <c r="D3563" s="251">
        <v>83</v>
      </c>
      <c r="E3563" s="251">
        <v>6</v>
      </c>
      <c r="F3563" s="251">
        <v>309830</v>
      </c>
      <c r="G3563" s="253" t="s">
        <v>2240</v>
      </c>
      <c r="H3563" s="252"/>
      <c r="I3563" s="251">
        <v>0</v>
      </c>
      <c r="J3563" s="251">
        <v>0</v>
      </c>
      <c r="K3563" s="252"/>
      <c r="L3563" s="251">
        <v>0</v>
      </c>
      <c r="M3563" s="251">
        <v>0</v>
      </c>
    </row>
    <row r="3564" spans="2:13" ht="14.1" customHeight="1" x14ac:dyDescent="0.25">
      <c r="B3564" s="251" t="str">
        <f t="shared" si="62"/>
        <v>2104-83-306592</v>
      </c>
      <c r="C3564" s="252">
        <v>44298</v>
      </c>
      <c r="D3564" s="251">
        <v>83</v>
      </c>
      <c r="E3564" s="251">
        <v>6</v>
      </c>
      <c r="F3564" s="251">
        <v>306592</v>
      </c>
      <c r="G3564" s="253" t="s">
        <v>2008</v>
      </c>
      <c r="H3564" s="252"/>
      <c r="I3564" s="251">
        <v>0</v>
      </c>
      <c r="J3564" s="251">
        <v>0</v>
      </c>
      <c r="K3564" s="252"/>
      <c r="L3564" s="251">
        <v>0</v>
      </c>
      <c r="M3564" s="251">
        <v>0</v>
      </c>
    </row>
    <row r="3565" spans="2:13" ht="14.1" customHeight="1" x14ac:dyDescent="0.25">
      <c r="B3565" s="251" t="str">
        <f t="shared" si="62"/>
        <v>2104-83-321079</v>
      </c>
      <c r="C3565" s="252">
        <v>44298</v>
      </c>
      <c r="D3565" s="251">
        <v>83</v>
      </c>
      <c r="E3565" s="251">
        <v>1</v>
      </c>
      <c r="F3565" s="251">
        <v>321079</v>
      </c>
      <c r="G3565" s="253" t="s">
        <v>2241</v>
      </c>
      <c r="H3565" s="252"/>
      <c r="I3565" s="251">
        <v>0</v>
      </c>
      <c r="J3565" s="251">
        <v>0</v>
      </c>
      <c r="K3565" s="252"/>
      <c r="L3565" s="251">
        <v>0</v>
      </c>
      <c r="M3565" s="251">
        <v>0</v>
      </c>
    </row>
    <row r="3566" spans="2:13" ht="14.1" customHeight="1" x14ac:dyDescent="0.25">
      <c r="B3566" s="251" t="str">
        <f t="shared" si="62"/>
        <v>2104-83-321080</v>
      </c>
      <c r="C3566" s="252">
        <v>44298</v>
      </c>
      <c r="D3566" s="251">
        <v>83</v>
      </c>
      <c r="E3566" s="251">
        <v>1</v>
      </c>
      <c r="F3566" s="251">
        <v>321080</v>
      </c>
      <c r="G3566" s="253" t="s">
        <v>2242</v>
      </c>
      <c r="H3566" s="252"/>
      <c r="I3566" s="251">
        <v>0</v>
      </c>
      <c r="J3566" s="251">
        <v>0</v>
      </c>
      <c r="K3566" s="252"/>
      <c r="L3566" s="251">
        <v>0</v>
      </c>
      <c r="M3566" s="251">
        <v>0</v>
      </c>
    </row>
    <row r="3567" spans="2:13" ht="14.1" customHeight="1" x14ac:dyDescent="0.25">
      <c r="B3567" s="251" t="str">
        <f t="shared" si="62"/>
        <v>2104-84-204191</v>
      </c>
      <c r="C3567" s="252">
        <v>44298</v>
      </c>
      <c r="D3567" s="251">
        <v>84</v>
      </c>
      <c r="E3567" s="251">
        <v>50</v>
      </c>
      <c r="F3567" s="251">
        <v>204191</v>
      </c>
      <c r="G3567" s="253" t="s">
        <v>2243</v>
      </c>
      <c r="H3567" s="252"/>
      <c r="I3567" s="251">
        <v>0</v>
      </c>
      <c r="J3567" s="251">
        <v>0</v>
      </c>
      <c r="K3567" s="252"/>
      <c r="L3567" s="251">
        <v>0</v>
      </c>
      <c r="M3567" s="251">
        <v>0</v>
      </c>
    </row>
    <row r="3568" spans="2:13" ht="14.1" customHeight="1" x14ac:dyDescent="0.25">
      <c r="B3568" s="251" t="str">
        <f t="shared" si="62"/>
        <v>2104-84-203373</v>
      </c>
      <c r="C3568" s="252">
        <v>44298</v>
      </c>
      <c r="D3568" s="251">
        <v>84</v>
      </c>
      <c r="E3568" s="251">
        <v>2</v>
      </c>
      <c r="F3568" s="251">
        <v>203373</v>
      </c>
      <c r="G3568" s="253" t="s">
        <v>2244</v>
      </c>
      <c r="H3568" s="252"/>
      <c r="I3568" s="251">
        <v>0</v>
      </c>
      <c r="J3568" s="251">
        <v>0</v>
      </c>
      <c r="K3568" s="252"/>
      <c r="L3568" s="251">
        <v>0</v>
      </c>
      <c r="M3568" s="251">
        <v>0</v>
      </c>
    </row>
    <row r="3569" spans="2:13" ht="14.1" customHeight="1" x14ac:dyDescent="0.25">
      <c r="B3569" s="251" t="str">
        <f t="shared" si="62"/>
        <v>2104-84-300804</v>
      </c>
      <c r="C3569" s="252">
        <v>44298</v>
      </c>
      <c r="D3569" s="251">
        <v>84</v>
      </c>
      <c r="E3569" s="251">
        <v>50</v>
      </c>
      <c r="F3569" s="251">
        <v>300804</v>
      </c>
      <c r="G3569" s="253" t="s">
        <v>609</v>
      </c>
      <c r="H3569" s="252"/>
      <c r="I3569" s="251">
        <v>0</v>
      </c>
      <c r="J3569" s="251">
        <v>0</v>
      </c>
      <c r="K3569" s="252"/>
      <c r="L3569" s="251">
        <v>0</v>
      </c>
      <c r="M3569" s="251">
        <v>0</v>
      </c>
    </row>
    <row r="3570" spans="2:13" ht="14.1" customHeight="1" x14ac:dyDescent="0.25">
      <c r="B3570" s="251" t="str">
        <f t="shared" si="62"/>
        <v>2104-85-201358</v>
      </c>
      <c r="C3570" s="252">
        <v>44298</v>
      </c>
      <c r="D3570" s="251">
        <v>85</v>
      </c>
      <c r="E3570" s="251">
        <v>1</v>
      </c>
      <c r="F3570" s="251">
        <v>201358</v>
      </c>
      <c r="G3570" s="253" t="s">
        <v>2245</v>
      </c>
      <c r="H3570" s="252"/>
      <c r="I3570" s="251">
        <v>0</v>
      </c>
      <c r="J3570" s="251">
        <v>0</v>
      </c>
      <c r="K3570" s="252">
        <v>44298</v>
      </c>
      <c r="L3570" s="251">
        <v>11792</v>
      </c>
      <c r="M3570" s="251">
        <v>1</v>
      </c>
    </row>
    <row r="3571" spans="2:13" ht="14.1" customHeight="1" x14ac:dyDescent="0.25">
      <c r="B3571" s="251" t="str">
        <f t="shared" si="62"/>
        <v>2104-85-204151</v>
      </c>
      <c r="C3571" s="252">
        <v>44298</v>
      </c>
      <c r="D3571" s="251">
        <v>85</v>
      </c>
      <c r="E3571" s="251">
        <v>1</v>
      </c>
      <c r="F3571" s="251">
        <v>204151</v>
      </c>
      <c r="G3571" s="253" t="s">
        <v>2246</v>
      </c>
      <c r="H3571" s="252"/>
      <c r="I3571" s="251">
        <v>0</v>
      </c>
      <c r="J3571" s="251">
        <v>0</v>
      </c>
      <c r="K3571" s="252">
        <v>44298</v>
      </c>
      <c r="L3571" s="251">
        <v>11792</v>
      </c>
      <c r="M3571" s="251">
        <v>1</v>
      </c>
    </row>
    <row r="3572" spans="2:13" ht="14.1" customHeight="1" x14ac:dyDescent="0.25">
      <c r="B3572" s="251" t="str">
        <f t="shared" si="62"/>
        <v>2104-86-204052</v>
      </c>
      <c r="C3572" s="252">
        <v>44298</v>
      </c>
      <c r="D3572" s="251">
        <v>86</v>
      </c>
      <c r="E3572" s="251">
        <v>3</v>
      </c>
      <c r="F3572" s="251">
        <v>204052</v>
      </c>
      <c r="G3572" s="253" t="s">
        <v>1799</v>
      </c>
      <c r="H3572" s="252"/>
      <c r="I3572" s="251">
        <v>0</v>
      </c>
      <c r="J3572" s="251">
        <v>0</v>
      </c>
      <c r="K3572" s="252"/>
      <c r="L3572" s="251">
        <v>0</v>
      </c>
      <c r="M3572" s="251">
        <v>0</v>
      </c>
    </row>
    <row r="3573" spans="2:13" ht="14.1" customHeight="1" x14ac:dyDescent="0.25">
      <c r="B3573" s="251" t="str">
        <f t="shared" si="62"/>
        <v>2104-86-204597</v>
      </c>
      <c r="C3573" s="252">
        <v>44298</v>
      </c>
      <c r="D3573" s="251">
        <v>86</v>
      </c>
      <c r="E3573" s="251">
        <v>140</v>
      </c>
      <c r="F3573" s="251">
        <v>204597</v>
      </c>
      <c r="G3573" s="253" t="s">
        <v>2247</v>
      </c>
      <c r="H3573" s="252"/>
      <c r="I3573" s="251">
        <v>0</v>
      </c>
      <c r="J3573" s="251">
        <v>0</v>
      </c>
      <c r="K3573" s="252"/>
      <c r="L3573" s="251">
        <v>0</v>
      </c>
      <c r="M3573" s="251">
        <v>0</v>
      </c>
    </row>
    <row r="3574" spans="2:13" ht="14.1" customHeight="1" x14ac:dyDescent="0.25">
      <c r="B3574" s="251" t="str">
        <f t="shared" si="62"/>
        <v>2104-86-206151</v>
      </c>
      <c r="C3574" s="252">
        <v>44298</v>
      </c>
      <c r="D3574" s="251">
        <v>86</v>
      </c>
      <c r="E3574" s="251">
        <v>3</v>
      </c>
      <c r="F3574" s="251">
        <v>206151</v>
      </c>
      <c r="G3574" s="253" t="s">
        <v>1798</v>
      </c>
      <c r="H3574" s="252"/>
      <c r="I3574" s="251">
        <v>0</v>
      </c>
      <c r="J3574" s="251">
        <v>0</v>
      </c>
      <c r="K3574" s="252"/>
      <c r="L3574" s="251">
        <v>0</v>
      </c>
      <c r="M3574" s="251">
        <v>0</v>
      </c>
    </row>
    <row r="3575" spans="2:13" ht="14.1" customHeight="1" x14ac:dyDescent="0.25">
      <c r="B3575" s="251" t="str">
        <f t="shared" si="62"/>
        <v>2104-87-306194</v>
      </c>
      <c r="C3575" s="252">
        <v>44298</v>
      </c>
      <c r="D3575" s="251">
        <v>87</v>
      </c>
      <c r="E3575" s="251">
        <v>5</v>
      </c>
      <c r="F3575" s="251">
        <v>306194</v>
      </c>
      <c r="G3575" s="253" t="s">
        <v>1681</v>
      </c>
      <c r="H3575" s="252"/>
      <c r="I3575" s="251">
        <v>0</v>
      </c>
      <c r="J3575" s="251">
        <v>0</v>
      </c>
      <c r="K3575" s="252">
        <v>44298</v>
      </c>
      <c r="L3575" s="251">
        <v>11793</v>
      </c>
      <c r="M3575" s="251">
        <v>5</v>
      </c>
    </row>
    <row r="3576" spans="2:13" ht="14.1" customHeight="1" x14ac:dyDescent="0.25">
      <c r="B3576" s="251" t="str">
        <f t="shared" si="62"/>
        <v>2104-87-306238</v>
      </c>
      <c r="C3576" s="252">
        <v>44298</v>
      </c>
      <c r="D3576" s="251">
        <v>87</v>
      </c>
      <c r="E3576" s="251">
        <v>1</v>
      </c>
      <c r="F3576" s="251">
        <v>306238</v>
      </c>
      <c r="G3576" s="253" t="s">
        <v>350</v>
      </c>
      <c r="H3576" s="252"/>
      <c r="I3576" s="251">
        <v>0</v>
      </c>
      <c r="J3576" s="251">
        <v>0</v>
      </c>
      <c r="K3576" s="252">
        <v>44298</v>
      </c>
      <c r="L3576" s="251">
        <v>11793</v>
      </c>
      <c r="M3576" s="251">
        <v>1</v>
      </c>
    </row>
    <row r="3577" spans="2:13" ht="14.1" customHeight="1" x14ac:dyDescent="0.25">
      <c r="B3577" s="251" t="str">
        <f t="shared" si="62"/>
        <v>2104-87-200226</v>
      </c>
      <c r="C3577" s="252">
        <v>44298</v>
      </c>
      <c r="D3577" s="251">
        <v>87</v>
      </c>
      <c r="E3577" s="251">
        <v>1</v>
      </c>
      <c r="F3577" s="251">
        <v>200226</v>
      </c>
      <c r="G3577" s="253" t="s">
        <v>137</v>
      </c>
      <c r="H3577" s="252"/>
      <c r="I3577" s="251">
        <v>0</v>
      </c>
      <c r="J3577" s="251">
        <v>0</v>
      </c>
      <c r="K3577" s="252">
        <v>44298</v>
      </c>
      <c r="L3577" s="251">
        <v>11793</v>
      </c>
      <c r="M3577" s="251">
        <v>1</v>
      </c>
    </row>
    <row r="3578" spans="2:13" ht="14.1" customHeight="1" x14ac:dyDescent="0.25">
      <c r="B3578" s="251" t="str">
        <f t="shared" si="62"/>
        <v>2104-87-312389</v>
      </c>
      <c r="C3578" s="252">
        <v>44298</v>
      </c>
      <c r="D3578" s="251">
        <v>87</v>
      </c>
      <c r="E3578" s="251">
        <v>4</v>
      </c>
      <c r="F3578" s="251">
        <v>312389</v>
      </c>
      <c r="G3578" s="253" t="s">
        <v>2188</v>
      </c>
      <c r="H3578" s="252"/>
      <c r="I3578" s="251">
        <v>0</v>
      </c>
      <c r="J3578" s="251">
        <v>0</v>
      </c>
      <c r="K3578" s="252">
        <v>44298</v>
      </c>
      <c r="L3578" s="251">
        <v>11793</v>
      </c>
      <c r="M3578" s="251">
        <v>4</v>
      </c>
    </row>
    <row r="3579" spans="2:13" ht="14.1" customHeight="1" x14ac:dyDescent="0.25">
      <c r="B3579" s="251" t="str">
        <f t="shared" si="62"/>
        <v>2104-87-206244</v>
      </c>
      <c r="C3579" s="252">
        <v>44298</v>
      </c>
      <c r="D3579" s="251">
        <v>87</v>
      </c>
      <c r="E3579" s="251">
        <v>2</v>
      </c>
      <c r="F3579" s="251">
        <v>206244</v>
      </c>
      <c r="G3579" s="253" t="s">
        <v>2248</v>
      </c>
      <c r="H3579" s="252"/>
      <c r="I3579" s="251">
        <v>0</v>
      </c>
      <c r="J3579" s="251">
        <v>0</v>
      </c>
      <c r="K3579" s="252">
        <v>44298</v>
      </c>
      <c r="L3579" s="251">
        <v>11793</v>
      </c>
      <c r="M3579" s="251">
        <v>2</v>
      </c>
    </row>
    <row r="3580" spans="2:13" ht="14.1" customHeight="1" x14ac:dyDescent="0.25">
      <c r="B3580" s="251" t="str">
        <f t="shared" si="62"/>
        <v>2104-87-203683</v>
      </c>
      <c r="C3580" s="252">
        <v>44298</v>
      </c>
      <c r="D3580" s="251">
        <v>87</v>
      </c>
      <c r="E3580" s="251">
        <v>2</v>
      </c>
      <c r="F3580" s="251">
        <v>203683</v>
      </c>
      <c r="G3580" s="253" t="s">
        <v>179</v>
      </c>
      <c r="H3580" s="252"/>
      <c r="I3580" s="251">
        <v>0</v>
      </c>
      <c r="J3580" s="251">
        <v>0</v>
      </c>
      <c r="K3580" s="252">
        <v>44298</v>
      </c>
      <c r="L3580" s="251">
        <v>11793</v>
      </c>
      <c r="M3580" s="251">
        <v>2</v>
      </c>
    </row>
    <row r="3581" spans="2:13" ht="14.1" customHeight="1" x14ac:dyDescent="0.25">
      <c r="B3581" s="251" t="str">
        <f t="shared" ref="B3581:B3612" si="63">TEXT(C3581,"yy") &amp; TEXT(C3581,"mm") &amp;"-"&amp;(D3581) &amp;"-"&amp;(F3581)</f>
        <v>2104-88-314036</v>
      </c>
      <c r="C3581" s="252">
        <v>44298</v>
      </c>
      <c r="D3581" s="251">
        <v>88</v>
      </c>
      <c r="E3581" s="251">
        <v>9640</v>
      </c>
      <c r="F3581" s="251">
        <v>314036</v>
      </c>
      <c r="G3581" s="253" t="s">
        <v>2249</v>
      </c>
      <c r="H3581" s="252"/>
      <c r="I3581" s="251">
        <v>0</v>
      </c>
      <c r="J3581" s="251">
        <v>0</v>
      </c>
      <c r="K3581" s="252">
        <v>44298</v>
      </c>
      <c r="L3581" s="251">
        <v>11794</v>
      </c>
      <c r="M3581" s="251">
        <v>9640</v>
      </c>
    </row>
    <row r="3582" spans="2:13" ht="14.1" customHeight="1" x14ac:dyDescent="0.25">
      <c r="B3582" s="251" t="str">
        <f t="shared" si="63"/>
        <v>2104-88-314036</v>
      </c>
      <c r="C3582" s="252">
        <v>44298</v>
      </c>
      <c r="D3582" s="251">
        <v>88</v>
      </c>
      <c r="E3582" s="251">
        <v>10320</v>
      </c>
      <c r="F3582" s="251">
        <v>314036</v>
      </c>
      <c r="G3582" s="253" t="s">
        <v>2249</v>
      </c>
      <c r="H3582" s="252"/>
      <c r="I3582" s="251">
        <v>0</v>
      </c>
      <c r="J3582" s="251">
        <v>0</v>
      </c>
      <c r="K3582" s="252">
        <v>44298</v>
      </c>
      <c r="L3582" s="251">
        <v>11794</v>
      </c>
      <c r="M3582" s="251">
        <v>10320</v>
      </c>
    </row>
    <row r="3583" spans="2:13" ht="14.1" customHeight="1" x14ac:dyDescent="0.25">
      <c r="B3583" s="251" t="str">
        <f t="shared" si="63"/>
        <v>2104-88-314036</v>
      </c>
      <c r="C3583" s="252">
        <v>44298</v>
      </c>
      <c r="D3583" s="251">
        <v>88</v>
      </c>
      <c r="E3583" s="251">
        <v>10540</v>
      </c>
      <c r="F3583" s="251">
        <v>314036</v>
      </c>
      <c r="G3583" s="253" t="s">
        <v>2249</v>
      </c>
      <c r="H3583" s="252"/>
      <c r="I3583" s="251">
        <v>0</v>
      </c>
      <c r="J3583" s="251">
        <v>0</v>
      </c>
      <c r="K3583" s="252">
        <v>44298</v>
      </c>
      <c r="L3583" s="251">
        <v>11794</v>
      </c>
      <c r="M3583" s="251">
        <v>10540</v>
      </c>
    </row>
    <row r="3584" spans="2:13" ht="14.1" customHeight="1" x14ac:dyDescent="0.25">
      <c r="B3584" s="251" t="str">
        <f t="shared" si="63"/>
        <v>2104-88-106745</v>
      </c>
      <c r="C3584" s="252">
        <v>44298</v>
      </c>
      <c r="D3584" s="251">
        <v>88</v>
      </c>
      <c r="E3584" s="251">
        <v>6130</v>
      </c>
      <c r="F3584" s="251">
        <v>106745</v>
      </c>
      <c r="G3584" s="253" t="s">
        <v>2250</v>
      </c>
      <c r="H3584" s="252"/>
      <c r="I3584" s="251">
        <v>0</v>
      </c>
      <c r="J3584" s="251">
        <v>0</v>
      </c>
      <c r="K3584" s="252">
        <v>44298</v>
      </c>
      <c r="L3584" s="251">
        <v>11794</v>
      </c>
      <c r="M3584" s="251">
        <v>6130</v>
      </c>
    </row>
    <row r="3585" spans="2:13" ht="14.1" customHeight="1" x14ac:dyDescent="0.25">
      <c r="B3585" s="251" t="str">
        <f t="shared" si="63"/>
        <v>2104-89-200667</v>
      </c>
      <c r="C3585" s="252">
        <v>44298</v>
      </c>
      <c r="D3585" s="251">
        <v>89</v>
      </c>
      <c r="E3585" s="251">
        <v>5</v>
      </c>
      <c r="F3585" s="251">
        <v>200667</v>
      </c>
      <c r="G3585" s="253" t="s">
        <v>492</v>
      </c>
      <c r="H3585" s="252"/>
      <c r="I3585" s="251">
        <v>0</v>
      </c>
      <c r="J3585" s="251">
        <v>0</v>
      </c>
      <c r="K3585" s="252">
        <v>44298</v>
      </c>
      <c r="L3585" s="251">
        <v>11795</v>
      </c>
      <c r="M3585" s="251">
        <v>5</v>
      </c>
    </row>
    <row r="3586" spans="2:13" ht="14.1" customHeight="1" x14ac:dyDescent="0.25">
      <c r="B3586" s="251" t="str">
        <f t="shared" si="63"/>
        <v>2104-90-304159</v>
      </c>
      <c r="C3586" s="252">
        <v>44298</v>
      </c>
      <c r="D3586" s="251">
        <v>90</v>
      </c>
      <c r="E3586" s="251">
        <v>1800</v>
      </c>
      <c r="F3586" s="251">
        <v>304159</v>
      </c>
      <c r="G3586" s="253" t="s">
        <v>152</v>
      </c>
      <c r="H3586" s="252"/>
      <c r="I3586" s="251">
        <v>0</v>
      </c>
      <c r="J3586" s="251">
        <v>0</v>
      </c>
      <c r="K3586" s="252">
        <v>44298</v>
      </c>
      <c r="L3586" s="251">
        <v>11796</v>
      </c>
      <c r="M3586" s="251">
        <v>1800</v>
      </c>
    </row>
    <row r="3587" spans="2:13" ht="14.1" customHeight="1" x14ac:dyDescent="0.25">
      <c r="B3587" s="251" t="str">
        <f t="shared" si="63"/>
        <v>2104-91-305201</v>
      </c>
      <c r="C3587" s="252">
        <v>44298</v>
      </c>
      <c r="D3587" s="251">
        <v>91</v>
      </c>
      <c r="E3587" s="251">
        <v>1</v>
      </c>
      <c r="F3587" s="251">
        <v>305201</v>
      </c>
      <c r="G3587" s="253" t="s">
        <v>2251</v>
      </c>
      <c r="H3587" s="252"/>
      <c r="I3587" s="251">
        <v>0</v>
      </c>
      <c r="J3587" s="251">
        <v>0</v>
      </c>
      <c r="K3587" s="252">
        <v>44298</v>
      </c>
      <c r="L3587" s="251">
        <v>11798</v>
      </c>
      <c r="M3587" s="251">
        <v>1</v>
      </c>
    </row>
    <row r="3588" spans="2:13" ht="14.1" customHeight="1" x14ac:dyDescent="0.25">
      <c r="B3588" s="251" t="str">
        <f t="shared" si="63"/>
        <v>2104-92-303464</v>
      </c>
      <c r="C3588" s="252">
        <v>44299</v>
      </c>
      <c r="D3588" s="251">
        <v>92</v>
      </c>
      <c r="E3588" s="251">
        <v>4</v>
      </c>
      <c r="F3588" s="251">
        <v>303464</v>
      </c>
      <c r="G3588" s="253" t="s">
        <v>1820</v>
      </c>
      <c r="H3588" s="252"/>
      <c r="I3588" s="251">
        <v>0</v>
      </c>
      <c r="J3588" s="251">
        <v>0</v>
      </c>
      <c r="K3588" s="252"/>
      <c r="L3588" s="251">
        <v>0</v>
      </c>
      <c r="M3588" s="251">
        <v>0</v>
      </c>
    </row>
    <row r="3589" spans="2:13" ht="14.1" customHeight="1" x14ac:dyDescent="0.25">
      <c r="B3589" s="251" t="str">
        <f t="shared" si="63"/>
        <v>2104-92-315078</v>
      </c>
      <c r="C3589" s="252">
        <v>44299</v>
      </c>
      <c r="D3589" s="251">
        <v>92</v>
      </c>
      <c r="E3589" s="251">
        <v>2</v>
      </c>
      <c r="F3589" s="251">
        <v>315078</v>
      </c>
      <c r="G3589" s="253" t="s">
        <v>1058</v>
      </c>
      <c r="H3589" s="252"/>
      <c r="I3589" s="251">
        <v>0</v>
      </c>
      <c r="J3589" s="251">
        <v>0</v>
      </c>
      <c r="K3589" s="252"/>
      <c r="L3589" s="251">
        <v>0</v>
      </c>
      <c r="M3589" s="251">
        <v>0</v>
      </c>
    </row>
    <row r="3590" spans="2:13" ht="14.1" customHeight="1" x14ac:dyDescent="0.25">
      <c r="B3590" s="251" t="str">
        <f t="shared" si="63"/>
        <v>2104-92-319534</v>
      </c>
      <c r="C3590" s="252">
        <v>44299</v>
      </c>
      <c r="D3590" s="251">
        <v>92</v>
      </c>
      <c r="E3590" s="251">
        <v>1</v>
      </c>
      <c r="F3590" s="251">
        <v>319534</v>
      </c>
      <c r="G3590" s="253" t="s">
        <v>1821</v>
      </c>
      <c r="H3590" s="252"/>
      <c r="I3590" s="251">
        <v>0</v>
      </c>
      <c r="J3590" s="251">
        <v>0</v>
      </c>
      <c r="K3590" s="252"/>
      <c r="L3590" s="251">
        <v>0</v>
      </c>
      <c r="M3590" s="251">
        <v>0</v>
      </c>
    </row>
    <row r="3591" spans="2:13" ht="14.1" customHeight="1" x14ac:dyDescent="0.25">
      <c r="B3591" s="251" t="str">
        <f t="shared" si="63"/>
        <v>2104-93-313314</v>
      </c>
      <c r="C3591" s="252">
        <v>44299</v>
      </c>
      <c r="D3591" s="251">
        <v>93</v>
      </c>
      <c r="E3591" s="251">
        <v>7</v>
      </c>
      <c r="F3591" s="251">
        <v>313314</v>
      </c>
      <c r="G3591" s="253" t="s">
        <v>2058</v>
      </c>
      <c r="H3591" s="252"/>
      <c r="I3591" s="251">
        <v>0</v>
      </c>
      <c r="J3591" s="251">
        <v>0</v>
      </c>
      <c r="K3591" s="252"/>
      <c r="L3591" s="251">
        <v>0</v>
      </c>
      <c r="M3591" s="251">
        <v>0</v>
      </c>
    </row>
    <row r="3592" spans="2:13" ht="14.1" customHeight="1" x14ac:dyDescent="0.25">
      <c r="B3592" s="251" t="str">
        <f t="shared" si="63"/>
        <v>2104-94-312219</v>
      </c>
      <c r="C3592" s="252">
        <v>44299</v>
      </c>
      <c r="D3592" s="251">
        <v>94</v>
      </c>
      <c r="E3592" s="251">
        <v>6</v>
      </c>
      <c r="F3592" s="251">
        <v>312219</v>
      </c>
      <c r="G3592" s="253" t="s">
        <v>2252</v>
      </c>
      <c r="H3592" s="252"/>
      <c r="I3592" s="251">
        <v>0</v>
      </c>
      <c r="J3592" s="251">
        <v>0</v>
      </c>
      <c r="K3592" s="252"/>
      <c r="L3592" s="251">
        <v>0</v>
      </c>
      <c r="M3592" s="251">
        <v>0</v>
      </c>
    </row>
    <row r="3593" spans="2:13" ht="14.1" customHeight="1" x14ac:dyDescent="0.25">
      <c r="B3593" s="251" t="str">
        <f t="shared" si="63"/>
        <v>2104-94-315539</v>
      </c>
      <c r="C3593" s="252">
        <v>44299</v>
      </c>
      <c r="D3593" s="251">
        <v>94</v>
      </c>
      <c r="E3593" s="251">
        <v>6</v>
      </c>
      <c r="F3593" s="251">
        <v>315539</v>
      </c>
      <c r="G3593" s="253" t="s">
        <v>2253</v>
      </c>
      <c r="H3593" s="252"/>
      <c r="I3593" s="251">
        <v>0</v>
      </c>
      <c r="J3593" s="251">
        <v>0</v>
      </c>
      <c r="K3593" s="252"/>
      <c r="L3593" s="251">
        <v>0</v>
      </c>
      <c r="M3593" s="251">
        <v>0</v>
      </c>
    </row>
    <row r="3594" spans="2:13" ht="14.1" customHeight="1" x14ac:dyDescent="0.25">
      <c r="B3594" s="251" t="str">
        <f t="shared" si="63"/>
        <v>2104-95-318591</v>
      </c>
      <c r="C3594" s="252">
        <v>44299</v>
      </c>
      <c r="D3594" s="251">
        <v>95</v>
      </c>
      <c r="E3594" s="251">
        <v>38</v>
      </c>
      <c r="F3594" s="251">
        <v>318591</v>
      </c>
      <c r="G3594" s="253" t="s">
        <v>2254</v>
      </c>
      <c r="H3594" s="252"/>
      <c r="I3594" s="251">
        <v>0</v>
      </c>
      <c r="J3594" s="251">
        <v>0</v>
      </c>
      <c r="K3594" s="252"/>
      <c r="L3594" s="251">
        <v>0</v>
      </c>
      <c r="M3594" s="251">
        <v>0</v>
      </c>
    </row>
    <row r="3595" spans="2:13" ht="14.1" customHeight="1" x14ac:dyDescent="0.25">
      <c r="B3595" s="251" t="str">
        <f t="shared" si="63"/>
        <v>2104-95-313314</v>
      </c>
      <c r="C3595" s="252">
        <v>44299</v>
      </c>
      <c r="D3595" s="251">
        <v>95</v>
      </c>
      <c r="E3595" s="251">
        <v>2</v>
      </c>
      <c r="F3595" s="251">
        <v>313314</v>
      </c>
      <c r="G3595" s="253" t="s">
        <v>2058</v>
      </c>
      <c r="H3595" s="252"/>
      <c r="I3595" s="251">
        <v>0</v>
      </c>
      <c r="J3595" s="251">
        <v>0</v>
      </c>
      <c r="K3595" s="252"/>
      <c r="L3595" s="251">
        <v>0</v>
      </c>
      <c r="M3595" s="251">
        <v>0</v>
      </c>
    </row>
    <row r="3596" spans="2:13" ht="14.1" customHeight="1" x14ac:dyDescent="0.25">
      <c r="B3596" s="251" t="str">
        <f t="shared" si="63"/>
        <v>2104-96-306175</v>
      </c>
      <c r="C3596" s="252">
        <v>44299</v>
      </c>
      <c r="D3596" s="251">
        <v>96</v>
      </c>
      <c r="E3596" s="251">
        <v>15</v>
      </c>
      <c r="F3596" s="251">
        <v>306175</v>
      </c>
      <c r="G3596" s="253" t="s">
        <v>2255</v>
      </c>
      <c r="H3596" s="252"/>
      <c r="I3596" s="251">
        <v>0</v>
      </c>
      <c r="J3596" s="251">
        <v>0</v>
      </c>
      <c r="K3596" s="252">
        <v>44299</v>
      </c>
      <c r="L3596" s="251">
        <v>11808</v>
      </c>
      <c r="M3596" s="251">
        <v>15</v>
      </c>
    </row>
    <row r="3597" spans="2:13" ht="14.1" customHeight="1" x14ac:dyDescent="0.25">
      <c r="B3597" s="251" t="str">
        <f t="shared" si="63"/>
        <v>2104-96-302350</v>
      </c>
      <c r="C3597" s="252">
        <v>44299</v>
      </c>
      <c r="D3597" s="251">
        <v>96</v>
      </c>
      <c r="E3597" s="251">
        <v>15</v>
      </c>
      <c r="F3597" s="251">
        <v>302350</v>
      </c>
      <c r="G3597" s="253" t="s">
        <v>2256</v>
      </c>
      <c r="H3597" s="252"/>
      <c r="I3597" s="251">
        <v>0</v>
      </c>
      <c r="J3597" s="251">
        <v>0</v>
      </c>
      <c r="K3597" s="252">
        <v>44299</v>
      </c>
      <c r="L3597" s="251">
        <v>11808</v>
      </c>
      <c r="M3597" s="251">
        <v>15</v>
      </c>
    </row>
    <row r="3598" spans="2:13" ht="14.1" customHeight="1" x14ac:dyDescent="0.25">
      <c r="B3598" s="251" t="str">
        <f t="shared" si="63"/>
        <v>2104-96-304092</v>
      </c>
      <c r="C3598" s="252">
        <v>44299</v>
      </c>
      <c r="D3598" s="251">
        <v>96</v>
      </c>
      <c r="E3598" s="251">
        <v>20</v>
      </c>
      <c r="F3598" s="251">
        <v>304092</v>
      </c>
      <c r="G3598" s="253" t="s">
        <v>669</v>
      </c>
      <c r="H3598" s="252"/>
      <c r="I3598" s="251">
        <v>0</v>
      </c>
      <c r="J3598" s="251">
        <v>0</v>
      </c>
      <c r="K3598" s="252">
        <v>44299</v>
      </c>
      <c r="L3598" s="251">
        <v>11808</v>
      </c>
      <c r="M3598" s="251">
        <v>20</v>
      </c>
    </row>
    <row r="3599" spans="2:13" ht="14.1" customHeight="1" x14ac:dyDescent="0.25">
      <c r="B3599" s="251" t="str">
        <f t="shared" si="63"/>
        <v>2104-96-304777</v>
      </c>
      <c r="C3599" s="252">
        <v>44299</v>
      </c>
      <c r="D3599" s="251">
        <v>96</v>
      </c>
      <c r="E3599" s="251">
        <v>15</v>
      </c>
      <c r="F3599" s="251">
        <v>304777</v>
      </c>
      <c r="G3599" s="253" t="s">
        <v>2257</v>
      </c>
      <c r="H3599" s="252"/>
      <c r="I3599" s="251">
        <v>0</v>
      </c>
      <c r="J3599" s="251">
        <v>0</v>
      </c>
      <c r="K3599" s="252">
        <v>44299</v>
      </c>
      <c r="L3599" s="251">
        <v>11808</v>
      </c>
      <c r="M3599" s="251">
        <v>15</v>
      </c>
    </row>
    <row r="3600" spans="2:13" ht="14.1" customHeight="1" x14ac:dyDescent="0.25">
      <c r="B3600" s="251" t="str">
        <f t="shared" si="63"/>
        <v>2104-96-200226</v>
      </c>
      <c r="C3600" s="252">
        <v>44299</v>
      </c>
      <c r="D3600" s="251">
        <v>96</v>
      </c>
      <c r="E3600" s="251">
        <v>30</v>
      </c>
      <c r="F3600" s="251">
        <v>200226</v>
      </c>
      <c r="G3600" s="253" t="s">
        <v>137</v>
      </c>
      <c r="H3600" s="252"/>
      <c r="I3600" s="251">
        <v>0</v>
      </c>
      <c r="J3600" s="251">
        <v>0</v>
      </c>
      <c r="K3600" s="252">
        <v>44299</v>
      </c>
      <c r="L3600" s="251">
        <v>11808</v>
      </c>
      <c r="M3600" s="251">
        <v>30</v>
      </c>
    </row>
    <row r="3601" spans="2:13" ht="14.1" customHeight="1" x14ac:dyDescent="0.25">
      <c r="B3601" s="251" t="str">
        <f t="shared" si="63"/>
        <v>2104-97-311863</v>
      </c>
      <c r="C3601" s="252">
        <v>44299</v>
      </c>
      <c r="D3601" s="251">
        <v>97</v>
      </c>
      <c r="E3601" s="251">
        <v>3</v>
      </c>
      <c r="F3601" s="251">
        <v>311863</v>
      </c>
      <c r="G3601" s="253" t="s">
        <v>2258</v>
      </c>
      <c r="H3601" s="252"/>
      <c r="I3601" s="251">
        <v>0</v>
      </c>
      <c r="J3601" s="251">
        <v>0</v>
      </c>
      <c r="K3601" s="252"/>
      <c r="L3601" s="251">
        <v>0</v>
      </c>
      <c r="M3601" s="251">
        <v>0</v>
      </c>
    </row>
    <row r="3602" spans="2:13" ht="14.1" customHeight="1" x14ac:dyDescent="0.25">
      <c r="B3602" s="251" t="str">
        <f t="shared" si="63"/>
        <v>2104-98-106554</v>
      </c>
      <c r="C3602" s="252">
        <v>44299</v>
      </c>
      <c r="D3602" s="251">
        <v>98</v>
      </c>
      <c r="E3602" s="251">
        <v>3</v>
      </c>
      <c r="F3602" s="251">
        <v>106554</v>
      </c>
      <c r="G3602" s="253" t="s">
        <v>2203</v>
      </c>
      <c r="H3602" s="252"/>
      <c r="I3602" s="251">
        <v>0</v>
      </c>
      <c r="J3602" s="251">
        <v>0</v>
      </c>
      <c r="K3602" s="252">
        <v>44299</v>
      </c>
      <c r="L3602" s="251">
        <v>11809</v>
      </c>
      <c r="M3602" s="251">
        <v>3</v>
      </c>
    </row>
    <row r="3603" spans="2:13" ht="14.1" customHeight="1" x14ac:dyDescent="0.25">
      <c r="B3603" s="251" t="str">
        <f t="shared" si="63"/>
        <v>2104-99-107655</v>
      </c>
      <c r="C3603" s="252">
        <v>44299</v>
      </c>
      <c r="D3603" s="251">
        <v>99</v>
      </c>
      <c r="E3603" s="251">
        <v>1</v>
      </c>
      <c r="F3603" s="251">
        <v>107655</v>
      </c>
      <c r="G3603" s="253" t="s">
        <v>2259</v>
      </c>
      <c r="H3603" s="252"/>
      <c r="I3603" s="251">
        <v>0</v>
      </c>
      <c r="J3603" s="251">
        <v>0</v>
      </c>
      <c r="K3603" s="252">
        <v>44299</v>
      </c>
      <c r="L3603" s="251">
        <v>11813</v>
      </c>
      <c r="M3603" s="251">
        <v>1</v>
      </c>
    </row>
    <row r="3604" spans="2:13" ht="14.1" customHeight="1" x14ac:dyDescent="0.25">
      <c r="B3604" s="251" t="str">
        <f t="shared" si="63"/>
        <v>2104-99-312002</v>
      </c>
      <c r="C3604" s="252">
        <v>44299</v>
      </c>
      <c r="D3604" s="251">
        <v>99</v>
      </c>
      <c r="E3604" s="251">
        <v>1</v>
      </c>
      <c r="F3604" s="251">
        <v>312002</v>
      </c>
      <c r="G3604" s="253" t="s">
        <v>2260</v>
      </c>
      <c r="H3604" s="252"/>
      <c r="I3604" s="251">
        <v>0</v>
      </c>
      <c r="J3604" s="251">
        <v>0</v>
      </c>
      <c r="K3604" s="252">
        <v>44299</v>
      </c>
      <c r="L3604" s="251">
        <v>11813</v>
      </c>
      <c r="M3604" s="251">
        <v>1</v>
      </c>
    </row>
    <row r="3605" spans="2:13" ht="14.1" customHeight="1" x14ac:dyDescent="0.25">
      <c r="B3605" s="251" t="str">
        <f t="shared" si="63"/>
        <v>2104-100-200298</v>
      </c>
      <c r="C3605" s="252">
        <v>44299</v>
      </c>
      <c r="D3605" s="251">
        <v>100</v>
      </c>
      <c r="E3605" s="251">
        <v>3</v>
      </c>
      <c r="F3605" s="251">
        <v>200298</v>
      </c>
      <c r="G3605" s="253" t="s">
        <v>2261</v>
      </c>
      <c r="H3605" s="252"/>
      <c r="I3605" s="251">
        <v>0</v>
      </c>
      <c r="J3605" s="251">
        <v>0</v>
      </c>
      <c r="K3605" s="252">
        <v>44299</v>
      </c>
      <c r="L3605" s="251">
        <v>11810</v>
      </c>
      <c r="M3605" s="251">
        <v>3</v>
      </c>
    </row>
    <row r="3606" spans="2:13" ht="14.1" customHeight="1" x14ac:dyDescent="0.25">
      <c r="B3606" s="251" t="str">
        <f t="shared" si="63"/>
        <v>2104-100-308803</v>
      </c>
      <c r="C3606" s="252">
        <v>44299</v>
      </c>
      <c r="D3606" s="251">
        <v>100</v>
      </c>
      <c r="E3606" s="251">
        <v>100</v>
      </c>
      <c r="F3606" s="251">
        <v>308803</v>
      </c>
      <c r="G3606" s="253" t="s">
        <v>2204</v>
      </c>
      <c r="H3606" s="252"/>
      <c r="I3606" s="251">
        <v>0</v>
      </c>
      <c r="J3606" s="251">
        <v>0</v>
      </c>
      <c r="K3606" s="252">
        <v>44299</v>
      </c>
      <c r="L3606" s="251">
        <v>11810</v>
      </c>
      <c r="M3606" s="251">
        <v>100</v>
      </c>
    </row>
    <row r="3607" spans="2:13" ht="14.1" customHeight="1" x14ac:dyDescent="0.25">
      <c r="B3607" s="251" t="str">
        <f t="shared" si="63"/>
        <v>2104-101-105897</v>
      </c>
      <c r="C3607" s="252">
        <v>44299</v>
      </c>
      <c r="D3607" s="251">
        <v>101</v>
      </c>
      <c r="E3607" s="251">
        <v>1</v>
      </c>
      <c r="F3607" s="251">
        <v>105897</v>
      </c>
      <c r="G3607" s="253" t="s">
        <v>2262</v>
      </c>
      <c r="H3607" s="252"/>
      <c r="I3607" s="251">
        <v>0</v>
      </c>
      <c r="J3607" s="251">
        <v>0</v>
      </c>
      <c r="K3607" s="252">
        <v>44299</v>
      </c>
      <c r="L3607" s="251">
        <v>11811</v>
      </c>
      <c r="M3607" s="251">
        <v>1</v>
      </c>
    </row>
    <row r="3608" spans="2:13" ht="14.1" customHeight="1" x14ac:dyDescent="0.25">
      <c r="B3608" s="251" t="str">
        <f t="shared" si="63"/>
        <v>2104-101-308803</v>
      </c>
      <c r="C3608" s="252">
        <v>44299</v>
      </c>
      <c r="D3608" s="251">
        <v>101</v>
      </c>
      <c r="E3608" s="251">
        <v>100</v>
      </c>
      <c r="F3608" s="251">
        <v>308803</v>
      </c>
      <c r="G3608" s="253" t="s">
        <v>2204</v>
      </c>
      <c r="H3608" s="252"/>
      <c r="I3608" s="251">
        <v>0</v>
      </c>
      <c r="J3608" s="251">
        <v>0</v>
      </c>
      <c r="K3608" s="252">
        <v>44299</v>
      </c>
      <c r="L3608" s="251">
        <v>11811</v>
      </c>
      <c r="M3608" s="251">
        <v>100</v>
      </c>
    </row>
    <row r="3609" spans="2:13" ht="14.1" customHeight="1" x14ac:dyDescent="0.25">
      <c r="B3609" s="251" t="str">
        <f t="shared" si="63"/>
        <v>2104-102-105843</v>
      </c>
      <c r="C3609" s="252">
        <v>44299</v>
      </c>
      <c r="D3609" s="251">
        <v>102</v>
      </c>
      <c r="E3609" s="251">
        <v>3</v>
      </c>
      <c r="F3609" s="251">
        <v>105843</v>
      </c>
      <c r="G3609" s="253" t="s">
        <v>1352</v>
      </c>
      <c r="H3609" s="252"/>
      <c r="I3609" s="251">
        <v>0</v>
      </c>
      <c r="J3609" s="251">
        <v>0</v>
      </c>
      <c r="K3609" s="252"/>
      <c r="L3609" s="251">
        <v>0</v>
      </c>
      <c r="M3609" s="251">
        <v>0</v>
      </c>
    </row>
    <row r="3610" spans="2:13" ht="14.1" customHeight="1" x14ac:dyDescent="0.25">
      <c r="B3610" s="251" t="str">
        <f t="shared" si="63"/>
        <v>2104-102-100004</v>
      </c>
      <c r="C3610" s="252">
        <v>44299</v>
      </c>
      <c r="D3610" s="251">
        <v>102</v>
      </c>
      <c r="E3610" s="251">
        <v>3</v>
      </c>
      <c r="F3610" s="251">
        <v>100004</v>
      </c>
      <c r="G3610" s="253" t="s">
        <v>415</v>
      </c>
      <c r="H3610" s="252"/>
      <c r="I3610" s="251">
        <v>0</v>
      </c>
      <c r="J3610" s="251">
        <v>0</v>
      </c>
      <c r="K3610" s="252"/>
      <c r="L3610" s="251">
        <v>0</v>
      </c>
      <c r="M3610" s="251">
        <v>0</v>
      </c>
    </row>
    <row r="3611" spans="2:13" ht="14.1" customHeight="1" x14ac:dyDescent="0.25">
      <c r="B3611" s="251" t="str">
        <f t="shared" si="63"/>
        <v>2104-102-203913</v>
      </c>
      <c r="C3611" s="252">
        <v>44299</v>
      </c>
      <c r="D3611" s="251">
        <v>102</v>
      </c>
      <c r="E3611" s="251">
        <v>6</v>
      </c>
      <c r="F3611" s="251">
        <v>203913</v>
      </c>
      <c r="G3611" s="253" t="s">
        <v>2263</v>
      </c>
      <c r="H3611" s="252"/>
      <c r="I3611" s="251">
        <v>0</v>
      </c>
      <c r="J3611" s="251">
        <v>0</v>
      </c>
      <c r="K3611" s="252"/>
      <c r="L3611" s="251">
        <v>0</v>
      </c>
      <c r="M3611" s="251">
        <v>0</v>
      </c>
    </row>
    <row r="3612" spans="2:13" ht="14.1" customHeight="1" x14ac:dyDescent="0.25">
      <c r="B3612" s="251" t="str">
        <f t="shared" si="63"/>
        <v>2104-102-301406</v>
      </c>
      <c r="C3612" s="252">
        <v>44299</v>
      </c>
      <c r="D3612" s="251">
        <v>102</v>
      </c>
      <c r="E3612" s="251">
        <v>2</v>
      </c>
      <c r="F3612" s="251">
        <v>301406</v>
      </c>
      <c r="G3612" s="253" t="s">
        <v>2264</v>
      </c>
      <c r="H3612" s="252"/>
      <c r="I3612" s="251">
        <v>0</v>
      </c>
      <c r="J3612" s="251">
        <v>0</v>
      </c>
      <c r="K3612" s="252"/>
      <c r="L3612" s="251">
        <v>0</v>
      </c>
      <c r="M3612" s="251">
        <v>0</v>
      </c>
    </row>
    <row r="3613" spans="2:13" ht="14.1" customHeight="1" x14ac:dyDescent="0.25">
      <c r="B3613" s="251" t="str">
        <f t="shared" ref="B3613" si="64">TEXT(C3613,"yy") &amp; TEXT(C3613,"mm") &amp;"-"&amp;(D3613) &amp;"-"&amp;(F3613)</f>
        <v>2104-102-312775</v>
      </c>
      <c r="C3613" s="252">
        <v>44299</v>
      </c>
      <c r="D3613" s="251">
        <v>102</v>
      </c>
      <c r="E3613" s="251">
        <v>4</v>
      </c>
      <c r="F3613" s="251">
        <v>312775</v>
      </c>
      <c r="G3613" s="253" t="s">
        <v>1560</v>
      </c>
      <c r="H3613" s="252"/>
      <c r="I3613" s="251">
        <v>0</v>
      </c>
      <c r="J3613" s="251">
        <v>0</v>
      </c>
      <c r="K3613" s="252"/>
      <c r="L3613" s="251">
        <v>0</v>
      </c>
      <c r="M3613" s="251">
        <v>0</v>
      </c>
    </row>
    <row r="3614" spans="2:13" ht="14.1" customHeight="1" x14ac:dyDescent="0.25">
      <c r="B3614" s="46" t="str">
        <f t="shared" ref="B3614:B3645" si="65">TEXT(C3614,"yy") &amp; TEXT(C3614,"mm") &amp;"-"&amp;(D3614) &amp;"-"&amp;(F3614)</f>
        <v>2104-102-318810</v>
      </c>
      <c r="C3614" s="47">
        <v>44299</v>
      </c>
      <c r="D3614" s="46">
        <v>102</v>
      </c>
      <c r="E3614" s="46">
        <v>2</v>
      </c>
      <c r="F3614" s="46">
        <v>318810</v>
      </c>
      <c r="G3614" s="48" t="s">
        <v>2265</v>
      </c>
      <c r="I3614" s="46">
        <v>0</v>
      </c>
      <c r="J3614" s="46">
        <v>0</v>
      </c>
      <c r="L3614" s="46">
        <v>0</v>
      </c>
      <c r="M3614" s="46">
        <v>0</v>
      </c>
    </row>
    <row r="3615" spans="2:13" ht="14.1" customHeight="1" x14ac:dyDescent="0.25">
      <c r="B3615" s="46" t="str">
        <f t="shared" si="65"/>
        <v>2104-102-206700</v>
      </c>
      <c r="C3615" s="47">
        <v>44299</v>
      </c>
      <c r="D3615" s="46">
        <v>102</v>
      </c>
      <c r="E3615" s="46">
        <v>6</v>
      </c>
      <c r="F3615" s="46">
        <v>206700</v>
      </c>
      <c r="G3615" s="48" t="s">
        <v>591</v>
      </c>
      <c r="I3615" s="46">
        <v>0</v>
      </c>
      <c r="J3615" s="46">
        <v>0</v>
      </c>
      <c r="L3615" s="46">
        <v>0</v>
      </c>
      <c r="M3615" s="46">
        <v>0</v>
      </c>
    </row>
    <row r="3616" spans="2:13" ht="14.1" customHeight="1" x14ac:dyDescent="0.25">
      <c r="B3616" s="46" t="str">
        <f t="shared" si="65"/>
        <v>2104-102-313940</v>
      </c>
      <c r="C3616" s="47">
        <v>44299</v>
      </c>
      <c r="D3616" s="46">
        <v>102</v>
      </c>
      <c r="E3616" s="46">
        <v>12</v>
      </c>
      <c r="F3616" s="46">
        <v>313940</v>
      </c>
      <c r="G3616" s="48" t="s">
        <v>2266</v>
      </c>
      <c r="I3616" s="46">
        <v>0</v>
      </c>
      <c r="J3616" s="46">
        <v>0</v>
      </c>
      <c r="L3616" s="46">
        <v>0</v>
      </c>
      <c r="M3616" s="46">
        <v>0</v>
      </c>
    </row>
    <row r="3617" spans="2:13" ht="14.1" customHeight="1" x14ac:dyDescent="0.25">
      <c r="B3617" s="46" t="str">
        <f t="shared" si="65"/>
        <v>2104-103-201231</v>
      </c>
      <c r="C3617" s="47">
        <v>44299</v>
      </c>
      <c r="D3617" s="46">
        <v>103</v>
      </c>
      <c r="E3617" s="46">
        <v>100</v>
      </c>
      <c r="F3617" s="46">
        <v>201231</v>
      </c>
      <c r="G3617" s="48" t="s">
        <v>244</v>
      </c>
      <c r="H3617" s="47">
        <v>44300</v>
      </c>
      <c r="I3617" s="46">
        <v>52486</v>
      </c>
      <c r="J3617" s="46">
        <v>100</v>
      </c>
      <c r="K3617" s="47">
        <v>44302</v>
      </c>
      <c r="L3617" s="46">
        <v>11850</v>
      </c>
      <c r="M3617" s="46">
        <v>50</v>
      </c>
    </row>
    <row r="3618" spans="2:13" ht="14.1" customHeight="1" x14ac:dyDescent="0.25">
      <c r="B3618" s="46" t="str">
        <f t="shared" si="65"/>
        <v>2104-104-205512</v>
      </c>
      <c r="C3618" s="47">
        <v>44299</v>
      </c>
      <c r="D3618" s="46">
        <v>104</v>
      </c>
      <c r="E3618" s="46">
        <v>20</v>
      </c>
      <c r="F3618" s="46">
        <v>205512</v>
      </c>
      <c r="G3618" s="48" t="s">
        <v>104</v>
      </c>
      <c r="H3618" s="47">
        <v>44300</v>
      </c>
      <c r="I3618" s="46">
        <v>52485</v>
      </c>
      <c r="J3618" s="46">
        <v>20</v>
      </c>
      <c r="K3618" s="47">
        <v>44302</v>
      </c>
      <c r="L3618" s="46">
        <v>11849</v>
      </c>
      <c r="M3618" s="46">
        <v>20</v>
      </c>
    </row>
    <row r="3619" spans="2:13" ht="14.1" customHeight="1" x14ac:dyDescent="0.25">
      <c r="B3619" s="46" t="str">
        <f t="shared" si="65"/>
        <v>2104-105-203593</v>
      </c>
      <c r="C3619" s="47">
        <v>44299</v>
      </c>
      <c r="D3619" s="46">
        <v>105</v>
      </c>
      <c r="E3619" s="46">
        <v>21830</v>
      </c>
      <c r="F3619" s="46">
        <v>203593</v>
      </c>
      <c r="G3619" s="48" t="s">
        <v>211</v>
      </c>
      <c r="I3619" s="46">
        <v>0</v>
      </c>
      <c r="J3619" s="46">
        <v>0</v>
      </c>
      <c r="K3619" s="47">
        <v>44299</v>
      </c>
      <c r="L3619" s="46">
        <v>11815</v>
      </c>
      <c r="M3619" s="46">
        <v>21830</v>
      </c>
    </row>
    <row r="3620" spans="2:13" ht="14.1" customHeight="1" x14ac:dyDescent="0.25">
      <c r="B3620" s="46" t="str">
        <f t="shared" si="65"/>
        <v>2104-106-306411</v>
      </c>
      <c r="C3620" s="47">
        <v>44299</v>
      </c>
      <c r="D3620" s="46">
        <v>106</v>
      </c>
      <c r="E3620" s="46">
        <v>10</v>
      </c>
      <c r="F3620" s="46">
        <v>306411</v>
      </c>
      <c r="G3620" s="48" t="s">
        <v>2267</v>
      </c>
      <c r="I3620" s="46">
        <v>0</v>
      </c>
      <c r="J3620" s="46">
        <v>0</v>
      </c>
      <c r="K3620" s="47">
        <v>44299</v>
      </c>
      <c r="L3620" s="46">
        <v>11816</v>
      </c>
      <c r="M3620" s="46">
        <v>10</v>
      </c>
    </row>
    <row r="3621" spans="2:13" ht="14.1" customHeight="1" x14ac:dyDescent="0.25">
      <c r="B3621" s="46" t="str">
        <f t="shared" si="65"/>
        <v>2104-106-106255</v>
      </c>
      <c r="C3621" s="47">
        <v>44299</v>
      </c>
      <c r="D3621" s="46">
        <v>106</v>
      </c>
      <c r="E3621" s="46">
        <v>10</v>
      </c>
      <c r="F3621" s="46">
        <v>106255</v>
      </c>
      <c r="G3621" s="48" t="s">
        <v>455</v>
      </c>
      <c r="I3621" s="46">
        <v>0</v>
      </c>
      <c r="J3621" s="46">
        <v>0</v>
      </c>
      <c r="K3621" s="47">
        <v>44299</v>
      </c>
      <c r="L3621" s="46">
        <v>11816</v>
      </c>
      <c r="M3621" s="46">
        <v>10</v>
      </c>
    </row>
    <row r="3622" spans="2:13" ht="14.1" customHeight="1" x14ac:dyDescent="0.25">
      <c r="B3622" s="46" t="str">
        <f t="shared" si="65"/>
        <v>2104-107-319359</v>
      </c>
      <c r="C3622" s="47">
        <v>44300</v>
      </c>
      <c r="D3622" s="46">
        <v>107</v>
      </c>
      <c r="E3622" s="46">
        <v>6000</v>
      </c>
      <c r="F3622" s="46">
        <v>319359</v>
      </c>
      <c r="G3622" s="48" t="s">
        <v>210</v>
      </c>
      <c r="I3622" s="46">
        <v>0</v>
      </c>
      <c r="J3622" s="46">
        <v>0</v>
      </c>
      <c r="L3622" s="46">
        <v>0</v>
      </c>
      <c r="M3622" s="46">
        <v>0</v>
      </c>
    </row>
    <row r="3623" spans="2:13" ht="14.1" customHeight="1" x14ac:dyDescent="0.25">
      <c r="B3623" s="46" t="str">
        <f t="shared" si="65"/>
        <v>2104-108-319688</v>
      </c>
      <c r="C3623" s="47">
        <v>44300</v>
      </c>
      <c r="D3623" s="46">
        <v>108</v>
      </c>
      <c r="E3623" s="46">
        <v>2000</v>
      </c>
      <c r="F3623" s="46">
        <v>319688</v>
      </c>
      <c r="G3623" s="48" t="s">
        <v>281</v>
      </c>
      <c r="I3623" s="46">
        <v>0</v>
      </c>
      <c r="J3623" s="46">
        <v>0</v>
      </c>
      <c r="L3623" s="46">
        <v>0</v>
      </c>
      <c r="M3623" s="46">
        <v>0</v>
      </c>
    </row>
    <row r="3624" spans="2:13" ht="14.1" customHeight="1" x14ac:dyDescent="0.25">
      <c r="B3624" s="46" t="str">
        <f t="shared" si="65"/>
        <v>2104-109-310867</v>
      </c>
      <c r="C3624" s="47">
        <v>44300</v>
      </c>
      <c r="D3624" s="46">
        <v>109</v>
      </c>
      <c r="E3624" s="46">
        <v>30</v>
      </c>
      <c r="F3624" s="46">
        <v>310867</v>
      </c>
      <c r="G3624" s="48" t="s">
        <v>96</v>
      </c>
      <c r="I3624" s="46">
        <v>0</v>
      </c>
      <c r="J3624" s="46">
        <v>0</v>
      </c>
      <c r="L3624" s="46">
        <v>0</v>
      </c>
      <c r="M3624" s="46">
        <v>0</v>
      </c>
    </row>
    <row r="3625" spans="2:13" ht="14.1" customHeight="1" x14ac:dyDescent="0.25">
      <c r="B3625" s="46" t="str">
        <f t="shared" si="65"/>
        <v>2104-110-203825</v>
      </c>
      <c r="C3625" s="47">
        <v>44300</v>
      </c>
      <c r="D3625" s="46">
        <v>110</v>
      </c>
      <c r="E3625" s="46">
        <v>15</v>
      </c>
      <c r="F3625" s="46">
        <v>203825</v>
      </c>
      <c r="G3625" s="48" t="s">
        <v>86</v>
      </c>
      <c r="I3625" s="46">
        <v>0</v>
      </c>
      <c r="J3625" s="46">
        <v>0</v>
      </c>
      <c r="L3625" s="46">
        <v>0</v>
      </c>
      <c r="M3625" s="46">
        <v>0</v>
      </c>
    </row>
    <row r="3626" spans="2:13" ht="14.1" customHeight="1" x14ac:dyDescent="0.25">
      <c r="B3626" s="46" t="str">
        <f t="shared" si="65"/>
        <v>2104-110-306518</v>
      </c>
      <c r="C3626" s="47">
        <v>44300</v>
      </c>
      <c r="D3626" s="46">
        <v>110</v>
      </c>
      <c r="E3626" s="46">
        <v>10</v>
      </c>
      <c r="F3626" s="46">
        <v>306518</v>
      </c>
      <c r="G3626" s="48" t="s">
        <v>89</v>
      </c>
      <c r="I3626" s="46">
        <v>0</v>
      </c>
      <c r="J3626" s="46">
        <v>0</v>
      </c>
      <c r="L3626" s="46">
        <v>0</v>
      </c>
      <c r="M3626" s="46">
        <v>0</v>
      </c>
    </row>
    <row r="3627" spans="2:13" ht="14.1" customHeight="1" x14ac:dyDescent="0.25">
      <c r="B3627" s="46" t="str">
        <f t="shared" si="65"/>
        <v>2104-110-305882</v>
      </c>
      <c r="C3627" s="47">
        <v>44300</v>
      </c>
      <c r="D3627" s="46">
        <v>110</v>
      </c>
      <c r="E3627" s="46">
        <v>10</v>
      </c>
      <c r="F3627" s="46">
        <v>305882</v>
      </c>
      <c r="G3627" s="48" t="s">
        <v>1158</v>
      </c>
      <c r="I3627" s="46">
        <v>0</v>
      </c>
      <c r="J3627" s="46">
        <v>0</v>
      </c>
      <c r="L3627" s="46">
        <v>0</v>
      </c>
      <c r="M3627" s="46">
        <v>0</v>
      </c>
    </row>
    <row r="3628" spans="2:13" ht="14.1" customHeight="1" x14ac:dyDescent="0.25">
      <c r="B3628" s="46" t="str">
        <f t="shared" si="65"/>
        <v>2104-110-204776</v>
      </c>
      <c r="C3628" s="47">
        <v>44300</v>
      </c>
      <c r="D3628" s="46">
        <v>110</v>
      </c>
      <c r="E3628" s="46">
        <v>10</v>
      </c>
      <c r="F3628" s="46">
        <v>204776</v>
      </c>
      <c r="G3628" s="48" t="s">
        <v>2268</v>
      </c>
      <c r="I3628" s="46">
        <v>0</v>
      </c>
      <c r="J3628" s="46">
        <v>0</v>
      </c>
      <c r="L3628" s="46">
        <v>0</v>
      </c>
      <c r="M3628" s="46">
        <v>0</v>
      </c>
    </row>
    <row r="3629" spans="2:13" ht="14.1" customHeight="1" x14ac:dyDescent="0.25">
      <c r="B3629" s="46" t="str">
        <f t="shared" si="65"/>
        <v>2104-110-200534</v>
      </c>
      <c r="C3629" s="47">
        <v>44300</v>
      </c>
      <c r="D3629" s="46">
        <v>110</v>
      </c>
      <c r="E3629" s="46">
        <v>10</v>
      </c>
      <c r="F3629" s="46">
        <v>200534</v>
      </c>
      <c r="G3629" s="48" t="s">
        <v>90</v>
      </c>
      <c r="I3629" s="46">
        <v>0</v>
      </c>
      <c r="J3629" s="46">
        <v>0</v>
      </c>
      <c r="L3629" s="46">
        <v>0</v>
      </c>
      <c r="M3629" s="46">
        <v>0</v>
      </c>
    </row>
    <row r="3630" spans="2:13" ht="14.1" customHeight="1" x14ac:dyDescent="0.25">
      <c r="B3630" s="46" t="str">
        <f t="shared" si="65"/>
        <v>2104-111-300905</v>
      </c>
      <c r="C3630" s="47">
        <v>44300</v>
      </c>
      <c r="D3630" s="46">
        <v>111</v>
      </c>
      <c r="E3630" s="46">
        <v>16</v>
      </c>
      <c r="F3630" s="46">
        <v>300905</v>
      </c>
      <c r="G3630" s="48" t="s">
        <v>2269</v>
      </c>
      <c r="I3630" s="46">
        <v>0</v>
      </c>
      <c r="J3630" s="46">
        <v>0</v>
      </c>
      <c r="L3630" s="46">
        <v>0</v>
      </c>
      <c r="M3630" s="46">
        <v>0</v>
      </c>
    </row>
    <row r="3631" spans="2:13" ht="14.1" customHeight="1" x14ac:dyDescent="0.25">
      <c r="B3631" s="46" t="str">
        <f t="shared" si="65"/>
        <v>2104-112-304892</v>
      </c>
      <c r="C3631" s="47">
        <v>44300</v>
      </c>
      <c r="D3631" s="46">
        <v>112</v>
      </c>
      <c r="E3631" s="46">
        <v>2000</v>
      </c>
      <c r="F3631" s="46">
        <v>304892</v>
      </c>
      <c r="G3631" s="48" t="s">
        <v>198</v>
      </c>
      <c r="I3631" s="46">
        <v>0</v>
      </c>
      <c r="J3631" s="46">
        <v>0</v>
      </c>
      <c r="K3631" s="47">
        <v>44300</v>
      </c>
      <c r="L3631" s="46">
        <v>11821</v>
      </c>
      <c r="M3631" s="46">
        <v>2000</v>
      </c>
    </row>
    <row r="3632" spans="2:13" ht="14.1" customHeight="1" x14ac:dyDescent="0.25">
      <c r="B3632" s="46" t="str">
        <f t="shared" si="65"/>
        <v>2104-113-204700</v>
      </c>
      <c r="C3632" s="47">
        <v>44300</v>
      </c>
      <c r="D3632" s="46">
        <v>113</v>
      </c>
      <c r="E3632" s="46">
        <v>1</v>
      </c>
      <c r="F3632" s="46">
        <v>204700</v>
      </c>
      <c r="G3632" s="48" t="s">
        <v>1902</v>
      </c>
      <c r="I3632" s="46">
        <v>0</v>
      </c>
      <c r="J3632" s="46">
        <v>0</v>
      </c>
      <c r="K3632" s="47">
        <v>44300</v>
      </c>
      <c r="L3632" s="46">
        <v>11825</v>
      </c>
      <c r="M3632" s="46">
        <v>1</v>
      </c>
    </row>
    <row r="3633" spans="2:13" ht="14.1" customHeight="1" x14ac:dyDescent="0.25">
      <c r="B3633" s="46" t="str">
        <f t="shared" si="65"/>
        <v>2104-114-308484</v>
      </c>
      <c r="C3633" s="47">
        <v>44300</v>
      </c>
      <c r="D3633" s="46">
        <v>114</v>
      </c>
      <c r="E3633" s="46">
        <v>2</v>
      </c>
      <c r="F3633" s="46">
        <v>308484</v>
      </c>
      <c r="G3633" s="48" t="s">
        <v>2270</v>
      </c>
      <c r="I3633" s="46">
        <v>0</v>
      </c>
      <c r="J3633" s="46">
        <v>0</v>
      </c>
      <c r="K3633" s="47">
        <v>44300</v>
      </c>
      <c r="L3633" s="46">
        <v>11826</v>
      </c>
      <c r="M3633" s="46">
        <v>2</v>
      </c>
    </row>
    <row r="3634" spans="2:13" ht="14.1" customHeight="1" x14ac:dyDescent="0.25">
      <c r="B3634" s="46" t="str">
        <f t="shared" si="65"/>
        <v>2104-115-106650</v>
      </c>
      <c r="C3634" s="47">
        <v>44300</v>
      </c>
      <c r="D3634" s="46">
        <v>115</v>
      </c>
      <c r="E3634" s="46">
        <v>1</v>
      </c>
      <c r="F3634" s="46">
        <v>106650</v>
      </c>
      <c r="G3634" s="48" t="s">
        <v>2271</v>
      </c>
      <c r="I3634" s="46">
        <v>0</v>
      </c>
      <c r="J3634" s="46">
        <v>0</v>
      </c>
      <c r="L3634" s="46">
        <v>0</v>
      </c>
      <c r="M3634" s="46">
        <v>0</v>
      </c>
    </row>
    <row r="3635" spans="2:13" ht="14.1" customHeight="1" x14ac:dyDescent="0.25">
      <c r="B3635" s="46" t="str">
        <f t="shared" si="65"/>
        <v>2104-116-205141</v>
      </c>
      <c r="C3635" s="47">
        <v>44300</v>
      </c>
      <c r="D3635" s="46">
        <v>116</v>
      </c>
      <c r="E3635" s="46">
        <v>1</v>
      </c>
      <c r="F3635" s="46">
        <v>205141</v>
      </c>
      <c r="G3635" s="48" t="s">
        <v>2272</v>
      </c>
      <c r="I3635" s="46">
        <v>0</v>
      </c>
      <c r="J3635" s="46">
        <v>0</v>
      </c>
      <c r="K3635" s="47">
        <v>44300</v>
      </c>
      <c r="L3635" s="46">
        <v>11827</v>
      </c>
      <c r="M3635" s="46">
        <v>1</v>
      </c>
    </row>
    <row r="3636" spans="2:13" ht="14.1" customHeight="1" x14ac:dyDescent="0.25">
      <c r="B3636" s="46" t="str">
        <f t="shared" si="65"/>
        <v>2104-116-320864</v>
      </c>
      <c r="C3636" s="47">
        <v>44300</v>
      </c>
      <c r="D3636" s="46">
        <v>116</v>
      </c>
      <c r="E3636" s="46">
        <v>1</v>
      </c>
      <c r="F3636" s="46">
        <v>320864</v>
      </c>
      <c r="G3636" s="48" t="s">
        <v>2273</v>
      </c>
      <c r="I3636" s="46">
        <v>0</v>
      </c>
      <c r="J3636" s="46">
        <v>0</v>
      </c>
      <c r="K3636" s="47">
        <v>44300</v>
      </c>
      <c r="L3636" s="46">
        <v>11827</v>
      </c>
      <c r="M3636" s="46">
        <v>1</v>
      </c>
    </row>
    <row r="3637" spans="2:13" ht="14.1" customHeight="1" x14ac:dyDescent="0.25">
      <c r="B3637" s="46" t="str">
        <f t="shared" si="65"/>
        <v>2104-116-206242</v>
      </c>
      <c r="C3637" s="47">
        <v>44300</v>
      </c>
      <c r="D3637" s="46">
        <v>116</v>
      </c>
      <c r="E3637" s="46">
        <v>1</v>
      </c>
      <c r="F3637" s="46">
        <v>206242</v>
      </c>
      <c r="G3637" s="48" t="s">
        <v>2274</v>
      </c>
      <c r="I3637" s="46">
        <v>0</v>
      </c>
      <c r="J3637" s="46">
        <v>0</v>
      </c>
      <c r="K3637" s="47">
        <v>44300</v>
      </c>
      <c r="L3637" s="46">
        <v>11827</v>
      </c>
      <c r="M3637" s="46">
        <v>1</v>
      </c>
    </row>
    <row r="3638" spans="2:13" ht="14.1" customHeight="1" x14ac:dyDescent="0.25">
      <c r="B3638" s="46" t="str">
        <f t="shared" si="65"/>
        <v>2104-116-103551</v>
      </c>
      <c r="C3638" s="47">
        <v>44300</v>
      </c>
      <c r="D3638" s="46">
        <v>116</v>
      </c>
      <c r="E3638" s="46">
        <v>1</v>
      </c>
      <c r="F3638" s="46">
        <v>103551</v>
      </c>
      <c r="G3638" s="48" t="s">
        <v>2275</v>
      </c>
      <c r="I3638" s="46">
        <v>0</v>
      </c>
      <c r="J3638" s="46">
        <v>0</v>
      </c>
      <c r="K3638" s="47">
        <v>44300</v>
      </c>
      <c r="L3638" s="46">
        <v>11827</v>
      </c>
      <c r="M3638" s="46">
        <v>1</v>
      </c>
    </row>
    <row r="3639" spans="2:13" ht="14.1" customHeight="1" x14ac:dyDescent="0.25">
      <c r="B3639" s="46" t="str">
        <f t="shared" si="65"/>
        <v>2104-117-305201</v>
      </c>
      <c r="C3639" s="47">
        <v>44300</v>
      </c>
      <c r="D3639" s="46">
        <v>117</v>
      </c>
      <c r="E3639" s="46">
        <v>1</v>
      </c>
      <c r="F3639" s="46">
        <v>305201</v>
      </c>
      <c r="G3639" s="48" t="s">
        <v>2251</v>
      </c>
      <c r="I3639" s="46">
        <v>0</v>
      </c>
      <c r="J3639" s="46">
        <v>0</v>
      </c>
      <c r="L3639" s="46">
        <v>0</v>
      </c>
      <c r="M3639" s="46">
        <v>0</v>
      </c>
    </row>
    <row r="3640" spans="2:13" ht="14.1" customHeight="1" x14ac:dyDescent="0.25">
      <c r="B3640" s="46" t="str">
        <f t="shared" si="65"/>
        <v>2104-117-316295</v>
      </c>
      <c r="C3640" s="47">
        <v>44300</v>
      </c>
      <c r="D3640" s="46">
        <v>117</v>
      </c>
      <c r="E3640" s="46">
        <v>1</v>
      </c>
      <c r="F3640" s="46">
        <v>316295</v>
      </c>
      <c r="G3640" s="48" t="s">
        <v>1792</v>
      </c>
      <c r="I3640" s="46">
        <v>0</v>
      </c>
      <c r="J3640" s="46">
        <v>0</v>
      </c>
      <c r="L3640" s="46">
        <v>0</v>
      </c>
      <c r="M3640" s="46">
        <v>0</v>
      </c>
    </row>
    <row r="3641" spans="2:13" ht="14.1" customHeight="1" x14ac:dyDescent="0.25">
      <c r="B3641" s="46" t="str">
        <f t="shared" si="65"/>
        <v>2104-118-307081</v>
      </c>
      <c r="C3641" s="47">
        <v>44300</v>
      </c>
      <c r="D3641" s="46">
        <v>118</v>
      </c>
      <c r="E3641" s="46">
        <v>8</v>
      </c>
      <c r="F3641" s="46">
        <v>307081</v>
      </c>
      <c r="G3641" s="48" t="s">
        <v>2276</v>
      </c>
      <c r="I3641" s="46">
        <v>0</v>
      </c>
      <c r="J3641" s="46">
        <v>0</v>
      </c>
      <c r="K3641" s="47">
        <v>44300</v>
      </c>
      <c r="L3641" s="46">
        <v>11828</v>
      </c>
      <c r="M3641" s="46">
        <v>8</v>
      </c>
    </row>
    <row r="3642" spans="2:13" ht="14.1" customHeight="1" x14ac:dyDescent="0.25">
      <c r="B3642" s="46" t="str">
        <f t="shared" si="65"/>
        <v>2104-118-204590</v>
      </c>
      <c r="C3642" s="47">
        <v>44300</v>
      </c>
      <c r="D3642" s="46">
        <v>118</v>
      </c>
      <c r="E3642" s="46">
        <v>16</v>
      </c>
      <c r="F3642" s="46">
        <v>204590</v>
      </c>
      <c r="G3642" s="48" t="s">
        <v>2277</v>
      </c>
      <c r="I3642" s="46">
        <v>0</v>
      </c>
      <c r="J3642" s="46">
        <v>0</v>
      </c>
      <c r="K3642" s="47">
        <v>44300</v>
      </c>
      <c r="L3642" s="46">
        <v>11828</v>
      </c>
      <c r="M3642" s="46">
        <v>16</v>
      </c>
    </row>
    <row r="3643" spans="2:13" ht="14.1" customHeight="1" x14ac:dyDescent="0.25">
      <c r="B3643" s="46" t="str">
        <f t="shared" si="65"/>
        <v>2104-119-204034</v>
      </c>
      <c r="C3643" s="47">
        <v>44300</v>
      </c>
      <c r="D3643" s="46">
        <v>119</v>
      </c>
      <c r="E3643" s="46">
        <v>1</v>
      </c>
      <c r="F3643" s="46">
        <v>204034</v>
      </c>
      <c r="G3643" s="48" t="s">
        <v>2278</v>
      </c>
      <c r="I3643" s="46">
        <v>0</v>
      </c>
      <c r="J3643" s="46">
        <v>0</v>
      </c>
      <c r="K3643" s="47">
        <v>44300</v>
      </c>
      <c r="L3643" s="46">
        <v>11829</v>
      </c>
      <c r="M3643" s="46">
        <v>1</v>
      </c>
    </row>
    <row r="3644" spans="2:13" ht="14.1" customHeight="1" x14ac:dyDescent="0.25">
      <c r="B3644" s="46" t="str">
        <f t="shared" si="65"/>
        <v>2104-120-205146</v>
      </c>
      <c r="C3644" s="47">
        <v>44300</v>
      </c>
      <c r="D3644" s="46">
        <v>120</v>
      </c>
      <c r="E3644" s="46">
        <v>2</v>
      </c>
      <c r="F3644" s="46">
        <v>205146</v>
      </c>
      <c r="G3644" s="48" t="s">
        <v>44</v>
      </c>
      <c r="I3644" s="46">
        <v>0</v>
      </c>
      <c r="J3644" s="46">
        <v>0</v>
      </c>
      <c r="K3644" s="47">
        <v>44300</v>
      </c>
      <c r="L3644" s="46">
        <v>11830</v>
      </c>
      <c r="M3644" s="46">
        <v>2</v>
      </c>
    </row>
    <row r="3645" spans="2:13" ht="14.1" customHeight="1" x14ac:dyDescent="0.25">
      <c r="B3645" s="46" t="str">
        <f t="shared" si="65"/>
        <v>2104-120-105729</v>
      </c>
      <c r="C3645" s="47">
        <v>44300</v>
      </c>
      <c r="D3645" s="46">
        <v>120</v>
      </c>
      <c r="E3645" s="46">
        <v>1</v>
      </c>
      <c r="F3645" s="46">
        <v>105729</v>
      </c>
      <c r="G3645" s="48" t="s">
        <v>2279</v>
      </c>
      <c r="I3645" s="46">
        <v>0</v>
      </c>
      <c r="J3645" s="46">
        <v>0</v>
      </c>
      <c r="K3645" s="47">
        <v>44300</v>
      </c>
      <c r="L3645" s="46">
        <v>11830</v>
      </c>
      <c r="M3645" s="46">
        <v>1</v>
      </c>
    </row>
    <row r="3646" spans="2:13" ht="14.1" customHeight="1" x14ac:dyDescent="0.25">
      <c r="B3646" s="46" t="str">
        <f t="shared" ref="B3646:B3665" si="66">TEXT(C3646,"yy") &amp; TEXT(C3646,"mm") &amp;"-"&amp;(D3646) &amp;"-"&amp;(F3646)</f>
        <v>2104-120-204736</v>
      </c>
      <c r="C3646" s="47">
        <v>44300</v>
      </c>
      <c r="D3646" s="46">
        <v>120</v>
      </c>
      <c r="E3646" s="46">
        <v>1</v>
      </c>
      <c r="F3646" s="46">
        <v>204736</v>
      </c>
      <c r="G3646" s="48" t="s">
        <v>2186</v>
      </c>
      <c r="I3646" s="46">
        <v>0</v>
      </c>
      <c r="J3646" s="46">
        <v>0</v>
      </c>
      <c r="K3646" s="47">
        <v>44300</v>
      </c>
      <c r="L3646" s="46">
        <v>11830</v>
      </c>
      <c r="M3646" s="46">
        <v>1</v>
      </c>
    </row>
    <row r="3647" spans="2:13" ht="14.1" customHeight="1" x14ac:dyDescent="0.25">
      <c r="B3647" s="46" t="str">
        <f t="shared" si="66"/>
        <v>2104-121-315860</v>
      </c>
      <c r="C3647" s="47">
        <v>44300</v>
      </c>
      <c r="D3647" s="46">
        <v>121</v>
      </c>
      <c r="E3647" s="46">
        <v>6</v>
      </c>
      <c r="F3647" s="46">
        <v>315860</v>
      </c>
      <c r="G3647" s="48" t="s">
        <v>2280</v>
      </c>
      <c r="I3647" s="46">
        <v>0</v>
      </c>
      <c r="J3647" s="46">
        <v>0</v>
      </c>
      <c r="K3647" s="47">
        <v>44300</v>
      </c>
      <c r="L3647" s="46">
        <v>11831</v>
      </c>
      <c r="M3647" s="46">
        <v>6</v>
      </c>
    </row>
    <row r="3648" spans="2:13" ht="14.1" customHeight="1" x14ac:dyDescent="0.25">
      <c r="B3648" s="46" t="str">
        <f t="shared" si="66"/>
        <v>2104-122-303416</v>
      </c>
      <c r="C3648" s="47">
        <v>44300</v>
      </c>
      <c r="D3648" s="46">
        <v>122</v>
      </c>
      <c r="E3648" s="46">
        <v>1</v>
      </c>
      <c r="F3648" s="46">
        <v>303416</v>
      </c>
      <c r="G3648" s="48" t="s">
        <v>2281</v>
      </c>
      <c r="I3648" s="46">
        <v>0</v>
      </c>
      <c r="J3648" s="46">
        <v>0</v>
      </c>
      <c r="K3648" s="47">
        <v>44300</v>
      </c>
      <c r="L3648" s="46">
        <v>11832</v>
      </c>
      <c r="M3648" s="46">
        <v>1</v>
      </c>
    </row>
    <row r="3649" spans="2:13" ht="14.1" customHeight="1" x14ac:dyDescent="0.25">
      <c r="B3649" s="46" t="str">
        <f t="shared" si="66"/>
        <v>2104-123-200683</v>
      </c>
      <c r="C3649" s="47">
        <v>44300</v>
      </c>
      <c r="D3649" s="46">
        <v>123</v>
      </c>
      <c r="E3649" s="46">
        <v>7.76</v>
      </c>
      <c r="F3649" s="46">
        <v>200683</v>
      </c>
      <c r="G3649" s="48" t="s">
        <v>493</v>
      </c>
      <c r="I3649" s="46">
        <v>0</v>
      </c>
      <c r="J3649" s="46">
        <v>0</v>
      </c>
      <c r="K3649" s="47">
        <v>44300</v>
      </c>
      <c r="L3649" s="46">
        <v>11833</v>
      </c>
      <c r="M3649" s="46">
        <v>7.76</v>
      </c>
    </row>
    <row r="3650" spans="2:13" ht="14.1" customHeight="1" x14ac:dyDescent="0.25">
      <c r="B3650" s="46" t="str">
        <f t="shared" si="66"/>
        <v>2104-124-315773</v>
      </c>
      <c r="C3650" s="47">
        <v>44300</v>
      </c>
      <c r="D3650" s="46">
        <v>124</v>
      </c>
      <c r="E3650" s="46">
        <v>6</v>
      </c>
      <c r="F3650" s="46">
        <v>315773</v>
      </c>
      <c r="G3650" s="48" t="s">
        <v>2282</v>
      </c>
      <c r="I3650" s="46">
        <v>0</v>
      </c>
      <c r="J3650" s="46">
        <v>0</v>
      </c>
      <c r="K3650" s="47">
        <v>44300</v>
      </c>
      <c r="L3650" s="46">
        <v>11834</v>
      </c>
      <c r="M3650" s="46">
        <v>6</v>
      </c>
    </row>
    <row r="3651" spans="2:13" ht="14.1" customHeight="1" x14ac:dyDescent="0.25">
      <c r="B3651" s="46" t="str">
        <f t="shared" si="66"/>
        <v>2104-124-100277</v>
      </c>
      <c r="C3651" s="47">
        <v>44300</v>
      </c>
      <c r="D3651" s="46">
        <v>124</v>
      </c>
      <c r="E3651" s="46">
        <v>1</v>
      </c>
      <c r="F3651" s="46">
        <v>100277</v>
      </c>
      <c r="G3651" s="48" t="s">
        <v>212</v>
      </c>
      <c r="I3651" s="46">
        <v>0</v>
      </c>
      <c r="J3651" s="46">
        <v>0</v>
      </c>
      <c r="K3651" s="47">
        <v>44300</v>
      </c>
      <c r="L3651" s="46">
        <v>11834</v>
      </c>
      <c r="M3651" s="46">
        <v>1</v>
      </c>
    </row>
    <row r="3652" spans="2:13" ht="14.1" customHeight="1" x14ac:dyDescent="0.25">
      <c r="B3652" s="46" t="str">
        <f t="shared" si="66"/>
        <v>2104-125-300044</v>
      </c>
      <c r="C3652" s="47">
        <v>44300</v>
      </c>
      <c r="D3652" s="46">
        <v>125</v>
      </c>
      <c r="E3652" s="46">
        <v>6</v>
      </c>
      <c r="F3652" s="46">
        <v>300044</v>
      </c>
      <c r="G3652" s="48" t="s">
        <v>2283</v>
      </c>
      <c r="I3652" s="46">
        <v>0</v>
      </c>
      <c r="J3652" s="46">
        <v>0</v>
      </c>
      <c r="K3652" s="47">
        <v>44300</v>
      </c>
      <c r="L3652" s="46">
        <v>11835</v>
      </c>
      <c r="M3652" s="46">
        <v>6</v>
      </c>
    </row>
    <row r="3653" spans="2:13" ht="14.1" customHeight="1" x14ac:dyDescent="0.25">
      <c r="B3653" s="46" t="str">
        <f t="shared" si="66"/>
        <v>2104-126-100219</v>
      </c>
      <c r="C3653" s="47">
        <v>44300</v>
      </c>
      <c r="D3653" s="46">
        <v>126</v>
      </c>
      <c r="E3653" s="46">
        <v>55</v>
      </c>
      <c r="F3653" s="46">
        <v>100219</v>
      </c>
      <c r="G3653" s="48" t="s">
        <v>411</v>
      </c>
      <c r="I3653" s="46">
        <v>0</v>
      </c>
      <c r="J3653" s="46">
        <v>0</v>
      </c>
      <c r="L3653" s="46">
        <v>0</v>
      </c>
      <c r="M3653" s="46">
        <v>0</v>
      </c>
    </row>
    <row r="3654" spans="2:13" ht="14.1" customHeight="1" x14ac:dyDescent="0.25">
      <c r="B3654" s="46" t="str">
        <f t="shared" si="66"/>
        <v>2104-127-301397</v>
      </c>
      <c r="C3654" s="47">
        <v>44300</v>
      </c>
      <c r="D3654" s="46">
        <v>127</v>
      </c>
      <c r="E3654" s="46">
        <v>6</v>
      </c>
      <c r="F3654" s="46">
        <v>301397</v>
      </c>
      <c r="G3654" s="48" t="s">
        <v>2284</v>
      </c>
      <c r="I3654" s="46">
        <v>0</v>
      </c>
      <c r="J3654" s="46">
        <v>0</v>
      </c>
      <c r="K3654" s="47">
        <v>44300</v>
      </c>
      <c r="L3654" s="46">
        <v>11836</v>
      </c>
      <c r="M3654" s="46">
        <v>6</v>
      </c>
    </row>
    <row r="3655" spans="2:13" ht="14.1" customHeight="1" x14ac:dyDescent="0.25">
      <c r="B3655" s="46" t="str">
        <f t="shared" si="66"/>
        <v>2104-128-100148</v>
      </c>
      <c r="C3655" s="47">
        <v>44300</v>
      </c>
      <c r="D3655" s="46">
        <v>128</v>
      </c>
      <c r="E3655" s="46">
        <v>2</v>
      </c>
      <c r="F3655" s="46">
        <v>100148</v>
      </c>
      <c r="G3655" s="48" t="s">
        <v>2285</v>
      </c>
      <c r="I3655" s="46">
        <v>0</v>
      </c>
      <c r="J3655" s="46">
        <v>0</v>
      </c>
      <c r="K3655" s="47">
        <v>44300</v>
      </c>
      <c r="L3655" s="46">
        <v>11837</v>
      </c>
      <c r="M3655" s="46">
        <v>2</v>
      </c>
    </row>
    <row r="3656" spans="2:13" ht="14.1" customHeight="1" x14ac:dyDescent="0.25">
      <c r="B3656" s="46" t="str">
        <f t="shared" si="66"/>
        <v>2104-129-305131</v>
      </c>
      <c r="C3656" s="47">
        <v>44300</v>
      </c>
      <c r="D3656" s="46">
        <v>129</v>
      </c>
      <c r="E3656" s="46">
        <v>40</v>
      </c>
      <c r="F3656" s="46">
        <v>305131</v>
      </c>
      <c r="G3656" s="48" t="s">
        <v>2286</v>
      </c>
      <c r="I3656" s="46">
        <v>0</v>
      </c>
      <c r="J3656" s="46">
        <v>0</v>
      </c>
      <c r="K3656" s="47">
        <v>44300</v>
      </c>
      <c r="L3656" s="46">
        <v>11838</v>
      </c>
      <c r="M3656" s="46">
        <v>40</v>
      </c>
    </row>
    <row r="3657" spans="2:13" ht="14.1" customHeight="1" x14ac:dyDescent="0.25">
      <c r="B3657" s="46" t="str">
        <f t="shared" si="66"/>
        <v>2104-129-306627</v>
      </c>
      <c r="C3657" s="47">
        <v>44300</v>
      </c>
      <c r="D3657" s="46">
        <v>129</v>
      </c>
      <c r="E3657" s="46">
        <v>40</v>
      </c>
      <c r="F3657" s="46">
        <v>306627</v>
      </c>
      <c r="G3657" s="48" t="s">
        <v>2287</v>
      </c>
      <c r="I3657" s="46">
        <v>0</v>
      </c>
      <c r="J3657" s="46">
        <v>0</v>
      </c>
      <c r="K3657" s="47">
        <v>44300</v>
      </c>
      <c r="L3657" s="46">
        <v>11838</v>
      </c>
      <c r="M3657" s="46">
        <v>40</v>
      </c>
    </row>
    <row r="3658" spans="2:13" ht="14.1" customHeight="1" x14ac:dyDescent="0.25">
      <c r="B3658" s="46" t="str">
        <f t="shared" si="66"/>
        <v>2104-129-312238</v>
      </c>
      <c r="C3658" s="47">
        <v>44300</v>
      </c>
      <c r="D3658" s="46">
        <v>129</v>
      </c>
      <c r="E3658" s="46">
        <v>20</v>
      </c>
      <c r="F3658" s="46">
        <v>312238</v>
      </c>
      <c r="G3658" s="48" t="s">
        <v>2288</v>
      </c>
      <c r="I3658" s="46">
        <v>0</v>
      </c>
      <c r="J3658" s="46">
        <v>0</v>
      </c>
      <c r="K3658" s="47">
        <v>44300</v>
      </c>
      <c r="L3658" s="46">
        <v>11838</v>
      </c>
      <c r="M3658" s="46">
        <v>20</v>
      </c>
    </row>
    <row r="3659" spans="2:13" ht="14.1" customHeight="1" x14ac:dyDescent="0.25">
      <c r="B3659" s="46" t="str">
        <f t="shared" si="66"/>
        <v>2104-130-206090</v>
      </c>
      <c r="C3659" s="47">
        <v>44300</v>
      </c>
      <c r="D3659" s="46">
        <v>130</v>
      </c>
      <c r="E3659" s="46">
        <v>1</v>
      </c>
      <c r="F3659" s="46">
        <v>206090</v>
      </c>
      <c r="G3659" s="48" t="s">
        <v>1872</v>
      </c>
      <c r="I3659" s="46">
        <v>0</v>
      </c>
      <c r="J3659" s="46">
        <v>0</v>
      </c>
      <c r="K3659" s="47">
        <v>44300</v>
      </c>
      <c r="L3659" s="46">
        <v>11839</v>
      </c>
      <c r="M3659" s="46">
        <v>1</v>
      </c>
    </row>
    <row r="3660" spans="2:13" ht="14.1" customHeight="1" x14ac:dyDescent="0.25">
      <c r="B3660" s="46" t="str">
        <f t="shared" si="66"/>
        <v>2104-130-317611</v>
      </c>
      <c r="C3660" s="47">
        <v>44300</v>
      </c>
      <c r="D3660" s="46">
        <v>130</v>
      </c>
      <c r="E3660" s="46">
        <v>3</v>
      </c>
      <c r="F3660" s="46">
        <v>317611</v>
      </c>
      <c r="G3660" s="48" t="s">
        <v>2289</v>
      </c>
      <c r="I3660" s="46">
        <v>0</v>
      </c>
      <c r="J3660" s="46">
        <v>0</v>
      </c>
      <c r="K3660" s="47">
        <v>44300</v>
      </c>
      <c r="L3660" s="46">
        <v>11839</v>
      </c>
      <c r="M3660" s="46">
        <v>3</v>
      </c>
    </row>
    <row r="3661" spans="2:13" ht="14.1" customHeight="1" x14ac:dyDescent="0.25">
      <c r="B3661" s="46" t="str">
        <f t="shared" si="66"/>
        <v>2104-130-100218</v>
      </c>
      <c r="C3661" s="47">
        <v>44300</v>
      </c>
      <c r="D3661" s="46">
        <v>130</v>
      </c>
      <c r="E3661" s="46">
        <v>10</v>
      </c>
      <c r="F3661" s="46">
        <v>100218</v>
      </c>
      <c r="G3661" s="48" t="s">
        <v>2290</v>
      </c>
      <c r="I3661" s="46">
        <v>0</v>
      </c>
      <c r="J3661" s="46">
        <v>0</v>
      </c>
      <c r="K3661" s="47">
        <v>44300</v>
      </c>
      <c r="L3661" s="46">
        <v>11839</v>
      </c>
      <c r="M3661" s="46">
        <v>10</v>
      </c>
    </row>
    <row r="3662" spans="2:13" ht="14.1" customHeight="1" x14ac:dyDescent="0.25">
      <c r="B3662" s="46" t="str">
        <f t="shared" si="66"/>
        <v>2104-130-204542</v>
      </c>
      <c r="C3662" s="47">
        <v>44300</v>
      </c>
      <c r="D3662" s="46">
        <v>130</v>
      </c>
      <c r="E3662" s="46">
        <v>1</v>
      </c>
      <c r="F3662" s="46">
        <v>204542</v>
      </c>
      <c r="G3662" s="48" t="s">
        <v>148</v>
      </c>
      <c r="I3662" s="46">
        <v>0</v>
      </c>
      <c r="J3662" s="46">
        <v>0</v>
      </c>
      <c r="K3662" s="47">
        <v>44300</v>
      </c>
      <c r="L3662" s="46">
        <v>11839</v>
      </c>
      <c r="M3662" s="46">
        <v>1</v>
      </c>
    </row>
    <row r="3663" spans="2:13" ht="14.1" customHeight="1" x14ac:dyDescent="0.25">
      <c r="B3663" s="46" t="str">
        <f t="shared" si="66"/>
        <v>2104-130-317612</v>
      </c>
      <c r="C3663" s="47">
        <v>44300</v>
      </c>
      <c r="D3663" s="46">
        <v>130</v>
      </c>
      <c r="E3663" s="46">
        <v>1</v>
      </c>
      <c r="F3663" s="46">
        <v>317612</v>
      </c>
      <c r="G3663" s="48" t="s">
        <v>2291</v>
      </c>
      <c r="I3663" s="46">
        <v>0</v>
      </c>
      <c r="J3663" s="46">
        <v>0</v>
      </c>
      <c r="K3663" s="47">
        <v>44300</v>
      </c>
      <c r="L3663" s="46">
        <v>11839</v>
      </c>
      <c r="M3663" s="46">
        <v>1</v>
      </c>
    </row>
    <row r="3664" spans="2:13" ht="14.1" customHeight="1" x14ac:dyDescent="0.25">
      <c r="B3664" s="46" t="str">
        <f t="shared" si="66"/>
        <v>2104-130-312429</v>
      </c>
      <c r="C3664" s="47">
        <v>44300</v>
      </c>
      <c r="D3664" s="46">
        <v>130</v>
      </c>
      <c r="E3664" s="46">
        <v>2</v>
      </c>
      <c r="F3664" s="46">
        <v>312429</v>
      </c>
      <c r="G3664" s="48" t="s">
        <v>2292</v>
      </c>
      <c r="I3664" s="46">
        <v>0</v>
      </c>
      <c r="J3664" s="46">
        <v>0</v>
      </c>
      <c r="K3664" s="47">
        <v>44300</v>
      </c>
      <c r="L3664" s="46">
        <v>11839</v>
      </c>
      <c r="M3664" s="46">
        <v>2</v>
      </c>
    </row>
    <row r="3665" spans="2:13" ht="14.1" customHeight="1" x14ac:dyDescent="0.25">
      <c r="B3665" s="46" t="str">
        <f t="shared" si="66"/>
        <v>2104-130-300176</v>
      </c>
      <c r="C3665" s="47">
        <v>44300</v>
      </c>
      <c r="D3665" s="46">
        <v>130</v>
      </c>
      <c r="E3665" s="46">
        <v>2</v>
      </c>
      <c r="F3665" s="46">
        <v>300176</v>
      </c>
      <c r="G3665" s="48" t="s">
        <v>2293</v>
      </c>
      <c r="I3665" s="46">
        <v>0</v>
      </c>
      <c r="J3665" s="46">
        <v>0</v>
      </c>
      <c r="K3665" s="47">
        <v>44300</v>
      </c>
      <c r="L3665" s="46">
        <v>11839</v>
      </c>
      <c r="M3665" s="46">
        <v>2</v>
      </c>
    </row>
    <row r="3666" spans="2:13" ht="14.1" customHeight="1" x14ac:dyDescent="0.25">
      <c r="B3666" s="46" t="str">
        <f t="shared" ref="B3666:B3702" si="67">TEXT(C3666,"yy") &amp; TEXT(C3666,"mm") &amp;"-"&amp;(D3666) &amp;"-"&amp;(F3666)</f>
        <v>2104-131-306475</v>
      </c>
      <c r="C3666" s="47">
        <v>44301</v>
      </c>
      <c r="D3666" s="46">
        <v>131</v>
      </c>
      <c r="E3666" s="46">
        <v>1</v>
      </c>
      <c r="F3666" s="46">
        <v>306475</v>
      </c>
      <c r="G3666" s="48" t="s">
        <v>709</v>
      </c>
      <c r="I3666" s="46">
        <v>0</v>
      </c>
      <c r="J3666" s="46">
        <v>0</v>
      </c>
      <c r="L3666" s="46">
        <v>0</v>
      </c>
      <c r="M3666" s="46">
        <v>0</v>
      </c>
    </row>
    <row r="3667" spans="2:13" ht="14.1" customHeight="1" x14ac:dyDescent="0.25">
      <c r="B3667" s="46" t="str">
        <f t="shared" si="67"/>
        <v>2104-132-304488</v>
      </c>
      <c r="C3667" s="47">
        <v>44301</v>
      </c>
      <c r="D3667" s="46">
        <v>132</v>
      </c>
      <c r="E3667" s="46">
        <v>6</v>
      </c>
      <c r="F3667" s="46">
        <v>304488</v>
      </c>
      <c r="G3667" s="48" t="s">
        <v>673</v>
      </c>
      <c r="I3667" s="46">
        <v>0</v>
      </c>
      <c r="J3667" s="46">
        <v>0</v>
      </c>
      <c r="L3667" s="46">
        <v>0</v>
      </c>
      <c r="M3667" s="46">
        <v>0</v>
      </c>
    </row>
    <row r="3668" spans="2:13" ht="14.1" customHeight="1" x14ac:dyDescent="0.25">
      <c r="B3668" s="46" t="str">
        <f t="shared" si="67"/>
        <v>2104-133-200751</v>
      </c>
      <c r="C3668" s="47">
        <v>44301</v>
      </c>
      <c r="D3668" s="46">
        <v>133</v>
      </c>
      <c r="E3668" s="46">
        <v>30000</v>
      </c>
      <c r="F3668" s="46">
        <v>200751</v>
      </c>
      <c r="G3668" s="48" t="s">
        <v>151</v>
      </c>
      <c r="I3668" s="46">
        <v>0</v>
      </c>
      <c r="J3668" s="46">
        <v>0</v>
      </c>
      <c r="L3668" s="46">
        <v>0</v>
      </c>
      <c r="M3668" s="46">
        <v>0</v>
      </c>
    </row>
    <row r="3669" spans="2:13" ht="14.1" customHeight="1" x14ac:dyDescent="0.25">
      <c r="B3669" s="46" t="str">
        <f t="shared" si="67"/>
        <v>2104-134-106405</v>
      </c>
      <c r="C3669" s="47">
        <v>44301</v>
      </c>
      <c r="D3669" s="46">
        <v>134</v>
      </c>
      <c r="E3669" s="46">
        <v>6</v>
      </c>
      <c r="F3669" s="46">
        <v>106405</v>
      </c>
      <c r="G3669" s="48" t="s">
        <v>1377</v>
      </c>
      <c r="I3669" s="46">
        <v>0</v>
      </c>
      <c r="J3669" s="46">
        <v>0</v>
      </c>
      <c r="L3669" s="46">
        <v>0</v>
      </c>
      <c r="M3669" s="46">
        <v>0</v>
      </c>
    </row>
    <row r="3670" spans="2:13" ht="14.1" customHeight="1" x14ac:dyDescent="0.25">
      <c r="B3670" s="46" t="str">
        <f t="shared" si="67"/>
        <v>2104-134-308888</v>
      </c>
      <c r="C3670" s="47">
        <v>44301</v>
      </c>
      <c r="D3670" s="46">
        <v>134</v>
      </c>
      <c r="E3670" s="46">
        <v>2</v>
      </c>
      <c r="F3670" s="46">
        <v>308888</v>
      </c>
      <c r="G3670" s="48" t="s">
        <v>318</v>
      </c>
      <c r="I3670" s="46">
        <v>0</v>
      </c>
      <c r="J3670" s="46">
        <v>0</v>
      </c>
      <c r="L3670" s="46">
        <v>0</v>
      </c>
      <c r="M3670" s="46">
        <v>0</v>
      </c>
    </row>
    <row r="3671" spans="2:13" ht="14.1" customHeight="1" x14ac:dyDescent="0.25">
      <c r="B3671" s="46" t="str">
        <f t="shared" si="67"/>
        <v>2104-134-206084</v>
      </c>
      <c r="C3671" s="47">
        <v>44301</v>
      </c>
      <c r="D3671" s="46">
        <v>134</v>
      </c>
      <c r="E3671" s="46">
        <v>1</v>
      </c>
      <c r="F3671" s="46">
        <v>206084</v>
      </c>
      <c r="G3671" s="48" t="s">
        <v>2294</v>
      </c>
      <c r="I3671" s="46">
        <v>0</v>
      </c>
      <c r="J3671" s="46">
        <v>0</v>
      </c>
      <c r="L3671" s="46">
        <v>0</v>
      </c>
      <c r="M3671" s="46">
        <v>0</v>
      </c>
    </row>
    <row r="3672" spans="2:13" ht="14.1" customHeight="1" x14ac:dyDescent="0.25">
      <c r="B3672" s="46" t="str">
        <f t="shared" si="67"/>
        <v>2104-134-200267</v>
      </c>
      <c r="C3672" s="47">
        <v>44301</v>
      </c>
      <c r="D3672" s="46">
        <v>134</v>
      </c>
      <c r="E3672" s="46">
        <v>6</v>
      </c>
      <c r="F3672" s="46">
        <v>200267</v>
      </c>
      <c r="G3672" s="48" t="s">
        <v>1053</v>
      </c>
      <c r="I3672" s="46">
        <v>0</v>
      </c>
      <c r="J3672" s="46">
        <v>0</v>
      </c>
      <c r="L3672" s="46">
        <v>0</v>
      </c>
      <c r="M3672" s="46">
        <v>0</v>
      </c>
    </row>
    <row r="3673" spans="2:13" ht="14.1" customHeight="1" x14ac:dyDescent="0.25">
      <c r="B3673" s="46" t="str">
        <f t="shared" si="67"/>
        <v>2104-134-205901</v>
      </c>
      <c r="C3673" s="47">
        <v>44301</v>
      </c>
      <c r="D3673" s="46">
        <v>134</v>
      </c>
      <c r="E3673" s="46">
        <v>8</v>
      </c>
      <c r="F3673" s="46">
        <v>205901</v>
      </c>
      <c r="G3673" s="48" t="s">
        <v>2295</v>
      </c>
      <c r="I3673" s="46">
        <v>0</v>
      </c>
      <c r="J3673" s="46">
        <v>0</v>
      </c>
      <c r="L3673" s="46">
        <v>0</v>
      </c>
      <c r="M3673" s="46">
        <v>0</v>
      </c>
    </row>
    <row r="3674" spans="2:13" ht="14.1" customHeight="1" x14ac:dyDescent="0.25">
      <c r="B3674" s="46" t="str">
        <f t="shared" si="67"/>
        <v>2104-134-316796</v>
      </c>
      <c r="C3674" s="47">
        <v>44301</v>
      </c>
      <c r="D3674" s="46">
        <v>134</v>
      </c>
      <c r="E3674" s="46">
        <v>6</v>
      </c>
      <c r="F3674" s="46">
        <v>316796</v>
      </c>
      <c r="G3674" s="48" t="s">
        <v>2296</v>
      </c>
      <c r="I3674" s="46">
        <v>0</v>
      </c>
      <c r="J3674" s="46">
        <v>0</v>
      </c>
      <c r="L3674" s="46">
        <v>0</v>
      </c>
      <c r="M3674" s="46">
        <v>0</v>
      </c>
    </row>
    <row r="3675" spans="2:13" ht="14.1" customHeight="1" x14ac:dyDescent="0.25">
      <c r="B3675" s="46" t="str">
        <f t="shared" si="67"/>
        <v>2104-135-203847</v>
      </c>
      <c r="C3675" s="47">
        <v>44301</v>
      </c>
      <c r="D3675" s="46">
        <v>135</v>
      </c>
      <c r="E3675" s="46">
        <v>3</v>
      </c>
      <c r="F3675" s="46">
        <v>203847</v>
      </c>
      <c r="G3675" s="48" t="s">
        <v>518</v>
      </c>
      <c r="I3675" s="46">
        <v>0</v>
      </c>
      <c r="J3675" s="46">
        <v>0</v>
      </c>
      <c r="L3675" s="46">
        <v>0</v>
      </c>
      <c r="M3675" s="46">
        <v>0</v>
      </c>
    </row>
    <row r="3676" spans="2:13" ht="14.1" customHeight="1" x14ac:dyDescent="0.25">
      <c r="B3676" s="46" t="str">
        <f t="shared" si="67"/>
        <v>2104-135-310689</v>
      </c>
      <c r="C3676" s="47">
        <v>44301</v>
      </c>
      <c r="D3676" s="46">
        <v>135</v>
      </c>
      <c r="E3676" s="46">
        <v>1</v>
      </c>
      <c r="F3676" s="46">
        <v>310689</v>
      </c>
      <c r="G3676" s="48" t="s">
        <v>2297</v>
      </c>
      <c r="I3676" s="46">
        <v>0</v>
      </c>
      <c r="J3676" s="46">
        <v>0</v>
      </c>
      <c r="L3676" s="46">
        <v>0</v>
      </c>
      <c r="M3676" s="46">
        <v>0</v>
      </c>
    </row>
    <row r="3677" spans="2:13" ht="14.1" customHeight="1" x14ac:dyDescent="0.25">
      <c r="B3677" s="46" t="str">
        <f t="shared" si="67"/>
        <v>2104-135-319603</v>
      </c>
      <c r="C3677" s="47">
        <v>44301</v>
      </c>
      <c r="D3677" s="46">
        <v>135</v>
      </c>
      <c r="E3677" s="46">
        <v>6</v>
      </c>
      <c r="F3677" s="46">
        <v>319603</v>
      </c>
      <c r="G3677" s="48" t="s">
        <v>2298</v>
      </c>
      <c r="I3677" s="46">
        <v>0</v>
      </c>
      <c r="J3677" s="46">
        <v>0</v>
      </c>
      <c r="L3677" s="46">
        <v>0</v>
      </c>
      <c r="M3677" s="46">
        <v>0</v>
      </c>
    </row>
    <row r="3678" spans="2:13" ht="14.1" customHeight="1" x14ac:dyDescent="0.25">
      <c r="B3678" s="46" t="str">
        <f t="shared" si="67"/>
        <v>2104-135-204201</v>
      </c>
      <c r="C3678" s="47">
        <v>44301</v>
      </c>
      <c r="D3678" s="46">
        <v>135</v>
      </c>
      <c r="E3678" s="46">
        <v>8</v>
      </c>
      <c r="F3678" s="46">
        <v>204201</v>
      </c>
      <c r="G3678" s="48" t="s">
        <v>531</v>
      </c>
      <c r="I3678" s="46">
        <v>0</v>
      </c>
      <c r="J3678" s="46">
        <v>0</v>
      </c>
      <c r="L3678" s="46">
        <v>0</v>
      </c>
      <c r="M3678" s="46">
        <v>0</v>
      </c>
    </row>
    <row r="3679" spans="2:13" ht="14.1" customHeight="1" x14ac:dyDescent="0.25">
      <c r="B3679" s="46" t="str">
        <f t="shared" si="67"/>
        <v>2104-135-306761</v>
      </c>
      <c r="C3679" s="47">
        <v>44301</v>
      </c>
      <c r="D3679" s="46">
        <v>135</v>
      </c>
      <c r="E3679" s="46">
        <v>6</v>
      </c>
      <c r="F3679" s="46">
        <v>306761</v>
      </c>
      <c r="G3679" s="48" t="s">
        <v>714</v>
      </c>
      <c r="I3679" s="46">
        <v>0</v>
      </c>
      <c r="J3679" s="46">
        <v>0</v>
      </c>
      <c r="L3679" s="46">
        <v>0</v>
      </c>
      <c r="M3679" s="46">
        <v>0</v>
      </c>
    </row>
    <row r="3680" spans="2:13" ht="14.1" customHeight="1" x14ac:dyDescent="0.25">
      <c r="B3680" s="46" t="str">
        <f t="shared" si="67"/>
        <v>2104-136-302029</v>
      </c>
      <c r="C3680" s="47">
        <v>44301</v>
      </c>
      <c r="D3680" s="46">
        <v>136</v>
      </c>
      <c r="E3680" s="46">
        <v>1</v>
      </c>
      <c r="F3680" s="46">
        <v>302029</v>
      </c>
      <c r="G3680" s="48" t="s">
        <v>1966</v>
      </c>
      <c r="I3680" s="46">
        <v>0</v>
      </c>
      <c r="J3680" s="46">
        <v>0</v>
      </c>
      <c r="L3680" s="46">
        <v>0</v>
      </c>
      <c r="M3680" s="46">
        <v>0</v>
      </c>
    </row>
    <row r="3681" spans="2:13" ht="14.1" customHeight="1" x14ac:dyDescent="0.25">
      <c r="B3681" s="46" t="str">
        <f t="shared" si="67"/>
        <v>2104-136-312396</v>
      </c>
      <c r="C3681" s="47">
        <v>44301</v>
      </c>
      <c r="D3681" s="46">
        <v>136</v>
      </c>
      <c r="E3681" s="46">
        <v>1</v>
      </c>
      <c r="F3681" s="46">
        <v>312396</v>
      </c>
      <c r="G3681" s="48" t="s">
        <v>2299</v>
      </c>
      <c r="I3681" s="46">
        <v>0</v>
      </c>
      <c r="J3681" s="46">
        <v>0</v>
      </c>
      <c r="L3681" s="46">
        <v>0</v>
      </c>
      <c r="M3681" s="46">
        <v>0</v>
      </c>
    </row>
    <row r="3682" spans="2:13" ht="14.1" customHeight="1" x14ac:dyDescent="0.25">
      <c r="B3682" s="46" t="str">
        <f t="shared" si="67"/>
        <v>2104-137-315369</v>
      </c>
      <c r="C3682" s="47">
        <v>44302</v>
      </c>
      <c r="D3682" s="46">
        <v>137</v>
      </c>
      <c r="E3682" s="46">
        <v>1</v>
      </c>
      <c r="F3682" s="46">
        <v>315369</v>
      </c>
      <c r="G3682" s="48" t="s">
        <v>1737</v>
      </c>
      <c r="H3682" s="47">
        <v>44302</v>
      </c>
      <c r="I3682" s="46">
        <v>52493</v>
      </c>
      <c r="J3682" s="46">
        <v>1</v>
      </c>
      <c r="L3682" s="46">
        <v>0</v>
      </c>
      <c r="M3682" s="46">
        <v>0</v>
      </c>
    </row>
    <row r="3683" spans="2:13" ht="14.1" customHeight="1" x14ac:dyDescent="0.25">
      <c r="B3683" s="46" t="str">
        <f t="shared" si="67"/>
        <v>2104-137-302199</v>
      </c>
      <c r="C3683" s="47">
        <v>44302</v>
      </c>
      <c r="D3683" s="46">
        <v>137</v>
      </c>
      <c r="E3683" s="46">
        <v>4</v>
      </c>
      <c r="F3683" s="46">
        <v>302199</v>
      </c>
      <c r="G3683" s="48" t="s">
        <v>2300</v>
      </c>
      <c r="H3683" s="47">
        <v>44302</v>
      </c>
      <c r="I3683" s="46">
        <v>52493</v>
      </c>
      <c r="J3683" s="46">
        <v>4</v>
      </c>
      <c r="L3683" s="46">
        <v>0</v>
      </c>
      <c r="M3683" s="46">
        <v>0</v>
      </c>
    </row>
    <row r="3684" spans="2:13" ht="14.1" customHeight="1" x14ac:dyDescent="0.25">
      <c r="B3684" s="46" t="str">
        <f t="shared" si="67"/>
        <v>2104-137-100224</v>
      </c>
      <c r="C3684" s="47">
        <v>44302</v>
      </c>
      <c r="D3684" s="46">
        <v>137</v>
      </c>
      <c r="E3684" s="46">
        <v>1</v>
      </c>
      <c r="F3684" s="46">
        <v>100224</v>
      </c>
      <c r="G3684" s="48" t="s">
        <v>2301</v>
      </c>
      <c r="H3684" s="47">
        <v>44302</v>
      </c>
      <c r="I3684" s="46">
        <v>52493</v>
      </c>
      <c r="J3684" s="46">
        <v>1</v>
      </c>
      <c r="L3684" s="46">
        <v>0</v>
      </c>
      <c r="M3684" s="46">
        <v>0</v>
      </c>
    </row>
    <row r="3685" spans="2:13" ht="14.1" customHeight="1" x14ac:dyDescent="0.25">
      <c r="B3685" s="46" t="str">
        <f t="shared" si="67"/>
        <v>2104-137-311113</v>
      </c>
      <c r="C3685" s="47">
        <v>44302</v>
      </c>
      <c r="D3685" s="46">
        <v>137</v>
      </c>
      <c r="E3685" s="46">
        <v>4</v>
      </c>
      <c r="F3685" s="46">
        <v>311113</v>
      </c>
      <c r="G3685" s="48" t="s">
        <v>2302</v>
      </c>
      <c r="I3685" s="46">
        <v>0</v>
      </c>
      <c r="J3685" s="46">
        <v>0</v>
      </c>
      <c r="L3685" s="46">
        <v>0</v>
      </c>
      <c r="M3685" s="46">
        <v>0</v>
      </c>
    </row>
    <row r="3686" spans="2:13" ht="14.1" customHeight="1" x14ac:dyDescent="0.25">
      <c r="B3686" s="46" t="str">
        <f t="shared" si="67"/>
        <v>2104-138-105407</v>
      </c>
      <c r="C3686" s="47">
        <v>44302</v>
      </c>
      <c r="D3686" s="46">
        <v>138</v>
      </c>
      <c r="E3686" s="46">
        <v>10</v>
      </c>
      <c r="F3686" s="46">
        <v>105407</v>
      </c>
      <c r="G3686" s="48" t="s">
        <v>2206</v>
      </c>
      <c r="I3686" s="46">
        <v>0</v>
      </c>
      <c r="J3686" s="46">
        <v>0</v>
      </c>
      <c r="K3686" s="47">
        <v>44302</v>
      </c>
      <c r="L3686" s="46">
        <v>11851</v>
      </c>
      <c r="M3686" s="46">
        <v>10</v>
      </c>
    </row>
    <row r="3687" spans="2:13" ht="14.1" customHeight="1" x14ac:dyDescent="0.25">
      <c r="B3687" s="46" t="str">
        <f t="shared" si="67"/>
        <v>2104-138-206107</v>
      </c>
      <c r="C3687" s="47">
        <v>44302</v>
      </c>
      <c r="D3687" s="46">
        <v>138</v>
      </c>
      <c r="E3687" s="46">
        <v>4</v>
      </c>
      <c r="F3687" s="46">
        <v>206107</v>
      </c>
      <c r="G3687" s="48" t="s">
        <v>2303</v>
      </c>
      <c r="I3687" s="46">
        <v>0</v>
      </c>
      <c r="J3687" s="46">
        <v>0</v>
      </c>
      <c r="K3687" s="47">
        <v>44302</v>
      </c>
      <c r="L3687" s="46">
        <v>11851</v>
      </c>
      <c r="M3687" s="46">
        <v>4</v>
      </c>
    </row>
    <row r="3688" spans="2:13" ht="14.1" customHeight="1" x14ac:dyDescent="0.25">
      <c r="B3688" s="46" t="str">
        <f t="shared" si="67"/>
        <v>2104-138-302942</v>
      </c>
      <c r="C3688" s="47">
        <v>44302</v>
      </c>
      <c r="D3688" s="46">
        <v>138</v>
      </c>
      <c r="E3688" s="46">
        <v>4</v>
      </c>
      <c r="F3688" s="46">
        <v>302942</v>
      </c>
      <c r="G3688" s="48" t="s">
        <v>2304</v>
      </c>
      <c r="I3688" s="46">
        <v>0</v>
      </c>
      <c r="J3688" s="46">
        <v>0</v>
      </c>
      <c r="K3688" s="47">
        <v>44302</v>
      </c>
      <c r="L3688" s="46">
        <v>11851</v>
      </c>
      <c r="M3688" s="46">
        <v>4</v>
      </c>
    </row>
    <row r="3689" spans="2:13" ht="14.1" customHeight="1" x14ac:dyDescent="0.25">
      <c r="B3689" s="46" t="str">
        <f t="shared" si="67"/>
        <v>2104-138-203502</v>
      </c>
      <c r="C3689" s="47">
        <v>44302</v>
      </c>
      <c r="D3689" s="46">
        <v>138</v>
      </c>
      <c r="E3689" s="46">
        <v>75</v>
      </c>
      <c r="F3689" s="46">
        <v>203502</v>
      </c>
      <c r="G3689" s="48" t="s">
        <v>2205</v>
      </c>
      <c r="I3689" s="46">
        <v>0</v>
      </c>
      <c r="J3689" s="46">
        <v>0</v>
      </c>
      <c r="L3689" s="46">
        <v>0</v>
      </c>
      <c r="M3689" s="46">
        <v>0</v>
      </c>
    </row>
    <row r="3690" spans="2:13" ht="14.1" customHeight="1" x14ac:dyDescent="0.25">
      <c r="B3690" s="46" t="str">
        <f t="shared" si="67"/>
        <v>2104-139-204200</v>
      </c>
      <c r="C3690" s="47">
        <v>44302</v>
      </c>
      <c r="D3690" s="46">
        <v>139</v>
      </c>
      <c r="E3690" s="46">
        <v>2</v>
      </c>
      <c r="F3690" s="46">
        <v>204200</v>
      </c>
      <c r="G3690" s="48" t="s">
        <v>2305</v>
      </c>
      <c r="I3690" s="46">
        <v>0</v>
      </c>
      <c r="J3690" s="46">
        <v>0</v>
      </c>
      <c r="L3690" s="46">
        <v>0</v>
      </c>
      <c r="M3690" s="46">
        <v>0</v>
      </c>
    </row>
    <row r="3691" spans="2:13" ht="14.1" customHeight="1" x14ac:dyDescent="0.25">
      <c r="B3691" s="46" t="str">
        <f t="shared" si="67"/>
        <v>2104-139-316315</v>
      </c>
      <c r="C3691" s="47">
        <v>44302</v>
      </c>
      <c r="D3691" s="46">
        <v>139</v>
      </c>
      <c r="E3691" s="46">
        <v>4</v>
      </c>
      <c r="F3691" s="46">
        <v>316315</v>
      </c>
      <c r="G3691" s="48" t="s">
        <v>2306</v>
      </c>
      <c r="I3691" s="46">
        <v>0</v>
      </c>
      <c r="J3691" s="46">
        <v>0</v>
      </c>
      <c r="L3691" s="46">
        <v>0</v>
      </c>
      <c r="M3691" s="46">
        <v>0</v>
      </c>
    </row>
    <row r="3692" spans="2:13" ht="14.1" customHeight="1" x14ac:dyDescent="0.25">
      <c r="B3692" s="46" t="str">
        <f t="shared" si="67"/>
        <v>2104-140-308803</v>
      </c>
      <c r="C3692" s="47">
        <v>44302</v>
      </c>
      <c r="D3692" s="46">
        <v>140</v>
      </c>
      <c r="E3692" s="46">
        <v>50</v>
      </c>
      <c r="F3692" s="46">
        <v>308803</v>
      </c>
      <c r="G3692" s="48" t="s">
        <v>2204</v>
      </c>
      <c r="I3692" s="46">
        <v>0</v>
      </c>
      <c r="J3692" s="46">
        <v>0</v>
      </c>
      <c r="K3692" s="47">
        <v>44302</v>
      </c>
      <c r="L3692" s="46">
        <v>11852</v>
      </c>
      <c r="M3692" s="46">
        <v>50</v>
      </c>
    </row>
    <row r="3693" spans="2:13" ht="14.1" customHeight="1" x14ac:dyDescent="0.25">
      <c r="B3693" s="46" t="str">
        <f t="shared" si="67"/>
        <v>2104-140-205175</v>
      </c>
      <c r="C3693" s="47">
        <v>44302</v>
      </c>
      <c r="D3693" s="46">
        <v>140</v>
      </c>
      <c r="E3693" s="46">
        <v>20</v>
      </c>
      <c r="F3693" s="46">
        <v>205175</v>
      </c>
      <c r="G3693" s="48" t="s">
        <v>208</v>
      </c>
      <c r="I3693" s="46">
        <v>0</v>
      </c>
      <c r="J3693" s="46">
        <v>0</v>
      </c>
      <c r="K3693" s="47">
        <v>44302</v>
      </c>
      <c r="L3693" s="46">
        <v>11852</v>
      </c>
      <c r="M3693" s="46">
        <v>20</v>
      </c>
    </row>
    <row r="3694" spans="2:13" ht="14.1" customHeight="1" x14ac:dyDescent="0.25">
      <c r="B3694" s="46" t="str">
        <f t="shared" si="67"/>
        <v>2104-141-321106</v>
      </c>
      <c r="C3694" s="47">
        <v>44302</v>
      </c>
      <c r="D3694" s="46">
        <v>141</v>
      </c>
      <c r="E3694" s="46">
        <v>24</v>
      </c>
      <c r="F3694" s="46">
        <v>321106</v>
      </c>
      <c r="G3694" s="48" t="s">
        <v>2307</v>
      </c>
      <c r="I3694" s="46">
        <v>0</v>
      </c>
      <c r="J3694" s="46">
        <v>0</v>
      </c>
      <c r="L3694" s="46">
        <v>0</v>
      </c>
      <c r="M3694" s="46">
        <v>0</v>
      </c>
    </row>
    <row r="3695" spans="2:13" ht="14.1" customHeight="1" x14ac:dyDescent="0.25">
      <c r="B3695" s="46" t="str">
        <f t="shared" si="67"/>
        <v>2104-141-320281</v>
      </c>
      <c r="C3695" s="47">
        <v>44302</v>
      </c>
      <c r="D3695" s="46">
        <v>141</v>
      </c>
      <c r="E3695" s="46">
        <v>12</v>
      </c>
      <c r="F3695" s="46">
        <v>320281</v>
      </c>
      <c r="G3695" s="48" t="s">
        <v>1031</v>
      </c>
      <c r="I3695" s="46">
        <v>0</v>
      </c>
      <c r="J3695" s="46">
        <v>0</v>
      </c>
      <c r="L3695" s="46">
        <v>0</v>
      </c>
      <c r="M3695" s="46">
        <v>0</v>
      </c>
    </row>
    <row r="3696" spans="2:13" ht="14.1" customHeight="1" x14ac:dyDescent="0.25">
      <c r="B3696" s="46" t="str">
        <f t="shared" si="67"/>
        <v>2104-141-321108</v>
      </c>
      <c r="C3696" s="47">
        <v>44302</v>
      </c>
      <c r="D3696" s="46">
        <v>141</v>
      </c>
      <c r="E3696" s="46">
        <v>24</v>
      </c>
      <c r="F3696" s="46">
        <v>321108</v>
      </c>
      <c r="G3696" s="48" t="s">
        <v>2308</v>
      </c>
      <c r="I3696" s="46">
        <v>0</v>
      </c>
      <c r="J3696" s="46">
        <v>0</v>
      </c>
      <c r="L3696" s="46">
        <v>0</v>
      </c>
      <c r="M3696" s="46">
        <v>0</v>
      </c>
    </row>
    <row r="3697" spans="2:13" ht="14.1" customHeight="1" x14ac:dyDescent="0.25">
      <c r="B3697" s="46" t="str">
        <f t="shared" si="67"/>
        <v>2104-141-321109</v>
      </c>
      <c r="C3697" s="47">
        <v>44302</v>
      </c>
      <c r="D3697" s="46">
        <v>141</v>
      </c>
      <c r="E3697" s="46">
        <v>6</v>
      </c>
      <c r="F3697" s="46">
        <v>321109</v>
      </c>
      <c r="G3697" s="48" t="s">
        <v>2309</v>
      </c>
      <c r="I3697" s="46">
        <v>0</v>
      </c>
      <c r="J3697" s="46">
        <v>0</v>
      </c>
      <c r="L3697" s="46">
        <v>0</v>
      </c>
      <c r="M3697" s="46">
        <v>0</v>
      </c>
    </row>
    <row r="3698" spans="2:13" ht="14.1" customHeight="1" x14ac:dyDescent="0.25">
      <c r="B3698" s="46" t="str">
        <f t="shared" si="67"/>
        <v>2104-141-321110</v>
      </c>
      <c r="C3698" s="47">
        <v>44302</v>
      </c>
      <c r="D3698" s="46">
        <v>141</v>
      </c>
      <c r="E3698" s="46">
        <v>24</v>
      </c>
      <c r="F3698" s="46">
        <v>321110</v>
      </c>
      <c r="G3698" s="48" t="s">
        <v>2310</v>
      </c>
      <c r="I3698" s="46">
        <v>0</v>
      </c>
      <c r="J3698" s="46">
        <v>0</v>
      </c>
      <c r="L3698" s="46">
        <v>0</v>
      </c>
      <c r="M3698" s="46">
        <v>0</v>
      </c>
    </row>
    <row r="3699" spans="2:13" ht="14.1" customHeight="1" x14ac:dyDescent="0.25">
      <c r="B3699" s="46" t="str">
        <f t="shared" si="67"/>
        <v>2104-141-321112</v>
      </c>
      <c r="C3699" s="47">
        <v>44302</v>
      </c>
      <c r="D3699" s="46">
        <v>141</v>
      </c>
      <c r="E3699" s="46">
        <v>6</v>
      </c>
      <c r="F3699" s="46">
        <v>321112</v>
      </c>
      <c r="G3699" s="48" t="s">
        <v>2311</v>
      </c>
      <c r="I3699" s="46">
        <v>0</v>
      </c>
      <c r="J3699" s="46">
        <v>0</v>
      </c>
      <c r="L3699" s="46">
        <v>0</v>
      </c>
      <c r="M3699" s="46">
        <v>0</v>
      </c>
    </row>
    <row r="3700" spans="2:13" ht="14.1" customHeight="1" x14ac:dyDescent="0.25">
      <c r="B3700" s="46" t="str">
        <f t="shared" si="67"/>
        <v>2104-141-321107</v>
      </c>
      <c r="C3700" s="47">
        <v>44302</v>
      </c>
      <c r="D3700" s="46">
        <v>141</v>
      </c>
      <c r="E3700" s="46">
        <v>2</v>
      </c>
      <c r="F3700" s="46">
        <v>321107</v>
      </c>
      <c r="G3700" s="48" t="s">
        <v>2312</v>
      </c>
      <c r="I3700" s="46">
        <v>0</v>
      </c>
      <c r="J3700" s="46">
        <v>0</v>
      </c>
      <c r="L3700" s="46">
        <v>0</v>
      </c>
      <c r="M3700" s="46">
        <v>0</v>
      </c>
    </row>
    <row r="3701" spans="2:13" ht="14.1" customHeight="1" x14ac:dyDescent="0.25">
      <c r="B3701" s="46" t="str">
        <f t="shared" si="67"/>
        <v>2104-141-321113</v>
      </c>
      <c r="C3701" s="47">
        <v>44302</v>
      </c>
      <c r="D3701" s="46">
        <v>141</v>
      </c>
      <c r="E3701" s="46">
        <v>12</v>
      </c>
      <c r="F3701" s="46">
        <v>321113</v>
      </c>
      <c r="G3701" s="48" t="s">
        <v>2313</v>
      </c>
      <c r="I3701" s="46">
        <v>0</v>
      </c>
      <c r="J3701" s="46">
        <v>0</v>
      </c>
      <c r="L3701" s="46">
        <v>0</v>
      </c>
      <c r="M3701" s="46">
        <v>0</v>
      </c>
    </row>
    <row r="3702" spans="2:13" ht="14.1" customHeight="1" x14ac:dyDescent="0.25">
      <c r="B3702" s="46" t="str">
        <f t="shared" si="67"/>
        <v>2104-141-321111</v>
      </c>
      <c r="C3702" s="47">
        <v>44302</v>
      </c>
      <c r="D3702" s="46">
        <v>141</v>
      </c>
      <c r="E3702" s="46">
        <v>3</v>
      </c>
      <c r="F3702" s="46">
        <v>321111</v>
      </c>
      <c r="G3702" s="48" t="s">
        <v>2314</v>
      </c>
      <c r="I3702" s="46">
        <v>0</v>
      </c>
      <c r="J3702" s="46">
        <v>0</v>
      </c>
      <c r="L3702" s="46">
        <v>0</v>
      </c>
      <c r="M3702" s="46">
        <v>0</v>
      </c>
    </row>
  </sheetData>
  <sortState ref="C2007:M7872">
    <sortCondition ref="C2007:C7872"/>
    <sortCondition ref="D2007:D7872"/>
  </sortState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B2:R923"/>
  <sheetViews>
    <sheetView showGridLines="0" tabSelected="1" zoomScale="90" zoomScaleNormal="90" workbookViewId="0">
      <pane xSplit="2" ySplit="7" topLeftCell="C914" activePane="bottomRight" state="frozen"/>
      <selection activeCell="G21" sqref="G21"/>
      <selection pane="topRight" activeCell="G21" sqref="G21"/>
      <selection pane="bottomLeft" activeCell="G21" sqref="G21"/>
      <selection pane="bottomRight" activeCell="G882" sqref="G882"/>
    </sheetView>
  </sheetViews>
  <sheetFormatPr baseColWidth="10" defaultColWidth="11.42578125" defaultRowHeight="15.75" x14ac:dyDescent="0.25"/>
  <cols>
    <col min="1" max="1" width="2.42578125" style="13" customWidth="1"/>
    <col min="2" max="2" width="18.5703125" style="13" hidden="1" customWidth="1"/>
    <col min="3" max="3" width="11.140625" style="13" customWidth="1"/>
    <col min="4" max="4" width="10.5703125" style="13" customWidth="1"/>
    <col min="5" max="5" width="9" style="13" hidden="1" customWidth="1"/>
    <col min="6" max="6" width="11" style="13" hidden="1" customWidth="1"/>
    <col min="7" max="7" width="69" style="13" customWidth="1"/>
    <col min="8" max="8" width="9.5703125" style="14" customWidth="1"/>
    <col min="9" max="9" width="25" style="13" customWidth="1"/>
    <col min="10" max="10" width="60.42578125" style="13" customWidth="1"/>
    <col min="11" max="11" width="12.7109375" style="13" customWidth="1"/>
    <col min="12" max="12" width="9.42578125" style="13" customWidth="1"/>
    <col min="13" max="13" width="12.7109375" style="13" customWidth="1"/>
    <col min="14" max="14" width="12.85546875" style="13" customWidth="1"/>
    <col min="15" max="15" width="10.85546875" style="15" customWidth="1"/>
    <col min="16" max="16" width="12.7109375" style="13" customWidth="1"/>
    <col min="17" max="17" width="8.7109375" style="13" customWidth="1"/>
    <col min="18" max="18" width="13.140625" style="15" customWidth="1"/>
    <col min="19" max="16384" width="11.42578125" style="13"/>
  </cols>
  <sheetData>
    <row r="2" spans="2:18" x14ac:dyDescent="0.25">
      <c r="L2" s="266"/>
      <c r="M2" s="266"/>
      <c r="N2" s="266"/>
      <c r="P2" s="266"/>
      <c r="Q2" s="266"/>
    </row>
    <row r="3" spans="2:18" x14ac:dyDescent="0.25">
      <c r="H3" s="207">
        <v>0</v>
      </c>
      <c r="I3" s="208" t="s">
        <v>1824</v>
      </c>
      <c r="L3" s="265"/>
      <c r="M3" s="265"/>
      <c r="N3" s="40"/>
      <c r="P3" s="16"/>
      <c r="Q3" s="17"/>
    </row>
    <row r="4" spans="2:18" x14ac:dyDescent="0.25">
      <c r="H4" s="207">
        <v>1</v>
      </c>
      <c r="I4" s="208" t="s">
        <v>1825</v>
      </c>
      <c r="J4" s="233" t="s">
        <v>2172</v>
      </c>
      <c r="L4" s="265"/>
      <c r="M4" s="265"/>
      <c r="N4" s="40"/>
      <c r="P4" s="16"/>
      <c r="Q4" s="17"/>
    </row>
    <row r="5" spans="2:18" ht="20.25" x14ac:dyDescent="0.3">
      <c r="G5" s="263" t="s">
        <v>2349</v>
      </c>
      <c r="H5" s="207">
        <v>2</v>
      </c>
      <c r="I5" s="208" t="s">
        <v>1826</v>
      </c>
      <c r="L5" s="265"/>
      <c r="M5" s="265"/>
      <c r="N5" s="40"/>
    </row>
    <row r="6" spans="2:18" ht="16.5" thickBot="1" x14ac:dyDescent="0.3">
      <c r="G6" s="209"/>
    </row>
    <row r="7" spans="2:18" ht="45.75" customHeight="1" thickTop="1" thickBot="1" x14ac:dyDescent="0.3">
      <c r="B7" s="18" t="s">
        <v>21</v>
      </c>
      <c r="C7" s="29" t="s">
        <v>373</v>
      </c>
      <c r="D7" s="30" t="s">
        <v>374</v>
      </c>
      <c r="E7" s="30" t="s">
        <v>370</v>
      </c>
      <c r="F7" s="31" t="s">
        <v>25</v>
      </c>
      <c r="G7" s="31" t="s">
        <v>375</v>
      </c>
      <c r="H7" s="32" t="s">
        <v>376</v>
      </c>
      <c r="I7" s="31" t="s">
        <v>371</v>
      </c>
      <c r="J7" s="30" t="s">
        <v>372</v>
      </c>
      <c r="K7" s="33" t="s">
        <v>377</v>
      </c>
      <c r="L7" s="34" t="s">
        <v>383</v>
      </c>
      <c r="M7" s="35" t="s">
        <v>378</v>
      </c>
      <c r="N7" s="33" t="s">
        <v>379</v>
      </c>
      <c r="O7" s="34" t="s">
        <v>380</v>
      </c>
      <c r="P7" s="35" t="s">
        <v>381</v>
      </c>
      <c r="Q7" s="36" t="s">
        <v>382</v>
      </c>
      <c r="R7" s="35" t="s">
        <v>384</v>
      </c>
    </row>
    <row r="8" spans="2:18" ht="16.5" thickTop="1" x14ac:dyDescent="0.25">
      <c r="B8" s="15" t="str">
        <f>IFERROR(TEXT(C8,"yy") &amp; TEXT(C8,"mm") &amp;"-"&amp;(E8) &amp;"-"&amp;(F8),"")</f>
        <v>2010-1-206013</v>
      </c>
      <c r="C8" s="7">
        <v>44105</v>
      </c>
      <c r="D8" s="5" t="str">
        <f>IF(BD_DETALLE!$E8&gt;=1,CONCATENATE(TEXT(BD_DETALLE!$C8,"YY"),TEXT(BD_DETALLE!$C8,"MM"),"-",BD_DETALLE!$E8),"")</f>
        <v>2010-1</v>
      </c>
      <c r="E8" s="12">
        <v>1</v>
      </c>
      <c r="F8" s="21">
        <v>206013</v>
      </c>
      <c r="G8" s="4" t="str">
        <f>IFERROR(VLOOKUP(BD_DETALLE!$B8,Tabla9[],6,0),"")</f>
        <v>ARO PARA ARAÐA 22.5</v>
      </c>
      <c r="H8" s="6">
        <f>IFERROR(VLOOKUP(BD_DETALLE!$B8,Tabla9[],4,0),0)</f>
        <v>4</v>
      </c>
      <c r="I8" s="19" t="s">
        <v>5</v>
      </c>
      <c r="J8" s="20" t="s">
        <v>395</v>
      </c>
      <c r="K8" s="10">
        <f>IFERROR(VLOOKUP(BD_DETALLE!B8,Tabla9[],7,0),"")</f>
        <v>0</v>
      </c>
      <c r="L8" s="11">
        <f>IFERROR(VLOOKUP(BD_DETALLE!B8,Tabla9[],8,0),"")</f>
        <v>0</v>
      </c>
      <c r="M8" s="9">
        <f>IFERROR(SUMIFS(Tabla9[CANTIDAD2],Tabla9[BUSQUEDA],Tabla3[[#This Row],[BUSQUEDA]],Tabla9[CODIGO],Tabla3[[#This Row],[CODIGO]],Tabla9[ORDEN No.],Tabla3[[#This Row],[ORDEN de COMPRA]]),0)</f>
        <v>0</v>
      </c>
      <c r="N8" s="27">
        <f>IFERROR(IF(BD_DETALLE!B8&gt;0,VLOOKUP(BD_DETALLE!B8,Tabla9[],10,0),""),"")</f>
        <v>0</v>
      </c>
      <c r="O8" s="28">
        <f>IFERROR(VLOOKUP(BD_DETALLE!B8,Tabla9[],11,0),0)</f>
        <v>0</v>
      </c>
      <c r="P8" s="26">
        <f>IFERROR(SUMIFS(Tabla9[CANTIDAD3],Tabla9[BUSQUEDA],Tabla3[[#This Row],[BUSQUEDA]],Tabla9[CODIGO],Tabla3[[#This Row],[CODIGO]]),0)</f>
        <v>0</v>
      </c>
      <c r="Q8" s="25">
        <f>IF(BD_DETALLE!P8&lt;=0,0,IF(BD_DETALLE!P8=BD_DETALLE!H8,2,1))</f>
        <v>0</v>
      </c>
      <c r="R8" s="24">
        <f ca="1">IF(BD_DETALLE!$C8&gt;0,(IF(BD_DETALLE!$N8=0,TODAY()-BD_DETALLE!$C8,BD_DETALLE!$N8-BD_DETALLE!$C8)),"")</f>
        <v>200</v>
      </c>
    </row>
    <row r="9" spans="2:18" x14ac:dyDescent="0.25">
      <c r="B9" s="15" t="str">
        <f t="shared" ref="B9:B19" si="0">IFERROR(TEXT(C9,"yy") &amp; TEXT(C9,"mm") &amp;"-"&amp;(E9) &amp;"-"&amp;(F9),"")</f>
        <v>2010-11-313823</v>
      </c>
      <c r="C9" s="7">
        <v>44110</v>
      </c>
      <c r="D9" s="5" t="str">
        <f>IF(BD_DETALLE!$E9&gt;=1,CONCATENATE(TEXT(BD_DETALLE!$C9,"YY"),TEXT(BD_DETALLE!$C9,"MM"),"-",BD_DETALLE!$E9),"")</f>
        <v>2010-11</v>
      </c>
      <c r="E9" s="12">
        <v>11</v>
      </c>
      <c r="F9" s="21">
        <v>313823</v>
      </c>
      <c r="G9" s="4" t="str">
        <f>IFERROR(VLOOKUP(BD_DETALLE!$B9,Tabla9[],6,0),"")</f>
        <v>VALVULA ELECTRONEUMATICA  DE 2"</v>
      </c>
      <c r="H9" s="6">
        <f>IFERROR(VLOOKUP(BD_DETALLE!$B9,Tabla9[],4,0),0)</f>
        <v>1</v>
      </c>
      <c r="I9" s="19" t="s">
        <v>19</v>
      </c>
      <c r="J9" s="20" t="s">
        <v>1042</v>
      </c>
      <c r="K9" s="10">
        <f>IFERROR(VLOOKUP(BD_DETALLE!B9,Tabla9[],7,0),"")</f>
        <v>0</v>
      </c>
      <c r="L9" s="11">
        <f>IFERROR(VLOOKUP(BD_DETALLE!B9,Tabla9[],8,0),"")</f>
        <v>0</v>
      </c>
      <c r="M9" s="9">
        <f>IFERROR(SUMIFS(Tabla9[CANTIDAD2],Tabla9[BUSQUEDA],Tabla3[[#This Row],[BUSQUEDA]],Tabla9[CODIGO],Tabla3[[#This Row],[CODIGO]],Tabla9[ORDEN No.],Tabla3[[#This Row],[ORDEN de COMPRA]]),0)</f>
        <v>0</v>
      </c>
      <c r="N9" s="27">
        <f>IFERROR(IF(BD_DETALLE!B9&gt;0,VLOOKUP(BD_DETALLE!B9,Tabla9[],10,0),""),"")</f>
        <v>0</v>
      </c>
      <c r="O9" s="28">
        <f>IFERROR(VLOOKUP(BD_DETALLE!B9,Tabla9[],11,0),0)</f>
        <v>0</v>
      </c>
      <c r="P9" s="26">
        <f>IFERROR(SUMIFS(Tabla9[CANTIDAD3],Tabla9[BUSQUEDA],Tabla3[[#This Row],[BUSQUEDA]],Tabla9[CODIGO],Tabla3[[#This Row],[CODIGO]]),0)</f>
        <v>0</v>
      </c>
      <c r="Q9" s="25">
        <f>IF(BD_DETALLE!P9&lt;=0,0,IF(BD_DETALLE!P9=BD_DETALLE!H9,2,1))</f>
        <v>0</v>
      </c>
      <c r="R9" s="24">
        <f ca="1">IF(BD_DETALLE!$C9&gt;0,(IF(BD_DETALLE!$N9=0,TODAY()-BD_DETALLE!$C9,BD_DETALLE!$N9-BD_DETALLE!$C9)),"")</f>
        <v>195</v>
      </c>
    </row>
    <row r="10" spans="2:18" x14ac:dyDescent="0.25">
      <c r="B10" s="15" t="str">
        <f t="shared" si="0"/>
        <v>2010-11-320298</v>
      </c>
      <c r="C10" s="7">
        <v>44110</v>
      </c>
      <c r="D10" s="5" t="str">
        <f>IF(BD_DETALLE!$E10&gt;=1,CONCATENATE(TEXT(BD_DETALLE!$C10,"YY"),TEXT(BD_DETALLE!$C10,"MM"),"-",BD_DETALLE!$E10),"")</f>
        <v>2010-11</v>
      </c>
      <c r="E10" s="12">
        <v>11</v>
      </c>
      <c r="F10" s="21">
        <v>320298</v>
      </c>
      <c r="G10" s="4" t="str">
        <f>IFERROR(VLOOKUP(BD_DETALLE!$B10,Tabla9[],6,0),"")</f>
        <v>VALVULA ELECTRONEUMATICA DE 3"</v>
      </c>
      <c r="H10" s="6">
        <f>IFERROR(VLOOKUP(BD_DETALLE!$B10,Tabla9[],4,0),0)</f>
        <v>1</v>
      </c>
      <c r="I10" s="19" t="s">
        <v>19</v>
      </c>
      <c r="J10" s="20" t="s">
        <v>1042</v>
      </c>
      <c r="K10" s="10">
        <f>IFERROR(VLOOKUP(BD_DETALLE!B10,Tabla9[],7,0),"")</f>
        <v>0</v>
      </c>
      <c r="L10" s="11">
        <f>IFERROR(VLOOKUP(BD_DETALLE!B10,Tabla9[],8,0),"")</f>
        <v>0</v>
      </c>
      <c r="M10" s="9">
        <f>IFERROR(SUMIFS(Tabla9[CANTIDAD2],Tabla9[BUSQUEDA],Tabla3[[#This Row],[BUSQUEDA]],Tabla9[CODIGO],Tabla3[[#This Row],[CODIGO]],Tabla9[ORDEN No.],Tabla3[[#This Row],[ORDEN de COMPRA]]),0)</f>
        <v>0</v>
      </c>
      <c r="N10" s="27">
        <f>IFERROR(IF(BD_DETALLE!B10&gt;0,VLOOKUP(BD_DETALLE!B10,Tabla9[],10,0),""),"")</f>
        <v>0</v>
      </c>
      <c r="O10" s="28">
        <f>IFERROR(VLOOKUP(BD_DETALLE!B10,Tabla9[],11,0),0)</f>
        <v>0</v>
      </c>
      <c r="P10" s="26">
        <f>IFERROR(SUMIFS(Tabla9[CANTIDAD3],Tabla9[BUSQUEDA],Tabla3[[#This Row],[BUSQUEDA]],Tabla9[CODIGO],Tabla3[[#This Row],[CODIGO]]),0)</f>
        <v>0</v>
      </c>
      <c r="Q10" s="25">
        <f>IF(BD_DETALLE!P10&lt;=0,0,IF(BD_DETALLE!P10=BD_DETALLE!H10,2,1))</f>
        <v>0</v>
      </c>
      <c r="R10" s="24">
        <f ca="1">IF(BD_DETALLE!$C10&gt;0,(IF(BD_DETALLE!$N10=0,TODAY()-BD_DETALLE!$C10,BD_DETALLE!$N10-BD_DETALLE!$C10)),"")</f>
        <v>195</v>
      </c>
    </row>
    <row r="11" spans="2:18" x14ac:dyDescent="0.25">
      <c r="B11" s="15" t="str">
        <f t="shared" si="0"/>
        <v>2010-52-308633</v>
      </c>
      <c r="C11" s="7">
        <v>44117</v>
      </c>
      <c r="D11" s="5" t="str">
        <f>IF(BD_DETALLE!$E11&gt;=1,CONCATENATE(TEXT(BD_DETALLE!$C11,"YY"),TEXT(BD_DETALLE!$C11,"MM"),"-",BD_DETALLE!$E11),"")</f>
        <v>2010-52</v>
      </c>
      <c r="E11" s="12">
        <v>52</v>
      </c>
      <c r="F11" s="21">
        <v>308633</v>
      </c>
      <c r="G11" s="4" t="str">
        <f>IFERROR(VLOOKUP(BD_DETALLE!$B11,Tabla9[],6,0),"")</f>
        <v>PIÐON DE 26 DIENTES PASO 120</v>
      </c>
      <c r="H11" s="6">
        <f>IFERROR(VLOOKUP(BD_DETALLE!$B11,Tabla9[],4,0),0)</f>
        <v>3</v>
      </c>
      <c r="I11" s="19" t="s">
        <v>19</v>
      </c>
      <c r="J11" s="20" t="s">
        <v>1044</v>
      </c>
      <c r="K11" s="10">
        <f>IFERROR(VLOOKUP(BD_DETALLE!B11,Tabla9[],7,0),"")</f>
        <v>0</v>
      </c>
      <c r="L11" s="11">
        <f>IFERROR(VLOOKUP(BD_DETALLE!B11,Tabla9[],8,0),"")</f>
        <v>0</v>
      </c>
      <c r="M11" s="9">
        <f>IFERROR(SUMIFS(Tabla9[CANTIDAD2],Tabla9[BUSQUEDA],Tabla3[[#This Row],[BUSQUEDA]],Tabla9[CODIGO],Tabla3[[#This Row],[CODIGO]],Tabla9[ORDEN No.],Tabla3[[#This Row],[ORDEN de COMPRA]]),0)</f>
        <v>0</v>
      </c>
      <c r="N11" s="27">
        <f>IFERROR(IF(BD_DETALLE!B11&gt;0,VLOOKUP(BD_DETALLE!B11,Tabla9[],10,0),""),"")</f>
        <v>0</v>
      </c>
      <c r="O11" s="28">
        <f>IFERROR(VLOOKUP(BD_DETALLE!B11,Tabla9[],11,0),0)</f>
        <v>0</v>
      </c>
      <c r="P11" s="26">
        <f>IFERROR(SUMIFS(Tabla9[CANTIDAD3],Tabla9[BUSQUEDA],Tabla3[[#This Row],[BUSQUEDA]],Tabla9[CODIGO],Tabla3[[#This Row],[CODIGO]]),0)</f>
        <v>0</v>
      </c>
      <c r="Q11" s="25">
        <f>IF(BD_DETALLE!P11&lt;=0,0,IF(BD_DETALLE!P11=BD_DETALLE!H11,2,1))</f>
        <v>0</v>
      </c>
      <c r="R11" s="24">
        <f ca="1">IF(BD_DETALLE!$C11&gt;0,(IF(BD_DETALLE!$N11=0,TODAY()-BD_DETALLE!$C11,BD_DETALLE!$N11-BD_DETALLE!$C11)),"")</f>
        <v>188</v>
      </c>
    </row>
    <row r="12" spans="2:18" x14ac:dyDescent="0.25">
      <c r="B12" s="15" t="str">
        <f t="shared" si="0"/>
        <v>2010-52-306341</v>
      </c>
      <c r="C12" s="7">
        <v>44117</v>
      </c>
      <c r="D12" s="5" t="str">
        <f>IF(BD_DETALLE!$E12&gt;=1,CONCATENATE(TEXT(BD_DETALLE!$C12,"YY"),TEXT(BD_DETALLE!$C12,"MM"),"-",BD_DETALLE!$E12),"")</f>
        <v>2010-52</v>
      </c>
      <c r="E12" s="12">
        <v>52</v>
      </c>
      <c r="F12" s="21">
        <v>306341</v>
      </c>
      <c r="G12" s="4" t="str">
        <f>IFERROR(VLOOKUP(BD_DETALLE!$B12,Tabla9[],6,0),"")</f>
        <v>PIÐON  14 DIENTES PASO 120</v>
      </c>
      <c r="H12" s="6">
        <f>IFERROR(VLOOKUP(BD_DETALLE!$B12,Tabla9[],4,0),0)</f>
        <v>3</v>
      </c>
      <c r="I12" s="19" t="s">
        <v>19</v>
      </c>
      <c r="J12" s="20" t="s">
        <v>1044</v>
      </c>
      <c r="K12" s="10">
        <f>IFERROR(VLOOKUP(BD_DETALLE!B12,Tabla9[],7,0),"")</f>
        <v>0</v>
      </c>
      <c r="L12" s="11">
        <f>IFERROR(VLOOKUP(BD_DETALLE!B12,Tabla9[],8,0),"")</f>
        <v>0</v>
      </c>
      <c r="M12" s="9">
        <f>IFERROR(SUMIFS(Tabla9[CANTIDAD2],Tabla9[BUSQUEDA],Tabla3[[#This Row],[BUSQUEDA]],Tabla9[CODIGO],Tabla3[[#This Row],[CODIGO]],Tabla9[ORDEN No.],Tabla3[[#This Row],[ORDEN de COMPRA]]),0)</f>
        <v>0</v>
      </c>
      <c r="N12" s="27">
        <f>IFERROR(IF(BD_DETALLE!B12&gt;0,VLOOKUP(BD_DETALLE!B12,Tabla9[],10,0),""),"")</f>
        <v>0</v>
      </c>
      <c r="O12" s="28">
        <f>IFERROR(VLOOKUP(BD_DETALLE!B12,Tabla9[],11,0),0)</f>
        <v>0</v>
      </c>
      <c r="P12" s="26">
        <f>IFERROR(SUMIFS(Tabla9[CANTIDAD3],Tabla9[BUSQUEDA],Tabla3[[#This Row],[BUSQUEDA]],Tabla9[CODIGO],Tabla3[[#This Row],[CODIGO]]),0)</f>
        <v>0</v>
      </c>
      <c r="Q12" s="25">
        <f>IF(BD_DETALLE!P12&lt;=0,0,IF(BD_DETALLE!P12=BD_DETALLE!H12,2,1))</f>
        <v>0</v>
      </c>
      <c r="R12" s="24">
        <f ca="1">IF(BD_DETALLE!$C12&gt;0,(IF(BD_DETALLE!$N12=0,TODAY()-BD_DETALLE!$C12,BD_DETALLE!$N12-BD_DETALLE!$C12)),"")</f>
        <v>188</v>
      </c>
    </row>
    <row r="13" spans="2:18" x14ac:dyDescent="0.25">
      <c r="B13" s="15" t="str">
        <f t="shared" si="0"/>
        <v>2010-53-307019</v>
      </c>
      <c r="C13" s="7">
        <v>44117</v>
      </c>
      <c r="D13" s="5" t="str">
        <f>IF(BD_DETALLE!$E13&gt;=1,CONCATENATE(TEXT(BD_DETALLE!$C13,"YY"),TEXT(BD_DETALLE!$C13,"MM"),"-",BD_DETALLE!$E13),"")</f>
        <v>2010-53</v>
      </c>
      <c r="E13" s="12">
        <v>53</v>
      </c>
      <c r="F13" s="21">
        <v>307019</v>
      </c>
      <c r="G13" s="4" t="str">
        <f>IFERROR(VLOOKUP(BD_DETALLE!$B13,Tabla9[],6,0),"")</f>
        <v>ESPARRAGO A/INOX DE 1" x 70CM</v>
      </c>
      <c r="H13" s="6">
        <f>IFERROR(VLOOKUP(BD_DETALLE!$B13,Tabla9[],4,0),0)</f>
        <v>3</v>
      </c>
      <c r="I13" s="19" t="s">
        <v>19</v>
      </c>
      <c r="J13" s="20" t="s">
        <v>1043</v>
      </c>
      <c r="K13" s="10">
        <f>IFERROR(VLOOKUP(BD_DETALLE!B13,Tabla9[],7,0),"")</f>
        <v>0</v>
      </c>
      <c r="L13" s="11">
        <f>IFERROR(VLOOKUP(BD_DETALLE!B13,Tabla9[],8,0),"")</f>
        <v>0</v>
      </c>
      <c r="M13" s="9">
        <f>IFERROR(SUMIFS(Tabla9[CANTIDAD2],Tabla9[BUSQUEDA],Tabla3[[#This Row],[BUSQUEDA]],Tabla9[CODIGO],Tabla3[[#This Row],[CODIGO]],Tabla9[ORDEN No.],Tabla3[[#This Row],[ORDEN de COMPRA]]),0)</f>
        <v>0</v>
      </c>
      <c r="N13" s="27">
        <f>IFERROR(IF(BD_DETALLE!B13&gt;0,VLOOKUP(BD_DETALLE!B13,Tabla9[],10,0),""),"")</f>
        <v>0</v>
      </c>
      <c r="O13" s="28">
        <f>IFERROR(VLOOKUP(BD_DETALLE!B13,Tabla9[],11,0),0)</f>
        <v>0</v>
      </c>
      <c r="P13" s="26">
        <f>IFERROR(SUMIFS(Tabla9[CANTIDAD3],Tabla9[BUSQUEDA],Tabla3[[#This Row],[BUSQUEDA]],Tabla9[CODIGO],Tabla3[[#This Row],[CODIGO]]),0)</f>
        <v>0</v>
      </c>
      <c r="Q13" s="25">
        <f>IF(BD_DETALLE!P13&lt;=0,0,IF(BD_DETALLE!P13=BD_DETALLE!H13,2,1))</f>
        <v>0</v>
      </c>
      <c r="R13" s="24">
        <f ca="1">IF(BD_DETALLE!$C13&gt;0,(IF(BD_DETALLE!$N13=0,TODAY()-BD_DETALLE!$C13,BD_DETALLE!$N13-BD_DETALLE!$C13)),"")</f>
        <v>188</v>
      </c>
    </row>
    <row r="14" spans="2:18" x14ac:dyDescent="0.25">
      <c r="B14" s="15" t="str">
        <f t="shared" si="0"/>
        <v>2010-53-304534</v>
      </c>
      <c r="C14" s="7">
        <v>44117</v>
      </c>
      <c r="D14" s="5" t="str">
        <f>IF(BD_DETALLE!$E14&gt;=1,CONCATENATE(TEXT(BD_DETALLE!$C14,"YY"),TEXT(BD_DETALLE!$C14,"MM"),"-",BD_DETALLE!$E14),"")</f>
        <v>2010-53</v>
      </c>
      <c r="E14" s="12">
        <v>53</v>
      </c>
      <c r="F14" s="21">
        <v>304534</v>
      </c>
      <c r="G14" s="4" t="str">
        <f>IFERROR(VLOOKUP(BD_DETALLE!$B14,Tabla9[],6,0),"")</f>
        <v>UNION UNIVERSAL A/INOX DE 3/4"</v>
      </c>
      <c r="H14" s="6">
        <f>IFERROR(VLOOKUP(BD_DETALLE!$B14,Tabla9[],4,0),0)</f>
        <v>4</v>
      </c>
      <c r="I14" s="19" t="s">
        <v>19</v>
      </c>
      <c r="J14" s="20" t="s">
        <v>1043</v>
      </c>
      <c r="K14" s="10">
        <f>IFERROR(VLOOKUP(BD_DETALLE!B14,Tabla9[],7,0),"")</f>
        <v>0</v>
      </c>
      <c r="L14" s="11">
        <f>IFERROR(VLOOKUP(BD_DETALLE!B14,Tabla9[],8,0),"")</f>
        <v>0</v>
      </c>
      <c r="M14" s="9">
        <f>IFERROR(SUMIFS(Tabla9[CANTIDAD2],Tabla9[BUSQUEDA],Tabla3[[#This Row],[BUSQUEDA]],Tabla9[CODIGO],Tabla3[[#This Row],[CODIGO]],Tabla9[ORDEN No.],Tabla3[[#This Row],[ORDEN de COMPRA]]),0)</f>
        <v>0</v>
      </c>
      <c r="N14" s="27">
        <f>IFERROR(IF(BD_DETALLE!B14&gt;0,VLOOKUP(BD_DETALLE!B14,Tabla9[],10,0),""),"")</f>
        <v>0</v>
      </c>
      <c r="O14" s="28">
        <f>IFERROR(VLOOKUP(BD_DETALLE!B14,Tabla9[],11,0),0)</f>
        <v>0</v>
      </c>
      <c r="P14" s="26">
        <f>IFERROR(SUMIFS(Tabla9[CANTIDAD3],Tabla9[BUSQUEDA],Tabla3[[#This Row],[BUSQUEDA]],Tabla9[CODIGO],Tabla3[[#This Row],[CODIGO]]),0)</f>
        <v>0</v>
      </c>
      <c r="Q14" s="25">
        <f>IF(BD_DETALLE!P14&lt;=0,0,IF(BD_DETALLE!P14=BD_DETALLE!H14,2,1))</f>
        <v>0</v>
      </c>
      <c r="R14" s="24">
        <f ca="1">IF(BD_DETALLE!$C14&gt;0,(IF(BD_DETALLE!$N14=0,TODAY()-BD_DETALLE!$C14,BD_DETALLE!$N14-BD_DETALLE!$C14)),"")</f>
        <v>188</v>
      </c>
    </row>
    <row r="15" spans="2:18" x14ac:dyDescent="0.25">
      <c r="B15" s="15" t="str">
        <f t="shared" si="0"/>
        <v>2010-53-304751</v>
      </c>
      <c r="C15" s="7">
        <v>44117</v>
      </c>
      <c r="D15" s="5" t="str">
        <f>IF(BD_DETALLE!$E15&gt;=1,CONCATENATE(TEXT(BD_DETALLE!$C15,"YY"),TEXT(BD_DETALLE!$C15,"MM"),"-",BD_DETALLE!$E15),"")</f>
        <v>2010-53</v>
      </c>
      <c r="E15" s="12">
        <v>53</v>
      </c>
      <c r="F15" s="21">
        <v>304751</v>
      </c>
      <c r="G15" s="4" t="str">
        <f>IFERROR(VLOOKUP(BD_DETALLE!$B15,Tabla9[],6,0),"")</f>
        <v>TUBO A/INOX DE 3/4" x 6MTS - CED. 40</v>
      </c>
      <c r="H15" s="6">
        <f>IFERROR(VLOOKUP(BD_DETALLE!$B15,Tabla9[],4,0),0)</f>
        <v>1</v>
      </c>
      <c r="I15" s="19" t="s">
        <v>19</v>
      </c>
      <c r="J15" s="20" t="s">
        <v>1043</v>
      </c>
      <c r="K15" s="10">
        <f>IFERROR(VLOOKUP(BD_DETALLE!B15,Tabla9[],7,0),"")</f>
        <v>0</v>
      </c>
      <c r="L15" s="11">
        <f>IFERROR(VLOOKUP(BD_DETALLE!B15,Tabla9[],8,0),"")</f>
        <v>0</v>
      </c>
      <c r="M15" s="9">
        <f>IFERROR(SUMIFS(Tabla9[CANTIDAD2],Tabla9[BUSQUEDA],Tabla3[[#This Row],[BUSQUEDA]],Tabla9[CODIGO],Tabla3[[#This Row],[CODIGO]],Tabla9[ORDEN No.],Tabla3[[#This Row],[ORDEN de COMPRA]]),0)</f>
        <v>0</v>
      </c>
      <c r="N15" s="27">
        <f>IFERROR(IF(BD_DETALLE!B15&gt;0,VLOOKUP(BD_DETALLE!B15,Tabla9[],10,0),""),"")</f>
        <v>0</v>
      </c>
      <c r="O15" s="28">
        <f>IFERROR(VLOOKUP(BD_DETALLE!B15,Tabla9[],11,0),0)</f>
        <v>0</v>
      </c>
      <c r="P15" s="26">
        <f>IFERROR(SUMIFS(Tabla9[CANTIDAD3],Tabla9[BUSQUEDA],Tabla3[[#This Row],[BUSQUEDA]],Tabla9[CODIGO],Tabla3[[#This Row],[CODIGO]]),0)</f>
        <v>0</v>
      </c>
      <c r="Q15" s="25">
        <f>IF(BD_DETALLE!P15&lt;=0,0,IF(BD_DETALLE!P15=BD_DETALLE!H15,2,1))</f>
        <v>0</v>
      </c>
      <c r="R15" s="24">
        <f ca="1">IF(BD_DETALLE!$C15&gt;0,(IF(BD_DETALLE!$N15=0,TODAY()-BD_DETALLE!$C15,BD_DETALLE!$N15-BD_DETALLE!$C15)),"")</f>
        <v>188</v>
      </c>
    </row>
    <row r="16" spans="2:18" x14ac:dyDescent="0.25">
      <c r="B16" s="15" t="str">
        <f t="shared" si="0"/>
        <v>2010-53-300408</v>
      </c>
      <c r="C16" s="7">
        <v>44117</v>
      </c>
      <c r="D16" s="5" t="str">
        <f>IF(BD_DETALLE!$E16&gt;=1,CONCATENATE(TEXT(BD_DETALLE!$C16,"YY"),TEXT(BD_DETALLE!$C16,"MM"),"-",BD_DETALLE!$E16),"")</f>
        <v>2010-53</v>
      </c>
      <c r="E16" s="12">
        <v>53</v>
      </c>
      <c r="F16" s="21">
        <v>300408</v>
      </c>
      <c r="G16" s="4" t="str">
        <f>IFERROR(VLOOKUP(BD_DETALLE!$B16,Tabla9[],6,0),"")</f>
        <v>SANTIAGO DE 3PTS (PEQUEÐO)</v>
      </c>
      <c r="H16" s="6">
        <f>IFERROR(VLOOKUP(BD_DETALLE!$B16,Tabla9[],4,0),0)</f>
        <v>1</v>
      </c>
      <c r="I16" s="19" t="s">
        <v>19</v>
      </c>
      <c r="J16" s="20" t="s">
        <v>1043</v>
      </c>
      <c r="K16" s="10">
        <f>IFERROR(VLOOKUP(BD_DETALLE!B16,Tabla9[],7,0),"")</f>
        <v>0</v>
      </c>
      <c r="L16" s="11">
        <f>IFERROR(VLOOKUP(BD_DETALLE!B16,Tabla9[],8,0),"")</f>
        <v>0</v>
      </c>
      <c r="M16" s="9">
        <f>IFERROR(SUMIFS(Tabla9[CANTIDAD2],Tabla9[BUSQUEDA],Tabla3[[#This Row],[BUSQUEDA]],Tabla9[CODIGO],Tabla3[[#This Row],[CODIGO]],Tabla9[ORDEN No.],Tabla3[[#This Row],[ORDEN de COMPRA]]),0)</f>
        <v>0</v>
      </c>
      <c r="N16" s="27">
        <f>IFERROR(IF(BD_DETALLE!B16&gt;0,VLOOKUP(BD_DETALLE!B16,Tabla9[],10,0),""),"")</f>
        <v>0</v>
      </c>
      <c r="O16" s="28">
        <f>IFERROR(VLOOKUP(BD_DETALLE!B16,Tabla9[],11,0),0)</f>
        <v>0</v>
      </c>
      <c r="P16" s="26">
        <f>IFERROR(SUMIFS(Tabla9[CANTIDAD3],Tabla9[BUSQUEDA],Tabla3[[#This Row],[BUSQUEDA]],Tabla9[CODIGO],Tabla3[[#This Row],[CODIGO]]),0)</f>
        <v>0</v>
      </c>
      <c r="Q16" s="25">
        <f>IF(BD_DETALLE!P16&lt;=0,0,IF(BD_DETALLE!P16=BD_DETALLE!H16,2,1))</f>
        <v>0</v>
      </c>
      <c r="R16" s="24">
        <f ca="1">IF(BD_DETALLE!$C16&gt;0,(IF(BD_DETALLE!$N16=0,TODAY()-BD_DETALLE!$C16,BD_DETALLE!$N16-BD_DETALLE!$C16)),"")</f>
        <v>188</v>
      </c>
    </row>
    <row r="17" spans="2:18" x14ac:dyDescent="0.25">
      <c r="B17" s="15" t="str">
        <f t="shared" si="0"/>
        <v>2010-53-309050</v>
      </c>
      <c r="C17" s="7">
        <v>44117</v>
      </c>
      <c r="D17" s="5" t="str">
        <f>IF(BD_DETALLE!$E17&gt;=1,CONCATENATE(TEXT(BD_DETALLE!$C17,"YY"),TEXT(BD_DETALLE!$C17,"MM"),"-",BD_DETALLE!$E17),"")</f>
        <v>2010-53</v>
      </c>
      <c r="E17" s="12">
        <v>53</v>
      </c>
      <c r="F17" s="21">
        <v>309050</v>
      </c>
      <c r="G17" s="4" t="str">
        <f>IFERROR(VLOOKUP(BD_DETALLE!$B17,Tabla9[],6,0),"")</f>
        <v>REDUCCION BUSHING DE 2" A 1" EN A/INOX</v>
      </c>
      <c r="H17" s="6">
        <f>IFERROR(VLOOKUP(BD_DETALLE!$B17,Tabla9[],4,0),0)</f>
        <v>1</v>
      </c>
      <c r="I17" s="19" t="s">
        <v>19</v>
      </c>
      <c r="J17" s="20" t="s">
        <v>1043</v>
      </c>
      <c r="K17" s="10">
        <f>IFERROR(VLOOKUP(BD_DETALLE!B17,Tabla9[],7,0),"")</f>
        <v>0</v>
      </c>
      <c r="L17" s="11">
        <f>IFERROR(VLOOKUP(BD_DETALLE!B17,Tabla9[],8,0),"")</f>
        <v>0</v>
      </c>
      <c r="M17" s="9">
        <f>IFERROR(SUMIFS(Tabla9[CANTIDAD2],Tabla9[BUSQUEDA],Tabla3[[#This Row],[BUSQUEDA]],Tabla9[CODIGO],Tabla3[[#This Row],[CODIGO]],Tabla9[ORDEN No.],Tabla3[[#This Row],[ORDEN de COMPRA]]),0)</f>
        <v>0</v>
      </c>
      <c r="N17" s="27">
        <f>IFERROR(IF(BD_DETALLE!B17&gt;0,VLOOKUP(BD_DETALLE!B17,Tabla9[],10,0),""),"")</f>
        <v>0</v>
      </c>
      <c r="O17" s="28">
        <f>IFERROR(VLOOKUP(BD_DETALLE!B17,Tabla9[],11,0),0)</f>
        <v>0</v>
      </c>
      <c r="P17" s="26">
        <f>IFERROR(SUMIFS(Tabla9[CANTIDAD3],Tabla9[BUSQUEDA],Tabla3[[#This Row],[BUSQUEDA]],Tabla9[CODIGO],Tabla3[[#This Row],[CODIGO]]),0)</f>
        <v>0</v>
      </c>
      <c r="Q17" s="25">
        <f>IF(BD_DETALLE!P17&lt;=0,0,IF(BD_DETALLE!P17=BD_DETALLE!H17,2,1))</f>
        <v>0</v>
      </c>
      <c r="R17" s="24">
        <f ca="1">IF(BD_DETALLE!$C17&gt;0,(IF(BD_DETALLE!$N17=0,TODAY()-BD_DETALLE!$C17,BD_DETALLE!$N17-BD_DETALLE!$C17)),"")</f>
        <v>188</v>
      </c>
    </row>
    <row r="18" spans="2:18" x14ac:dyDescent="0.25">
      <c r="B18" s="15" t="str">
        <f t="shared" si="0"/>
        <v>2010-53-305564</v>
      </c>
      <c r="C18" s="7">
        <v>44117</v>
      </c>
      <c r="D18" s="5" t="str">
        <f>IF(BD_DETALLE!$E18&gt;=1,CONCATENATE(TEXT(BD_DETALLE!$C18,"YY"),TEXT(BD_DETALLE!$C18,"MM"),"-",BD_DETALLE!$E18),"")</f>
        <v>2010-53</v>
      </c>
      <c r="E18" s="12">
        <v>53</v>
      </c>
      <c r="F18" s="21">
        <v>305564</v>
      </c>
      <c r="G18" s="4" t="str">
        <f>IFERROR(VLOOKUP(BD_DETALLE!$B18,Tabla9[],6,0),"")</f>
        <v>PERNO A/INOX DE 5/8" x 6" COMPLETO</v>
      </c>
      <c r="H18" s="6">
        <f>IFERROR(VLOOKUP(BD_DETALLE!$B18,Tabla9[],4,0),0)</f>
        <v>12</v>
      </c>
      <c r="I18" s="19" t="s">
        <v>19</v>
      </c>
      <c r="J18" s="20" t="s">
        <v>1043</v>
      </c>
      <c r="K18" s="10">
        <f>IFERROR(VLOOKUP(BD_DETALLE!B18,Tabla9[],7,0),"")</f>
        <v>0</v>
      </c>
      <c r="L18" s="11">
        <f>IFERROR(VLOOKUP(BD_DETALLE!B18,Tabla9[],8,0),"")</f>
        <v>0</v>
      </c>
      <c r="M18" s="9">
        <f>IFERROR(SUMIFS(Tabla9[CANTIDAD2],Tabla9[BUSQUEDA],Tabla3[[#This Row],[BUSQUEDA]],Tabla9[CODIGO],Tabla3[[#This Row],[CODIGO]],Tabla9[ORDEN No.],Tabla3[[#This Row],[ORDEN de COMPRA]]),0)</f>
        <v>0</v>
      </c>
      <c r="N18" s="27">
        <f>IFERROR(IF(BD_DETALLE!B18&gt;0,VLOOKUP(BD_DETALLE!B18,Tabla9[],10,0),""),"")</f>
        <v>0</v>
      </c>
      <c r="O18" s="28">
        <f>IFERROR(VLOOKUP(BD_DETALLE!B18,Tabla9[],11,0),0)</f>
        <v>0</v>
      </c>
      <c r="P18" s="26">
        <f>IFERROR(SUMIFS(Tabla9[CANTIDAD3],Tabla9[BUSQUEDA],Tabla3[[#This Row],[BUSQUEDA]],Tabla9[CODIGO],Tabla3[[#This Row],[CODIGO]]),0)</f>
        <v>0</v>
      </c>
      <c r="Q18" s="25">
        <f>IF(BD_DETALLE!P18&lt;=0,0,IF(BD_DETALLE!P18=BD_DETALLE!H18,2,1))</f>
        <v>0</v>
      </c>
      <c r="R18" s="24">
        <f ca="1">IF(BD_DETALLE!$C18&gt;0,(IF(BD_DETALLE!$N18=0,TODAY()-BD_DETALLE!$C18,BD_DETALLE!$N18-BD_DETALLE!$C18)),"")</f>
        <v>188</v>
      </c>
    </row>
    <row r="19" spans="2:18" x14ac:dyDescent="0.25">
      <c r="B19" s="15" t="str">
        <f t="shared" si="0"/>
        <v>2010-53-300571</v>
      </c>
      <c r="C19" s="7">
        <v>44117</v>
      </c>
      <c r="D19" s="5" t="str">
        <f>IF(BD_DETALLE!$E19&gt;=1,CONCATENATE(TEXT(BD_DETALLE!$C19,"YY"),TEXT(BD_DETALLE!$C19,"MM"),"-",BD_DETALLE!$E19),"")</f>
        <v>2010-53</v>
      </c>
      <c r="E19" s="12">
        <v>53</v>
      </c>
      <c r="F19" s="21">
        <v>300571</v>
      </c>
      <c r="G19" s="4" t="str">
        <f>IFERROR(VLOOKUP(BD_DETALLE!$B19,Tabla9[],6,0),"")</f>
        <v>NUDO A/INOX DE 2"</v>
      </c>
      <c r="H19" s="6">
        <f>IFERROR(VLOOKUP(BD_DETALLE!$B19,Tabla9[],4,0),0)</f>
        <v>1</v>
      </c>
      <c r="I19" s="19" t="s">
        <v>19</v>
      </c>
      <c r="J19" s="20" t="s">
        <v>1043</v>
      </c>
      <c r="K19" s="10">
        <f>IFERROR(VLOOKUP(BD_DETALLE!B19,Tabla9[],7,0),"")</f>
        <v>0</v>
      </c>
      <c r="L19" s="11">
        <f>IFERROR(VLOOKUP(BD_DETALLE!B19,Tabla9[],8,0),"")</f>
        <v>0</v>
      </c>
      <c r="M19" s="9">
        <f>IFERROR(SUMIFS(Tabla9[CANTIDAD2],Tabla9[BUSQUEDA],Tabla3[[#This Row],[BUSQUEDA]],Tabla9[CODIGO],Tabla3[[#This Row],[CODIGO]],Tabla9[ORDEN No.],Tabla3[[#This Row],[ORDEN de COMPRA]]),0)</f>
        <v>0</v>
      </c>
      <c r="N19" s="27">
        <f>IFERROR(IF(BD_DETALLE!B19&gt;0,VLOOKUP(BD_DETALLE!B19,Tabla9[],10,0),""),"")</f>
        <v>0</v>
      </c>
      <c r="O19" s="28">
        <f>IFERROR(VLOOKUP(BD_DETALLE!B19,Tabla9[],11,0),0)</f>
        <v>0</v>
      </c>
      <c r="P19" s="26">
        <f>IFERROR(SUMIFS(Tabla9[CANTIDAD3],Tabla9[BUSQUEDA],Tabla3[[#This Row],[BUSQUEDA]],Tabla9[CODIGO],Tabla3[[#This Row],[CODIGO]]),0)</f>
        <v>0</v>
      </c>
      <c r="Q19" s="25">
        <f>IF(BD_DETALLE!P19&lt;=0,0,IF(BD_DETALLE!P19=BD_DETALLE!H19,2,1))</f>
        <v>0</v>
      </c>
      <c r="R19" s="24">
        <f ca="1">IF(BD_DETALLE!$C19&gt;0,(IF(BD_DETALLE!$N19=0,TODAY()-BD_DETALLE!$C19,BD_DETALLE!$N19-BD_DETALLE!$C19)),"")</f>
        <v>188</v>
      </c>
    </row>
    <row r="20" spans="2:18" x14ac:dyDescent="0.25">
      <c r="B20" s="54" t="str">
        <f t="shared" ref="B20:B22" si="1">IFERROR(TEXT(C20,"yy") &amp; TEXT(C20,"mm") &amp;"-"&amp;(E20) &amp;"-"&amp;(F20),"")</f>
        <v>2010-76-315008</v>
      </c>
      <c r="C20" s="55">
        <v>44119</v>
      </c>
      <c r="D20" s="56" t="str">
        <f>IF(BD_DETALLE!$E20&gt;=1,CONCATENATE(TEXT(BD_DETALLE!$C20,"YY"),TEXT(BD_DETALLE!$C20,"MM"),"-",BD_DETALLE!$E20),"")</f>
        <v>2010-76</v>
      </c>
      <c r="E20" s="57">
        <v>76</v>
      </c>
      <c r="F20" s="58">
        <v>315008</v>
      </c>
      <c r="G20" s="59" t="str">
        <f>IFERROR(VLOOKUP(BD_DETALLE!$B20,Tabla9[],6,0),"")</f>
        <v>EJE ACERO 705 DE 3.1/2" DIAMETRO</v>
      </c>
      <c r="H20" s="60">
        <f>IFERROR(VLOOKUP(BD_DETALLE!$B20,Tabla9[],4,0),0)</f>
        <v>1</v>
      </c>
      <c r="I20" s="19" t="s">
        <v>19</v>
      </c>
      <c r="J20" s="20" t="s">
        <v>1049</v>
      </c>
      <c r="K20" s="10">
        <f>IFERROR(VLOOKUP(BD_DETALLE!B20,Tabla9[],7,0),"")</f>
        <v>0</v>
      </c>
      <c r="L20" s="11">
        <f>IFERROR(VLOOKUP(BD_DETALLE!B20,Tabla9[],8,0),"")</f>
        <v>0</v>
      </c>
      <c r="M20" s="9">
        <f>IFERROR(SUMIFS(Tabla9[CANTIDAD2],Tabla9[BUSQUEDA],Tabla3[[#This Row],[BUSQUEDA]],Tabla9[CODIGO],Tabla3[[#This Row],[CODIGO]],Tabla9[ORDEN No.],Tabla3[[#This Row],[ORDEN de COMPRA]]),0)</f>
        <v>0</v>
      </c>
      <c r="N20" s="27">
        <f>IFERROR(IF(BD_DETALLE!B20&gt;0,VLOOKUP(BD_DETALLE!B20,Tabla9[],10,0),""),"")</f>
        <v>0</v>
      </c>
      <c r="O20" s="28">
        <f>IFERROR(VLOOKUP(BD_DETALLE!B20,Tabla9[],11,0),0)</f>
        <v>0</v>
      </c>
      <c r="P20" s="26">
        <f>IFERROR(SUMIFS(Tabla9[CANTIDAD3],Tabla9[BUSQUEDA],Tabla3[[#This Row],[BUSQUEDA]],Tabla9[CODIGO],Tabla3[[#This Row],[CODIGO]]),0)</f>
        <v>0</v>
      </c>
      <c r="Q20" s="25">
        <f>IF(BD_DETALLE!P20&lt;=0,0,IF(BD_DETALLE!P20=BD_DETALLE!H20,2,1))</f>
        <v>0</v>
      </c>
      <c r="R20" s="61">
        <f ca="1">IF(BD_DETALLE!$C20&gt;0,(IF(BD_DETALLE!$N20=0,TODAY()-BD_DETALLE!$C20,BD_DETALLE!$N20-BD_DETALLE!$C20)),"")</f>
        <v>186</v>
      </c>
    </row>
    <row r="21" spans="2:18" x14ac:dyDescent="0.25">
      <c r="B21" s="15" t="str">
        <f t="shared" si="1"/>
        <v>2010-113-306479</v>
      </c>
      <c r="C21" s="7">
        <v>44125</v>
      </c>
      <c r="D21" s="5" t="str">
        <f>IF(BD_DETALLE!$E21&gt;=1,CONCATENATE(TEXT(BD_DETALLE!$C21,"YY"),TEXT(BD_DETALLE!$C21,"MM"),"-",BD_DETALLE!$E21),"")</f>
        <v>2010-113</v>
      </c>
      <c r="E21" s="12">
        <v>113</v>
      </c>
      <c r="F21" s="21">
        <v>306479</v>
      </c>
      <c r="G21" s="4" t="str">
        <f>IFERROR(VLOOKUP(BD_DETALLE!$B21,Tabla9[],6,0),"")</f>
        <v>BRAZO LIMPIAPARABRISA</v>
      </c>
      <c r="H21" s="6">
        <f>IFERROR(VLOOKUP(BD_DETALLE!$B21,Tabla9[],4,0),0)</f>
        <v>2</v>
      </c>
      <c r="I21" s="19" t="s">
        <v>5</v>
      </c>
      <c r="J21" s="20" t="s">
        <v>952</v>
      </c>
      <c r="K21" s="10">
        <f>IFERROR(VLOOKUP(BD_DETALLE!B21,Tabla9[],7,0),"")</f>
        <v>0</v>
      </c>
      <c r="L21" s="11">
        <f>IFERROR(VLOOKUP(BD_DETALLE!B21,Tabla9[],8,0),"")</f>
        <v>0</v>
      </c>
      <c r="M21" s="9">
        <f>IFERROR(SUMIFS(Tabla9[CANTIDAD2],Tabla9[BUSQUEDA],Tabla3[[#This Row],[BUSQUEDA]],Tabla9[CODIGO],Tabla3[[#This Row],[CODIGO]],Tabla9[ORDEN No.],Tabla3[[#This Row],[ORDEN de COMPRA]]),0)</f>
        <v>0</v>
      </c>
      <c r="N21" s="27">
        <f>IFERROR(IF(BD_DETALLE!B21&gt;0,VLOOKUP(BD_DETALLE!B21,Tabla9[],10,0),""),"")</f>
        <v>0</v>
      </c>
      <c r="O21" s="28">
        <f>IFERROR(VLOOKUP(BD_DETALLE!B21,Tabla9[],11,0),0)</f>
        <v>0</v>
      </c>
      <c r="P21" s="26">
        <f>IFERROR(SUMIFS(Tabla9[CANTIDAD3],Tabla9[BUSQUEDA],Tabla3[[#This Row],[BUSQUEDA]],Tabla9[CODIGO],Tabla3[[#This Row],[CODIGO]]),0)</f>
        <v>0</v>
      </c>
      <c r="Q21" s="25">
        <f>IF(BD_DETALLE!P21&lt;=0,0,IF(BD_DETALLE!P21=BD_DETALLE!H21,2,1))</f>
        <v>0</v>
      </c>
      <c r="R21" s="24">
        <f ca="1">IF(BD_DETALLE!$C21&gt;0,(IF(BD_DETALLE!$N21=0,TODAY()-BD_DETALLE!$C21,BD_DETALLE!$N21-BD_DETALLE!$C21)),"")</f>
        <v>180</v>
      </c>
    </row>
    <row r="22" spans="2:18" x14ac:dyDescent="0.25">
      <c r="B22" s="15" t="str">
        <f t="shared" si="1"/>
        <v>2010-113-302515</v>
      </c>
      <c r="C22" s="7">
        <v>44125</v>
      </c>
      <c r="D22" s="5" t="str">
        <f>IF(BD_DETALLE!$E22&gt;=1,CONCATENATE(TEXT(BD_DETALLE!$C22,"YY"),TEXT(BD_DETALLE!$C22,"MM"),"-",BD_DETALLE!$E22),"")</f>
        <v>2010-113</v>
      </c>
      <c r="E22" s="12">
        <v>113</v>
      </c>
      <c r="F22" s="21">
        <v>302515</v>
      </c>
      <c r="G22" s="4" t="str">
        <f>IFERROR(VLOOKUP(BD_DETALLE!$B22,Tabla9[],6,0),"")</f>
        <v>PLUMA LIMPIAPARABRISA</v>
      </c>
      <c r="H22" s="6">
        <f>IFERROR(VLOOKUP(BD_DETALLE!$B22,Tabla9[],4,0),0)</f>
        <v>2</v>
      </c>
      <c r="I22" s="19" t="s">
        <v>5</v>
      </c>
      <c r="J22" s="20" t="s">
        <v>952</v>
      </c>
      <c r="K22" s="10">
        <f>IFERROR(VLOOKUP(BD_DETALLE!B22,Tabla9[],7,0),"")</f>
        <v>0</v>
      </c>
      <c r="L22" s="11">
        <f>IFERROR(VLOOKUP(BD_DETALLE!B22,Tabla9[],8,0),"")</f>
        <v>0</v>
      </c>
      <c r="M22" s="9">
        <f>IFERROR(SUMIFS(Tabla9[CANTIDAD2],Tabla9[BUSQUEDA],Tabla3[[#This Row],[BUSQUEDA]],Tabla9[CODIGO],Tabla3[[#This Row],[CODIGO]],Tabla9[ORDEN No.],Tabla3[[#This Row],[ORDEN de COMPRA]]),0)</f>
        <v>0</v>
      </c>
      <c r="N22" s="27">
        <f>IFERROR(IF(BD_DETALLE!B22&gt;0,VLOOKUP(BD_DETALLE!B22,Tabla9[],10,0),""),"")</f>
        <v>0</v>
      </c>
      <c r="O22" s="28">
        <f>IFERROR(VLOOKUP(BD_DETALLE!B22,Tabla9[],11,0),0)</f>
        <v>0</v>
      </c>
      <c r="P22" s="26">
        <f>IFERROR(SUMIFS(Tabla9[CANTIDAD3],Tabla9[BUSQUEDA],Tabla3[[#This Row],[BUSQUEDA]],Tabla9[CODIGO],Tabla3[[#This Row],[CODIGO]]),0)</f>
        <v>0</v>
      </c>
      <c r="Q22" s="25">
        <f>IF(BD_DETALLE!P22&lt;=0,0,IF(BD_DETALLE!P22=BD_DETALLE!H22,2,1))</f>
        <v>0</v>
      </c>
      <c r="R22" s="24">
        <f ca="1">IF(BD_DETALLE!$C22&gt;0,(IF(BD_DETALLE!$N22=0,TODAY()-BD_DETALLE!$C22,BD_DETALLE!$N22-BD_DETALLE!$C22)),"")</f>
        <v>180</v>
      </c>
    </row>
    <row r="23" spans="2:18" x14ac:dyDescent="0.25">
      <c r="B23" s="15" t="str">
        <f t="shared" ref="B23:B24" si="2">IFERROR(TEXT(C23,"yy") &amp; TEXT(C23,"mm") &amp;"-"&amp;(E23) &amp;"-"&amp;(F23),"")</f>
        <v>2010-124-319919</v>
      </c>
      <c r="C23" s="7">
        <v>44125</v>
      </c>
      <c r="D23" s="5" t="str">
        <f>IF(BD_DETALLE!$E23&gt;=1,CONCATENATE(TEXT(BD_DETALLE!$C23,"YY"),TEXT(BD_DETALLE!$C23,"MM"),"-",BD_DETALLE!$E23),"")</f>
        <v>2010-124</v>
      </c>
      <c r="E23" s="12">
        <v>124</v>
      </c>
      <c r="F23" s="21">
        <v>319919</v>
      </c>
      <c r="G23" s="4" t="str">
        <f>IFERROR(VLOOKUP(BD_DETALLE!$B23,Tabla9[],6,0),"")</f>
        <v>BOYA DE SUSPENSION DE EJE POSTERIOR</v>
      </c>
      <c r="H23" s="6">
        <f>IFERROR(VLOOKUP(BD_DETALLE!$B23,Tabla9[],4,0),0)</f>
        <v>1</v>
      </c>
      <c r="I23" s="19" t="s">
        <v>5</v>
      </c>
      <c r="J23" s="20" t="s">
        <v>1045</v>
      </c>
      <c r="K23" s="10">
        <f>IFERROR(VLOOKUP(BD_DETALLE!B23,Tabla9[],7,0),"")</f>
        <v>0</v>
      </c>
      <c r="L23" s="11">
        <f>IFERROR(VLOOKUP(BD_DETALLE!B23,Tabla9[],8,0),"")</f>
        <v>0</v>
      </c>
      <c r="M23" s="9">
        <f>IFERROR(SUMIFS(Tabla9[CANTIDAD2],Tabla9[BUSQUEDA],Tabla3[[#This Row],[BUSQUEDA]],Tabla9[CODIGO],Tabla3[[#This Row],[CODIGO]],Tabla9[ORDEN No.],Tabla3[[#This Row],[ORDEN de COMPRA]]),0)</f>
        <v>0</v>
      </c>
      <c r="N23" s="27">
        <f>IFERROR(IF(BD_DETALLE!B23&gt;0,VLOOKUP(BD_DETALLE!B23,Tabla9[],10,0),""),"")</f>
        <v>0</v>
      </c>
      <c r="O23" s="28">
        <f>IFERROR(VLOOKUP(BD_DETALLE!B23,Tabla9[],11,0),0)</f>
        <v>0</v>
      </c>
      <c r="P23" s="26">
        <f>IFERROR(SUMIFS(Tabla9[CANTIDAD3],Tabla9[BUSQUEDA],Tabla3[[#This Row],[BUSQUEDA]],Tabla9[CODIGO],Tabla3[[#This Row],[CODIGO]]),0)</f>
        <v>0</v>
      </c>
      <c r="Q23" s="25">
        <f>IF(BD_DETALLE!P23&lt;=0,0,IF(BD_DETALLE!P23=BD_DETALLE!H23,2,1))</f>
        <v>0</v>
      </c>
      <c r="R23" s="24">
        <f ca="1">IF(BD_DETALLE!$C23&gt;0,(IF(BD_DETALLE!$N23=0,TODAY()-BD_DETALLE!$C23,BD_DETALLE!$N23-BD_DETALLE!$C23)),"")</f>
        <v>180</v>
      </c>
    </row>
    <row r="24" spans="2:18" x14ac:dyDescent="0.25">
      <c r="B24" s="15" t="str">
        <f t="shared" si="2"/>
        <v>2011-114-300038</v>
      </c>
      <c r="C24" s="7">
        <v>44154</v>
      </c>
      <c r="D24" s="5" t="str">
        <f>IF(BD_DETALLE!$E24&gt;=1,CONCATENATE(TEXT(BD_DETALLE!$C24,"YY"),TEXT(BD_DETALLE!$C24,"MM"),"-",BD_DETALLE!$E24),"")</f>
        <v>2011-114</v>
      </c>
      <c r="E24" s="12">
        <v>114</v>
      </c>
      <c r="F24" s="21">
        <v>300038</v>
      </c>
      <c r="G24" s="4" t="str">
        <f>IFERROR(VLOOKUP(BD_DETALLE!$B24,Tabla9[],6,0),"")</f>
        <v>SILLA GIRATORIA</v>
      </c>
      <c r="H24" s="6">
        <f>IFERROR(VLOOKUP(BD_DETALLE!$B24,Tabla9[],4,0),0)</f>
        <v>4</v>
      </c>
      <c r="I24" s="19" t="s">
        <v>15</v>
      </c>
      <c r="J24" s="20" t="s">
        <v>1065</v>
      </c>
      <c r="K24" s="10">
        <f>IFERROR(VLOOKUP(BD_DETALLE!B24,Tabla9[],7,0),"")</f>
        <v>44237</v>
      </c>
      <c r="L24" s="11">
        <f>IFERROR(VLOOKUP(BD_DETALLE!B24,Tabla9[],8,0),"")</f>
        <v>51605</v>
      </c>
      <c r="M24" s="9">
        <f>IFERROR(SUMIFS(Tabla9[CANTIDAD2],Tabla9[BUSQUEDA],Tabla3[[#This Row],[BUSQUEDA]],Tabla9[CODIGO],Tabla3[[#This Row],[CODIGO]],Tabla9[ORDEN No.],Tabla3[[#This Row],[ORDEN de COMPRA]]),0)</f>
        <v>4</v>
      </c>
      <c r="N24" s="27">
        <f>IFERROR(IF(BD_DETALLE!B24&gt;0,VLOOKUP(BD_DETALLE!B24,Tabla9[],10,0),""),"")</f>
        <v>0</v>
      </c>
      <c r="O24" s="28">
        <f>IFERROR(VLOOKUP(BD_DETALLE!B24,Tabla9[],11,0),0)</f>
        <v>0</v>
      </c>
      <c r="P24" s="26">
        <f>IFERROR(SUMIFS(Tabla9[CANTIDAD3],Tabla9[BUSQUEDA],Tabla3[[#This Row],[BUSQUEDA]],Tabla9[CODIGO],Tabla3[[#This Row],[CODIGO]]),0)</f>
        <v>0</v>
      </c>
      <c r="Q24" s="25">
        <f>IF(BD_DETALLE!P24&lt;=0,0,IF(BD_DETALLE!P24=BD_DETALLE!H24,2,1))</f>
        <v>0</v>
      </c>
      <c r="R24" s="24">
        <f ca="1">IF(BD_DETALLE!$C24&gt;0,(IF(BD_DETALLE!$N24=0,TODAY()-BD_DETALLE!$C24,BD_DETALLE!$N24-BD_DETALLE!$C24)),"")</f>
        <v>151</v>
      </c>
    </row>
    <row r="25" spans="2:18" x14ac:dyDescent="0.25">
      <c r="B25" s="15" t="str">
        <f t="shared" ref="B25:B53" si="3">IFERROR(TEXT(C25,"yy") &amp; TEXT(C25,"mm") &amp;"-"&amp;(E25) &amp;"-"&amp;(F25),"")</f>
        <v>2011-133-320244</v>
      </c>
      <c r="C25" s="7">
        <v>44158</v>
      </c>
      <c r="D25" s="5" t="str">
        <f>IF(BD_DETALLE!$E25&gt;=1,CONCATENATE(TEXT(BD_DETALLE!$C25,"YY"),TEXT(BD_DETALLE!$C25,"MM"),"-",BD_DETALLE!$E25),"")</f>
        <v>2011-133</v>
      </c>
      <c r="E25" s="12">
        <v>133</v>
      </c>
      <c r="F25" s="21">
        <v>320244</v>
      </c>
      <c r="G25" s="4" t="str">
        <f>IFERROR(VLOOKUP(BD_DETALLE!$B25,Tabla9[],6,0),"")</f>
        <v>JUNTA # 529763-01</v>
      </c>
      <c r="H25" s="6">
        <f>IFERROR(VLOOKUP(BD_DETALLE!$B25,Tabla9[],4,0),0)</f>
        <v>12</v>
      </c>
      <c r="I25" s="19" t="s">
        <v>19</v>
      </c>
      <c r="J25" s="20" t="s">
        <v>1066</v>
      </c>
      <c r="K25" s="10">
        <f>IFERROR(VLOOKUP(BD_DETALLE!B25,Tabla9[],7,0),"")</f>
        <v>44161</v>
      </c>
      <c r="L25" s="11">
        <f>IFERROR(VLOOKUP(BD_DETALLE!B25,Tabla9[],8,0),"")</f>
        <v>50673</v>
      </c>
      <c r="M25" s="9">
        <f>IFERROR(SUMIFS(Tabla9[CANTIDAD2],Tabla9[BUSQUEDA],Tabla3[[#This Row],[BUSQUEDA]],Tabla9[CODIGO],Tabla3[[#This Row],[CODIGO]],Tabla9[ORDEN No.],Tabla3[[#This Row],[ORDEN de COMPRA]]),0)</f>
        <v>12</v>
      </c>
      <c r="N25" s="27">
        <f>IFERROR(IF(BD_DETALLE!B25&gt;0,VLOOKUP(BD_DETALLE!B25,Tabla9[],10,0),""),"")</f>
        <v>44291</v>
      </c>
      <c r="O25" s="28">
        <f>IFERROR(VLOOKUP(BD_DETALLE!B25,Tabla9[],11,0),0)</f>
        <v>11705</v>
      </c>
      <c r="P25" s="26">
        <f>IFERROR(SUMIFS(Tabla9[CANTIDAD3],Tabla9[BUSQUEDA],Tabla3[[#This Row],[BUSQUEDA]],Tabla9[CODIGO],Tabla3[[#This Row],[CODIGO]]),0)</f>
        <v>12</v>
      </c>
      <c r="Q25" s="25">
        <f>IF(BD_DETALLE!P25&lt;=0,0,IF(BD_DETALLE!P25=BD_DETALLE!H25,2,1))</f>
        <v>2</v>
      </c>
      <c r="R25" s="24">
        <f ca="1">IF(BD_DETALLE!$C25&gt;0,(IF(BD_DETALLE!$N25=0,TODAY()-BD_DETALLE!$C25,BD_DETALLE!$N25-BD_DETALLE!$C25)),"")</f>
        <v>133</v>
      </c>
    </row>
    <row r="26" spans="2:18" x14ac:dyDescent="0.25">
      <c r="B26" s="15" t="str">
        <f t="shared" si="3"/>
        <v>2011-133-320246</v>
      </c>
      <c r="C26" s="7">
        <v>44158</v>
      </c>
      <c r="D26" s="5" t="str">
        <f>IF(BD_DETALLE!$E26&gt;=1,CONCATENATE(TEXT(BD_DETALLE!$C26,"YY"),TEXT(BD_DETALLE!$C26,"MM"),"-",BD_DETALLE!$E26),"")</f>
        <v>2011-133</v>
      </c>
      <c r="E26" s="12">
        <v>133</v>
      </c>
      <c r="F26" s="21">
        <v>320246</v>
      </c>
      <c r="G26" s="4" t="str">
        <f>IFERROR(VLOOKUP(BD_DETALLE!$B26,Tabla9[],6,0),"")</f>
        <v>ORING # 74634</v>
      </c>
      <c r="H26" s="6">
        <f>IFERROR(VLOOKUP(BD_DETALLE!$B26,Tabla9[],4,0),0)</f>
        <v>24</v>
      </c>
      <c r="I26" s="19" t="s">
        <v>19</v>
      </c>
      <c r="J26" s="20" t="s">
        <v>1066</v>
      </c>
      <c r="K26" s="10">
        <f>IFERROR(VLOOKUP(BD_DETALLE!B26,Tabla9[],7,0),"")</f>
        <v>44161</v>
      </c>
      <c r="L26" s="11">
        <f>IFERROR(VLOOKUP(BD_DETALLE!B26,Tabla9[],8,0),"")</f>
        <v>50673</v>
      </c>
      <c r="M26" s="9">
        <f>IFERROR(SUMIFS(Tabla9[CANTIDAD2],Tabla9[BUSQUEDA],Tabla3[[#This Row],[BUSQUEDA]],Tabla9[CODIGO],Tabla3[[#This Row],[CODIGO]],Tabla9[ORDEN No.],Tabla3[[#This Row],[ORDEN de COMPRA]]),0)</f>
        <v>24</v>
      </c>
      <c r="N26" s="27">
        <f>IFERROR(IF(BD_DETALLE!B26&gt;0,VLOOKUP(BD_DETALLE!B26,Tabla9[],10,0),""),"")</f>
        <v>44291</v>
      </c>
      <c r="O26" s="28">
        <f>IFERROR(VLOOKUP(BD_DETALLE!B26,Tabla9[],11,0),0)</f>
        <v>11705</v>
      </c>
      <c r="P26" s="26">
        <f>IFERROR(SUMIFS(Tabla9[CANTIDAD3],Tabla9[BUSQUEDA],Tabla3[[#This Row],[BUSQUEDA]],Tabla9[CODIGO],Tabla3[[#This Row],[CODIGO]]),0)</f>
        <v>24</v>
      </c>
      <c r="Q26" s="25">
        <f>IF(BD_DETALLE!P26&lt;=0,0,IF(BD_DETALLE!P26=BD_DETALLE!H26,2,1))</f>
        <v>2</v>
      </c>
      <c r="R26" s="24">
        <f ca="1">IF(BD_DETALLE!$C26&gt;0,(IF(BD_DETALLE!$N26=0,TODAY()-BD_DETALLE!$C26,BD_DETALLE!$N26-BD_DETALLE!$C26)),"")</f>
        <v>133</v>
      </c>
    </row>
    <row r="27" spans="2:18" x14ac:dyDescent="0.25">
      <c r="B27" s="15" t="str">
        <f t="shared" si="3"/>
        <v>2011-133-320257</v>
      </c>
      <c r="C27" s="7">
        <v>44158</v>
      </c>
      <c r="D27" s="5" t="str">
        <f>IF(BD_DETALLE!$E27&gt;=1,CONCATENATE(TEXT(BD_DETALLE!$C27,"YY"),TEXT(BD_DETALLE!$C27,"MM"),"-",BD_DETALLE!$E27),"")</f>
        <v>2011-133</v>
      </c>
      <c r="E27" s="12">
        <v>133</v>
      </c>
      <c r="F27" s="21">
        <v>320257</v>
      </c>
      <c r="G27" s="4" t="str">
        <f>IFERROR(VLOOKUP(BD_DETALLE!$B27,Tabla9[],6,0),"")</f>
        <v>CORREA PLANA  # 260169-06</v>
      </c>
      <c r="H27" s="6">
        <f>IFERROR(VLOOKUP(BD_DETALLE!$B27,Tabla9[],4,0),0)</f>
        <v>2</v>
      </c>
      <c r="I27" s="19" t="s">
        <v>19</v>
      </c>
      <c r="J27" s="20" t="s">
        <v>1066</v>
      </c>
      <c r="K27" s="10">
        <f>IFERROR(VLOOKUP(BD_DETALLE!B27,Tabla9[],7,0),"")</f>
        <v>44161</v>
      </c>
      <c r="L27" s="11">
        <f>IFERROR(VLOOKUP(BD_DETALLE!B27,Tabla9[],8,0),"")</f>
        <v>50673</v>
      </c>
      <c r="M27" s="9">
        <f>IFERROR(SUMIFS(Tabla9[CANTIDAD2],Tabla9[BUSQUEDA],Tabla3[[#This Row],[BUSQUEDA]],Tabla9[CODIGO],Tabla3[[#This Row],[CODIGO]],Tabla9[ORDEN No.],Tabla3[[#This Row],[ORDEN de COMPRA]]),0)</f>
        <v>2</v>
      </c>
      <c r="N27" s="27">
        <f>IFERROR(IF(BD_DETALLE!B27&gt;0,VLOOKUP(BD_DETALLE!B27,Tabla9[],10,0),""),"")</f>
        <v>44291</v>
      </c>
      <c r="O27" s="28">
        <f>IFERROR(VLOOKUP(BD_DETALLE!B27,Tabla9[],11,0),0)</f>
        <v>11705</v>
      </c>
      <c r="P27" s="26">
        <f>IFERROR(SUMIFS(Tabla9[CANTIDAD3],Tabla9[BUSQUEDA],Tabla3[[#This Row],[BUSQUEDA]],Tabla9[CODIGO],Tabla3[[#This Row],[CODIGO]]),0)</f>
        <v>2</v>
      </c>
      <c r="Q27" s="25">
        <f>IF(BD_DETALLE!P27&lt;=0,0,IF(BD_DETALLE!P27=BD_DETALLE!H27,2,1))</f>
        <v>2</v>
      </c>
      <c r="R27" s="24">
        <f ca="1">IF(BD_DETALLE!$C27&gt;0,(IF(BD_DETALLE!$N27=0,TODAY()-BD_DETALLE!$C27,BD_DETALLE!$N27-BD_DETALLE!$C27)),"")</f>
        <v>133</v>
      </c>
    </row>
    <row r="28" spans="2:18" x14ac:dyDescent="0.25">
      <c r="B28" s="15" t="str">
        <f t="shared" si="3"/>
        <v>2011-133-320258</v>
      </c>
      <c r="C28" s="7">
        <v>44158</v>
      </c>
      <c r="D28" s="5" t="str">
        <f>IF(BD_DETALLE!$E28&gt;=1,CONCATENATE(TEXT(BD_DETALLE!$C28,"YY"),TEXT(BD_DETALLE!$C28,"MM"),"-",BD_DETALLE!$E28),"")</f>
        <v>2011-133</v>
      </c>
      <c r="E28" s="12">
        <v>133</v>
      </c>
      <c r="F28" s="21">
        <v>320258</v>
      </c>
      <c r="G28" s="4" t="str">
        <f>IFERROR(VLOOKUP(BD_DETALLE!$B28,Tabla9[],6,0),"")</f>
        <v>JUNTA  # 223412-52</v>
      </c>
      <c r="H28" s="6">
        <f>IFERROR(VLOOKUP(BD_DETALLE!$B28,Tabla9[],4,0),0)</f>
        <v>12</v>
      </c>
      <c r="I28" s="19" t="s">
        <v>19</v>
      </c>
      <c r="J28" s="20" t="s">
        <v>1066</v>
      </c>
      <c r="K28" s="10">
        <f>IFERROR(VLOOKUP(BD_DETALLE!B28,Tabla9[],7,0),"")</f>
        <v>44161</v>
      </c>
      <c r="L28" s="11">
        <f>IFERROR(VLOOKUP(BD_DETALLE!B28,Tabla9[],8,0),"")</f>
        <v>50673</v>
      </c>
      <c r="M28" s="9">
        <f>IFERROR(SUMIFS(Tabla9[CANTIDAD2],Tabla9[BUSQUEDA],Tabla3[[#This Row],[BUSQUEDA]],Tabla9[CODIGO],Tabla3[[#This Row],[CODIGO]],Tabla9[ORDEN No.],Tabla3[[#This Row],[ORDEN de COMPRA]]),0)</f>
        <v>12</v>
      </c>
      <c r="N28" s="27">
        <f>IFERROR(IF(BD_DETALLE!B28&gt;0,VLOOKUP(BD_DETALLE!B28,Tabla9[],10,0),""),"")</f>
        <v>44291</v>
      </c>
      <c r="O28" s="28">
        <f>IFERROR(VLOOKUP(BD_DETALLE!B28,Tabla9[],11,0),0)</f>
        <v>11705</v>
      </c>
      <c r="P28" s="26">
        <f>IFERROR(SUMIFS(Tabla9[CANTIDAD3],Tabla9[BUSQUEDA],Tabla3[[#This Row],[BUSQUEDA]],Tabla9[CODIGO],Tabla3[[#This Row],[CODIGO]]),0)</f>
        <v>12</v>
      </c>
      <c r="Q28" s="25">
        <f>IF(BD_DETALLE!P28&lt;=0,0,IF(BD_DETALLE!P28=BD_DETALLE!H28,2,1))</f>
        <v>2</v>
      </c>
      <c r="R28" s="24">
        <f ca="1">IF(BD_DETALLE!$C28&gt;0,(IF(BD_DETALLE!$N28=0,TODAY()-BD_DETALLE!$C28,BD_DETALLE!$N28-BD_DETALLE!$C28)),"")</f>
        <v>133</v>
      </c>
    </row>
    <row r="29" spans="2:18" x14ac:dyDescent="0.25">
      <c r="B29" s="15" t="str">
        <f t="shared" si="3"/>
        <v>2011-133-320260</v>
      </c>
      <c r="C29" s="7">
        <v>44158</v>
      </c>
      <c r="D29" s="5" t="str">
        <f>IF(BD_DETALLE!$E29&gt;=1,CONCATENATE(TEXT(BD_DETALLE!$C29,"YY"),TEXT(BD_DETALLE!$C29,"MM"),"-",BD_DETALLE!$E29),"")</f>
        <v>2011-133</v>
      </c>
      <c r="E29" s="12">
        <v>133</v>
      </c>
      <c r="F29" s="21">
        <v>320260</v>
      </c>
      <c r="G29" s="4" t="str">
        <f>IFERROR(VLOOKUP(BD_DETALLE!$B29,Tabla9[],6,0),"")</f>
        <v>JUNTA  # 223412-18</v>
      </c>
      <c r="H29" s="6">
        <f>IFERROR(VLOOKUP(BD_DETALLE!$B29,Tabla9[],4,0),0)</f>
        <v>4</v>
      </c>
      <c r="I29" s="19" t="s">
        <v>19</v>
      </c>
      <c r="J29" s="20" t="s">
        <v>1066</v>
      </c>
      <c r="K29" s="10">
        <f>IFERROR(VLOOKUP(BD_DETALLE!B29,Tabla9[],7,0),"")</f>
        <v>44161</v>
      </c>
      <c r="L29" s="11">
        <f>IFERROR(VLOOKUP(BD_DETALLE!B29,Tabla9[],8,0),"")</f>
        <v>50673</v>
      </c>
      <c r="M29" s="9">
        <f>IFERROR(SUMIFS(Tabla9[CANTIDAD2],Tabla9[BUSQUEDA],Tabla3[[#This Row],[BUSQUEDA]],Tabla9[CODIGO],Tabla3[[#This Row],[CODIGO]],Tabla9[ORDEN No.],Tabla3[[#This Row],[ORDEN de COMPRA]]),0)</f>
        <v>4</v>
      </c>
      <c r="N29" s="27">
        <f>IFERROR(IF(BD_DETALLE!B29&gt;0,VLOOKUP(BD_DETALLE!B29,Tabla9[],10,0),""),"")</f>
        <v>44291</v>
      </c>
      <c r="O29" s="28">
        <f>IFERROR(VLOOKUP(BD_DETALLE!B29,Tabla9[],11,0),0)</f>
        <v>11705</v>
      </c>
      <c r="P29" s="26">
        <f>IFERROR(SUMIFS(Tabla9[CANTIDAD3],Tabla9[BUSQUEDA],Tabla3[[#This Row],[BUSQUEDA]],Tabla9[CODIGO],Tabla3[[#This Row],[CODIGO]]),0)</f>
        <v>4</v>
      </c>
      <c r="Q29" s="25">
        <f>IF(BD_DETALLE!P29&lt;=0,0,IF(BD_DETALLE!P29=BD_DETALLE!H29,2,1))</f>
        <v>2</v>
      </c>
      <c r="R29" s="24">
        <f ca="1">IF(BD_DETALLE!$C29&gt;0,(IF(BD_DETALLE!$N29=0,TODAY()-BD_DETALLE!$C29,BD_DETALLE!$N29-BD_DETALLE!$C29)),"")</f>
        <v>133</v>
      </c>
    </row>
    <row r="30" spans="2:18" x14ac:dyDescent="0.25">
      <c r="B30" s="15" t="str">
        <f t="shared" si="3"/>
        <v>2011-133-320261</v>
      </c>
      <c r="C30" s="7">
        <v>44158</v>
      </c>
      <c r="D30" s="5" t="str">
        <f>IF(BD_DETALLE!$E30&gt;=1,CONCATENATE(TEXT(BD_DETALLE!$C30,"YY"),TEXT(BD_DETALLE!$C30,"MM"),"-",BD_DETALLE!$E30),"")</f>
        <v>2011-133</v>
      </c>
      <c r="E30" s="12">
        <v>133</v>
      </c>
      <c r="F30" s="21">
        <v>320261</v>
      </c>
      <c r="G30" s="4" t="str">
        <f>IFERROR(VLOOKUP(BD_DETALLE!$B30,Tabla9[],6,0),"")</f>
        <v>RULIMAN  7315BM/P63  #233215-10</v>
      </c>
      <c r="H30" s="6">
        <f>IFERROR(VLOOKUP(BD_DETALLE!$B30,Tabla9[],4,0),0)</f>
        <v>4</v>
      </c>
      <c r="I30" s="19" t="s">
        <v>19</v>
      </c>
      <c r="J30" s="20" t="s">
        <v>1066</v>
      </c>
      <c r="K30" s="10">
        <f>IFERROR(VLOOKUP(BD_DETALLE!B30,Tabla9[],7,0),"")</f>
        <v>44161</v>
      </c>
      <c r="L30" s="11">
        <f>IFERROR(VLOOKUP(BD_DETALLE!B30,Tabla9[],8,0),"")</f>
        <v>50673</v>
      </c>
      <c r="M30" s="9">
        <f>IFERROR(SUMIFS(Tabla9[CANTIDAD2],Tabla9[BUSQUEDA],Tabla3[[#This Row],[BUSQUEDA]],Tabla9[CODIGO],Tabla3[[#This Row],[CODIGO]],Tabla9[ORDEN No.],Tabla3[[#This Row],[ORDEN de COMPRA]]),0)</f>
        <v>4</v>
      </c>
      <c r="N30" s="27">
        <f>IFERROR(IF(BD_DETALLE!B30&gt;0,VLOOKUP(BD_DETALLE!B30,Tabla9[],10,0),""),"")</f>
        <v>44291</v>
      </c>
      <c r="O30" s="28">
        <f>IFERROR(VLOOKUP(BD_DETALLE!B30,Tabla9[],11,0),0)</f>
        <v>11705</v>
      </c>
      <c r="P30" s="26">
        <f>IFERROR(SUMIFS(Tabla9[CANTIDAD3],Tabla9[BUSQUEDA],Tabla3[[#This Row],[BUSQUEDA]],Tabla9[CODIGO],Tabla3[[#This Row],[CODIGO]]),0)</f>
        <v>4</v>
      </c>
      <c r="Q30" s="25">
        <f>IF(BD_DETALLE!P30&lt;=0,0,IF(BD_DETALLE!P30=BD_DETALLE!H30,2,1))</f>
        <v>2</v>
      </c>
      <c r="R30" s="24">
        <f ca="1">IF(BD_DETALLE!$C30&gt;0,(IF(BD_DETALLE!$N30=0,TODAY()-BD_DETALLE!$C30,BD_DETALLE!$N30-BD_DETALLE!$C30)),"")</f>
        <v>133</v>
      </c>
    </row>
    <row r="31" spans="2:18" x14ac:dyDescent="0.25">
      <c r="B31" s="15" t="str">
        <f t="shared" si="3"/>
        <v>2011-133-320262</v>
      </c>
      <c r="C31" s="7">
        <v>44158</v>
      </c>
      <c r="D31" s="5" t="str">
        <f>IF(BD_DETALLE!$E31&gt;=1,CONCATENATE(TEXT(BD_DETALLE!$C31,"YY"),TEXT(BD_DETALLE!$C31,"MM"),"-",BD_DETALLE!$E31),"")</f>
        <v>2011-133</v>
      </c>
      <c r="E31" s="12">
        <v>133</v>
      </c>
      <c r="F31" s="21">
        <v>320262</v>
      </c>
      <c r="G31" s="4" t="str">
        <f>IFERROR(VLOOKUP(BD_DETALLE!$B31,Tabla9[],6,0),"")</f>
        <v>RESORTE  # 70340</v>
      </c>
      <c r="H31" s="6">
        <f>IFERROR(VLOOKUP(BD_DETALLE!$B31,Tabla9[],4,0),0)</f>
        <v>12</v>
      </c>
      <c r="I31" s="19" t="s">
        <v>19</v>
      </c>
      <c r="J31" s="20" t="s">
        <v>1066</v>
      </c>
      <c r="K31" s="10">
        <f>IFERROR(VLOOKUP(BD_DETALLE!B31,Tabla9[],7,0),"")</f>
        <v>44161</v>
      </c>
      <c r="L31" s="11">
        <f>IFERROR(VLOOKUP(BD_DETALLE!B31,Tabla9[],8,0),"")</f>
        <v>50673</v>
      </c>
      <c r="M31" s="9">
        <f>IFERROR(SUMIFS(Tabla9[CANTIDAD2],Tabla9[BUSQUEDA],Tabla3[[#This Row],[BUSQUEDA]],Tabla9[CODIGO],Tabla3[[#This Row],[CODIGO]],Tabla9[ORDEN No.],Tabla3[[#This Row],[ORDEN de COMPRA]]),0)</f>
        <v>12</v>
      </c>
      <c r="N31" s="27">
        <f>IFERROR(IF(BD_DETALLE!B31&gt;0,VLOOKUP(BD_DETALLE!B31,Tabla9[],10,0),""),"")</f>
        <v>44291</v>
      </c>
      <c r="O31" s="28">
        <f>IFERROR(VLOOKUP(BD_DETALLE!B31,Tabla9[],11,0),0)</f>
        <v>11705</v>
      </c>
      <c r="P31" s="26">
        <f>IFERROR(SUMIFS(Tabla9[CANTIDAD3],Tabla9[BUSQUEDA],Tabla3[[#This Row],[BUSQUEDA]],Tabla9[CODIGO],Tabla3[[#This Row],[CODIGO]]),0)</f>
        <v>12</v>
      </c>
      <c r="Q31" s="25">
        <f>IF(BD_DETALLE!P31&lt;=0,0,IF(BD_DETALLE!P31=BD_DETALLE!H31,2,1))</f>
        <v>2</v>
      </c>
      <c r="R31" s="24">
        <f ca="1">IF(BD_DETALLE!$C31&gt;0,(IF(BD_DETALLE!$N31=0,TODAY()-BD_DETALLE!$C31,BD_DETALLE!$N31-BD_DETALLE!$C31)),"")</f>
        <v>133</v>
      </c>
    </row>
    <row r="32" spans="2:18" x14ac:dyDescent="0.25">
      <c r="B32" s="15" t="str">
        <f t="shared" si="3"/>
        <v>2011-133-320263</v>
      </c>
      <c r="C32" s="7">
        <v>44158</v>
      </c>
      <c r="D32" s="5" t="str">
        <f>IF(BD_DETALLE!$E32&gt;=1,CONCATENATE(TEXT(BD_DETALLE!$C32,"YY"),TEXT(BD_DETALLE!$C32,"MM"),"-",BD_DETALLE!$E32),"")</f>
        <v>2011-133</v>
      </c>
      <c r="E32" s="12">
        <v>133</v>
      </c>
      <c r="F32" s="21">
        <v>320263</v>
      </c>
      <c r="G32" s="4" t="str">
        <f>IFERROR(VLOOKUP(BD_DETALLE!$B32,Tabla9[],6,0),"")</f>
        <v>AMORTIGUADOR SUPERIOR  # 529639-02</v>
      </c>
      <c r="H32" s="6">
        <f>IFERROR(VLOOKUP(BD_DETALLE!$B32,Tabla9[],4,0),0)</f>
        <v>2</v>
      </c>
      <c r="I32" s="19" t="s">
        <v>19</v>
      </c>
      <c r="J32" s="20" t="s">
        <v>1066</v>
      </c>
      <c r="K32" s="10">
        <f>IFERROR(VLOOKUP(BD_DETALLE!B32,Tabla9[],7,0),"")</f>
        <v>44161</v>
      </c>
      <c r="L32" s="11">
        <f>IFERROR(VLOOKUP(BD_DETALLE!B32,Tabla9[],8,0),"")</f>
        <v>50673</v>
      </c>
      <c r="M32" s="9">
        <f>IFERROR(SUMIFS(Tabla9[CANTIDAD2],Tabla9[BUSQUEDA],Tabla3[[#This Row],[BUSQUEDA]],Tabla9[CODIGO],Tabla3[[#This Row],[CODIGO]],Tabla9[ORDEN No.],Tabla3[[#This Row],[ORDEN de COMPRA]]),0)</f>
        <v>2</v>
      </c>
      <c r="N32" s="27">
        <f>IFERROR(IF(BD_DETALLE!B32&gt;0,VLOOKUP(BD_DETALLE!B32,Tabla9[],10,0),""),"")</f>
        <v>44291</v>
      </c>
      <c r="O32" s="28">
        <f>IFERROR(VLOOKUP(BD_DETALLE!B32,Tabla9[],11,0),0)</f>
        <v>11705</v>
      </c>
      <c r="P32" s="26">
        <f>IFERROR(SUMIFS(Tabla9[CANTIDAD3],Tabla9[BUSQUEDA],Tabla3[[#This Row],[BUSQUEDA]],Tabla9[CODIGO],Tabla3[[#This Row],[CODIGO]]),0)</f>
        <v>2</v>
      </c>
      <c r="Q32" s="25">
        <f>IF(BD_DETALLE!P32&lt;=0,0,IF(BD_DETALLE!P32=BD_DETALLE!H32,2,1))</f>
        <v>2</v>
      </c>
      <c r="R32" s="24">
        <f ca="1">IF(BD_DETALLE!$C32&gt;0,(IF(BD_DETALLE!$N32=0,TODAY()-BD_DETALLE!$C32,BD_DETALLE!$N32-BD_DETALLE!$C32)),"")</f>
        <v>133</v>
      </c>
    </row>
    <row r="33" spans="2:18" x14ac:dyDescent="0.25">
      <c r="B33" s="15" t="str">
        <f t="shared" si="3"/>
        <v>2011-133-320264</v>
      </c>
      <c r="C33" s="7">
        <v>44158</v>
      </c>
      <c r="D33" s="5" t="str">
        <f>IF(BD_DETALLE!$E33&gt;=1,CONCATENATE(TEXT(BD_DETALLE!$C33,"YY"),TEXT(BD_DETALLE!$C33,"MM"),"-",BD_DETALLE!$E33),"")</f>
        <v>2011-133</v>
      </c>
      <c r="E33" s="12">
        <v>133</v>
      </c>
      <c r="F33" s="21">
        <v>320264</v>
      </c>
      <c r="G33" s="4" t="str">
        <f>IFERROR(VLOOKUP(BD_DETALLE!$B33,Tabla9[],6,0),"")</f>
        <v>AMORTIGUADOR INFERIOR  # 529639-02</v>
      </c>
      <c r="H33" s="6">
        <f>IFERROR(VLOOKUP(BD_DETALLE!$B33,Tabla9[],4,0),0)</f>
        <v>2</v>
      </c>
      <c r="I33" s="19" t="s">
        <v>19</v>
      </c>
      <c r="J33" s="20" t="s">
        <v>1066</v>
      </c>
      <c r="K33" s="10">
        <f>IFERROR(VLOOKUP(BD_DETALLE!B33,Tabla9[],7,0),"")</f>
        <v>44161</v>
      </c>
      <c r="L33" s="11">
        <f>IFERROR(VLOOKUP(BD_DETALLE!B33,Tabla9[],8,0),"")</f>
        <v>50673</v>
      </c>
      <c r="M33" s="9">
        <f>IFERROR(SUMIFS(Tabla9[CANTIDAD2],Tabla9[BUSQUEDA],Tabla3[[#This Row],[BUSQUEDA]],Tabla9[CODIGO],Tabla3[[#This Row],[CODIGO]],Tabla9[ORDEN No.],Tabla3[[#This Row],[ORDEN de COMPRA]]),0)</f>
        <v>2</v>
      </c>
      <c r="N33" s="27">
        <f>IFERROR(IF(BD_DETALLE!B33&gt;0,VLOOKUP(BD_DETALLE!B33,Tabla9[],10,0),""),"")</f>
        <v>44291</v>
      </c>
      <c r="O33" s="28">
        <f>IFERROR(VLOOKUP(BD_DETALLE!B33,Tabla9[],11,0),0)</f>
        <v>11705</v>
      </c>
      <c r="P33" s="26">
        <f>IFERROR(SUMIFS(Tabla9[CANTIDAD3],Tabla9[BUSQUEDA],Tabla3[[#This Row],[BUSQUEDA]],Tabla9[CODIGO],Tabla3[[#This Row],[CODIGO]]),0)</f>
        <v>2</v>
      </c>
      <c r="Q33" s="25">
        <f>IF(BD_DETALLE!P33&lt;=0,0,IF(BD_DETALLE!P33=BD_DETALLE!H33,2,1))</f>
        <v>2</v>
      </c>
      <c r="R33" s="24">
        <f ca="1">IF(BD_DETALLE!$C33&gt;0,(IF(BD_DETALLE!$N33=0,TODAY()-BD_DETALLE!$C33,BD_DETALLE!$N33-BD_DETALLE!$C33)),"")</f>
        <v>133</v>
      </c>
    </row>
    <row r="34" spans="2:18" x14ac:dyDescent="0.25">
      <c r="B34" s="15" t="str">
        <f t="shared" si="3"/>
        <v>2011-133-320266</v>
      </c>
      <c r="C34" s="7">
        <v>44158</v>
      </c>
      <c r="D34" s="5" t="str">
        <f>IF(BD_DETALLE!$E34&gt;=1,CONCATENATE(TEXT(BD_DETALLE!$C34,"YY"),TEXT(BD_DETALLE!$C34,"MM"),"-",BD_DETALLE!$E34),"")</f>
        <v>2011-133</v>
      </c>
      <c r="E34" s="12">
        <v>133</v>
      </c>
      <c r="F34" s="21">
        <v>320266</v>
      </c>
      <c r="G34" s="4" t="str">
        <f>IFERROR(VLOOKUP(BD_DETALLE!$B34,Tabla9[],6,0),"")</f>
        <v>JUNTA  # 223412-50</v>
      </c>
      <c r="H34" s="6">
        <f>IFERROR(VLOOKUP(BD_DETALLE!$B34,Tabla9[],4,0),0)</f>
        <v>2</v>
      </c>
      <c r="I34" s="19" t="s">
        <v>19</v>
      </c>
      <c r="J34" s="20" t="s">
        <v>1066</v>
      </c>
      <c r="K34" s="10">
        <f>IFERROR(VLOOKUP(BD_DETALLE!B34,Tabla9[],7,0),"")</f>
        <v>44161</v>
      </c>
      <c r="L34" s="11">
        <f>IFERROR(VLOOKUP(BD_DETALLE!B34,Tabla9[],8,0),"")</f>
        <v>50673</v>
      </c>
      <c r="M34" s="9">
        <f>IFERROR(SUMIFS(Tabla9[CANTIDAD2],Tabla9[BUSQUEDA],Tabla3[[#This Row],[BUSQUEDA]],Tabla9[CODIGO],Tabla3[[#This Row],[CODIGO]],Tabla9[ORDEN No.],Tabla3[[#This Row],[ORDEN de COMPRA]]),0)</f>
        <v>2</v>
      </c>
      <c r="N34" s="27">
        <f>IFERROR(IF(BD_DETALLE!B34&gt;0,VLOOKUP(BD_DETALLE!B34,Tabla9[],10,0),""),"")</f>
        <v>0</v>
      </c>
      <c r="O34" s="28">
        <f>IFERROR(VLOOKUP(BD_DETALLE!B34,Tabla9[],11,0),0)</f>
        <v>0</v>
      </c>
      <c r="P34" s="26">
        <f>IFERROR(SUMIFS(Tabla9[CANTIDAD3],Tabla9[BUSQUEDA],Tabla3[[#This Row],[BUSQUEDA]],Tabla9[CODIGO],Tabla3[[#This Row],[CODIGO]]),0)</f>
        <v>0</v>
      </c>
      <c r="Q34" s="25">
        <f>IF(BD_DETALLE!P34&lt;=0,0,IF(BD_DETALLE!P34=BD_DETALLE!H34,2,1))</f>
        <v>0</v>
      </c>
      <c r="R34" s="24">
        <f ca="1">IF(BD_DETALLE!$C34&gt;0,(IF(BD_DETALLE!$N34=0,TODAY()-BD_DETALLE!$C34,BD_DETALLE!$N34-BD_DETALLE!$C34)),"")</f>
        <v>147</v>
      </c>
    </row>
    <row r="35" spans="2:18" x14ac:dyDescent="0.25">
      <c r="B35" s="15" t="str">
        <f t="shared" si="3"/>
        <v>2011-133-320267</v>
      </c>
      <c r="C35" s="7">
        <v>44158</v>
      </c>
      <c r="D35" s="5" t="str">
        <f>IF(BD_DETALLE!$E35&gt;=1,CONCATENATE(TEXT(BD_DETALLE!$C35,"YY"),TEXT(BD_DETALLE!$C35,"MM"),"-",BD_DETALLE!$E35),"")</f>
        <v>2011-133</v>
      </c>
      <c r="E35" s="12">
        <v>133</v>
      </c>
      <c r="F35" s="21">
        <v>320267</v>
      </c>
      <c r="G35" s="4" t="str">
        <f>IFERROR(VLOOKUP(BD_DETALLE!$B35,Tabla9[],6,0),"")</f>
        <v>FILTRO  # 537321-80</v>
      </c>
      <c r="H35" s="6">
        <f>IFERROR(VLOOKUP(BD_DETALLE!$B35,Tabla9[],4,0),0)</f>
        <v>2</v>
      </c>
      <c r="I35" s="19" t="s">
        <v>19</v>
      </c>
      <c r="J35" s="20" t="s">
        <v>1066</v>
      </c>
      <c r="K35" s="10">
        <f>IFERROR(VLOOKUP(BD_DETALLE!B35,Tabla9[],7,0),"")</f>
        <v>44161</v>
      </c>
      <c r="L35" s="11">
        <f>IFERROR(VLOOKUP(BD_DETALLE!B35,Tabla9[],8,0),"")</f>
        <v>50673</v>
      </c>
      <c r="M35" s="9">
        <f>IFERROR(SUMIFS(Tabla9[CANTIDAD2],Tabla9[BUSQUEDA],Tabla3[[#This Row],[BUSQUEDA]],Tabla9[CODIGO],Tabla3[[#This Row],[CODIGO]],Tabla9[ORDEN No.],Tabla3[[#This Row],[ORDEN de COMPRA]]),0)</f>
        <v>2</v>
      </c>
      <c r="N35" s="27">
        <f>IFERROR(IF(BD_DETALLE!B35&gt;0,VLOOKUP(BD_DETALLE!B35,Tabla9[],10,0),""),"")</f>
        <v>44291</v>
      </c>
      <c r="O35" s="28">
        <f>IFERROR(VLOOKUP(BD_DETALLE!B35,Tabla9[],11,0),0)</f>
        <v>11705</v>
      </c>
      <c r="P35" s="26">
        <f>IFERROR(SUMIFS(Tabla9[CANTIDAD3],Tabla9[BUSQUEDA],Tabla3[[#This Row],[BUSQUEDA]],Tabla9[CODIGO],Tabla3[[#This Row],[CODIGO]]),0)</f>
        <v>2</v>
      </c>
      <c r="Q35" s="25">
        <f>IF(BD_DETALLE!P35&lt;=0,0,IF(BD_DETALLE!P35=BD_DETALLE!H35,2,1))</f>
        <v>2</v>
      </c>
      <c r="R35" s="24">
        <f ca="1">IF(BD_DETALLE!$C35&gt;0,(IF(BD_DETALLE!$N35=0,TODAY()-BD_DETALLE!$C35,BD_DETALLE!$N35-BD_DETALLE!$C35)),"")</f>
        <v>133</v>
      </c>
    </row>
    <row r="36" spans="2:18" x14ac:dyDescent="0.25">
      <c r="B36" s="15" t="str">
        <f t="shared" si="3"/>
        <v>2011-133-320268</v>
      </c>
      <c r="C36" s="7">
        <v>44158</v>
      </c>
      <c r="D36" s="5" t="str">
        <f>IF(BD_DETALLE!$E36&gt;=1,CONCATENATE(TEXT(BD_DETALLE!$C36,"YY"),TEXT(BD_DETALLE!$C36,"MM"),"-",BD_DETALLE!$E36),"")</f>
        <v>2011-133</v>
      </c>
      <c r="E36" s="12">
        <v>133</v>
      </c>
      <c r="F36" s="21">
        <v>320268</v>
      </c>
      <c r="G36" s="4" t="str">
        <f>IFERROR(VLOOKUP(BD_DETALLE!$B36,Tabla9[],6,0),"")</f>
        <v>JUNTA  # 223412-06</v>
      </c>
      <c r="H36" s="6">
        <f>IFERROR(VLOOKUP(BD_DETALLE!$B36,Tabla9[],4,0),0)</f>
        <v>2</v>
      </c>
      <c r="I36" s="19" t="s">
        <v>19</v>
      </c>
      <c r="J36" s="20" t="s">
        <v>1066</v>
      </c>
      <c r="K36" s="10">
        <f>IFERROR(VLOOKUP(BD_DETALLE!B36,Tabla9[],7,0),"")</f>
        <v>44161</v>
      </c>
      <c r="L36" s="11">
        <f>IFERROR(VLOOKUP(BD_DETALLE!B36,Tabla9[],8,0),"")</f>
        <v>50673</v>
      </c>
      <c r="M36" s="9">
        <f>IFERROR(SUMIFS(Tabla9[CANTIDAD2],Tabla9[BUSQUEDA],Tabla3[[#This Row],[BUSQUEDA]],Tabla9[CODIGO],Tabla3[[#This Row],[CODIGO]],Tabla9[ORDEN No.],Tabla3[[#This Row],[ORDEN de COMPRA]]),0)</f>
        <v>2</v>
      </c>
      <c r="N36" s="27">
        <f>IFERROR(IF(BD_DETALLE!B36&gt;0,VLOOKUP(BD_DETALLE!B36,Tabla9[],10,0),""),"")</f>
        <v>44291</v>
      </c>
      <c r="O36" s="28">
        <f>IFERROR(VLOOKUP(BD_DETALLE!B36,Tabla9[],11,0),0)</f>
        <v>11705</v>
      </c>
      <c r="P36" s="26">
        <f>IFERROR(SUMIFS(Tabla9[CANTIDAD3],Tabla9[BUSQUEDA],Tabla3[[#This Row],[BUSQUEDA]],Tabla9[CODIGO],Tabla3[[#This Row],[CODIGO]]),0)</f>
        <v>2</v>
      </c>
      <c r="Q36" s="25">
        <f>IF(BD_DETALLE!P36&lt;=0,0,IF(BD_DETALLE!P36=BD_DETALLE!H36,2,1))</f>
        <v>2</v>
      </c>
      <c r="R36" s="24">
        <f ca="1">IF(BD_DETALLE!$C36&gt;0,(IF(BD_DETALLE!$N36=0,TODAY()-BD_DETALLE!$C36,BD_DETALLE!$N36-BD_DETALLE!$C36)),"")</f>
        <v>133</v>
      </c>
    </row>
    <row r="37" spans="2:18" x14ac:dyDescent="0.25">
      <c r="B37" s="15" t="str">
        <f t="shared" si="3"/>
        <v>2011-133-320269</v>
      </c>
      <c r="C37" s="7">
        <v>44158</v>
      </c>
      <c r="D37" s="5" t="str">
        <f>IF(BD_DETALLE!$E37&gt;=1,CONCATENATE(TEXT(BD_DETALLE!$C37,"YY"),TEXT(BD_DETALLE!$C37,"MM"),"-",BD_DETALLE!$E37),"")</f>
        <v>2011-133</v>
      </c>
      <c r="E37" s="12">
        <v>133</v>
      </c>
      <c r="F37" s="21">
        <v>320269</v>
      </c>
      <c r="G37" s="4" t="str">
        <f>IFERROR(VLOOKUP(BD_DETALLE!$B37,Tabla9[],6,0),"")</f>
        <v>KIT DE RULIMANES  # 539822-01</v>
      </c>
      <c r="H37" s="6">
        <f>IFERROR(VLOOKUP(BD_DETALLE!$B37,Tabla9[],4,0),0)</f>
        <v>1</v>
      </c>
      <c r="I37" s="19" t="s">
        <v>19</v>
      </c>
      <c r="J37" s="20" t="s">
        <v>1066</v>
      </c>
      <c r="K37" s="10">
        <f>IFERROR(VLOOKUP(BD_DETALLE!B37,Tabla9[],7,0),"")</f>
        <v>44161</v>
      </c>
      <c r="L37" s="11">
        <f>IFERROR(VLOOKUP(BD_DETALLE!B37,Tabla9[],8,0),"")</f>
        <v>50673</v>
      </c>
      <c r="M37" s="9">
        <f>IFERROR(SUMIFS(Tabla9[CANTIDAD2],Tabla9[BUSQUEDA],Tabla3[[#This Row],[BUSQUEDA]],Tabla9[CODIGO],Tabla3[[#This Row],[CODIGO]],Tabla9[ORDEN No.],Tabla3[[#This Row],[ORDEN de COMPRA]]),0)</f>
        <v>1</v>
      </c>
      <c r="N37" s="27">
        <f>IFERROR(IF(BD_DETALLE!B37&gt;0,VLOOKUP(BD_DETALLE!B37,Tabla9[],10,0),""),"")</f>
        <v>44291</v>
      </c>
      <c r="O37" s="28">
        <f>IFERROR(VLOOKUP(BD_DETALLE!B37,Tabla9[],11,0),0)</f>
        <v>11705</v>
      </c>
      <c r="P37" s="26">
        <f>IFERROR(SUMIFS(Tabla9[CANTIDAD3],Tabla9[BUSQUEDA],Tabla3[[#This Row],[BUSQUEDA]],Tabla9[CODIGO],Tabla3[[#This Row],[CODIGO]]),0)</f>
        <v>1</v>
      </c>
      <c r="Q37" s="25">
        <f>IF(BD_DETALLE!P37&lt;=0,0,IF(BD_DETALLE!P37=BD_DETALLE!H37,2,1))</f>
        <v>2</v>
      </c>
      <c r="R37" s="24">
        <f ca="1">IF(BD_DETALLE!$C37&gt;0,(IF(BD_DETALLE!$N37=0,TODAY()-BD_DETALLE!$C37,BD_DETALLE!$N37-BD_DETALLE!$C37)),"")</f>
        <v>133</v>
      </c>
    </row>
    <row r="38" spans="2:18" x14ac:dyDescent="0.25">
      <c r="B38" s="15" t="str">
        <f t="shared" si="3"/>
        <v>2011-133-320270</v>
      </c>
      <c r="C38" s="7">
        <v>44158</v>
      </c>
      <c r="D38" s="5" t="str">
        <f>IF(BD_DETALLE!$E38&gt;=1,CONCATENATE(TEXT(BD_DETALLE!$C38,"YY"),TEXT(BD_DETALLE!$C38,"MM"),"-",BD_DETALLE!$E38),"")</f>
        <v>2011-133</v>
      </c>
      <c r="E38" s="12">
        <v>133</v>
      </c>
      <c r="F38" s="21">
        <v>320270</v>
      </c>
      <c r="G38" s="4" t="str">
        <f>IFERROR(VLOOKUP(BD_DETALLE!$B38,Tabla9[],6,0),"")</f>
        <v>JUNTA  # 223412-46</v>
      </c>
      <c r="H38" s="6">
        <f>IFERROR(VLOOKUP(BD_DETALLE!$B38,Tabla9[],4,0),0)</f>
        <v>2</v>
      </c>
      <c r="I38" s="19" t="s">
        <v>19</v>
      </c>
      <c r="J38" s="20" t="s">
        <v>1066</v>
      </c>
      <c r="K38" s="10">
        <f>IFERROR(VLOOKUP(BD_DETALLE!B38,Tabla9[],7,0),"")</f>
        <v>44161</v>
      </c>
      <c r="L38" s="11">
        <f>IFERROR(VLOOKUP(BD_DETALLE!B38,Tabla9[],8,0),"")</f>
        <v>50673</v>
      </c>
      <c r="M38" s="9">
        <f>IFERROR(SUMIFS(Tabla9[CANTIDAD2],Tabla9[BUSQUEDA],Tabla3[[#This Row],[BUSQUEDA]],Tabla9[CODIGO],Tabla3[[#This Row],[CODIGO]],Tabla9[ORDEN No.],Tabla3[[#This Row],[ORDEN de COMPRA]]),0)</f>
        <v>2</v>
      </c>
      <c r="N38" s="27">
        <f>IFERROR(IF(BD_DETALLE!B38&gt;0,VLOOKUP(BD_DETALLE!B38,Tabla9[],10,0),""),"")</f>
        <v>44291</v>
      </c>
      <c r="O38" s="28">
        <f>IFERROR(VLOOKUP(BD_DETALLE!B38,Tabla9[],11,0),0)</f>
        <v>11705</v>
      </c>
      <c r="P38" s="26">
        <f>IFERROR(SUMIFS(Tabla9[CANTIDAD3],Tabla9[BUSQUEDA],Tabla3[[#This Row],[BUSQUEDA]],Tabla9[CODIGO],Tabla3[[#This Row],[CODIGO]]),0)</f>
        <v>2</v>
      </c>
      <c r="Q38" s="25">
        <f>IF(BD_DETALLE!P38&lt;=0,0,IF(BD_DETALLE!P38=BD_DETALLE!H38,2,1))</f>
        <v>2</v>
      </c>
      <c r="R38" s="24">
        <f ca="1">IF(BD_DETALLE!$C38&gt;0,(IF(BD_DETALLE!$N38=0,TODAY()-BD_DETALLE!$C38,BD_DETALLE!$N38-BD_DETALLE!$C38)),"")</f>
        <v>133</v>
      </c>
    </row>
    <row r="39" spans="2:18" x14ac:dyDescent="0.25">
      <c r="B39" s="15" t="str">
        <f t="shared" si="3"/>
        <v>2011-133-320273</v>
      </c>
      <c r="C39" s="7">
        <v>44158</v>
      </c>
      <c r="D39" s="5" t="str">
        <f>IF(BD_DETALLE!$E39&gt;=1,CONCATENATE(TEXT(BD_DETALLE!$C39,"YY"),TEXT(BD_DETALLE!$C39,"MM"),"-",BD_DETALLE!$E39),"")</f>
        <v>2011-133</v>
      </c>
      <c r="E39" s="12">
        <v>133</v>
      </c>
      <c r="F39" s="21">
        <v>320273</v>
      </c>
      <c r="G39" s="4" t="str">
        <f>IFERROR(VLOOKUP(BD_DETALLE!$B39,Tabla9[],6,0),"")</f>
        <v>JUNTA  # 74067</v>
      </c>
      <c r="H39" s="6">
        <f>IFERROR(VLOOKUP(BD_DETALLE!$B39,Tabla9[],4,0),0)</f>
        <v>2</v>
      </c>
      <c r="I39" s="19" t="s">
        <v>19</v>
      </c>
      <c r="J39" s="20" t="s">
        <v>1066</v>
      </c>
      <c r="K39" s="10">
        <f>IFERROR(VLOOKUP(BD_DETALLE!B39,Tabla9[],7,0),"")</f>
        <v>44161</v>
      </c>
      <c r="L39" s="11">
        <f>IFERROR(VLOOKUP(BD_DETALLE!B39,Tabla9[],8,0),"")</f>
        <v>50673</v>
      </c>
      <c r="M39" s="9">
        <f>IFERROR(SUMIFS(Tabla9[CANTIDAD2],Tabla9[BUSQUEDA],Tabla3[[#This Row],[BUSQUEDA]],Tabla9[CODIGO],Tabla3[[#This Row],[CODIGO]],Tabla9[ORDEN No.],Tabla3[[#This Row],[ORDEN de COMPRA]]),0)</f>
        <v>2</v>
      </c>
      <c r="N39" s="27">
        <f>IFERROR(IF(BD_DETALLE!B39&gt;0,VLOOKUP(BD_DETALLE!B39,Tabla9[],10,0),""),"")</f>
        <v>44291</v>
      </c>
      <c r="O39" s="28">
        <f>IFERROR(VLOOKUP(BD_DETALLE!B39,Tabla9[],11,0),0)</f>
        <v>11705</v>
      </c>
      <c r="P39" s="26">
        <f>IFERROR(SUMIFS(Tabla9[CANTIDAD3],Tabla9[BUSQUEDA],Tabla3[[#This Row],[BUSQUEDA]],Tabla9[CODIGO],Tabla3[[#This Row],[CODIGO]]),0)</f>
        <v>2</v>
      </c>
      <c r="Q39" s="25">
        <f>IF(BD_DETALLE!P39&lt;=0,0,IF(BD_DETALLE!P39=BD_DETALLE!H39,2,1))</f>
        <v>2</v>
      </c>
      <c r="R39" s="24">
        <f ca="1">IF(BD_DETALLE!$C39&gt;0,(IF(BD_DETALLE!$N39=0,TODAY()-BD_DETALLE!$C39,BD_DETALLE!$N39-BD_DETALLE!$C39)),"")</f>
        <v>133</v>
      </c>
    </row>
    <row r="40" spans="2:18" x14ac:dyDescent="0.25">
      <c r="B40" s="15" t="str">
        <f t="shared" si="3"/>
        <v>2011-133-320274</v>
      </c>
      <c r="C40" s="7">
        <v>44158</v>
      </c>
      <c r="D40" s="5" t="str">
        <f>IF(BD_DETALLE!$E40&gt;=1,CONCATENATE(TEXT(BD_DETALLE!$C40,"YY"),TEXT(BD_DETALLE!$C40,"MM"),"-",BD_DETALLE!$E40),"")</f>
        <v>2011-133</v>
      </c>
      <c r="E40" s="12">
        <v>133</v>
      </c>
      <c r="F40" s="21">
        <v>320274</v>
      </c>
      <c r="G40" s="4" t="str">
        <f>IFERROR(VLOOKUP(BD_DETALLE!$B40,Tabla9[],6,0),"")</f>
        <v>JUNTA  # 71068</v>
      </c>
      <c r="H40" s="6">
        <f>IFERROR(VLOOKUP(BD_DETALLE!$B40,Tabla9[],4,0),0)</f>
        <v>8</v>
      </c>
      <c r="I40" s="19" t="s">
        <v>19</v>
      </c>
      <c r="J40" s="20" t="s">
        <v>1066</v>
      </c>
      <c r="K40" s="10">
        <f>IFERROR(VLOOKUP(BD_DETALLE!B40,Tabla9[],7,0),"")</f>
        <v>44161</v>
      </c>
      <c r="L40" s="11">
        <f>IFERROR(VLOOKUP(BD_DETALLE!B40,Tabla9[],8,0),"")</f>
        <v>50673</v>
      </c>
      <c r="M40" s="9">
        <f>IFERROR(SUMIFS(Tabla9[CANTIDAD2],Tabla9[BUSQUEDA],Tabla3[[#This Row],[BUSQUEDA]],Tabla9[CODIGO],Tabla3[[#This Row],[CODIGO]],Tabla9[ORDEN No.],Tabla3[[#This Row],[ORDEN de COMPRA]]),0)</f>
        <v>8</v>
      </c>
      <c r="N40" s="27">
        <f>IFERROR(IF(BD_DETALLE!B40&gt;0,VLOOKUP(BD_DETALLE!B40,Tabla9[],10,0),""),"")</f>
        <v>44291</v>
      </c>
      <c r="O40" s="28">
        <f>IFERROR(VLOOKUP(BD_DETALLE!B40,Tabla9[],11,0),0)</f>
        <v>11705</v>
      </c>
      <c r="P40" s="26">
        <f>IFERROR(SUMIFS(Tabla9[CANTIDAD3],Tabla9[BUSQUEDA],Tabla3[[#This Row],[BUSQUEDA]],Tabla9[CODIGO],Tabla3[[#This Row],[CODIGO]]),0)</f>
        <v>8</v>
      </c>
      <c r="Q40" s="25">
        <f>IF(BD_DETALLE!P40&lt;=0,0,IF(BD_DETALLE!P40=BD_DETALLE!H40,2,1))</f>
        <v>2</v>
      </c>
      <c r="R40" s="24">
        <f ca="1">IF(BD_DETALLE!$C40&gt;0,(IF(BD_DETALLE!$N40=0,TODAY()-BD_DETALLE!$C40,BD_DETALLE!$N40-BD_DETALLE!$C40)),"")</f>
        <v>133</v>
      </c>
    </row>
    <row r="41" spans="2:18" x14ac:dyDescent="0.25">
      <c r="B41" s="15" t="str">
        <f t="shared" si="3"/>
        <v>2011-133-320275</v>
      </c>
      <c r="C41" s="7">
        <v>44158</v>
      </c>
      <c r="D41" s="5" t="str">
        <f>IF(BD_DETALLE!$E41&gt;=1,CONCATENATE(TEXT(BD_DETALLE!$C41,"YY"),TEXT(BD_DETALLE!$C41,"MM"),"-",BD_DETALLE!$E41),"")</f>
        <v>2011-133</v>
      </c>
      <c r="E41" s="12">
        <v>133</v>
      </c>
      <c r="F41" s="21">
        <v>320275</v>
      </c>
      <c r="G41" s="4" t="str">
        <f>IFERROR(VLOOKUP(BD_DETALLE!$B41,Tabla9[],6,0),"")</f>
        <v>JUNTA  # 529628-01</v>
      </c>
      <c r="H41" s="6">
        <f>IFERROR(VLOOKUP(BD_DETALLE!$B41,Tabla9[],4,0),0)</f>
        <v>8</v>
      </c>
      <c r="I41" s="19" t="s">
        <v>19</v>
      </c>
      <c r="J41" s="20" t="s">
        <v>1066</v>
      </c>
      <c r="K41" s="10">
        <f>IFERROR(VLOOKUP(BD_DETALLE!B41,Tabla9[],7,0),"")</f>
        <v>44161</v>
      </c>
      <c r="L41" s="11">
        <f>IFERROR(VLOOKUP(BD_DETALLE!B41,Tabla9[],8,0),"")</f>
        <v>50673</v>
      </c>
      <c r="M41" s="9">
        <f>IFERROR(SUMIFS(Tabla9[CANTIDAD2],Tabla9[BUSQUEDA],Tabla3[[#This Row],[BUSQUEDA]],Tabla9[CODIGO],Tabla3[[#This Row],[CODIGO]],Tabla9[ORDEN No.],Tabla3[[#This Row],[ORDEN de COMPRA]]),0)</f>
        <v>8</v>
      </c>
      <c r="N41" s="27">
        <f>IFERROR(IF(BD_DETALLE!B41&gt;0,VLOOKUP(BD_DETALLE!B41,Tabla9[],10,0),""),"")</f>
        <v>44291</v>
      </c>
      <c r="O41" s="28">
        <f>IFERROR(VLOOKUP(BD_DETALLE!B41,Tabla9[],11,0),0)</f>
        <v>11705</v>
      </c>
      <c r="P41" s="26">
        <f>IFERROR(SUMIFS(Tabla9[CANTIDAD3],Tabla9[BUSQUEDA],Tabla3[[#This Row],[BUSQUEDA]],Tabla9[CODIGO],Tabla3[[#This Row],[CODIGO]]),0)</f>
        <v>8</v>
      </c>
      <c r="Q41" s="25">
        <f>IF(BD_DETALLE!P41&lt;=0,0,IF(BD_DETALLE!P41=BD_DETALLE!H41,2,1))</f>
        <v>2</v>
      </c>
      <c r="R41" s="24">
        <f ca="1">IF(BD_DETALLE!$C41&gt;0,(IF(BD_DETALLE!$N41=0,TODAY()-BD_DETALLE!$C41,BD_DETALLE!$N41-BD_DETALLE!$C41)),"")</f>
        <v>133</v>
      </c>
    </row>
    <row r="42" spans="2:18" x14ac:dyDescent="0.25">
      <c r="B42" s="15" t="str">
        <f t="shared" si="3"/>
        <v>2011-133-320276</v>
      </c>
      <c r="C42" s="7">
        <v>44158</v>
      </c>
      <c r="D42" s="5" t="str">
        <f>IF(BD_DETALLE!$E42&gt;=1,CONCATENATE(TEXT(BD_DETALLE!$C42,"YY"),TEXT(BD_DETALLE!$C42,"MM"),"-",BD_DETALLE!$E42),"")</f>
        <v>2011-133</v>
      </c>
      <c r="E42" s="12">
        <v>133</v>
      </c>
      <c r="F42" s="21">
        <v>320276</v>
      </c>
      <c r="G42" s="4" t="str">
        <f>IFERROR(VLOOKUP(BD_DETALLE!$B42,Tabla9[],6,0),"")</f>
        <v>JUNTA  # 223412-47</v>
      </c>
      <c r="H42" s="6">
        <f>IFERROR(VLOOKUP(BD_DETALLE!$B42,Tabla9[],4,0),0)</f>
        <v>8</v>
      </c>
      <c r="I42" s="19" t="s">
        <v>19</v>
      </c>
      <c r="J42" s="20" t="s">
        <v>1066</v>
      </c>
      <c r="K42" s="10">
        <f>IFERROR(VLOOKUP(BD_DETALLE!B42,Tabla9[],7,0),"")</f>
        <v>44161</v>
      </c>
      <c r="L42" s="11">
        <f>IFERROR(VLOOKUP(BD_DETALLE!B42,Tabla9[],8,0),"")</f>
        <v>50673</v>
      </c>
      <c r="M42" s="9">
        <f>IFERROR(SUMIFS(Tabla9[CANTIDAD2],Tabla9[BUSQUEDA],Tabla3[[#This Row],[BUSQUEDA]],Tabla9[CODIGO],Tabla3[[#This Row],[CODIGO]],Tabla9[ORDEN No.],Tabla3[[#This Row],[ORDEN de COMPRA]]),0)</f>
        <v>8</v>
      </c>
      <c r="N42" s="27">
        <f>IFERROR(IF(BD_DETALLE!B42&gt;0,VLOOKUP(BD_DETALLE!B42,Tabla9[],10,0),""),"")</f>
        <v>44291</v>
      </c>
      <c r="O42" s="28">
        <f>IFERROR(VLOOKUP(BD_DETALLE!B42,Tabla9[],11,0),0)</f>
        <v>11705</v>
      </c>
      <c r="P42" s="26">
        <f>IFERROR(SUMIFS(Tabla9[CANTIDAD3],Tabla9[BUSQUEDA],Tabla3[[#This Row],[BUSQUEDA]],Tabla9[CODIGO],Tabla3[[#This Row],[CODIGO]]),0)</f>
        <v>8</v>
      </c>
      <c r="Q42" s="25">
        <f>IF(BD_DETALLE!P42&lt;=0,0,IF(BD_DETALLE!P42=BD_DETALLE!H42,2,1))</f>
        <v>2</v>
      </c>
      <c r="R42" s="24">
        <f ca="1">IF(BD_DETALLE!$C42&gt;0,(IF(BD_DETALLE!$N42=0,TODAY()-BD_DETALLE!$C42,BD_DETALLE!$N42-BD_DETALLE!$C42)),"")</f>
        <v>133</v>
      </c>
    </row>
    <row r="43" spans="2:18" x14ac:dyDescent="0.25">
      <c r="B43" s="15" t="str">
        <f t="shared" si="3"/>
        <v>2011-133-320277</v>
      </c>
      <c r="C43" s="7">
        <v>44158</v>
      </c>
      <c r="D43" s="5" t="str">
        <f>IF(BD_DETALLE!$E43&gt;=1,CONCATENATE(TEXT(BD_DETALLE!$C43,"YY"),TEXT(BD_DETALLE!$C43,"MM"),"-",BD_DETALLE!$E43),"")</f>
        <v>2011-133</v>
      </c>
      <c r="E43" s="12">
        <v>133</v>
      </c>
      <c r="F43" s="21">
        <v>320277</v>
      </c>
      <c r="G43" s="4" t="str">
        <f>IFERROR(VLOOKUP(BD_DETALLE!$B43,Tabla9[],6,0),"")</f>
        <v>ORING  # 260190-06</v>
      </c>
      <c r="H43" s="6">
        <f>IFERROR(VLOOKUP(BD_DETALLE!$B43,Tabla9[],4,0),0)</f>
        <v>8</v>
      </c>
      <c r="I43" s="19" t="s">
        <v>19</v>
      </c>
      <c r="J43" s="20" t="s">
        <v>1066</v>
      </c>
      <c r="K43" s="10">
        <f>IFERROR(VLOOKUP(BD_DETALLE!B43,Tabla9[],7,0),"")</f>
        <v>44161</v>
      </c>
      <c r="L43" s="11">
        <f>IFERROR(VLOOKUP(BD_DETALLE!B43,Tabla9[],8,0),"")</f>
        <v>50673</v>
      </c>
      <c r="M43" s="9">
        <f>IFERROR(SUMIFS(Tabla9[CANTIDAD2],Tabla9[BUSQUEDA],Tabla3[[#This Row],[BUSQUEDA]],Tabla9[CODIGO],Tabla3[[#This Row],[CODIGO]],Tabla9[ORDEN No.],Tabla3[[#This Row],[ORDEN de COMPRA]]),0)</f>
        <v>8</v>
      </c>
      <c r="N43" s="27">
        <f>IFERROR(IF(BD_DETALLE!B43&gt;0,VLOOKUP(BD_DETALLE!B43,Tabla9[],10,0),""),"")</f>
        <v>44291</v>
      </c>
      <c r="O43" s="28">
        <f>IFERROR(VLOOKUP(BD_DETALLE!B43,Tabla9[],11,0),0)</f>
        <v>11705</v>
      </c>
      <c r="P43" s="26">
        <f>IFERROR(SUMIFS(Tabla9[CANTIDAD3],Tabla9[BUSQUEDA],Tabla3[[#This Row],[BUSQUEDA]],Tabla9[CODIGO],Tabla3[[#This Row],[CODIGO]]),0)</f>
        <v>8</v>
      </c>
      <c r="Q43" s="25">
        <f>IF(BD_DETALLE!P43&lt;=0,0,IF(BD_DETALLE!P43=BD_DETALLE!H43,2,1))</f>
        <v>2</v>
      </c>
      <c r="R43" s="24">
        <f ca="1">IF(BD_DETALLE!$C43&gt;0,(IF(BD_DETALLE!$N43=0,TODAY()-BD_DETALLE!$C43,BD_DETALLE!$N43-BD_DETALLE!$C43)),"")</f>
        <v>133</v>
      </c>
    </row>
    <row r="44" spans="2:18" x14ac:dyDescent="0.25">
      <c r="B44" s="15" t="str">
        <f t="shared" si="3"/>
        <v>2011-133-320278</v>
      </c>
      <c r="C44" s="7">
        <v>44158</v>
      </c>
      <c r="D44" s="5" t="str">
        <f>IF(BD_DETALLE!$E44&gt;=1,CONCATENATE(TEXT(BD_DETALLE!$C44,"YY"),TEXT(BD_DETALLE!$C44,"MM"),"-",BD_DETALLE!$E44),"")</f>
        <v>2011-133</v>
      </c>
      <c r="E44" s="12">
        <v>133</v>
      </c>
      <c r="F44" s="21">
        <v>320278</v>
      </c>
      <c r="G44" s="4" t="str">
        <f>IFERROR(VLOOKUP(BD_DETALLE!$B44,Tabla9[],6,0),"")</f>
        <v>ANILLO TEFLON  # 528086-01</v>
      </c>
      <c r="H44" s="6">
        <f>IFERROR(VLOOKUP(BD_DETALLE!$B44,Tabla9[],4,0),0)</f>
        <v>8</v>
      </c>
      <c r="I44" s="19" t="s">
        <v>19</v>
      </c>
      <c r="J44" s="20" t="s">
        <v>1066</v>
      </c>
      <c r="K44" s="10">
        <f>IFERROR(VLOOKUP(BD_DETALLE!B44,Tabla9[],7,0),"")</f>
        <v>44161</v>
      </c>
      <c r="L44" s="11">
        <f>IFERROR(VLOOKUP(BD_DETALLE!B44,Tabla9[],8,0),"")</f>
        <v>50673</v>
      </c>
      <c r="M44" s="9">
        <f>IFERROR(SUMIFS(Tabla9[CANTIDAD2],Tabla9[BUSQUEDA],Tabla3[[#This Row],[BUSQUEDA]],Tabla9[CODIGO],Tabla3[[#This Row],[CODIGO]],Tabla9[ORDEN No.],Tabla3[[#This Row],[ORDEN de COMPRA]]),0)</f>
        <v>8</v>
      </c>
      <c r="N44" s="27">
        <f>IFERROR(IF(BD_DETALLE!B44&gt;0,VLOOKUP(BD_DETALLE!B44,Tabla9[],10,0),""),"")</f>
        <v>44291</v>
      </c>
      <c r="O44" s="28">
        <f>IFERROR(VLOOKUP(BD_DETALLE!B44,Tabla9[],11,0),0)</f>
        <v>11705</v>
      </c>
      <c r="P44" s="26">
        <f>IFERROR(SUMIFS(Tabla9[CANTIDAD3],Tabla9[BUSQUEDA],Tabla3[[#This Row],[BUSQUEDA]],Tabla9[CODIGO],Tabla3[[#This Row],[CODIGO]]),0)</f>
        <v>8</v>
      </c>
      <c r="Q44" s="25">
        <f>IF(BD_DETALLE!P44&lt;=0,0,IF(BD_DETALLE!P44=BD_DETALLE!H44,2,1))</f>
        <v>2</v>
      </c>
      <c r="R44" s="24">
        <f ca="1">IF(BD_DETALLE!$C44&gt;0,(IF(BD_DETALLE!$N44=0,TODAY()-BD_DETALLE!$C44,BD_DETALLE!$N44-BD_DETALLE!$C44)),"")</f>
        <v>133</v>
      </c>
    </row>
    <row r="45" spans="2:18" x14ac:dyDescent="0.25">
      <c r="B45" s="15" t="str">
        <f t="shared" si="3"/>
        <v>2011-133-320279</v>
      </c>
      <c r="C45" s="7">
        <v>44158</v>
      </c>
      <c r="D45" s="5" t="str">
        <f>IF(BD_DETALLE!$E45&gt;=1,CONCATENATE(TEXT(BD_DETALLE!$C45,"YY"),TEXT(BD_DETALLE!$C45,"MM"),"-",BD_DETALLE!$E45),"")</f>
        <v>2011-133</v>
      </c>
      <c r="E45" s="12">
        <v>133</v>
      </c>
      <c r="F45" s="21">
        <v>320279</v>
      </c>
      <c r="G45" s="4" t="str">
        <f>IFERROR(VLOOKUP(BD_DETALLE!$B45,Tabla9[],6,0),"")</f>
        <v>JUNTA # 73947</v>
      </c>
      <c r="H45" s="6">
        <f>IFERROR(VLOOKUP(BD_DETALLE!$B45,Tabla9[],4,0),0)</f>
        <v>8</v>
      </c>
      <c r="I45" s="19" t="s">
        <v>19</v>
      </c>
      <c r="J45" s="20" t="s">
        <v>1066</v>
      </c>
      <c r="K45" s="10">
        <f>IFERROR(VLOOKUP(BD_DETALLE!B45,Tabla9[],7,0),"")</f>
        <v>44161</v>
      </c>
      <c r="L45" s="11">
        <f>IFERROR(VLOOKUP(BD_DETALLE!B45,Tabla9[],8,0),"")</f>
        <v>50673</v>
      </c>
      <c r="M45" s="9">
        <f>IFERROR(SUMIFS(Tabla9[CANTIDAD2],Tabla9[BUSQUEDA],Tabla3[[#This Row],[BUSQUEDA]],Tabla9[CODIGO],Tabla3[[#This Row],[CODIGO]],Tabla9[ORDEN No.],Tabla3[[#This Row],[ORDEN de COMPRA]]),0)</f>
        <v>8</v>
      </c>
      <c r="N45" s="27">
        <f>IFERROR(IF(BD_DETALLE!B45&gt;0,VLOOKUP(BD_DETALLE!B45,Tabla9[],10,0),""),"")</f>
        <v>44291</v>
      </c>
      <c r="O45" s="28">
        <f>IFERROR(VLOOKUP(BD_DETALLE!B45,Tabla9[],11,0),0)</f>
        <v>11705</v>
      </c>
      <c r="P45" s="26">
        <f>IFERROR(SUMIFS(Tabla9[CANTIDAD3],Tabla9[BUSQUEDA],Tabla3[[#This Row],[BUSQUEDA]],Tabla9[CODIGO],Tabla3[[#This Row],[CODIGO]]),0)</f>
        <v>8</v>
      </c>
      <c r="Q45" s="25">
        <f>IF(BD_DETALLE!P45&lt;=0,0,IF(BD_DETALLE!P45=BD_DETALLE!H45,2,1))</f>
        <v>2</v>
      </c>
      <c r="R45" s="24">
        <f ca="1">IF(BD_DETALLE!$C45&gt;0,(IF(BD_DETALLE!$N45=0,TODAY()-BD_DETALLE!$C45,BD_DETALLE!$N45-BD_DETALLE!$C45)),"")</f>
        <v>133</v>
      </c>
    </row>
    <row r="46" spans="2:18" x14ac:dyDescent="0.25">
      <c r="B46" s="15" t="str">
        <f t="shared" si="3"/>
        <v>2011-133-320280</v>
      </c>
      <c r="C46" s="7">
        <v>44158</v>
      </c>
      <c r="D46" s="5" t="str">
        <f>IF(BD_DETALLE!$E46&gt;=1,CONCATENATE(TEXT(BD_DETALLE!$C46,"YY"),TEXT(BD_DETALLE!$C46,"MM"),"-",BD_DETALLE!$E46),"")</f>
        <v>2011-133</v>
      </c>
      <c r="E46" s="12">
        <v>133</v>
      </c>
      <c r="F46" s="21">
        <v>320280</v>
      </c>
      <c r="G46" s="4" t="str">
        <f>IFERROR(VLOOKUP(BD_DETALLE!$B46,Tabla9[],6,0),"")</f>
        <v>JUNTA  #  223330-03</v>
      </c>
      <c r="H46" s="6">
        <f>IFERROR(VLOOKUP(BD_DETALLE!$B46,Tabla9[],4,0),0)</f>
        <v>8</v>
      </c>
      <c r="I46" s="19" t="s">
        <v>19</v>
      </c>
      <c r="J46" s="20" t="s">
        <v>1066</v>
      </c>
      <c r="K46" s="10">
        <f>IFERROR(VLOOKUP(BD_DETALLE!B46,Tabla9[],7,0),"")</f>
        <v>44161</v>
      </c>
      <c r="L46" s="11">
        <f>IFERROR(VLOOKUP(BD_DETALLE!B46,Tabla9[],8,0),"")</f>
        <v>50673</v>
      </c>
      <c r="M46" s="9">
        <f>IFERROR(SUMIFS(Tabla9[CANTIDAD2],Tabla9[BUSQUEDA],Tabla3[[#This Row],[BUSQUEDA]],Tabla9[CODIGO],Tabla3[[#This Row],[CODIGO]],Tabla9[ORDEN No.],Tabla3[[#This Row],[ORDEN de COMPRA]]),0)</f>
        <v>8</v>
      </c>
      <c r="N46" s="27">
        <f>IFERROR(IF(BD_DETALLE!B46&gt;0,VLOOKUP(BD_DETALLE!B46,Tabla9[],10,0),""),"")</f>
        <v>44291</v>
      </c>
      <c r="O46" s="28">
        <f>IFERROR(VLOOKUP(BD_DETALLE!B46,Tabla9[],11,0),0)</f>
        <v>11705</v>
      </c>
      <c r="P46" s="26">
        <f>IFERROR(SUMIFS(Tabla9[CANTIDAD3],Tabla9[BUSQUEDA],Tabla3[[#This Row],[BUSQUEDA]],Tabla9[CODIGO],Tabla3[[#This Row],[CODIGO]]),0)</f>
        <v>8</v>
      </c>
      <c r="Q46" s="25">
        <f>IF(BD_DETALLE!P46&lt;=0,0,IF(BD_DETALLE!P46=BD_DETALLE!H46,2,1))</f>
        <v>2</v>
      </c>
      <c r="R46" s="24">
        <f ca="1">IF(BD_DETALLE!$C46&gt;0,(IF(BD_DETALLE!$N46=0,TODAY()-BD_DETALLE!$C46,BD_DETALLE!$N46-BD_DETALLE!$C46)),"")</f>
        <v>133</v>
      </c>
    </row>
    <row r="47" spans="2:18" x14ac:dyDescent="0.25">
      <c r="B47" s="15" t="str">
        <f t="shared" si="3"/>
        <v>2011-133-320281</v>
      </c>
      <c r="C47" s="7">
        <v>44158</v>
      </c>
      <c r="D47" s="5" t="str">
        <f>IF(BD_DETALLE!$E47&gt;=1,CONCATENATE(TEXT(BD_DETALLE!$C47,"YY"),TEXT(BD_DETALLE!$C47,"MM"),"-",BD_DETALLE!$E47),"")</f>
        <v>2011-133</v>
      </c>
      <c r="E47" s="12">
        <v>133</v>
      </c>
      <c r="F47" s="21">
        <v>320281</v>
      </c>
      <c r="G47" s="4" t="str">
        <f>IFERROR(VLOOKUP(BD_DETALLE!$B47,Tabla9[],6,0),"")</f>
        <v>ORING # 523116-04</v>
      </c>
      <c r="H47" s="6">
        <f>IFERROR(VLOOKUP(BD_DETALLE!$B47,Tabla9[],4,0),0)</f>
        <v>8</v>
      </c>
      <c r="I47" s="19" t="s">
        <v>19</v>
      </c>
      <c r="J47" s="20" t="s">
        <v>1066</v>
      </c>
      <c r="K47" s="10">
        <f>IFERROR(VLOOKUP(BD_DETALLE!B47,Tabla9[],7,0),"")</f>
        <v>44161</v>
      </c>
      <c r="L47" s="11">
        <f>IFERROR(VLOOKUP(BD_DETALLE!B47,Tabla9[],8,0),"")</f>
        <v>50673</v>
      </c>
      <c r="M47" s="9">
        <f>IFERROR(SUMIFS(Tabla9[CANTIDAD2],Tabla9[BUSQUEDA],Tabla3[[#This Row],[BUSQUEDA]],Tabla9[CODIGO],Tabla3[[#This Row],[CODIGO]],Tabla9[ORDEN No.],Tabla3[[#This Row],[ORDEN de COMPRA]]),0)</f>
        <v>8</v>
      </c>
      <c r="N47" s="27">
        <f>IFERROR(IF(BD_DETALLE!B47&gt;0,VLOOKUP(BD_DETALLE!B47,Tabla9[],10,0),""),"")</f>
        <v>0</v>
      </c>
      <c r="O47" s="28">
        <f>IFERROR(VLOOKUP(BD_DETALLE!B47,Tabla9[],11,0),0)</f>
        <v>0</v>
      </c>
      <c r="P47" s="26">
        <f>IFERROR(SUMIFS(Tabla9[CANTIDAD3],Tabla9[BUSQUEDA],Tabla3[[#This Row],[BUSQUEDA]],Tabla9[CODIGO],Tabla3[[#This Row],[CODIGO]]),0)</f>
        <v>0</v>
      </c>
      <c r="Q47" s="25">
        <f>IF(BD_DETALLE!P47&lt;=0,0,IF(BD_DETALLE!P47=BD_DETALLE!H47,2,1))</f>
        <v>0</v>
      </c>
      <c r="R47" s="24">
        <f ca="1">IF(BD_DETALLE!$C47&gt;0,(IF(BD_DETALLE!$N47=0,TODAY()-BD_DETALLE!$C47,BD_DETALLE!$N47-BD_DETALLE!$C47)),"")</f>
        <v>147</v>
      </c>
    </row>
    <row r="48" spans="2:18" x14ac:dyDescent="0.25">
      <c r="B48" s="15" t="str">
        <f t="shared" si="3"/>
        <v>2011-133-320282</v>
      </c>
      <c r="C48" s="7">
        <v>44158</v>
      </c>
      <c r="D48" s="5" t="str">
        <f>IF(BD_DETALLE!$E48&gt;=1,CONCATENATE(TEXT(BD_DETALLE!$C48,"YY"),TEXT(BD_DETALLE!$C48,"MM"),"-",BD_DETALLE!$E48),"")</f>
        <v>2011-133</v>
      </c>
      <c r="E48" s="12">
        <v>133</v>
      </c>
      <c r="F48" s="21">
        <v>320282</v>
      </c>
      <c r="G48" s="4" t="str">
        <f>IFERROR(VLOOKUP(BD_DETALLE!$B48,Tabla9[],6,0),"")</f>
        <v>ORING  # 223412-31</v>
      </c>
      <c r="H48" s="6">
        <f>IFERROR(VLOOKUP(BD_DETALLE!$B48,Tabla9[],4,0),0)</f>
        <v>8</v>
      </c>
      <c r="I48" s="19" t="s">
        <v>19</v>
      </c>
      <c r="J48" s="20" t="s">
        <v>1066</v>
      </c>
      <c r="K48" s="10">
        <f>IFERROR(VLOOKUP(BD_DETALLE!B48,Tabla9[],7,0),"")</f>
        <v>44161</v>
      </c>
      <c r="L48" s="11">
        <f>IFERROR(VLOOKUP(BD_DETALLE!B48,Tabla9[],8,0),"")</f>
        <v>50673</v>
      </c>
      <c r="M48" s="9">
        <f>IFERROR(SUMIFS(Tabla9[CANTIDAD2],Tabla9[BUSQUEDA],Tabla3[[#This Row],[BUSQUEDA]],Tabla9[CODIGO],Tabla3[[#This Row],[CODIGO]],Tabla9[ORDEN No.],Tabla3[[#This Row],[ORDEN de COMPRA]]),0)</f>
        <v>8</v>
      </c>
      <c r="N48" s="27">
        <f>IFERROR(IF(BD_DETALLE!B48&gt;0,VLOOKUP(BD_DETALLE!B48,Tabla9[],10,0),""),"")</f>
        <v>44291</v>
      </c>
      <c r="O48" s="28">
        <f>IFERROR(VLOOKUP(BD_DETALLE!B48,Tabla9[],11,0),0)</f>
        <v>11705</v>
      </c>
      <c r="P48" s="26">
        <f>IFERROR(SUMIFS(Tabla9[CANTIDAD3],Tabla9[BUSQUEDA],Tabla3[[#This Row],[BUSQUEDA]],Tabla9[CODIGO],Tabla3[[#This Row],[CODIGO]]),0)</f>
        <v>8</v>
      </c>
      <c r="Q48" s="25">
        <f>IF(BD_DETALLE!P48&lt;=0,0,IF(BD_DETALLE!P48=BD_DETALLE!H48,2,1))</f>
        <v>2</v>
      </c>
      <c r="R48" s="24">
        <f ca="1">IF(BD_DETALLE!$C48&gt;0,(IF(BD_DETALLE!$N48=0,TODAY()-BD_DETALLE!$C48,BD_DETALLE!$N48-BD_DETALLE!$C48)),"")</f>
        <v>133</v>
      </c>
    </row>
    <row r="49" spans="2:18" x14ac:dyDescent="0.25">
      <c r="B49" s="15" t="str">
        <f t="shared" si="3"/>
        <v>2011-133-320285</v>
      </c>
      <c r="C49" s="7">
        <v>44158</v>
      </c>
      <c r="D49" s="5" t="str">
        <f>IF(BD_DETALLE!$E49&gt;=1,CONCATENATE(TEXT(BD_DETALLE!$C49,"YY"),TEXT(BD_DETALLE!$C49,"MM"),"-",BD_DETALLE!$E49),"")</f>
        <v>2011-133</v>
      </c>
      <c r="E49" s="12">
        <v>133</v>
      </c>
      <c r="F49" s="21">
        <v>320285</v>
      </c>
      <c r="G49" s="4" t="str">
        <f>IFERROR(VLOOKUP(BD_DETALLE!$B49,Tabla9[],6,0),"")</f>
        <v>VALVULA PLUG  # 537838-06</v>
      </c>
      <c r="H49" s="6">
        <f>IFERROR(VLOOKUP(BD_DETALLE!$B49,Tabla9[],4,0),0)</f>
        <v>36</v>
      </c>
      <c r="I49" s="19" t="s">
        <v>19</v>
      </c>
      <c r="J49" s="20" t="s">
        <v>1066</v>
      </c>
      <c r="K49" s="10">
        <f>IFERROR(VLOOKUP(BD_DETALLE!B49,Tabla9[],7,0),"")</f>
        <v>44161</v>
      </c>
      <c r="L49" s="11">
        <f>IFERROR(VLOOKUP(BD_DETALLE!B49,Tabla9[],8,0),"")</f>
        <v>50673</v>
      </c>
      <c r="M49" s="9">
        <f>IFERROR(SUMIFS(Tabla9[CANTIDAD2],Tabla9[BUSQUEDA],Tabla3[[#This Row],[BUSQUEDA]],Tabla9[CODIGO],Tabla3[[#This Row],[CODIGO]],Tabla9[ORDEN No.],Tabla3[[#This Row],[ORDEN de COMPRA]]),0)</f>
        <v>36</v>
      </c>
      <c r="N49" s="27">
        <f>IFERROR(IF(BD_DETALLE!B49&gt;0,VLOOKUP(BD_DETALLE!B49,Tabla9[],10,0),""),"")</f>
        <v>44291</v>
      </c>
      <c r="O49" s="28">
        <f>IFERROR(VLOOKUP(BD_DETALLE!B49,Tabla9[],11,0),0)</f>
        <v>11705</v>
      </c>
      <c r="P49" s="26">
        <f>IFERROR(SUMIFS(Tabla9[CANTIDAD3],Tabla9[BUSQUEDA],Tabla3[[#This Row],[BUSQUEDA]],Tabla9[CODIGO],Tabla3[[#This Row],[CODIGO]]),0)</f>
        <v>36</v>
      </c>
      <c r="Q49" s="25">
        <f>IF(BD_DETALLE!P49&lt;=0,0,IF(BD_DETALLE!P49=BD_DETALLE!H49,2,1))</f>
        <v>2</v>
      </c>
      <c r="R49" s="24">
        <f ca="1">IF(BD_DETALLE!$C49&gt;0,(IF(BD_DETALLE!$N49=0,TODAY()-BD_DETALLE!$C49,BD_DETALLE!$N49-BD_DETALLE!$C49)),"")</f>
        <v>133</v>
      </c>
    </row>
    <row r="50" spans="2:18" x14ac:dyDescent="0.25">
      <c r="B50" s="15" t="str">
        <f t="shared" si="3"/>
        <v>2011-133-320286</v>
      </c>
      <c r="C50" s="7">
        <v>44158</v>
      </c>
      <c r="D50" s="5" t="str">
        <f>IF(BD_DETALLE!$E50&gt;=1,CONCATENATE(TEXT(BD_DETALLE!$C50,"YY"),TEXT(BD_DETALLE!$C50,"MM"),"-",BD_DETALLE!$E50),"")</f>
        <v>2011-133</v>
      </c>
      <c r="E50" s="12">
        <v>133</v>
      </c>
      <c r="F50" s="21">
        <v>320286</v>
      </c>
      <c r="G50" s="4" t="str">
        <f>IFERROR(VLOOKUP(BD_DETALLE!$B50,Tabla9[],6,0),"")</f>
        <v>ORING  # 223412-53</v>
      </c>
      <c r="H50" s="6">
        <f>IFERROR(VLOOKUP(BD_DETALLE!$B50,Tabla9[],4,0),0)</f>
        <v>8</v>
      </c>
      <c r="I50" s="19" t="s">
        <v>19</v>
      </c>
      <c r="J50" s="20" t="s">
        <v>1066</v>
      </c>
      <c r="K50" s="10">
        <f>IFERROR(VLOOKUP(BD_DETALLE!B50,Tabla9[],7,0),"")</f>
        <v>44161</v>
      </c>
      <c r="L50" s="11">
        <f>IFERROR(VLOOKUP(BD_DETALLE!B50,Tabla9[],8,0),"")</f>
        <v>50673</v>
      </c>
      <c r="M50" s="9">
        <f>IFERROR(SUMIFS(Tabla9[CANTIDAD2],Tabla9[BUSQUEDA],Tabla3[[#This Row],[BUSQUEDA]],Tabla9[CODIGO],Tabla3[[#This Row],[CODIGO]],Tabla9[ORDEN No.],Tabla3[[#This Row],[ORDEN de COMPRA]]),0)</f>
        <v>8</v>
      </c>
      <c r="N50" s="27">
        <f>IFERROR(IF(BD_DETALLE!B50&gt;0,VLOOKUP(BD_DETALLE!B50,Tabla9[],10,0),""),"")</f>
        <v>44291</v>
      </c>
      <c r="O50" s="28">
        <f>IFERROR(VLOOKUP(BD_DETALLE!B50,Tabla9[],11,0),0)</f>
        <v>11705</v>
      </c>
      <c r="P50" s="26">
        <f>IFERROR(SUMIFS(Tabla9[CANTIDAD3],Tabla9[BUSQUEDA],Tabla3[[#This Row],[BUSQUEDA]],Tabla9[CODIGO],Tabla3[[#This Row],[CODIGO]]),0)</f>
        <v>8</v>
      </c>
      <c r="Q50" s="25">
        <f>IF(BD_DETALLE!P50&lt;=0,0,IF(BD_DETALLE!P50=BD_DETALLE!H50,2,1))</f>
        <v>2</v>
      </c>
      <c r="R50" s="24">
        <f ca="1">IF(BD_DETALLE!$C50&gt;0,(IF(BD_DETALLE!$N50=0,TODAY()-BD_DETALLE!$C50,BD_DETALLE!$N50-BD_DETALLE!$C50)),"")</f>
        <v>133</v>
      </c>
    </row>
    <row r="51" spans="2:18" x14ac:dyDescent="0.25">
      <c r="B51" s="15" t="str">
        <f t="shared" si="3"/>
        <v>2011-133-320287</v>
      </c>
      <c r="C51" s="7">
        <v>44158</v>
      </c>
      <c r="D51" s="5" t="str">
        <f>IF(BD_DETALLE!$E51&gt;=1,CONCATENATE(TEXT(BD_DETALLE!$C51,"YY"),TEXT(BD_DETALLE!$C51,"MM"),"-",BD_DETALLE!$E51),"")</f>
        <v>2011-133</v>
      </c>
      <c r="E51" s="12">
        <v>133</v>
      </c>
      <c r="F51" s="21">
        <v>320287</v>
      </c>
      <c r="G51" s="4" t="str">
        <f>IFERROR(VLOOKUP(BD_DETALLE!$B51,Tabla9[],6,0),"")</f>
        <v>BOQUILLAS  # 538124-05</v>
      </c>
      <c r="H51" s="6">
        <f>IFERROR(VLOOKUP(BD_DETALLE!$B51,Tabla9[],4,0),0)</f>
        <v>6</v>
      </c>
      <c r="I51" s="19" t="s">
        <v>19</v>
      </c>
      <c r="J51" s="20" t="s">
        <v>1066</v>
      </c>
      <c r="K51" s="10">
        <f>IFERROR(VLOOKUP(BD_DETALLE!B51,Tabla9[],7,0),"")</f>
        <v>44161</v>
      </c>
      <c r="L51" s="11">
        <f>IFERROR(VLOOKUP(BD_DETALLE!B51,Tabla9[],8,0),"")</f>
        <v>50673</v>
      </c>
      <c r="M51" s="9">
        <f>IFERROR(SUMIFS(Tabla9[CANTIDAD2],Tabla9[BUSQUEDA],Tabla3[[#This Row],[BUSQUEDA]],Tabla9[CODIGO],Tabla3[[#This Row],[CODIGO]],Tabla9[ORDEN No.],Tabla3[[#This Row],[ORDEN de COMPRA]]),0)</f>
        <v>6</v>
      </c>
      <c r="N51" s="27">
        <f>IFERROR(IF(BD_DETALLE!B51&gt;0,VLOOKUP(BD_DETALLE!B51,Tabla9[],10,0),""),"")</f>
        <v>44291</v>
      </c>
      <c r="O51" s="28">
        <f>IFERROR(VLOOKUP(BD_DETALLE!B51,Tabla9[],11,0),0)</f>
        <v>11705</v>
      </c>
      <c r="P51" s="26">
        <f>IFERROR(SUMIFS(Tabla9[CANTIDAD3],Tabla9[BUSQUEDA],Tabla3[[#This Row],[BUSQUEDA]],Tabla9[CODIGO],Tabla3[[#This Row],[CODIGO]]),0)</f>
        <v>6</v>
      </c>
      <c r="Q51" s="25">
        <f>IF(BD_DETALLE!P51&lt;=0,0,IF(BD_DETALLE!P51=BD_DETALLE!H51,2,1))</f>
        <v>2</v>
      </c>
      <c r="R51" s="24">
        <f ca="1">IF(BD_DETALLE!$C51&gt;0,(IF(BD_DETALLE!$N51=0,TODAY()-BD_DETALLE!$C51,BD_DETALLE!$N51-BD_DETALLE!$C51)),"")</f>
        <v>133</v>
      </c>
    </row>
    <row r="52" spans="2:18" x14ac:dyDescent="0.25">
      <c r="B52" s="15" t="str">
        <f t="shared" si="3"/>
        <v>2011-133-320288</v>
      </c>
      <c r="C52" s="7">
        <v>44158</v>
      </c>
      <c r="D52" s="5" t="str">
        <f>IF(BD_DETALLE!$E52&gt;=1,CONCATENATE(TEXT(BD_DETALLE!$C52,"YY"),TEXT(BD_DETALLE!$C52,"MM"),"-",BD_DETALLE!$E52),"")</f>
        <v>2011-133</v>
      </c>
      <c r="E52" s="12">
        <v>133</v>
      </c>
      <c r="F52" s="21">
        <v>320288</v>
      </c>
      <c r="G52" s="4" t="str">
        <f>IFERROR(VLOOKUP(BD_DETALLE!$B52,Tabla9[],6,0),"")</f>
        <v>ORING  # 223412-25</v>
      </c>
      <c r="H52" s="6">
        <f>IFERROR(VLOOKUP(BD_DETALLE!$B52,Tabla9[],4,0),0)</f>
        <v>8</v>
      </c>
      <c r="I52" s="19" t="s">
        <v>19</v>
      </c>
      <c r="J52" s="20" t="s">
        <v>1066</v>
      </c>
      <c r="K52" s="10">
        <f>IFERROR(VLOOKUP(BD_DETALLE!B52,Tabla9[],7,0),"")</f>
        <v>44161</v>
      </c>
      <c r="L52" s="11">
        <f>IFERROR(VLOOKUP(BD_DETALLE!B52,Tabla9[],8,0),"")</f>
        <v>50673</v>
      </c>
      <c r="M52" s="9">
        <f>IFERROR(SUMIFS(Tabla9[CANTIDAD2],Tabla9[BUSQUEDA],Tabla3[[#This Row],[BUSQUEDA]],Tabla9[CODIGO],Tabla3[[#This Row],[CODIGO]],Tabla9[ORDEN No.],Tabla3[[#This Row],[ORDEN de COMPRA]]),0)</f>
        <v>8</v>
      </c>
      <c r="N52" s="27">
        <f>IFERROR(IF(BD_DETALLE!B52&gt;0,VLOOKUP(BD_DETALLE!B52,Tabla9[],10,0),""),"")</f>
        <v>44291</v>
      </c>
      <c r="O52" s="28">
        <f>IFERROR(VLOOKUP(BD_DETALLE!B52,Tabla9[],11,0),0)</f>
        <v>11705</v>
      </c>
      <c r="P52" s="26">
        <f>IFERROR(SUMIFS(Tabla9[CANTIDAD3],Tabla9[BUSQUEDA],Tabla3[[#This Row],[BUSQUEDA]],Tabla9[CODIGO],Tabla3[[#This Row],[CODIGO]]),0)</f>
        <v>8</v>
      </c>
      <c r="Q52" s="25">
        <f>IF(BD_DETALLE!P52&lt;=0,0,IF(BD_DETALLE!P52=BD_DETALLE!H52,2,1))</f>
        <v>2</v>
      </c>
      <c r="R52" s="24">
        <f ca="1">IF(BD_DETALLE!$C52&gt;0,(IF(BD_DETALLE!$N52=0,TODAY()-BD_DETALLE!$C52,BD_DETALLE!$N52-BD_DETALLE!$C52)),"")</f>
        <v>133</v>
      </c>
    </row>
    <row r="53" spans="2:18" x14ac:dyDescent="0.25">
      <c r="B53" s="15" t="str">
        <f t="shared" si="3"/>
        <v>2011-133-320289</v>
      </c>
      <c r="C53" s="7">
        <v>44158</v>
      </c>
      <c r="D53" s="5" t="str">
        <f>IF(BD_DETALLE!$E53&gt;=1,CONCATENATE(TEXT(BD_DETALLE!$C53,"YY"),TEXT(BD_DETALLE!$C53,"MM"),"-",BD_DETALLE!$E53),"")</f>
        <v>2011-133</v>
      </c>
      <c r="E53" s="12">
        <v>133</v>
      </c>
      <c r="F53" s="21">
        <v>320289</v>
      </c>
      <c r="G53" s="4" t="str">
        <f>IFERROR(VLOOKUP(BD_DETALLE!$B53,Tabla9[],6,0),"")</f>
        <v>ORING  # 223412-94</v>
      </c>
      <c r="H53" s="6">
        <f>IFERROR(VLOOKUP(BD_DETALLE!$B53,Tabla9[],4,0),0)</f>
        <v>8</v>
      </c>
      <c r="I53" s="19" t="s">
        <v>19</v>
      </c>
      <c r="J53" s="20" t="s">
        <v>1066</v>
      </c>
      <c r="K53" s="10">
        <f>IFERROR(VLOOKUP(BD_DETALLE!B53,Tabla9[],7,0),"")</f>
        <v>44161</v>
      </c>
      <c r="L53" s="11">
        <f>IFERROR(VLOOKUP(BD_DETALLE!B53,Tabla9[],8,0),"")</f>
        <v>50673</v>
      </c>
      <c r="M53" s="9">
        <f>IFERROR(SUMIFS(Tabla9[CANTIDAD2],Tabla9[BUSQUEDA],Tabla3[[#This Row],[BUSQUEDA]],Tabla9[CODIGO],Tabla3[[#This Row],[CODIGO]],Tabla9[ORDEN No.],Tabla3[[#This Row],[ORDEN de COMPRA]]),0)</f>
        <v>8</v>
      </c>
      <c r="N53" s="27">
        <f>IFERROR(IF(BD_DETALLE!B53&gt;0,VLOOKUP(BD_DETALLE!B53,Tabla9[],10,0),""),"")</f>
        <v>44291</v>
      </c>
      <c r="O53" s="28">
        <f>IFERROR(VLOOKUP(BD_DETALLE!B53,Tabla9[],11,0),0)</f>
        <v>11705</v>
      </c>
      <c r="P53" s="26">
        <f>IFERROR(SUMIFS(Tabla9[CANTIDAD3],Tabla9[BUSQUEDA],Tabla3[[#This Row],[BUSQUEDA]],Tabla9[CODIGO],Tabla3[[#This Row],[CODIGO]]),0)</f>
        <v>8</v>
      </c>
      <c r="Q53" s="25">
        <f>IF(BD_DETALLE!P53&lt;=0,0,IF(BD_DETALLE!P53=BD_DETALLE!H53,2,1))</f>
        <v>2</v>
      </c>
      <c r="R53" s="24">
        <f ca="1">IF(BD_DETALLE!$C53&gt;0,(IF(BD_DETALLE!$N53=0,TODAY()-BD_DETALLE!$C53,BD_DETALLE!$N53-BD_DETALLE!$C53)),"")</f>
        <v>133</v>
      </c>
    </row>
    <row r="54" spans="2:18" x14ac:dyDescent="0.25">
      <c r="B54" s="15" t="str">
        <f t="shared" ref="B54:B60" si="4">IFERROR(TEXT(C54,"yy") &amp; TEXT(C54,"mm") &amp;"-"&amp;(E54) &amp;"-"&amp;(F54),"")</f>
        <v>2011-133-320290</v>
      </c>
      <c r="C54" s="7">
        <v>44158</v>
      </c>
      <c r="D54" s="5" t="str">
        <f>IF(BD_DETALLE!$E54&gt;=1,CONCATENATE(TEXT(BD_DETALLE!$C54,"YY"),TEXT(BD_DETALLE!$C54,"MM"),"-",BD_DETALLE!$E54),"")</f>
        <v>2011-133</v>
      </c>
      <c r="E54" s="12">
        <v>133</v>
      </c>
      <c r="F54" s="21">
        <v>320290</v>
      </c>
      <c r="G54" s="4" t="str">
        <f>IFERROR(VLOOKUP(BD_DETALLE!$B54,Tabla9[],6,0),"")</f>
        <v>JUNTA  #  223412-88</v>
      </c>
      <c r="H54" s="6">
        <f>IFERROR(VLOOKUP(BD_DETALLE!$B54,Tabla9[],4,0),0)</f>
        <v>8</v>
      </c>
      <c r="I54" s="19" t="s">
        <v>19</v>
      </c>
      <c r="J54" s="20" t="s">
        <v>1066</v>
      </c>
      <c r="K54" s="10">
        <f>IFERROR(VLOOKUP(BD_DETALLE!B54,Tabla9[],7,0),"")</f>
        <v>44161</v>
      </c>
      <c r="L54" s="11">
        <f>IFERROR(VLOOKUP(BD_DETALLE!B54,Tabla9[],8,0),"")</f>
        <v>50673</v>
      </c>
      <c r="M54" s="9">
        <f>IFERROR(SUMIFS(Tabla9[CANTIDAD2],Tabla9[BUSQUEDA],Tabla3[[#This Row],[BUSQUEDA]],Tabla9[CODIGO],Tabla3[[#This Row],[CODIGO]],Tabla9[ORDEN No.],Tabla3[[#This Row],[ORDEN de COMPRA]]),0)</f>
        <v>8</v>
      </c>
      <c r="N54" s="27">
        <f>IFERROR(IF(BD_DETALLE!B54&gt;0,VLOOKUP(BD_DETALLE!B54,Tabla9[],10,0),""),"")</f>
        <v>44291</v>
      </c>
      <c r="O54" s="28">
        <f>IFERROR(VLOOKUP(BD_DETALLE!B54,Tabla9[],11,0),0)</f>
        <v>11705</v>
      </c>
      <c r="P54" s="26">
        <f>IFERROR(SUMIFS(Tabla9[CANTIDAD3],Tabla9[BUSQUEDA],Tabla3[[#This Row],[BUSQUEDA]],Tabla9[CODIGO],Tabla3[[#This Row],[CODIGO]]),0)</f>
        <v>8</v>
      </c>
      <c r="Q54" s="25">
        <f>IF(BD_DETALLE!P54&lt;=0,0,IF(BD_DETALLE!P54=BD_DETALLE!H54,2,1))</f>
        <v>2</v>
      </c>
      <c r="R54" s="24">
        <f ca="1">IF(BD_DETALLE!$C54&gt;0,(IF(BD_DETALLE!$N54=0,TODAY()-BD_DETALLE!$C54,BD_DETALLE!$N54-BD_DETALLE!$C54)),"")</f>
        <v>133</v>
      </c>
    </row>
    <row r="55" spans="2:18" x14ac:dyDescent="0.25">
      <c r="B55" s="15" t="str">
        <f t="shared" si="4"/>
        <v>2011-133-320291</v>
      </c>
      <c r="C55" s="7">
        <v>44158</v>
      </c>
      <c r="D55" s="5" t="str">
        <f>IF(BD_DETALLE!$E55&gt;=1,CONCATENATE(TEXT(BD_DETALLE!$C55,"YY"),TEXT(BD_DETALLE!$C55,"MM"),"-",BD_DETALLE!$E55),"")</f>
        <v>2011-133</v>
      </c>
      <c r="E55" s="12">
        <v>133</v>
      </c>
      <c r="F55" s="21">
        <v>320291</v>
      </c>
      <c r="G55" s="4" t="str">
        <f>IFERROR(VLOOKUP(BD_DETALLE!$B55,Tabla9[],6,0),"")</f>
        <v>JUNTA  # 71162</v>
      </c>
      <c r="H55" s="6">
        <f>IFERROR(VLOOKUP(BD_DETALLE!$B55,Tabla9[],4,0),0)</f>
        <v>12</v>
      </c>
      <c r="I55" s="19" t="s">
        <v>19</v>
      </c>
      <c r="J55" s="20" t="s">
        <v>1066</v>
      </c>
      <c r="K55" s="10">
        <f>IFERROR(VLOOKUP(BD_DETALLE!B55,Tabla9[],7,0),"")</f>
        <v>44161</v>
      </c>
      <c r="L55" s="11">
        <f>IFERROR(VLOOKUP(BD_DETALLE!B55,Tabla9[],8,0),"")</f>
        <v>50673</v>
      </c>
      <c r="M55" s="9">
        <f>IFERROR(SUMIFS(Tabla9[CANTIDAD2],Tabla9[BUSQUEDA],Tabla3[[#This Row],[BUSQUEDA]],Tabla9[CODIGO],Tabla3[[#This Row],[CODIGO]],Tabla9[ORDEN No.],Tabla3[[#This Row],[ORDEN de COMPRA]]),0)</f>
        <v>12</v>
      </c>
      <c r="N55" s="27">
        <f>IFERROR(IF(BD_DETALLE!B55&gt;0,VLOOKUP(BD_DETALLE!B55,Tabla9[],10,0),""),"")</f>
        <v>44291</v>
      </c>
      <c r="O55" s="28">
        <f>IFERROR(VLOOKUP(BD_DETALLE!B55,Tabla9[],11,0),0)</f>
        <v>11705</v>
      </c>
      <c r="P55" s="26">
        <f>IFERROR(SUMIFS(Tabla9[CANTIDAD3],Tabla9[BUSQUEDA],Tabla3[[#This Row],[BUSQUEDA]],Tabla9[CODIGO],Tabla3[[#This Row],[CODIGO]]),0)</f>
        <v>12</v>
      </c>
      <c r="Q55" s="25">
        <f>IF(BD_DETALLE!P55&lt;=0,0,IF(BD_DETALLE!P55=BD_DETALLE!H55,2,1))</f>
        <v>2</v>
      </c>
      <c r="R55" s="24">
        <f ca="1">IF(BD_DETALLE!$C55&gt;0,(IF(BD_DETALLE!$N55=0,TODAY()-BD_DETALLE!$C55,BD_DETALLE!$N55-BD_DETALLE!$C55)),"")</f>
        <v>133</v>
      </c>
    </row>
    <row r="56" spans="2:18" x14ac:dyDescent="0.25">
      <c r="B56" s="15" t="str">
        <f t="shared" si="4"/>
        <v>2011-133-320293</v>
      </c>
      <c r="C56" s="7">
        <v>44158</v>
      </c>
      <c r="D56" s="5" t="str">
        <f>IF(BD_DETALLE!$E56&gt;=1,CONCATENATE(TEXT(BD_DETALLE!$C56,"YY"),TEXT(BD_DETALLE!$C56,"MM"),"-",BD_DETALLE!$E56),"")</f>
        <v>2011-133</v>
      </c>
      <c r="E56" s="12">
        <v>133</v>
      </c>
      <c r="F56" s="21">
        <v>320293</v>
      </c>
      <c r="G56" s="4" t="str">
        <f>IFERROR(VLOOKUP(BD_DETALLE!$B56,Tabla9[],6,0),"")</f>
        <v>JUNTA # 65247</v>
      </c>
      <c r="H56" s="6">
        <f>IFERROR(VLOOKUP(BD_DETALLE!$B56,Tabla9[],4,0),0)</f>
        <v>2</v>
      </c>
      <c r="I56" s="19" t="s">
        <v>19</v>
      </c>
      <c r="J56" s="20" t="s">
        <v>1066</v>
      </c>
      <c r="K56" s="10">
        <f>IFERROR(VLOOKUP(BD_DETALLE!B56,Tabla9[],7,0),"")</f>
        <v>44161</v>
      </c>
      <c r="L56" s="11">
        <f>IFERROR(VLOOKUP(BD_DETALLE!B56,Tabla9[],8,0),"")</f>
        <v>50673</v>
      </c>
      <c r="M56" s="9">
        <f>IFERROR(SUMIFS(Tabla9[CANTIDAD2],Tabla9[BUSQUEDA],Tabla3[[#This Row],[BUSQUEDA]],Tabla9[CODIGO],Tabla3[[#This Row],[CODIGO]],Tabla9[ORDEN No.],Tabla3[[#This Row],[ORDEN de COMPRA]]),0)</f>
        <v>2</v>
      </c>
      <c r="N56" s="27">
        <f>IFERROR(IF(BD_DETALLE!B56&gt;0,VLOOKUP(BD_DETALLE!B56,Tabla9[],10,0),""),"")</f>
        <v>44291</v>
      </c>
      <c r="O56" s="28">
        <f>IFERROR(VLOOKUP(BD_DETALLE!B56,Tabla9[],11,0),0)</f>
        <v>11705</v>
      </c>
      <c r="P56" s="26">
        <f>IFERROR(SUMIFS(Tabla9[CANTIDAD3],Tabla9[BUSQUEDA],Tabla3[[#This Row],[BUSQUEDA]],Tabla9[CODIGO],Tabla3[[#This Row],[CODIGO]]),0)</f>
        <v>2</v>
      </c>
      <c r="Q56" s="25">
        <f>IF(BD_DETALLE!P56&lt;=0,0,IF(BD_DETALLE!P56=BD_DETALLE!H56,2,1))</f>
        <v>2</v>
      </c>
      <c r="R56" s="24">
        <f ca="1">IF(BD_DETALLE!$C56&gt;0,(IF(BD_DETALLE!$N56=0,TODAY()-BD_DETALLE!$C56,BD_DETALLE!$N56-BD_DETALLE!$C56)),"")</f>
        <v>133</v>
      </c>
    </row>
    <row r="57" spans="2:18" x14ac:dyDescent="0.25">
      <c r="B57" s="15" t="str">
        <f t="shared" si="4"/>
        <v>2011-133-320295</v>
      </c>
      <c r="C57" s="7">
        <v>44158</v>
      </c>
      <c r="D57" s="5" t="str">
        <f>IF(BD_DETALLE!$E57&gt;=1,CONCATENATE(TEXT(BD_DETALLE!$C57,"YY"),TEXT(BD_DETALLE!$C57,"MM"),"-",BD_DETALLE!$E57),"")</f>
        <v>2011-133</v>
      </c>
      <c r="E57" s="12">
        <v>133</v>
      </c>
      <c r="F57" s="21">
        <v>320295</v>
      </c>
      <c r="G57" s="4" t="str">
        <f>IFERROR(VLOOKUP(BD_DETALLE!$B57,Tabla9[],6,0),"")</f>
        <v>JUNTA  # 190604</v>
      </c>
      <c r="H57" s="6">
        <f>IFERROR(VLOOKUP(BD_DETALLE!$B57,Tabla9[],4,0),0)</f>
        <v>24</v>
      </c>
      <c r="I57" s="19" t="s">
        <v>19</v>
      </c>
      <c r="J57" s="20" t="s">
        <v>1066</v>
      </c>
      <c r="K57" s="10">
        <f>IFERROR(VLOOKUP(BD_DETALLE!B57,Tabla9[],7,0),"")</f>
        <v>44161</v>
      </c>
      <c r="L57" s="11">
        <f>IFERROR(VLOOKUP(BD_DETALLE!B57,Tabla9[],8,0),"")</f>
        <v>50673</v>
      </c>
      <c r="M57" s="9">
        <f>IFERROR(SUMIFS(Tabla9[CANTIDAD2],Tabla9[BUSQUEDA],Tabla3[[#This Row],[BUSQUEDA]],Tabla9[CODIGO],Tabla3[[#This Row],[CODIGO]],Tabla9[ORDEN No.],Tabla3[[#This Row],[ORDEN de COMPRA]]),0)</f>
        <v>24</v>
      </c>
      <c r="N57" s="27">
        <f>IFERROR(IF(BD_DETALLE!B57&gt;0,VLOOKUP(BD_DETALLE!B57,Tabla9[],10,0),""),"")</f>
        <v>44291</v>
      </c>
      <c r="O57" s="28">
        <f>IFERROR(VLOOKUP(BD_DETALLE!B57,Tabla9[],11,0),0)</f>
        <v>11705</v>
      </c>
      <c r="P57" s="26">
        <f>IFERROR(SUMIFS(Tabla9[CANTIDAD3],Tabla9[BUSQUEDA],Tabla3[[#This Row],[BUSQUEDA]],Tabla9[CODIGO],Tabla3[[#This Row],[CODIGO]]),0)</f>
        <v>24</v>
      </c>
      <c r="Q57" s="25">
        <f>IF(BD_DETALLE!P57&lt;=0,0,IF(BD_DETALLE!P57=BD_DETALLE!H57,2,1))</f>
        <v>2</v>
      </c>
      <c r="R57" s="24">
        <f ca="1">IF(BD_DETALLE!$C57&gt;0,(IF(BD_DETALLE!$N57=0,TODAY()-BD_DETALLE!$C57,BD_DETALLE!$N57-BD_DETALLE!$C57)),"")</f>
        <v>133</v>
      </c>
    </row>
    <row r="58" spans="2:18" x14ac:dyDescent="0.25">
      <c r="B58" s="15" t="str">
        <f t="shared" si="4"/>
        <v>2011-133-320296</v>
      </c>
      <c r="C58" s="7">
        <v>44158</v>
      </c>
      <c r="D58" s="5" t="str">
        <f>IF(BD_DETALLE!$E58&gt;=1,CONCATENATE(TEXT(BD_DETALLE!$C58,"YY"),TEXT(BD_DETALLE!$C58,"MM"),"-",BD_DETALLE!$E58),"")</f>
        <v>2011-133</v>
      </c>
      <c r="E58" s="12">
        <v>133</v>
      </c>
      <c r="F58" s="21">
        <v>320296</v>
      </c>
      <c r="G58" s="4" t="str">
        <f>IFERROR(VLOOKUP(BD_DETALLE!$B58,Tabla9[],6,0),"")</f>
        <v>JUNTA  #  190991</v>
      </c>
      <c r="H58" s="6">
        <f>IFERROR(VLOOKUP(BD_DETALLE!$B58,Tabla9[],4,0),0)</f>
        <v>8</v>
      </c>
      <c r="I58" s="19" t="s">
        <v>19</v>
      </c>
      <c r="J58" s="20" t="s">
        <v>1066</v>
      </c>
      <c r="K58" s="10">
        <f>IFERROR(VLOOKUP(BD_DETALLE!B58,Tabla9[],7,0),"")</f>
        <v>44161</v>
      </c>
      <c r="L58" s="11">
        <f>IFERROR(VLOOKUP(BD_DETALLE!B58,Tabla9[],8,0),"")</f>
        <v>50673</v>
      </c>
      <c r="M58" s="9">
        <f>IFERROR(SUMIFS(Tabla9[CANTIDAD2],Tabla9[BUSQUEDA],Tabla3[[#This Row],[BUSQUEDA]],Tabla9[CODIGO],Tabla3[[#This Row],[CODIGO]],Tabla9[ORDEN No.],Tabla3[[#This Row],[ORDEN de COMPRA]]),0)</f>
        <v>8</v>
      </c>
      <c r="N58" s="27">
        <f>IFERROR(IF(BD_DETALLE!B58&gt;0,VLOOKUP(BD_DETALLE!B58,Tabla9[],10,0),""),"")</f>
        <v>44291</v>
      </c>
      <c r="O58" s="28">
        <f>IFERROR(VLOOKUP(BD_DETALLE!B58,Tabla9[],11,0),0)</f>
        <v>11705</v>
      </c>
      <c r="P58" s="26">
        <f>IFERROR(SUMIFS(Tabla9[CANTIDAD3],Tabla9[BUSQUEDA],Tabla3[[#This Row],[BUSQUEDA]],Tabla9[CODIGO],Tabla3[[#This Row],[CODIGO]]),0)</f>
        <v>8</v>
      </c>
      <c r="Q58" s="25">
        <f>IF(BD_DETALLE!P58&lt;=0,0,IF(BD_DETALLE!P58=BD_DETALLE!H58,2,1))</f>
        <v>2</v>
      </c>
      <c r="R58" s="24">
        <f ca="1">IF(BD_DETALLE!$C58&gt;0,(IF(BD_DETALLE!$N58=0,TODAY()-BD_DETALLE!$C58,BD_DETALLE!$N58-BD_DETALLE!$C58)),"")</f>
        <v>133</v>
      </c>
    </row>
    <row r="59" spans="2:18" x14ac:dyDescent="0.25">
      <c r="B59" s="15" t="str">
        <f t="shared" si="4"/>
        <v>2011-133-320297</v>
      </c>
      <c r="C59" s="7">
        <v>44158</v>
      </c>
      <c r="D59" s="5" t="str">
        <f>IF(BD_DETALLE!$E59&gt;=1,CONCATENATE(TEXT(BD_DETALLE!$C59,"YY"),TEXT(BD_DETALLE!$C59,"MM"),"-",BD_DETALLE!$E59),"")</f>
        <v>2011-133</v>
      </c>
      <c r="E59" s="12">
        <v>133</v>
      </c>
      <c r="F59" s="21">
        <v>320297</v>
      </c>
      <c r="G59" s="4" t="str">
        <f>IFERROR(VLOOKUP(BD_DETALLE!$B59,Tabla9[],6,0),"")</f>
        <v>VALVULA  # 31801-1444-1</v>
      </c>
      <c r="H59" s="6">
        <f>IFERROR(VLOOKUP(BD_DETALLE!$B59,Tabla9[],4,0),0)</f>
        <v>1</v>
      </c>
      <c r="I59" s="19" t="s">
        <v>19</v>
      </c>
      <c r="J59" s="20" t="s">
        <v>1066</v>
      </c>
      <c r="K59" s="10">
        <f>IFERROR(VLOOKUP(BD_DETALLE!B59,Tabla9[],7,0),"")</f>
        <v>44161</v>
      </c>
      <c r="L59" s="11">
        <f>IFERROR(VLOOKUP(BD_DETALLE!B59,Tabla9[],8,0),"")</f>
        <v>50673</v>
      </c>
      <c r="M59" s="9">
        <f>IFERROR(SUMIFS(Tabla9[CANTIDAD2],Tabla9[BUSQUEDA],Tabla3[[#This Row],[BUSQUEDA]],Tabla9[CODIGO],Tabla3[[#This Row],[CODIGO]],Tabla9[ORDEN No.],Tabla3[[#This Row],[ORDEN de COMPRA]]),0)</f>
        <v>1</v>
      </c>
      <c r="N59" s="27">
        <f>IFERROR(IF(BD_DETALLE!B59&gt;0,VLOOKUP(BD_DETALLE!B59,Tabla9[],10,0),""),"")</f>
        <v>44291</v>
      </c>
      <c r="O59" s="28">
        <f>IFERROR(VLOOKUP(BD_DETALLE!B59,Tabla9[],11,0),0)</f>
        <v>11705</v>
      </c>
      <c r="P59" s="26">
        <f>IFERROR(SUMIFS(Tabla9[CANTIDAD3],Tabla9[BUSQUEDA],Tabla3[[#This Row],[BUSQUEDA]],Tabla9[CODIGO],Tabla3[[#This Row],[CODIGO]]),0)</f>
        <v>1</v>
      </c>
      <c r="Q59" s="25">
        <f>IF(BD_DETALLE!P59&lt;=0,0,IF(BD_DETALLE!P59=BD_DETALLE!H59,2,1))</f>
        <v>2</v>
      </c>
      <c r="R59" s="24">
        <f ca="1">IF(BD_DETALLE!$C59&gt;0,(IF(BD_DETALLE!$N59=0,TODAY()-BD_DETALLE!$C59,BD_DETALLE!$N59-BD_DETALLE!$C59)),"")</f>
        <v>133</v>
      </c>
    </row>
    <row r="60" spans="2:18" x14ac:dyDescent="0.25">
      <c r="B60" s="15" t="str">
        <f t="shared" si="4"/>
        <v>2011-133-320245</v>
      </c>
      <c r="C60" s="7">
        <v>44158</v>
      </c>
      <c r="D60" s="5" t="str">
        <f>IF(BD_DETALLE!$E60&gt;=1,CONCATENATE(TEXT(BD_DETALLE!$C60,"YY"),TEXT(BD_DETALLE!$C60,"MM"),"-",BD_DETALLE!$E60),"")</f>
        <v>2011-133</v>
      </c>
      <c r="E60" s="12">
        <v>133</v>
      </c>
      <c r="F60" s="21">
        <v>320245</v>
      </c>
      <c r="G60" s="4" t="str">
        <f>IFERROR(VLOOKUP(BD_DETALLE!$B60,Tabla9[],6,0),"")</f>
        <v>JUNTA  # 223406-62</v>
      </c>
      <c r="H60" s="6">
        <f>IFERROR(VLOOKUP(BD_DETALLE!$B60,Tabla9[],4,0),0)</f>
        <v>12</v>
      </c>
      <c r="I60" s="19" t="s">
        <v>19</v>
      </c>
      <c r="J60" s="20" t="s">
        <v>1066</v>
      </c>
      <c r="K60" s="10">
        <f>IFERROR(VLOOKUP(BD_DETALLE!B60,Tabla9[],7,0),"")</f>
        <v>44161</v>
      </c>
      <c r="L60" s="11">
        <f>IFERROR(VLOOKUP(BD_DETALLE!B60,Tabla9[],8,0),"")</f>
        <v>50673</v>
      </c>
      <c r="M60" s="9">
        <f>IFERROR(SUMIFS(Tabla9[CANTIDAD2],Tabla9[BUSQUEDA],Tabla3[[#This Row],[BUSQUEDA]],Tabla9[CODIGO],Tabla3[[#This Row],[CODIGO]],Tabla9[ORDEN No.],Tabla3[[#This Row],[ORDEN de COMPRA]]),0)</f>
        <v>12</v>
      </c>
      <c r="N60" s="27">
        <f>IFERROR(IF(BD_DETALLE!B60&gt;0,VLOOKUP(BD_DETALLE!B60,Tabla9[],10,0),""),"")</f>
        <v>44291</v>
      </c>
      <c r="O60" s="28">
        <f>IFERROR(VLOOKUP(BD_DETALLE!B60,Tabla9[],11,0),0)</f>
        <v>11705</v>
      </c>
      <c r="P60" s="26">
        <f>IFERROR(SUMIFS(Tabla9[CANTIDAD3],Tabla9[BUSQUEDA],Tabla3[[#This Row],[BUSQUEDA]],Tabla9[CODIGO],Tabla3[[#This Row],[CODIGO]]),0)</f>
        <v>12</v>
      </c>
      <c r="Q60" s="25">
        <f>IF(BD_DETALLE!P60&lt;=0,0,IF(BD_DETALLE!P60=BD_DETALLE!H60,2,1))</f>
        <v>2</v>
      </c>
      <c r="R60" s="24">
        <f ca="1">IF(BD_DETALLE!$C60&gt;0,(IF(BD_DETALLE!$N60=0,TODAY()-BD_DETALLE!$C60,BD_DETALLE!$N60-BD_DETALLE!$C60)),"")</f>
        <v>133</v>
      </c>
    </row>
    <row r="61" spans="2:18" x14ac:dyDescent="0.25">
      <c r="B61" s="15" t="str">
        <f t="shared" ref="B61:B76" si="5">IFERROR(TEXT(C61,"yy") &amp; TEXT(C61,"mm") &amp;"-"&amp;(E61) &amp;"-"&amp;(F61),"")</f>
        <v>2011-148-300716</v>
      </c>
      <c r="C61" s="7">
        <v>44159</v>
      </c>
      <c r="D61" s="5" t="str">
        <f>IF(BD_DETALLE!$E61&gt;=1,CONCATENATE(TEXT(BD_DETALLE!$C61,"YY"),TEXT(BD_DETALLE!$C61,"MM"),"-",BD_DETALLE!$E61),"")</f>
        <v>2011-148</v>
      </c>
      <c r="E61" s="12">
        <v>148</v>
      </c>
      <c r="F61" s="21">
        <v>300716</v>
      </c>
      <c r="G61" s="4" t="str">
        <f>IFERROR(VLOOKUP(BD_DETALLE!$B61,Tabla9[],6,0),"")</f>
        <v>EJE ACERO TRANSMICION DE 2" X 90 CMTRS LARGO</v>
      </c>
      <c r="H61" s="6">
        <f>IFERROR(VLOOKUP(BD_DETALLE!$B61,Tabla9[],4,0),0)</f>
        <v>1</v>
      </c>
      <c r="I61" s="19" t="s">
        <v>19</v>
      </c>
      <c r="J61" s="20" t="s">
        <v>1067</v>
      </c>
      <c r="K61" s="10">
        <f>IFERROR(VLOOKUP(BD_DETALLE!B61,Tabla9[],7,0),"")</f>
        <v>44161</v>
      </c>
      <c r="L61" s="11">
        <f>IFERROR(VLOOKUP(BD_DETALLE!B61,Tabla9[],8,0),"")</f>
        <v>50669</v>
      </c>
      <c r="M61" s="9">
        <f>IFERROR(SUMIFS(Tabla9[CANTIDAD2],Tabla9[BUSQUEDA],Tabla3[[#This Row],[BUSQUEDA]],Tabla9[CODIGO],Tabla3[[#This Row],[CODIGO]],Tabla9[ORDEN No.],Tabla3[[#This Row],[ORDEN de COMPRA]]),0)</f>
        <v>1</v>
      </c>
      <c r="N61" s="27">
        <f>IFERROR(IF(BD_DETALLE!B61&gt;0,VLOOKUP(BD_DETALLE!B61,Tabla9[],10,0),""),"")</f>
        <v>0</v>
      </c>
      <c r="O61" s="28">
        <f>IFERROR(VLOOKUP(BD_DETALLE!B61,Tabla9[],11,0),0)</f>
        <v>0</v>
      </c>
      <c r="P61" s="26">
        <f>IFERROR(SUMIFS(Tabla9[CANTIDAD3],Tabla9[BUSQUEDA],Tabla3[[#This Row],[BUSQUEDA]],Tabla9[CODIGO],Tabla3[[#This Row],[CODIGO]]),0)</f>
        <v>0</v>
      </c>
      <c r="Q61" s="25">
        <f>IF(BD_DETALLE!P61&lt;=0,0,IF(BD_DETALLE!P61=BD_DETALLE!H61,2,1))</f>
        <v>0</v>
      </c>
      <c r="R61" s="24">
        <f ca="1">IF(BD_DETALLE!$C61&gt;0,(IF(BD_DETALLE!$N61=0,TODAY()-BD_DETALLE!$C61,BD_DETALLE!$N61-BD_DETALLE!$C61)),"")</f>
        <v>146</v>
      </c>
    </row>
    <row r="62" spans="2:18" x14ac:dyDescent="0.25">
      <c r="B62" s="15" t="str">
        <f t="shared" si="5"/>
        <v>2011-151-200683</v>
      </c>
      <c r="C62" s="7">
        <v>44160</v>
      </c>
      <c r="D62" s="5" t="str">
        <f>IF(BD_DETALLE!$E62&gt;=1,CONCATENATE(TEXT(BD_DETALLE!$C62,"YY"),TEXT(BD_DETALLE!$C62,"MM"),"-",BD_DETALLE!$E62),"")</f>
        <v>2011-151</v>
      </c>
      <c r="E62" s="12">
        <v>151</v>
      </c>
      <c r="F62" s="21">
        <v>200683</v>
      </c>
      <c r="G62" s="4" t="str">
        <f>IFERROR(VLOOKUP(BD_DETALLE!$B62,Tabla9[],6,0),"")</f>
        <v>ALAMBRE ESMALTADO N║ 19</v>
      </c>
      <c r="H62" s="6">
        <f>IFERROR(VLOOKUP(BD_DETALLE!$B62,Tabla9[],4,0),0)</f>
        <v>25</v>
      </c>
      <c r="I62" s="19" t="s">
        <v>14</v>
      </c>
      <c r="J62" s="20" t="s">
        <v>1068</v>
      </c>
      <c r="K62" s="10">
        <f>IFERROR(VLOOKUP(BD_DETALLE!B62,Tabla9[],7,0),"")</f>
        <v>0</v>
      </c>
      <c r="L62" s="11">
        <f>IFERROR(VLOOKUP(BD_DETALLE!B62,Tabla9[],8,0),"")</f>
        <v>0</v>
      </c>
      <c r="M62" s="9">
        <f>IFERROR(SUMIFS(Tabla9[CANTIDAD2],Tabla9[BUSQUEDA],Tabla3[[#This Row],[BUSQUEDA]],Tabla9[CODIGO],Tabla3[[#This Row],[CODIGO]],Tabla9[ORDEN No.],Tabla3[[#This Row],[ORDEN de COMPRA]]),0)</f>
        <v>0</v>
      </c>
      <c r="N62" s="27">
        <f>IFERROR(IF(BD_DETALLE!B62&gt;0,VLOOKUP(BD_DETALLE!B62,Tabla9[],10,0),""),"")</f>
        <v>0</v>
      </c>
      <c r="O62" s="28">
        <f>IFERROR(VLOOKUP(BD_DETALLE!B62,Tabla9[],11,0),0)</f>
        <v>0</v>
      </c>
      <c r="P62" s="26">
        <f>IFERROR(SUMIFS(Tabla9[CANTIDAD3],Tabla9[BUSQUEDA],Tabla3[[#This Row],[BUSQUEDA]],Tabla9[CODIGO],Tabla3[[#This Row],[CODIGO]]),0)</f>
        <v>0</v>
      </c>
      <c r="Q62" s="25">
        <f>IF(BD_DETALLE!P62&lt;=0,0,IF(BD_DETALLE!P62=BD_DETALLE!H62,2,1))</f>
        <v>0</v>
      </c>
      <c r="R62" s="24">
        <f ca="1">IF(BD_DETALLE!$C62&gt;0,(IF(BD_DETALLE!$N62=0,TODAY()-BD_DETALLE!$C62,BD_DETALLE!$N62-BD_DETALLE!$C62)),"")</f>
        <v>145</v>
      </c>
    </row>
    <row r="63" spans="2:18" x14ac:dyDescent="0.25">
      <c r="B63" s="15" t="str">
        <f t="shared" si="5"/>
        <v>2011-151-301851</v>
      </c>
      <c r="C63" s="7">
        <v>44160</v>
      </c>
      <c r="D63" s="5" t="str">
        <f>IF(BD_DETALLE!$E63&gt;=1,CONCATENATE(TEXT(BD_DETALLE!$C63,"YY"),TEXT(BD_DETALLE!$C63,"MM"),"-",BD_DETALLE!$E63),"")</f>
        <v>2011-151</v>
      </c>
      <c r="E63" s="12">
        <v>151</v>
      </c>
      <c r="F63" s="21">
        <v>301851</v>
      </c>
      <c r="G63" s="4" t="str">
        <f>IFERROR(VLOOKUP(BD_DETALLE!$B63,Tabla9[],6,0),"")</f>
        <v>PAPEL NOMEX 555</v>
      </c>
      <c r="H63" s="6">
        <f>IFERROR(VLOOKUP(BD_DETALLE!$B63,Tabla9[],4,0),0)</f>
        <v>2</v>
      </c>
      <c r="I63" s="19" t="s">
        <v>14</v>
      </c>
      <c r="J63" s="20" t="s">
        <v>1068</v>
      </c>
      <c r="K63" s="10">
        <f>IFERROR(VLOOKUP(BD_DETALLE!B63,Tabla9[],7,0),"")</f>
        <v>0</v>
      </c>
      <c r="L63" s="11">
        <f>IFERROR(VLOOKUP(BD_DETALLE!B63,Tabla9[],8,0),"")</f>
        <v>0</v>
      </c>
      <c r="M63" s="9">
        <f>IFERROR(SUMIFS(Tabla9[CANTIDAD2],Tabla9[BUSQUEDA],Tabla3[[#This Row],[BUSQUEDA]],Tabla9[CODIGO],Tabla3[[#This Row],[CODIGO]],Tabla9[ORDEN No.],Tabla3[[#This Row],[ORDEN de COMPRA]]),0)</f>
        <v>0</v>
      </c>
      <c r="N63" s="27">
        <f>IFERROR(IF(BD_DETALLE!B63&gt;0,VLOOKUP(BD_DETALLE!B63,Tabla9[],10,0),""),"")</f>
        <v>0</v>
      </c>
      <c r="O63" s="28">
        <f>IFERROR(VLOOKUP(BD_DETALLE!B63,Tabla9[],11,0),0)</f>
        <v>0</v>
      </c>
      <c r="P63" s="26">
        <f>IFERROR(SUMIFS(Tabla9[CANTIDAD3],Tabla9[BUSQUEDA],Tabla3[[#This Row],[BUSQUEDA]],Tabla9[CODIGO],Tabla3[[#This Row],[CODIGO]]),0)</f>
        <v>0</v>
      </c>
      <c r="Q63" s="25">
        <f>IF(BD_DETALLE!P63&lt;=0,0,IF(BD_DETALLE!P63=BD_DETALLE!H63,2,1))</f>
        <v>0</v>
      </c>
      <c r="R63" s="24">
        <f ca="1">IF(BD_DETALLE!$C63&gt;0,(IF(BD_DETALLE!$N63=0,TODAY()-BD_DETALLE!$C63,BD_DETALLE!$N63-BD_DETALLE!$C63)),"")</f>
        <v>145</v>
      </c>
    </row>
    <row r="64" spans="2:18" x14ac:dyDescent="0.25">
      <c r="B64" s="15" t="str">
        <f t="shared" si="5"/>
        <v>2011-151-312328</v>
      </c>
      <c r="C64" s="7">
        <v>44160</v>
      </c>
      <c r="D64" s="5" t="str">
        <f>IF(BD_DETALLE!$E64&gt;=1,CONCATENATE(TEXT(BD_DETALLE!$C64,"YY"),TEXT(BD_DETALLE!$C64,"MM"),"-",BD_DETALLE!$E64),"")</f>
        <v>2011-151</v>
      </c>
      <c r="E64" s="12">
        <v>151</v>
      </c>
      <c r="F64" s="21">
        <v>312328</v>
      </c>
      <c r="G64" s="4" t="str">
        <f>IFERROR(VLOOKUP(BD_DETALLE!$B64,Tabla9[],6,0),"")</f>
        <v>BARNIZ DOLPH'S TRANSPARENTE AC-43</v>
      </c>
      <c r="H64" s="6">
        <f>IFERROR(VLOOKUP(BD_DETALLE!$B64,Tabla9[],4,0),0)</f>
        <v>2</v>
      </c>
      <c r="I64" s="19" t="s">
        <v>14</v>
      </c>
      <c r="J64" s="20" t="s">
        <v>1068</v>
      </c>
      <c r="K64" s="10">
        <f>IFERROR(VLOOKUP(BD_DETALLE!B64,Tabla9[],7,0),"")</f>
        <v>0</v>
      </c>
      <c r="L64" s="11">
        <f>IFERROR(VLOOKUP(BD_DETALLE!B64,Tabla9[],8,0),"")</f>
        <v>0</v>
      </c>
      <c r="M64" s="9">
        <f>IFERROR(SUMIFS(Tabla9[CANTIDAD2],Tabla9[BUSQUEDA],Tabla3[[#This Row],[BUSQUEDA]],Tabla9[CODIGO],Tabla3[[#This Row],[CODIGO]],Tabla9[ORDEN No.],Tabla3[[#This Row],[ORDEN de COMPRA]]),0)</f>
        <v>0</v>
      </c>
      <c r="N64" s="27">
        <f>IFERROR(IF(BD_DETALLE!B64&gt;0,VLOOKUP(BD_DETALLE!B64,Tabla9[],10,0),""),"")</f>
        <v>0</v>
      </c>
      <c r="O64" s="28">
        <f>IFERROR(VLOOKUP(BD_DETALLE!B64,Tabla9[],11,0),0)</f>
        <v>0</v>
      </c>
      <c r="P64" s="26">
        <f>IFERROR(SUMIFS(Tabla9[CANTIDAD3],Tabla9[BUSQUEDA],Tabla3[[#This Row],[BUSQUEDA]],Tabla9[CODIGO],Tabla3[[#This Row],[CODIGO]]),0)</f>
        <v>0</v>
      </c>
      <c r="Q64" s="25">
        <f>IF(BD_DETALLE!P64&lt;=0,0,IF(BD_DETALLE!P64=BD_DETALLE!H64,2,1))</f>
        <v>0</v>
      </c>
      <c r="R64" s="24">
        <f ca="1">IF(BD_DETALLE!$C64&gt;0,(IF(BD_DETALLE!$N64=0,TODAY()-BD_DETALLE!$C64,BD_DETALLE!$N64-BD_DETALLE!$C64)),"")</f>
        <v>145</v>
      </c>
    </row>
    <row r="65" spans="2:18" x14ac:dyDescent="0.25">
      <c r="B65" s="15" t="str">
        <f t="shared" si="5"/>
        <v>2011-151-316879</v>
      </c>
      <c r="C65" s="7">
        <v>44160</v>
      </c>
      <c r="D65" s="5" t="str">
        <f>IF(BD_DETALLE!$E65&gt;=1,CONCATENATE(TEXT(BD_DETALLE!$C65,"YY"),TEXT(BD_DETALLE!$C65,"MM"),"-",BD_DETALLE!$E65),"")</f>
        <v>2011-151</v>
      </c>
      <c r="E65" s="12">
        <v>151</v>
      </c>
      <c r="F65" s="21">
        <v>316879</v>
      </c>
      <c r="G65" s="4" t="str">
        <f>IFERROR(VLOOKUP(BD_DETALLE!$B65,Tabla9[],6,0),"")</f>
        <v>BARNIZ EN SPRAY ROJO  DOLPHY ER-41</v>
      </c>
      <c r="H65" s="6">
        <f>IFERROR(VLOOKUP(BD_DETALLE!$B65,Tabla9[],4,0),0)</f>
        <v>2</v>
      </c>
      <c r="I65" s="19" t="s">
        <v>14</v>
      </c>
      <c r="J65" s="20" t="s">
        <v>1068</v>
      </c>
      <c r="K65" s="10">
        <f>IFERROR(VLOOKUP(BD_DETALLE!B65,Tabla9[],7,0),"")</f>
        <v>0</v>
      </c>
      <c r="L65" s="11">
        <f>IFERROR(VLOOKUP(BD_DETALLE!B65,Tabla9[],8,0),"")</f>
        <v>0</v>
      </c>
      <c r="M65" s="9">
        <f>IFERROR(SUMIFS(Tabla9[CANTIDAD2],Tabla9[BUSQUEDA],Tabla3[[#This Row],[BUSQUEDA]],Tabla9[CODIGO],Tabla3[[#This Row],[CODIGO]],Tabla9[ORDEN No.],Tabla3[[#This Row],[ORDEN de COMPRA]]),0)</f>
        <v>0</v>
      </c>
      <c r="N65" s="27">
        <f>IFERROR(IF(BD_DETALLE!B65&gt;0,VLOOKUP(BD_DETALLE!B65,Tabla9[],10,0),""),"")</f>
        <v>0</v>
      </c>
      <c r="O65" s="28">
        <f>IFERROR(VLOOKUP(BD_DETALLE!B65,Tabla9[],11,0),0)</f>
        <v>0</v>
      </c>
      <c r="P65" s="26">
        <f>IFERROR(SUMIFS(Tabla9[CANTIDAD3],Tabla9[BUSQUEDA],Tabla3[[#This Row],[BUSQUEDA]],Tabla9[CODIGO],Tabla3[[#This Row],[CODIGO]]),0)</f>
        <v>0</v>
      </c>
      <c r="Q65" s="25">
        <f>IF(BD_DETALLE!P65&lt;=0,0,IF(BD_DETALLE!P65=BD_DETALLE!H65,2,1))</f>
        <v>0</v>
      </c>
      <c r="R65" s="24">
        <f ca="1">IF(BD_DETALLE!$C65&gt;0,(IF(BD_DETALLE!$N65=0,TODAY()-BD_DETALLE!$C65,BD_DETALLE!$N65-BD_DETALLE!$C65)),"")</f>
        <v>145</v>
      </c>
    </row>
    <row r="66" spans="2:18" x14ac:dyDescent="0.25">
      <c r="B66" s="15" t="str">
        <f t="shared" si="5"/>
        <v>2011-151-316805</v>
      </c>
      <c r="C66" s="7">
        <v>44160</v>
      </c>
      <c r="D66" s="5" t="str">
        <f>IF(BD_DETALLE!$E66&gt;=1,CONCATENATE(TEXT(BD_DETALLE!$C66,"YY"),TEXT(BD_DETALLE!$C66,"MM"),"-",BD_DETALLE!$E66),"")</f>
        <v>2011-151</v>
      </c>
      <c r="E66" s="12">
        <v>151</v>
      </c>
      <c r="F66" s="21">
        <v>316805</v>
      </c>
      <c r="G66" s="4" t="str">
        <f>IFERROR(VLOOKUP(BD_DETALLE!$B66,Tabla9[],6,0),"")</f>
        <v>CABLE MULTIHILO # 8</v>
      </c>
      <c r="H66" s="6">
        <f>IFERROR(VLOOKUP(BD_DETALLE!$B66,Tabla9[],4,0),0)</f>
        <v>20</v>
      </c>
      <c r="I66" s="19" t="s">
        <v>14</v>
      </c>
      <c r="J66" s="20" t="s">
        <v>1068</v>
      </c>
      <c r="K66" s="10">
        <f>IFERROR(VLOOKUP(BD_DETALLE!B66,Tabla9[],7,0),"")</f>
        <v>0</v>
      </c>
      <c r="L66" s="11">
        <f>IFERROR(VLOOKUP(BD_DETALLE!B66,Tabla9[],8,0),"")</f>
        <v>0</v>
      </c>
      <c r="M66" s="9">
        <f>IFERROR(SUMIFS(Tabla9[CANTIDAD2],Tabla9[BUSQUEDA],Tabla3[[#This Row],[BUSQUEDA]],Tabla9[CODIGO],Tabla3[[#This Row],[CODIGO]],Tabla9[ORDEN No.],Tabla3[[#This Row],[ORDEN de COMPRA]]),0)</f>
        <v>0</v>
      </c>
      <c r="N66" s="27">
        <f>IFERROR(IF(BD_DETALLE!B66&gt;0,VLOOKUP(BD_DETALLE!B66,Tabla9[],10,0),""),"")</f>
        <v>0</v>
      </c>
      <c r="O66" s="28">
        <f>IFERROR(VLOOKUP(BD_DETALLE!B66,Tabla9[],11,0),0)</f>
        <v>0</v>
      </c>
      <c r="P66" s="26">
        <f>IFERROR(SUMIFS(Tabla9[CANTIDAD3],Tabla9[BUSQUEDA],Tabla3[[#This Row],[BUSQUEDA]],Tabla9[CODIGO],Tabla3[[#This Row],[CODIGO]]),0)</f>
        <v>0</v>
      </c>
      <c r="Q66" s="25">
        <f>IF(BD_DETALLE!P66&lt;=0,0,IF(BD_DETALLE!P66=BD_DETALLE!H66,2,1))</f>
        <v>0</v>
      </c>
      <c r="R66" s="24">
        <f ca="1">IF(BD_DETALLE!$C66&gt;0,(IF(BD_DETALLE!$N66=0,TODAY()-BD_DETALLE!$C66,BD_DETALLE!$N66-BD_DETALLE!$C66)),"")</f>
        <v>145</v>
      </c>
    </row>
    <row r="67" spans="2:18" x14ac:dyDescent="0.25">
      <c r="B67" s="15" t="str">
        <f t="shared" si="5"/>
        <v>2011-151-200265</v>
      </c>
      <c r="C67" s="7">
        <v>44160</v>
      </c>
      <c r="D67" s="5" t="str">
        <f>IF(BD_DETALLE!$E67&gt;=1,CONCATENATE(TEXT(BD_DETALLE!$C67,"YY"),TEXT(BD_DETALLE!$C67,"MM"),"-",BD_DETALLE!$E67),"")</f>
        <v>2011-151</v>
      </c>
      <c r="E67" s="12">
        <v>151</v>
      </c>
      <c r="F67" s="21">
        <v>200265</v>
      </c>
      <c r="G67" s="4" t="str">
        <f>IFERROR(VLOOKUP(BD_DETALLE!$B67,Tabla9[],6,0),"")</f>
        <v>ESPAGUETTY FIBRA DE VIDRIO DE 2MM</v>
      </c>
      <c r="H67" s="6">
        <f>IFERROR(VLOOKUP(BD_DETALLE!$B67,Tabla9[],4,0),0)</f>
        <v>12</v>
      </c>
      <c r="I67" s="19" t="s">
        <v>14</v>
      </c>
      <c r="J67" s="20" t="s">
        <v>1068</v>
      </c>
      <c r="K67" s="10">
        <f>IFERROR(VLOOKUP(BD_DETALLE!B67,Tabla9[],7,0),"")</f>
        <v>0</v>
      </c>
      <c r="L67" s="11">
        <f>IFERROR(VLOOKUP(BD_DETALLE!B67,Tabla9[],8,0),"")</f>
        <v>0</v>
      </c>
      <c r="M67" s="9">
        <f>IFERROR(SUMIFS(Tabla9[CANTIDAD2],Tabla9[BUSQUEDA],Tabla3[[#This Row],[BUSQUEDA]],Tabla9[CODIGO],Tabla3[[#This Row],[CODIGO]],Tabla9[ORDEN No.],Tabla3[[#This Row],[ORDEN de COMPRA]]),0)</f>
        <v>0</v>
      </c>
      <c r="N67" s="27">
        <f>IFERROR(IF(BD_DETALLE!B67&gt;0,VLOOKUP(BD_DETALLE!B67,Tabla9[],10,0),""),"")</f>
        <v>0</v>
      </c>
      <c r="O67" s="28">
        <f>IFERROR(VLOOKUP(BD_DETALLE!B67,Tabla9[],11,0),0)</f>
        <v>0</v>
      </c>
      <c r="P67" s="26">
        <f>IFERROR(SUMIFS(Tabla9[CANTIDAD3],Tabla9[BUSQUEDA],Tabla3[[#This Row],[BUSQUEDA]],Tabla9[CODIGO],Tabla3[[#This Row],[CODIGO]]),0)</f>
        <v>0</v>
      </c>
      <c r="Q67" s="25">
        <f>IF(BD_DETALLE!P67&lt;=0,0,IF(BD_DETALLE!P67=BD_DETALLE!H67,2,1))</f>
        <v>0</v>
      </c>
      <c r="R67" s="24">
        <f ca="1">IF(BD_DETALLE!$C67&gt;0,(IF(BD_DETALLE!$N67=0,TODAY()-BD_DETALLE!$C67,BD_DETALLE!$N67-BD_DETALLE!$C67)),"")</f>
        <v>145</v>
      </c>
    </row>
    <row r="68" spans="2:18" x14ac:dyDescent="0.25">
      <c r="B68" s="15" t="str">
        <f t="shared" si="5"/>
        <v>2011-151-313520</v>
      </c>
      <c r="C68" s="7">
        <v>44160</v>
      </c>
      <c r="D68" s="5" t="str">
        <f>IF(BD_DETALLE!$E68&gt;=1,CONCATENATE(TEXT(BD_DETALLE!$C68,"YY"),TEXT(BD_DETALLE!$C68,"MM"),"-",BD_DETALLE!$E68),"")</f>
        <v>2011-151</v>
      </c>
      <c r="E68" s="12">
        <v>151</v>
      </c>
      <c r="F68" s="21">
        <v>313520</v>
      </c>
      <c r="G68" s="4" t="str">
        <f>IFERROR(VLOOKUP(BD_DETALLE!$B68,Tabla9[],6,0),"")</f>
        <v>GUARDAMOTOR GV2ME14   7 A 10AMP.</v>
      </c>
      <c r="H68" s="6">
        <f>IFERROR(VLOOKUP(BD_DETALLE!$B68,Tabla9[],4,0),0)</f>
        <v>1</v>
      </c>
      <c r="I68" s="19" t="s">
        <v>14</v>
      </c>
      <c r="J68" s="20" t="s">
        <v>1068</v>
      </c>
      <c r="K68" s="10">
        <f>IFERROR(VLOOKUP(BD_DETALLE!B68,Tabla9[],7,0),"")</f>
        <v>0</v>
      </c>
      <c r="L68" s="11">
        <f>IFERROR(VLOOKUP(BD_DETALLE!B68,Tabla9[],8,0),"")</f>
        <v>0</v>
      </c>
      <c r="M68" s="9">
        <f>IFERROR(SUMIFS(Tabla9[CANTIDAD2],Tabla9[BUSQUEDA],Tabla3[[#This Row],[BUSQUEDA]],Tabla9[CODIGO],Tabla3[[#This Row],[CODIGO]],Tabla9[ORDEN No.],Tabla3[[#This Row],[ORDEN de COMPRA]]),0)</f>
        <v>0</v>
      </c>
      <c r="N68" s="27">
        <f>IFERROR(IF(BD_DETALLE!B68&gt;0,VLOOKUP(BD_DETALLE!B68,Tabla9[],10,0),""),"")</f>
        <v>0</v>
      </c>
      <c r="O68" s="28">
        <f>IFERROR(VLOOKUP(BD_DETALLE!B68,Tabla9[],11,0),0)</f>
        <v>0</v>
      </c>
      <c r="P68" s="26">
        <f>IFERROR(SUMIFS(Tabla9[CANTIDAD3],Tabla9[BUSQUEDA],Tabla3[[#This Row],[BUSQUEDA]],Tabla9[CODIGO],Tabla3[[#This Row],[CODIGO]]),0)</f>
        <v>0</v>
      </c>
      <c r="Q68" s="25">
        <f>IF(BD_DETALLE!P68&lt;=0,0,IF(BD_DETALLE!P68=BD_DETALLE!H68,2,1))</f>
        <v>0</v>
      </c>
      <c r="R68" s="24">
        <f ca="1">IF(BD_DETALLE!$C68&gt;0,(IF(BD_DETALLE!$N68=0,TODAY()-BD_DETALLE!$C68,BD_DETALLE!$N68-BD_DETALLE!$C68)),"")</f>
        <v>145</v>
      </c>
    </row>
    <row r="69" spans="2:18" x14ac:dyDescent="0.25">
      <c r="B69" s="15" t="str">
        <f t="shared" si="5"/>
        <v>2011-151-205083</v>
      </c>
      <c r="C69" s="7">
        <v>44160</v>
      </c>
      <c r="D69" s="5" t="str">
        <f>IF(BD_DETALLE!$E69&gt;=1,CONCATENATE(TEXT(BD_DETALLE!$C69,"YY"),TEXT(BD_DETALLE!$C69,"MM"),"-",BD_DETALLE!$E69),"")</f>
        <v>2011-151</v>
      </c>
      <c r="E69" s="12">
        <v>151</v>
      </c>
      <c r="F69" s="21">
        <v>205083</v>
      </c>
      <c r="G69" s="4" t="str">
        <f>IFERROR(VLOOKUP(BD_DETALLE!$B69,Tabla9[],6,0),"")</f>
        <v>CONTACTOR LC1-D12 DE 12 A 25AMP / 220V</v>
      </c>
      <c r="H69" s="6">
        <f>IFERROR(VLOOKUP(BD_DETALLE!$B69,Tabla9[],4,0),0)</f>
        <v>1</v>
      </c>
      <c r="I69" s="19" t="s">
        <v>14</v>
      </c>
      <c r="J69" s="20" t="s">
        <v>1068</v>
      </c>
      <c r="K69" s="10">
        <f>IFERROR(VLOOKUP(BD_DETALLE!B69,Tabla9[],7,0),"")</f>
        <v>0</v>
      </c>
      <c r="L69" s="11">
        <f>IFERROR(VLOOKUP(BD_DETALLE!B69,Tabla9[],8,0),"")</f>
        <v>0</v>
      </c>
      <c r="M69" s="9">
        <f>IFERROR(SUMIFS(Tabla9[CANTIDAD2],Tabla9[BUSQUEDA],Tabla3[[#This Row],[BUSQUEDA]],Tabla9[CODIGO],Tabla3[[#This Row],[CODIGO]],Tabla9[ORDEN No.],Tabla3[[#This Row],[ORDEN de COMPRA]]),0)</f>
        <v>0</v>
      </c>
      <c r="N69" s="27">
        <f>IFERROR(IF(BD_DETALLE!B69&gt;0,VLOOKUP(BD_DETALLE!B69,Tabla9[],10,0),""),"")</f>
        <v>0</v>
      </c>
      <c r="O69" s="28">
        <f>IFERROR(VLOOKUP(BD_DETALLE!B69,Tabla9[],11,0),0)</f>
        <v>0</v>
      </c>
      <c r="P69" s="26">
        <f>IFERROR(SUMIFS(Tabla9[CANTIDAD3],Tabla9[BUSQUEDA],Tabla3[[#This Row],[BUSQUEDA]],Tabla9[CODIGO],Tabla3[[#This Row],[CODIGO]]),0)</f>
        <v>0</v>
      </c>
      <c r="Q69" s="25">
        <f>IF(BD_DETALLE!P69&lt;=0,0,IF(BD_DETALLE!P69=BD_DETALLE!H69,2,1))</f>
        <v>0</v>
      </c>
      <c r="R69" s="24">
        <f ca="1">IF(BD_DETALLE!$C69&gt;0,(IF(BD_DETALLE!$N69=0,TODAY()-BD_DETALLE!$C69,BD_DETALLE!$N69-BD_DETALLE!$C69)),"")</f>
        <v>145</v>
      </c>
    </row>
    <row r="70" spans="2:18" x14ac:dyDescent="0.25">
      <c r="B70" s="15" t="str">
        <f t="shared" si="5"/>
        <v>2011-151-203371</v>
      </c>
      <c r="C70" s="7">
        <v>44160</v>
      </c>
      <c r="D70" s="5" t="str">
        <f>IF(BD_DETALLE!$E70&gt;=1,CONCATENATE(TEXT(BD_DETALLE!$C70,"YY"),TEXT(BD_DETALLE!$C70,"MM"),"-",BD_DETALLE!$E70),"")</f>
        <v>2011-151</v>
      </c>
      <c r="E70" s="12">
        <v>151</v>
      </c>
      <c r="F70" s="21">
        <v>203371</v>
      </c>
      <c r="G70" s="4" t="str">
        <f>IFERROR(VLOOKUP(BD_DETALLE!$B70,Tabla9[],6,0),"")</f>
        <v>CABLE CONCENTRICO 4 x 12</v>
      </c>
      <c r="H70" s="6">
        <f>IFERROR(VLOOKUP(BD_DETALLE!$B70,Tabla9[],4,0),0)</f>
        <v>60</v>
      </c>
      <c r="I70" s="19" t="s">
        <v>14</v>
      </c>
      <c r="J70" s="20" t="s">
        <v>1068</v>
      </c>
      <c r="K70" s="10">
        <f>IFERROR(VLOOKUP(BD_DETALLE!B70,Tabla9[],7,0),"")</f>
        <v>0</v>
      </c>
      <c r="L70" s="11">
        <f>IFERROR(VLOOKUP(BD_DETALLE!B70,Tabla9[],8,0),"")</f>
        <v>0</v>
      </c>
      <c r="M70" s="9">
        <f>IFERROR(SUMIFS(Tabla9[CANTIDAD2],Tabla9[BUSQUEDA],Tabla3[[#This Row],[BUSQUEDA]],Tabla9[CODIGO],Tabla3[[#This Row],[CODIGO]],Tabla9[ORDEN No.],Tabla3[[#This Row],[ORDEN de COMPRA]]),0)</f>
        <v>0</v>
      </c>
      <c r="N70" s="27">
        <f>IFERROR(IF(BD_DETALLE!B70&gt;0,VLOOKUP(BD_DETALLE!B70,Tabla9[],10,0),""),"")</f>
        <v>0</v>
      </c>
      <c r="O70" s="28">
        <f>IFERROR(VLOOKUP(BD_DETALLE!B70,Tabla9[],11,0),0)</f>
        <v>0</v>
      </c>
      <c r="P70" s="26">
        <f>IFERROR(SUMIFS(Tabla9[CANTIDAD3],Tabla9[BUSQUEDA],Tabla3[[#This Row],[BUSQUEDA]],Tabla9[CODIGO],Tabla3[[#This Row],[CODIGO]]),0)</f>
        <v>0</v>
      </c>
      <c r="Q70" s="25">
        <f>IF(BD_DETALLE!P70&lt;=0,0,IF(BD_DETALLE!P70=BD_DETALLE!H70,2,1))</f>
        <v>0</v>
      </c>
      <c r="R70" s="24">
        <f ca="1">IF(BD_DETALLE!$C70&gt;0,(IF(BD_DETALLE!$N70=0,TODAY()-BD_DETALLE!$C70,BD_DETALLE!$N70-BD_DETALLE!$C70)),"")</f>
        <v>145</v>
      </c>
    </row>
    <row r="71" spans="2:18" x14ac:dyDescent="0.25">
      <c r="B71" s="15" t="str">
        <f t="shared" si="5"/>
        <v>2011-151-204410</v>
      </c>
      <c r="C71" s="7">
        <v>44160</v>
      </c>
      <c r="D71" s="5" t="str">
        <f>IF(BD_DETALLE!$E71&gt;=1,CONCATENATE(TEXT(BD_DETALLE!$C71,"YY"),TEXT(BD_DETALLE!$C71,"MM"),"-",BD_DETALLE!$E71),"")</f>
        <v>2011-151</v>
      </c>
      <c r="E71" s="12">
        <v>151</v>
      </c>
      <c r="F71" s="21">
        <v>204410</v>
      </c>
      <c r="G71" s="4" t="str">
        <f>IFERROR(VLOOKUP(BD_DETALLE!$B71,Tabla9[],6,0),"")</f>
        <v>TUBO EMT DE 3/4" x 3MTS</v>
      </c>
      <c r="H71" s="6">
        <f>IFERROR(VLOOKUP(BD_DETALLE!$B71,Tabla9[],4,0),0)</f>
        <v>4</v>
      </c>
      <c r="I71" s="19" t="s">
        <v>14</v>
      </c>
      <c r="J71" s="20" t="s">
        <v>1068</v>
      </c>
      <c r="K71" s="10">
        <f>IFERROR(VLOOKUP(BD_DETALLE!B71,Tabla9[],7,0),"")</f>
        <v>0</v>
      </c>
      <c r="L71" s="11">
        <f>IFERROR(VLOOKUP(BD_DETALLE!B71,Tabla9[],8,0),"")</f>
        <v>0</v>
      </c>
      <c r="M71" s="9">
        <f>IFERROR(SUMIFS(Tabla9[CANTIDAD2],Tabla9[BUSQUEDA],Tabla3[[#This Row],[BUSQUEDA]],Tabla9[CODIGO],Tabla3[[#This Row],[CODIGO]],Tabla9[ORDEN No.],Tabla3[[#This Row],[ORDEN de COMPRA]]),0)</f>
        <v>0</v>
      </c>
      <c r="N71" s="27">
        <f>IFERROR(IF(BD_DETALLE!B71&gt;0,VLOOKUP(BD_DETALLE!B71,Tabla9[],10,0),""),"")</f>
        <v>0</v>
      </c>
      <c r="O71" s="28">
        <f>IFERROR(VLOOKUP(BD_DETALLE!B71,Tabla9[],11,0),0)</f>
        <v>0</v>
      </c>
      <c r="P71" s="26">
        <f>IFERROR(SUMIFS(Tabla9[CANTIDAD3],Tabla9[BUSQUEDA],Tabla3[[#This Row],[BUSQUEDA]],Tabla9[CODIGO],Tabla3[[#This Row],[CODIGO]]),0)</f>
        <v>0</v>
      </c>
      <c r="Q71" s="25">
        <f>IF(BD_DETALLE!P71&lt;=0,0,IF(BD_DETALLE!P71=BD_DETALLE!H71,2,1))</f>
        <v>0</v>
      </c>
      <c r="R71" s="24">
        <f ca="1">IF(BD_DETALLE!$C71&gt;0,(IF(BD_DETALLE!$N71=0,TODAY()-BD_DETALLE!$C71,BD_DETALLE!$N71-BD_DETALLE!$C71)),"")</f>
        <v>145</v>
      </c>
    </row>
    <row r="72" spans="2:18" x14ac:dyDescent="0.25">
      <c r="B72" s="15" t="str">
        <f t="shared" si="5"/>
        <v>2011-151-203229</v>
      </c>
      <c r="C72" s="7">
        <v>44160</v>
      </c>
      <c r="D72" s="5" t="str">
        <f>IF(BD_DETALLE!$E72&gt;=1,CONCATENATE(TEXT(BD_DETALLE!$C72,"YY"),TEXT(BD_DETALLE!$C72,"MM"),"-",BD_DETALLE!$E72),"")</f>
        <v>2011-151</v>
      </c>
      <c r="E72" s="12">
        <v>151</v>
      </c>
      <c r="F72" s="21">
        <v>203229</v>
      </c>
      <c r="G72" s="4" t="str">
        <f>IFERROR(VLOOKUP(BD_DETALLE!$B72,Tabla9[],6,0),"")</f>
        <v>UNION EMT DE 3/4"</v>
      </c>
      <c r="H72" s="6">
        <f>IFERROR(VLOOKUP(BD_DETALLE!$B72,Tabla9[],4,0),0)</f>
        <v>10</v>
      </c>
      <c r="I72" s="19" t="s">
        <v>14</v>
      </c>
      <c r="J72" s="20" t="s">
        <v>1068</v>
      </c>
      <c r="K72" s="10">
        <f>IFERROR(VLOOKUP(BD_DETALLE!B72,Tabla9[],7,0),"")</f>
        <v>0</v>
      </c>
      <c r="L72" s="11">
        <f>IFERROR(VLOOKUP(BD_DETALLE!B72,Tabla9[],8,0),"")</f>
        <v>0</v>
      </c>
      <c r="M72" s="9">
        <f>IFERROR(SUMIFS(Tabla9[CANTIDAD2],Tabla9[BUSQUEDA],Tabla3[[#This Row],[BUSQUEDA]],Tabla9[CODIGO],Tabla3[[#This Row],[CODIGO]],Tabla9[ORDEN No.],Tabla3[[#This Row],[ORDEN de COMPRA]]),0)</f>
        <v>0</v>
      </c>
      <c r="N72" s="27">
        <f>IFERROR(IF(BD_DETALLE!B72&gt;0,VLOOKUP(BD_DETALLE!B72,Tabla9[],10,0),""),"")</f>
        <v>0</v>
      </c>
      <c r="O72" s="28">
        <f>IFERROR(VLOOKUP(BD_DETALLE!B72,Tabla9[],11,0),0)</f>
        <v>0</v>
      </c>
      <c r="P72" s="26">
        <f>IFERROR(SUMIFS(Tabla9[CANTIDAD3],Tabla9[BUSQUEDA],Tabla3[[#This Row],[BUSQUEDA]],Tabla9[CODIGO],Tabla3[[#This Row],[CODIGO]]),0)</f>
        <v>0</v>
      </c>
      <c r="Q72" s="25">
        <f>IF(BD_DETALLE!P72&lt;=0,0,IF(BD_DETALLE!P72=BD_DETALLE!H72,2,1))</f>
        <v>0</v>
      </c>
      <c r="R72" s="24">
        <f ca="1">IF(BD_DETALLE!$C72&gt;0,(IF(BD_DETALLE!$N72=0,TODAY()-BD_DETALLE!$C72,BD_DETALLE!$N72-BD_DETALLE!$C72)),"")</f>
        <v>145</v>
      </c>
    </row>
    <row r="73" spans="2:18" x14ac:dyDescent="0.25">
      <c r="B73" s="15" t="str">
        <f t="shared" si="5"/>
        <v>2011-151-301985</v>
      </c>
      <c r="C73" s="7">
        <v>44160</v>
      </c>
      <c r="D73" s="5" t="str">
        <f>IF(BD_DETALLE!$E73&gt;=1,CONCATENATE(TEXT(BD_DETALLE!$C73,"YY"),TEXT(BD_DETALLE!$C73,"MM"),"-",BD_DETALLE!$E73),"")</f>
        <v>2011-151</v>
      </c>
      <c r="E73" s="12">
        <v>151</v>
      </c>
      <c r="F73" s="21">
        <v>301985</v>
      </c>
      <c r="G73" s="4" t="str">
        <f>IFERROR(VLOOKUP(BD_DETALLE!$B73,Tabla9[],6,0),"")</f>
        <v>CONDULEC TIPO "I" DE 3/4</v>
      </c>
      <c r="H73" s="6">
        <f>IFERROR(VLOOKUP(BD_DETALLE!$B73,Tabla9[],4,0),0)</f>
        <v>1</v>
      </c>
      <c r="I73" s="19" t="s">
        <v>14</v>
      </c>
      <c r="J73" s="20" t="s">
        <v>1068</v>
      </c>
      <c r="K73" s="10">
        <f>IFERROR(VLOOKUP(BD_DETALLE!B73,Tabla9[],7,0),"")</f>
        <v>0</v>
      </c>
      <c r="L73" s="11">
        <f>IFERROR(VLOOKUP(BD_DETALLE!B73,Tabla9[],8,0),"")</f>
        <v>0</v>
      </c>
      <c r="M73" s="9">
        <f>IFERROR(SUMIFS(Tabla9[CANTIDAD2],Tabla9[BUSQUEDA],Tabla3[[#This Row],[BUSQUEDA]],Tabla9[CODIGO],Tabla3[[#This Row],[CODIGO]],Tabla9[ORDEN No.],Tabla3[[#This Row],[ORDEN de COMPRA]]),0)</f>
        <v>0</v>
      </c>
      <c r="N73" s="27">
        <f>IFERROR(IF(BD_DETALLE!B73&gt;0,VLOOKUP(BD_DETALLE!B73,Tabla9[],10,0),""),"")</f>
        <v>0</v>
      </c>
      <c r="O73" s="28">
        <f>IFERROR(VLOOKUP(BD_DETALLE!B73,Tabla9[],11,0),0)</f>
        <v>0</v>
      </c>
      <c r="P73" s="26">
        <f>IFERROR(SUMIFS(Tabla9[CANTIDAD3],Tabla9[BUSQUEDA],Tabla3[[#This Row],[BUSQUEDA]],Tabla9[CODIGO],Tabla3[[#This Row],[CODIGO]]),0)</f>
        <v>0</v>
      </c>
      <c r="Q73" s="25">
        <f>IF(BD_DETALLE!P73&lt;=0,0,IF(BD_DETALLE!P73=BD_DETALLE!H73,2,1))</f>
        <v>0</v>
      </c>
      <c r="R73" s="24">
        <f ca="1">IF(BD_DETALLE!$C73&gt;0,(IF(BD_DETALLE!$N73=0,TODAY()-BD_DETALLE!$C73,BD_DETALLE!$N73-BD_DETALLE!$C73)),"")</f>
        <v>145</v>
      </c>
    </row>
    <row r="74" spans="2:18" x14ac:dyDescent="0.25">
      <c r="B74" s="15" t="str">
        <f t="shared" si="5"/>
        <v>2011-151-301266</v>
      </c>
      <c r="C74" s="7">
        <v>44160</v>
      </c>
      <c r="D74" s="5" t="str">
        <f>IF(BD_DETALLE!$E74&gt;=1,CONCATENATE(TEXT(BD_DETALLE!$C74,"YY"),TEXT(BD_DETALLE!$C74,"MM"),"-",BD_DETALLE!$E74),"")</f>
        <v>2011-151</v>
      </c>
      <c r="E74" s="12">
        <v>151</v>
      </c>
      <c r="F74" s="21">
        <v>301266</v>
      </c>
      <c r="G74" s="4" t="str">
        <f>IFERROR(VLOOKUP(BD_DETALLE!$B74,Tabla9[],6,0),"")</f>
        <v>CONECTOR EMT DE 3/4"</v>
      </c>
      <c r="H74" s="6">
        <f>IFERROR(VLOOKUP(BD_DETALLE!$B74,Tabla9[],4,0),0)</f>
        <v>2</v>
      </c>
      <c r="I74" s="19" t="s">
        <v>14</v>
      </c>
      <c r="J74" s="20" t="s">
        <v>1068</v>
      </c>
      <c r="K74" s="10">
        <f>IFERROR(VLOOKUP(BD_DETALLE!B74,Tabla9[],7,0),"")</f>
        <v>0</v>
      </c>
      <c r="L74" s="11">
        <f>IFERROR(VLOOKUP(BD_DETALLE!B74,Tabla9[],8,0),"")</f>
        <v>0</v>
      </c>
      <c r="M74" s="9">
        <f>IFERROR(SUMIFS(Tabla9[CANTIDAD2],Tabla9[BUSQUEDA],Tabla3[[#This Row],[BUSQUEDA]],Tabla9[CODIGO],Tabla3[[#This Row],[CODIGO]],Tabla9[ORDEN No.],Tabla3[[#This Row],[ORDEN de COMPRA]]),0)</f>
        <v>0</v>
      </c>
      <c r="N74" s="27">
        <f>IFERROR(IF(BD_DETALLE!B74&gt;0,VLOOKUP(BD_DETALLE!B74,Tabla9[],10,0),""),"")</f>
        <v>0</v>
      </c>
      <c r="O74" s="28">
        <f>IFERROR(VLOOKUP(BD_DETALLE!B74,Tabla9[],11,0),0)</f>
        <v>0</v>
      </c>
      <c r="P74" s="26">
        <f>IFERROR(SUMIFS(Tabla9[CANTIDAD3],Tabla9[BUSQUEDA],Tabla3[[#This Row],[BUSQUEDA]],Tabla9[CODIGO],Tabla3[[#This Row],[CODIGO]]),0)</f>
        <v>0</v>
      </c>
      <c r="Q74" s="25">
        <f>IF(BD_DETALLE!P74&lt;=0,0,IF(BD_DETALLE!P74=BD_DETALLE!H74,2,1))</f>
        <v>0</v>
      </c>
      <c r="R74" s="24">
        <f ca="1">IF(BD_DETALLE!$C74&gt;0,(IF(BD_DETALLE!$N74=0,TODAY()-BD_DETALLE!$C74,BD_DETALLE!$N74-BD_DETALLE!$C74)),"")</f>
        <v>145</v>
      </c>
    </row>
    <row r="75" spans="2:18" x14ac:dyDescent="0.25">
      <c r="B75" s="15" t="str">
        <f t="shared" si="5"/>
        <v>2011-151-306637</v>
      </c>
      <c r="C75" s="7">
        <v>44160</v>
      </c>
      <c r="D75" s="5" t="str">
        <f>IF(BD_DETALLE!$E75&gt;=1,CONCATENATE(TEXT(BD_DETALLE!$C75,"YY"),TEXT(BD_DETALLE!$C75,"MM"),"-",BD_DETALLE!$E75),"")</f>
        <v>2011-151</v>
      </c>
      <c r="E75" s="12">
        <v>151</v>
      </c>
      <c r="F75" s="21">
        <v>306637</v>
      </c>
      <c r="G75" s="4" t="str">
        <f>IFERROR(VLOOKUP(BD_DETALLE!$B75,Tabla9[],6,0),"")</f>
        <v>CONECTORES PARA FUNDA SELLADA 3/4</v>
      </c>
      <c r="H75" s="6">
        <f>IFERROR(VLOOKUP(BD_DETALLE!$B75,Tabla9[],4,0),0)</f>
        <v>2</v>
      </c>
      <c r="I75" s="19" t="s">
        <v>14</v>
      </c>
      <c r="J75" s="20" t="s">
        <v>1068</v>
      </c>
      <c r="K75" s="10">
        <f>IFERROR(VLOOKUP(BD_DETALLE!B75,Tabla9[],7,0),"")</f>
        <v>0</v>
      </c>
      <c r="L75" s="11">
        <f>IFERROR(VLOOKUP(BD_DETALLE!B75,Tabla9[],8,0),"")</f>
        <v>0</v>
      </c>
      <c r="M75" s="9">
        <f>IFERROR(SUMIFS(Tabla9[CANTIDAD2],Tabla9[BUSQUEDA],Tabla3[[#This Row],[BUSQUEDA]],Tabla9[CODIGO],Tabla3[[#This Row],[CODIGO]],Tabla9[ORDEN No.],Tabla3[[#This Row],[ORDEN de COMPRA]]),0)</f>
        <v>0</v>
      </c>
      <c r="N75" s="27">
        <f>IFERROR(IF(BD_DETALLE!B75&gt;0,VLOOKUP(BD_DETALLE!B75,Tabla9[],10,0),""),"")</f>
        <v>0</v>
      </c>
      <c r="O75" s="28">
        <f>IFERROR(VLOOKUP(BD_DETALLE!B75,Tabla9[],11,0),0)</f>
        <v>0</v>
      </c>
      <c r="P75" s="26">
        <f>IFERROR(SUMIFS(Tabla9[CANTIDAD3],Tabla9[BUSQUEDA],Tabla3[[#This Row],[BUSQUEDA]],Tabla9[CODIGO],Tabla3[[#This Row],[CODIGO]]),0)</f>
        <v>0</v>
      </c>
      <c r="Q75" s="25">
        <f>IF(BD_DETALLE!P75&lt;=0,0,IF(BD_DETALLE!P75=BD_DETALLE!H75,2,1))</f>
        <v>0</v>
      </c>
      <c r="R75" s="24">
        <f ca="1">IF(BD_DETALLE!$C75&gt;0,(IF(BD_DETALLE!$N75=0,TODAY()-BD_DETALLE!$C75,BD_DETALLE!$N75-BD_DETALLE!$C75)),"")</f>
        <v>145</v>
      </c>
    </row>
    <row r="76" spans="2:18" x14ac:dyDescent="0.25">
      <c r="B76" s="15" t="str">
        <f t="shared" si="5"/>
        <v>2011-151-203222</v>
      </c>
      <c r="C76" s="7">
        <v>44160</v>
      </c>
      <c r="D76" s="5" t="str">
        <f>IF(BD_DETALLE!$E76&gt;=1,CONCATENATE(TEXT(BD_DETALLE!$C76,"YY"),TEXT(BD_DETALLE!$C76,"MM"),"-",BD_DETALLE!$E76),"")</f>
        <v>2011-151</v>
      </c>
      <c r="E76" s="12">
        <v>151</v>
      </c>
      <c r="F76" s="21">
        <v>203222</v>
      </c>
      <c r="G76" s="4" t="str">
        <f>IFERROR(VLOOKUP(BD_DETALLE!$B76,Tabla9[],6,0),"")</f>
        <v>FUNDA SELLADA DE 3/4" PARA CABLE ELECTRICO</v>
      </c>
      <c r="H76" s="6">
        <f>IFERROR(VLOOKUP(BD_DETALLE!$B76,Tabla9[],4,0),0)</f>
        <v>3</v>
      </c>
      <c r="I76" s="19" t="s">
        <v>14</v>
      </c>
      <c r="J76" s="20" t="s">
        <v>1068</v>
      </c>
      <c r="K76" s="10">
        <f>IFERROR(VLOOKUP(BD_DETALLE!B76,Tabla9[],7,0),"")</f>
        <v>0</v>
      </c>
      <c r="L76" s="11">
        <f>IFERROR(VLOOKUP(BD_DETALLE!B76,Tabla9[],8,0),"")</f>
        <v>0</v>
      </c>
      <c r="M76" s="9">
        <f>IFERROR(SUMIFS(Tabla9[CANTIDAD2],Tabla9[BUSQUEDA],Tabla3[[#This Row],[BUSQUEDA]],Tabla9[CODIGO],Tabla3[[#This Row],[CODIGO]],Tabla9[ORDEN No.],Tabla3[[#This Row],[ORDEN de COMPRA]]),0)</f>
        <v>0</v>
      </c>
      <c r="N76" s="27">
        <f>IFERROR(IF(BD_DETALLE!B76&gt;0,VLOOKUP(BD_DETALLE!B76,Tabla9[],10,0),""),"")</f>
        <v>0</v>
      </c>
      <c r="O76" s="28">
        <f>IFERROR(VLOOKUP(BD_DETALLE!B76,Tabla9[],11,0),0)</f>
        <v>0</v>
      </c>
      <c r="P76" s="26">
        <f>IFERROR(SUMIFS(Tabla9[CANTIDAD3],Tabla9[BUSQUEDA],Tabla3[[#This Row],[BUSQUEDA]],Tabla9[CODIGO],Tabla3[[#This Row],[CODIGO]]),0)</f>
        <v>0</v>
      </c>
      <c r="Q76" s="25">
        <f>IF(BD_DETALLE!P76&lt;=0,0,IF(BD_DETALLE!P76=BD_DETALLE!H76,2,1))</f>
        <v>0</v>
      </c>
      <c r="R76" s="24">
        <f ca="1">IF(BD_DETALLE!$C76&gt;0,(IF(BD_DETALLE!$N76=0,TODAY()-BD_DETALLE!$C76,BD_DETALLE!$N76-BD_DETALLE!$C76)),"")</f>
        <v>145</v>
      </c>
    </row>
    <row r="77" spans="2:18" x14ac:dyDescent="0.25">
      <c r="B77" s="15" t="str">
        <f t="shared" ref="B77:B82" si="6">IFERROR(TEXT(C77,"yy") &amp; TEXT(C77,"mm") &amp;"-"&amp;(E77) &amp;"-"&amp;(F77),"")</f>
        <v>2011-151-204417</v>
      </c>
      <c r="C77" s="7">
        <v>44160</v>
      </c>
      <c r="D77" s="5" t="str">
        <f>IF(BD_DETALLE!$E77&gt;=1,CONCATENATE(TEXT(BD_DETALLE!$C77,"YY"),TEXT(BD_DETALLE!$C77,"MM"),"-",BD_DETALLE!$E77),"")</f>
        <v>2011-151</v>
      </c>
      <c r="E77" s="12">
        <v>151</v>
      </c>
      <c r="F77" s="21">
        <v>204417</v>
      </c>
      <c r="G77" s="4" t="str">
        <f>IFERROR(VLOOKUP(BD_DETALLE!$B77,Tabla9[],6,0),"")</f>
        <v>ABRAZADERA DE TUBO DE 3/4" PARA CHANEL</v>
      </c>
      <c r="H77" s="6">
        <f>IFERROR(VLOOKUP(BD_DETALLE!$B77,Tabla9[],4,0),0)</f>
        <v>12</v>
      </c>
      <c r="I77" s="19" t="s">
        <v>14</v>
      </c>
      <c r="J77" s="20" t="s">
        <v>1068</v>
      </c>
      <c r="K77" s="10">
        <f>IFERROR(VLOOKUP(BD_DETALLE!B77,Tabla9[],7,0),"")</f>
        <v>0</v>
      </c>
      <c r="L77" s="11">
        <f>IFERROR(VLOOKUP(BD_DETALLE!B77,Tabla9[],8,0),"")</f>
        <v>0</v>
      </c>
      <c r="M77" s="9">
        <f>IFERROR(SUMIFS(Tabla9[CANTIDAD2],Tabla9[BUSQUEDA],Tabla3[[#This Row],[BUSQUEDA]],Tabla9[CODIGO],Tabla3[[#This Row],[CODIGO]],Tabla9[ORDEN No.],Tabla3[[#This Row],[ORDEN de COMPRA]]),0)</f>
        <v>0</v>
      </c>
      <c r="N77" s="27">
        <f>IFERROR(IF(BD_DETALLE!B77&gt;0,VLOOKUP(BD_DETALLE!B77,Tabla9[],10,0),""),"")</f>
        <v>0</v>
      </c>
      <c r="O77" s="28">
        <f>IFERROR(VLOOKUP(BD_DETALLE!B77,Tabla9[],11,0),0)</f>
        <v>0</v>
      </c>
      <c r="P77" s="26">
        <f>IFERROR(SUMIFS(Tabla9[CANTIDAD3],Tabla9[BUSQUEDA],Tabla3[[#This Row],[BUSQUEDA]],Tabla9[CODIGO],Tabla3[[#This Row],[CODIGO]]),0)</f>
        <v>0</v>
      </c>
      <c r="Q77" s="25">
        <f>IF(BD_DETALLE!P77&lt;=0,0,IF(BD_DETALLE!P77=BD_DETALLE!H77,2,1))</f>
        <v>0</v>
      </c>
      <c r="R77" s="24">
        <f ca="1">IF(BD_DETALLE!$C77&gt;0,(IF(BD_DETALLE!$N77=0,TODAY()-BD_DETALLE!$C77,BD_DETALLE!$N77-BD_DETALLE!$C77)),"")</f>
        <v>145</v>
      </c>
    </row>
    <row r="78" spans="2:18" x14ac:dyDescent="0.25">
      <c r="B78" s="15" t="str">
        <f t="shared" si="6"/>
        <v>2011-167-300216</v>
      </c>
      <c r="C78" s="7">
        <v>44162</v>
      </c>
      <c r="D78" s="5" t="str">
        <f>IF(BD_DETALLE!$E78&gt;=1,CONCATENATE(TEXT(BD_DETALLE!$C78,"YY"),TEXT(BD_DETALLE!$C78,"MM"),"-",BD_DETALLE!$E78),"")</f>
        <v>2011-167</v>
      </c>
      <c r="E78" s="12">
        <v>167</v>
      </c>
      <c r="F78" s="21">
        <v>300216</v>
      </c>
      <c r="G78" s="4" t="str">
        <f>IFERROR(VLOOKUP(BD_DETALLE!$B78,Tabla9[],6,0),"")</f>
        <v>GRASA TALCOR OGP IV (20KG)</v>
      </c>
      <c r="H78" s="6">
        <f>IFERROR(VLOOKUP(BD_DETALLE!$B78,Tabla9[],4,0),0)</f>
        <v>1</v>
      </c>
      <c r="I78" s="19" t="s">
        <v>15</v>
      </c>
      <c r="J78" s="20" t="s">
        <v>385</v>
      </c>
      <c r="K78" s="10">
        <f>IFERROR(VLOOKUP(BD_DETALLE!B78,Tabla9[],7,0),"")</f>
        <v>0</v>
      </c>
      <c r="L78" s="11">
        <f>IFERROR(VLOOKUP(BD_DETALLE!B78,Tabla9[],8,0),"")</f>
        <v>0</v>
      </c>
      <c r="M78" s="9">
        <f>IFERROR(SUMIFS(Tabla9[CANTIDAD2],Tabla9[BUSQUEDA],Tabla3[[#This Row],[BUSQUEDA]],Tabla9[CODIGO],Tabla3[[#This Row],[CODIGO]],Tabla9[ORDEN No.],Tabla3[[#This Row],[ORDEN de COMPRA]]),0)</f>
        <v>0</v>
      </c>
      <c r="N78" s="27">
        <f>IFERROR(IF(BD_DETALLE!B78&gt;0,VLOOKUP(BD_DETALLE!B78,Tabla9[],10,0),""),"")</f>
        <v>0</v>
      </c>
      <c r="O78" s="28">
        <f>IFERROR(VLOOKUP(BD_DETALLE!B78,Tabla9[],11,0),0)</f>
        <v>0</v>
      </c>
      <c r="P78" s="26">
        <f>IFERROR(SUMIFS(Tabla9[CANTIDAD3],Tabla9[BUSQUEDA],Tabla3[[#This Row],[BUSQUEDA]],Tabla9[CODIGO],Tabla3[[#This Row],[CODIGO]]),0)</f>
        <v>0</v>
      </c>
      <c r="Q78" s="25">
        <f>IF(BD_DETALLE!P78&lt;=0,0,IF(BD_DETALLE!P78=BD_DETALLE!H78,2,1))</f>
        <v>0</v>
      </c>
      <c r="R78" s="41">
        <f ca="1">IF(BD_DETALLE!$C78&gt;0,(IF(BD_DETALLE!$N78=0,TODAY()-BD_DETALLE!$C78,BD_DETALLE!$N78-BD_DETALLE!$C78)),"")</f>
        <v>143</v>
      </c>
    </row>
    <row r="79" spans="2:18" x14ac:dyDescent="0.25">
      <c r="B79" s="15" t="str">
        <f t="shared" si="6"/>
        <v>2011-170-106576</v>
      </c>
      <c r="C79" s="7">
        <v>44162</v>
      </c>
      <c r="D79" s="5" t="str">
        <f>IF(BD_DETALLE!$E79&gt;=1,CONCATENATE(TEXT(BD_DETALLE!$C79,"YY"),TEXT(BD_DETALLE!$C79,"MM"),"-",BD_DETALLE!$E79),"")</f>
        <v>2011-170</v>
      </c>
      <c r="E79" s="12">
        <v>170</v>
      </c>
      <c r="F79" s="21">
        <v>106576</v>
      </c>
      <c r="G79" s="4" t="str">
        <f>IFERROR(VLOOKUP(BD_DETALLE!$B79,Tabla9[],6,0),"")</f>
        <v>ESPEJO RETROVISOR</v>
      </c>
      <c r="H79" s="6">
        <f>IFERROR(VLOOKUP(BD_DETALLE!$B79,Tabla9[],4,0),0)</f>
        <v>2</v>
      </c>
      <c r="I79" s="19" t="s">
        <v>5</v>
      </c>
      <c r="J79" s="20" t="s">
        <v>977</v>
      </c>
      <c r="K79" s="10">
        <f>IFERROR(VLOOKUP(BD_DETALLE!B79,Tabla9[],7,0),"")</f>
        <v>0</v>
      </c>
      <c r="L79" s="11">
        <f>IFERROR(VLOOKUP(BD_DETALLE!B79,Tabla9[],8,0),"")</f>
        <v>0</v>
      </c>
      <c r="M79" s="9">
        <f>IFERROR(SUMIFS(Tabla9[CANTIDAD2],Tabla9[BUSQUEDA],Tabla3[[#This Row],[BUSQUEDA]],Tabla9[CODIGO],Tabla3[[#This Row],[CODIGO]],Tabla9[ORDEN No.],Tabla3[[#This Row],[ORDEN de COMPRA]]),0)</f>
        <v>0</v>
      </c>
      <c r="N79" s="27">
        <f>IFERROR(IF(BD_DETALLE!B79&gt;0,VLOOKUP(BD_DETALLE!B79,Tabla9[],10,0),""),"")</f>
        <v>0</v>
      </c>
      <c r="O79" s="28">
        <f>IFERROR(VLOOKUP(BD_DETALLE!B79,Tabla9[],11,0),0)</f>
        <v>0</v>
      </c>
      <c r="P79" s="26">
        <f>IFERROR(SUMIFS(Tabla9[CANTIDAD3],Tabla9[BUSQUEDA],Tabla3[[#This Row],[BUSQUEDA]],Tabla9[CODIGO],Tabla3[[#This Row],[CODIGO]]),0)</f>
        <v>0</v>
      </c>
      <c r="Q79" s="25">
        <f>IF(BD_DETALLE!P79&lt;=0,0,IF(BD_DETALLE!P79=BD_DETALLE!H79,2,1))</f>
        <v>0</v>
      </c>
      <c r="R79" s="41">
        <f ca="1">IF(BD_DETALLE!$C79&gt;0,(IF(BD_DETALLE!$N79=0,TODAY()-BD_DETALLE!$C79,BD_DETALLE!$N79-BD_DETALLE!$C79)),"")</f>
        <v>143</v>
      </c>
    </row>
    <row r="80" spans="2:18" x14ac:dyDescent="0.25">
      <c r="B80" s="15" t="str">
        <f t="shared" si="6"/>
        <v>2011-187-307031</v>
      </c>
      <c r="C80" s="7">
        <v>44165</v>
      </c>
      <c r="D80" s="5" t="str">
        <f>IF(BD_DETALLE!$E80&gt;=1,CONCATENATE(TEXT(BD_DETALLE!$C80,"YY"),TEXT(BD_DETALLE!$C80,"MM"),"-",BD_DETALLE!$E80),"")</f>
        <v>2011-187</v>
      </c>
      <c r="E80" s="12">
        <v>187</v>
      </c>
      <c r="F80" s="21">
        <v>307031</v>
      </c>
      <c r="G80" s="4" t="str">
        <f>IFERROR(VLOOKUP(BD_DETALLE!$B80,Tabla9[],6,0),"")</f>
        <v>VALVULA A/INOX A/RAPIDA DE 3"</v>
      </c>
      <c r="H80" s="6">
        <f>IFERROR(VLOOKUP(BD_DETALLE!$B80,Tabla9[],4,0),0)</f>
        <v>2</v>
      </c>
      <c r="I80" s="19" t="s">
        <v>19</v>
      </c>
      <c r="J80" s="20" t="s">
        <v>1076</v>
      </c>
      <c r="K80" s="10">
        <f>IFERROR(VLOOKUP(BD_DETALLE!B80,Tabla9[],7,0),"")</f>
        <v>0</v>
      </c>
      <c r="L80" s="11">
        <f>IFERROR(VLOOKUP(BD_DETALLE!B80,Tabla9[],8,0),"")</f>
        <v>0</v>
      </c>
      <c r="M80" s="9">
        <f>IFERROR(SUMIFS(Tabla9[CANTIDAD2],Tabla9[BUSQUEDA],Tabla3[[#This Row],[BUSQUEDA]],Tabla9[CODIGO],Tabla3[[#This Row],[CODIGO]],Tabla9[ORDEN No.],Tabla3[[#This Row],[ORDEN de COMPRA]]),0)</f>
        <v>0</v>
      </c>
      <c r="N80" s="27">
        <f>IFERROR(IF(BD_DETALLE!B80&gt;0,VLOOKUP(BD_DETALLE!B80,Tabla9[],10,0),""),"")</f>
        <v>0</v>
      </c>
      <c r="O80" s="28">
        <f>IFERROR(VLOOKUP(BD_DETALLE!B80,Tabla9[],11,0),0)</f>
        <v>0</v>
      </c>
      <c r="P80" s="26">
        <f>IFERROR(SUMIFS(Tabla9[CANTIDAD3],Tabla9[BUSQUEDA],Tabla3[[#This Row],[BUSQUEDA]],Tabla9[CODIGO],Tabla3[[#This Row],[CODIGO]]),0)</f>
        <v>0</v>
      </c>
      <c r="Q80" s="25">
        <f>IF(BD_DETALLE!P80&lt;=0,0,IF(BD_DETALLE!P80=BD_DETALLE!H80,2,1))</f>
        <v>0</v>
      </c>
      <c r="R80" s="41">
        <f ca="1">IF(BD_DETALLE!$C80&gt;0,(IF(BD_DETALLE!$N80=0,TODAY()-BD_DETALLE!$C80,BD_DETALLE!$N80-BD_DETALLE!$C80)),"")</f>
        <v>140</v>
      </c>
    </row>
    <row r="81" spans="2:18" x14ac:dyDescent="0.25">
      <c r="B81" s="15" t="str">
        <f t="shared" si="6"/>
        <v>2011-189-104092</v>
      </c>
      <c r="C81" s="7">
        <v>44165</v>
      </c>
      <c r="D81" s="5" t="str">
        <f>IF(BD_DETALLE!$E81&gt;=1,CONCATENATE(TEXT(BD_DETALLE!$C81,"YY"),TEXT(BD_DETALLE!$C81,"MM"),"-",BD_DETALLE!$E81),"")</f>
        <v>2011-189</v>
      </c>
      <c r="E81" s="12">
        <v>189</v>
      </c>
      <c r="F81" s="21">
        <v>104092</v>
      </c>
      <c r="G81" s="4" t="str">
        <f>IFERROR(VLOOKUP(BD_DETALLE!$B81,Tabla9[],6,0),"")</f>
        <v>REGULADOR DE VOLTAJE</v>
      </c>
      <c r="H81" s="6">
        <f>IFERROR(VLOOKUP(BD_DETALLE!$B81,Tabla9[],4,0),0)</f>
        <v>1</v>
      </c>
      <c r="I81" s="19" t="s">
        <v>16</v>
      </c>
      <c r="J81" s="20" t="s">
        <v>1075</v>
      </c>
      <c r="K81" s="10">
        <f>IFERROR(VLOOKUP(BD_DETALLE!B81,Tabla9[],7,0),"")</f>
        <v>0</v>
      </c>
      <c r="L81" s="11">
        <f>IFERROR(VLOOKUP(BD_DETALLE!B81,Tabla9[],8,0),"")</f>
        <v>0</v>
      </c>
      <c r="M81" s="9">
        <f>IFERROR(SUMIFS(Tabla9[CANTIDAD2],Tabla9[BUSQUEDA],Tabla3[[#This Row],[BUSQUEDA]],Tabla9[CODIGO],Tabla3[[#This Row],[CODIGO]],Tabla9[ORDEN No.],Tabla3[[#This Row],[ORDEN de COMPRA]]),0)</f>
        <v>0</v>
      </c>
      <c r="N81" s="27">
        <f>IFERROR(IF(BD_DETALLE!B81&gt;0,VLOOKUP(BD_DETALLE!B81,Tabla9[],10,0),""),"")</f>
        <v>0</v>
      </c>
      <c r="O81" s="28">
        <f>IFERROR(VLOOKUP(BD_DETALLE!B81,Tabla9[],11,0),0)</f>
        <v>0</v>
      </c>
      <c r="P81" s="26">
        <f>IFERROR(SUMIFS(Tabla9[CANTIDAD3],Tabla9[BUSQUEDA],Tabla3[[#This Row],[BUSQUEDA]],Tabla9[CODIGO],Tabla3[[#This Row],[CODIGO]]),0)</f>
        <v>0</v>
      </c>
      <c r="Q81" s="25">
        <f>IF(BD_DETALLE!P81&lt;=0,0,IF(BD_DETALLE!P81=BD_DETALLE!H81,2,1))</f>
        <v>0</v>
      </c>
      <c r="R81" s="41">
        <f ca="1">IF(BD_DETALLE!$C81&gt;0,(IF(BD_DETALLE!$N81=0,TODAY()-BD_DETALLE!$C81,BD_DETALLE!$N81-BD_DETALLE!$C81)),"")</f>
        <v>140</v>
      </c>
    </row>
    <row r="82" spans="2:18" x14ac:dyDescent="0.25">
      <c r="B82" s="15" t="str">
        <f t="shared" si="6"/>
        <v>2011-198-203972</v>
      </c>
      <c r="C82" s="7">
        <v>44165</v>
      </c>
      <c r="D82" s="5" t="str">
        <f>IF(BD_DETALLE!$E82&gt;=1,CONCATENATE(TEXT(BD_DETALLE!$C82,"YY"),TEXT(BD_DETALLE!$C82,"MM"),"-",BD_DETALLE!$E82),"")</f>
        <v>2011-198</v>
      </c>
      <c r="E82" s="12">
        <v>198</v>
      </c>
      <c r="F82" s="21">
        <v>203972</v>
      </c>
      <c r="G82" s="4" t="str">
        <f>IFERROR(VLOOKUP(BD_DETALLE!$B82,Tabla9[],6,0),"")</f>
        <v>TUBO EMT DE 1" x 3MTS</v>
      </c>
      <c r="H82" s="6">
        <f>IFERROR(VLOOKUP(BD_DETALLE!$B82,Tabla9[],4,0),0)</f>
        <v>12</v>
      </c>
      <c r="I82" s="19" t="s">
        <v>14</v>
      </c>
      <c r="J82" s="20" t="s">
        <v>1074</v>
      </c>
      <c r="K82" s="10">
        <f>IFERROR(VLOOKUP(BD_DETALLE!B82,Tabla9[],7,0),"")</f>
        <v>44168</v>
      </c>
      <c r="L82" s="11">
        <f>IFERROR(VLOOKUP(BD_DETALLE!B82,Tabla9[],8,0),"")</f>
        <v>50719</v>
      </c>
      <c r="M82" s="9">
        <f>IFERROR(SUMIFS(Tabla9[CANTIDAD2],Tabla9[BUSQUEDA],Tabla3[[#This Row],[BUSQUEDA]],Tabla9[CODIGO],Tabla3[[#This Row],[CODIGO]],Tabla9[ORDEN No.],Tabla3[[#This Row],[ORDEN de COMPRA]]),0)</f>
        <v>12</v>
      </c>
      <c r="N82" s="27">
        <f>IFERROR(IF(BD_DETALLE!B82&gt;0,VLOOKUP(BD_DETALLE!B82,Tabla9[],10,0),""),"")</f>
        <v>0</v>
      </c>
      <c r="O82" s="28">
        <f>IFERROR(VLOOKUP(BD_DETALLE!B82,Tabla9[],11,0),0)</f>
        <v>0</v>
      </c>
      <c r="P82" s="26">
        <f>IFERROR(SUMIFS(Tabla9[CANTIDAD3],Tabla9[BUSQUEDA],Tabla3[[#This Row],[BUSQUEDA]],Tabla9[CODIGO],Tabla3[[#This Row],[CODIGO]]),0)</f>
        <v>0</v>
      </c>
      <c r="Q82" s="25">
        <f>IF(BD_DETALLE!P82&lt;=0,0,IF(BD_DETALLE!P82=BD_DETALLE!H82,2,1))</f>
        <v>0</v>
      </c>
      <c r="R82" s="41">
        <f ca="1">IF(BD_DETALLE!$C82&gt;0,(IF(BD_DETALLE!$N82=0,TODAY()-BD_DETALLE!$C82,BD_DETALLE!$N82-BD_DETALLE!$C82)),"")</f>
        <v>140</v>
      </c>
    </row>
    <row r="83" spans="2:18" x14ac:dyDescent="0.25">
      <c r="B83" s="68" t="str">
        <f t="shared" ref="B83:B86" si="7">IFERROR(TEXT(C83,"yy") &amp; TEXT(C83,"mm") &amp;"-"&amp;(E83) &amp;"-"&amp;(F83),"")</f>
        <v>2101-1-320556</v>
      </c>
      <c r="C83" s="69">
        <v>44200</v>
      </c>
      <c r="D83" s="70" t="str">
        <f>IF(BD_DETALLE!$E83&gt;=1,CONCATENATE(TEXT(BD_DETALLE!$C83,"YY"),TEXT(BD_DETALLE!$C83,"MM"),"-",BD_DETALLE!$E83),"")</f>
        <v>2101-1</v>
      </c>
      <c r="E83" s="71">
        <v>1</v>
      </c>
      <c r="F83" s="72">
        <v>320556</v>
      </c>
      <c r="G83" s="73" t="str">
        <f>IFERROR(VLOOKUP(BD_DETALLE!$B83,Tabla9[],6,0),"")</f>
        <v>POLEA TIPO "C"  4 CANALES x 11¢" (DIAMETRO) EJE 60mm</v>
      </c>
      <c r="H83" s="74">
        <f>IFERROR(VLOOKUP(BD_DETALLE!$B83,Tabla9[],4,0),0)</f>
        <v>2</v>
      </c>
      <c r="I83" s="75" t="s">
        <v>12</v>
      </c>
      <c r="J83" s="76" t="s">
        <v>1109</v>
      </c>
      <c r="K83" s="10">
        <f>IFERROR(VLOOKUP(BD_DETALLE!B83,Tabla9[],7,0),"")</f>
        <v>0</v>
      </c>
      <c r="L83" s="11">
        <f>IFERROR(VLOOKUP(BD_DETALLE!B83,Tabla9[],8,0),"")</f>
        <v>0</v>
      </c>
      <c r="M83" s="9">
        <f>IFERROR(SUMIFS(Tabla9[CANTIDAD2],Tabla9[BUSQUEDA],Tabla3[[#This Row],[BUSQUEDA]],Tabla9[CODIGO],Tabla3[[#This Row],[CODIGO]],Tabla9[ORDEN No.],Tabla3[[#This Row],[ORDEN de COMPRA]]),0)</f>
        <v>0</v>
      </c>
      <c r="N83" s="27">
        <f>IFERROR(IF(BD_DETALLE!B83&gt;0,VLOOKUP(BD_DETALLE!B83,Tabla9[],10,0),""),"")</f>
        <v>0</v>
      </c>
      <c r="O83" s="28">
        <f>IFERROR(VLOOKUP(BD_DETALLE!B83,Tabla9[],11,0),0)</f>
        <v>0</v>
      </c>
      <c r="P83" s="26">
        <f>IFERROR(SUMIFS(Tabla9[CANTIDAD3],Tabla9[BUSQUEDA],Tabla3[[#This Row],[BUSQUEDA]],Tabla9[CODIGO],Tabla3[[#This Row],[CODIGO]]),0)</f>
        <v>0</v>
      </c>
      <c r="Q83" s="25">
        <f>IF(BD_DETALLE!P83&lt;=0,0,IF(BD_DETALLE!P83=BD_DETALLE!H83,2,1))</f>
        <v>0</v>
      </c>
      <c r="R83" s="41">
        <f ca="1">IF(BD_DETALLE!$C83&gt;0,(IF(BD_DETALLE!$N83=0,TODAY()-BD_DETALLE!$C83,BD_DETALLE!$N83-BD_DETALLE!$C83)),"")</f>
        <v>105</v>
      </c>
    </row>
    <row r="84" spans="2:18" x14ac:dyDescent="0.25">
      <c r="B84" s="68" t="str">
        <f t="shared" si="7"/>
        <v>2101-1-320557</v>
      </c>
      <c r="C84" s="69">
        <v>44200</v>
      </c>
      <c r="D84" s="70" t="str">
        <f>IF(BD_DETALLE!$E84&gt;=1,CONCATENATE(TEXT(BD_DETALLE!$C84,"YY"),TEXT(BD_DETALLE!$C84,"MM"),"-",BD_DETALLE!$E84),"")</f>
        <v>2101-1</v>
      </c>
      <c r="E84" s="71">
        <v>1</v>
      </c>
      <c r="F84" s="72">
        <v>320557</v>
      </c>
      <c r="G84" s="73" t="str">
        <f>IFERROR(VLOOKUP(BD_DETALLE!$B84,Tabla9[],6,0),"")</f>
        <v>POLEA TIPO "C"  4 CANALES x 11¥" (DIAMETRO) EJE 60mm</v>
      </c>
      <c r="H84" s="74">
        <f>IFERROR(VLOOKUP(BD_DETALLE!$B84,Tabla9[],4,0),0)</f>
        <v>1</v>
      </c>
      <c r="I84" s="75" t="s">
        <v>12</v>
      </c>
      <c r="J84" s="76" t="s">
        <v>1109</v>
      </c>
      <c r="K84" s="10">
        <f>IFERROR(VLOOKUP(BD_DETALLE!B84,Tabla9[],7,0),"")</f>
        <v>0</v>
      </c>
      <c r="L84" s="11">
        <f>IFERROR(VLOOKUP(BD_DETALLE!B84,Tabla9[],8,0),"")</f>
        <v>0</v>
      </c>
      <c r="M84" s="9">
        <f>IFERROR(SUMIFS(Tabla9[CANTIDAD2],Tabla9[BUSQUEDA],Tabla3[[#This Row],[BUSQUEDA]],Tabla9[CODIGO],Tabla3[[#This Row],[CODIGO]],Tabla9[ORDEN No.],Tabla3[[#This Row],[ORDEN de COMPRA]]),0)</f>
        <v>0</v>
      </c>
      <c r="N84" s="27">
        <f>IFERROR(IF(BD_DETALLE!B84&gt;0,VLOOKUP(BD_DETALLE!B84,Tabla9[],10,0),""),"")</f>
        <v>0</v>
      </c>
      <c r="O84" s="28">
        <f>IFERROR(VLOOKUP(BD_DETALLE!B84,Tabla9[],11,0),0)</f>
        <v>0</v>
      </c>
      <c r="P84" s="26">
        <f>IFERROR(SUMIFS(Tabla9[CANTIDAD3],Tabla9[BUSQUEDA],Tabla3[[#This Row],[BUSQUEDA]],Tabla9[CODIGO],Tabla3[[#This Row],[CODIGO]]),0)</f>
        <v>0</v>
      </c>
      <c r="Q84" s="25">
        <f>IF(BD_DETALLE!P84&lt;=0,0,IF(BD_DETALLE!P84=BD_DETALLE!H84,2,1))</f>
        <v>0</v>
      </c>
      <c r="R84" s="41">
        <f ca="1">IF(BD_DETALLE!$C84&gt;0,(IF(BD_DETALLE!$N84=0,TODAY()-BD_DETALLE!$C84,BD_DETALLE!$N84-BD_DETALLE!$C84)),"")</f>
        <v>105</v>
      </c>
    </row>
    <row r="85" spans="2:18" x14ac:dyDescent="0.25">
      <c r="B85" s="68" t="str">
        <f t="shared" si="7"/>
        <v>2101-5-319982</v>
      </c>
      <c r="C85" s="69">
        <v>44200</v>
      </c>
      <c r="D85" s="70" t="str">
        <f>IF(BD_DETALLE!$E85&gt;=1,CONCATENATE(TEXT(BD_DETALLE!$C85,"YY"),TEXT(BD_DETALLE!$C85,"MM"),"-",BD_DETALLE!$E85),"")</f>
        <v>2101-5</v>
      </c>
      <c r="E85" s="71">
        <v>5</v>
      </c>
      <c r="F85" s="72">
        <v>319982</v>
      </c>
      <c r="G85" s="73" t="str">
        <f>IFERROR(VLOOKUP(BD_DETALLE!$B85,Tabla9[],6,0),"")</f>
        <v>SELLO MECANICO 1.1/4 TIPO 21  R.F./S.F SILICON  CARBIDE EPDM</v>
      </c>
      <c r="H85" s="74">
        <f>IFERROR(VLOOKUP(BD_DETALLE!$B85,Tabla9[],4,0),0)</f>
        <v>6</v>
      </c>
      <c r="I85" s="62" t="s">
        <v>15</v>
      </c>
      <c r="J85" s="63" t="s">
        <v>385</v>
      </c>
      <c r="K85" s="10">
        <f>IFERROR(VLOOKUP(BD_DETALLE!B85,Tabla9[],7,0),"")</f>
        <v>0</v>
      </c>
      <c r="L85" s="11">
        <f>IFERROR(VLOOKUP(BD_DETALLE!B85,Tabla9[],8,0),"")</f>
        <v>0</v>
      </c>
      <c r="M85" s="9">
        <f>IFERROR(SUMIFS(Tabla9[CANTIDAD2],Tabla9[BUSQUEDA],Tabla3[[#This Row],[BUSQUEDA]],Tabla9[CODIGO],Tabla3[[#This Row],[CODIGO]],Tabla9[ORDEN No.],Tabla3[[#This Row],[ORDEN de COMPRA]]),0)</f>
        <v>0</v>
      </c>
      <c r="N85" s="27">
        <f>IFERROR(IF(BD_DETALLE!B85&gt;0,VLOOKUP(BD_DETALLE!B85,Tabla9[],10,0),""),"")</f>
        <v>0</v>
      </c>
      <c r="O85" s="28">
        <f>IFERROR(VLOOKUP(BD_DETALLE!B85,Tabla9[],11,0),0)</f>
        <v>0</v>
      </c>
      <c r="P85" s="26">
        <f>IFERROR(SUMIFS(Tabla9[CANTIDAD3],Tabla9[BUSQUEDA],Tabla3[[#This Row],[BUSQUEDA]],Tabla9[CODIGO],Tabla3[[#This Row],[CODIGO]]),0)</f>
        <v>0</v>
      </c>
      <c r="Q85" s="25">
        <f>IF(BD_DETALLE!P85&lt;=0,0,IF(BD_DETALLE!P85=BD_DETALLE!H85,2,1))</f>
        <v>0</v>
      </c>
      <c r="R85" s="41">
        <f ca="1">IF(BD_DETALLE!$C85&gt;0,(IF(BD_DETALLE!$N85=0,TODAY()-BD_DETALLE!$C85,BD_DETALLE!$N85-BD_DETALLE!$C85)),"")</f>
        <v>105</v>
      </c>
    </row>
    <row r="86" spans="2:18" x14ac:dyDescent="0.25">
      <c r="B86" s="68" t="str">
        <f t="shared" si="7"/>
        <v>2101-5-319983</v>
      </c>
      <c r="C86" s="69">
        <v>44200</v>
      </c>
      <c r="D86" s="70" t="str">
        <f>IF(BD_DETALLE!$E86&gt;=1,CONCATENATE(TEXT(BD_DETALLE!$C86,"YY"),TEXT(BD_DETALLE!$C86,"MM"),"-",BD_DETALLE!$E86),"")</f>
        <v>2101-5</v>
      </c>
      <c r="E86" s="71">
        <v>5</v>
      </c>
      <c r="F86" s="72">
        <v>319983</v>
      </c>
      <c r="G86" s="73" t="str">
        <f>IFERROR(VLOOKUP(BD_DETALLE!$B86,Tabla9[],6,0),"")</f>
        <v>SELLO MECANICO 1.1/2 TIPO 21  R.F./S.F SILICON  CARBIDE EPDM</v>
      </c>
      <c r="H86" s="74">
        <f>IFERROR(VLOOKUP(BD_DETALLE!$B86,Tabla9[],4,0),0)</f>
        <v>4</v>
      </c>
      <c r="I86" s="62" t="s">
        <v>15</v>
      </c>
      <c r="J86" s="63" t="s">
        <v>385</v>
      </c>
      <c r="K86" s="10">
        <f>IFERROR(VLOOKUP(BD_DETALLE!B86,Tabla9[],7,0),"")</f>
        <v>0</v>
      </c>
      <c r="L86" s="11">
        <f>IFERROR(VLOOKUP(BD_DETALLE!B86,Tabla9[],8,0),"")</f>
        <v>0</v>
      </c>
      <c r="M86" s="9">
        <f>IFERROR(SUMIFS(Tabla9[CANTIDAD2],Tabla9[BUSQUEDA],Tabla3[[#This Row],[BUSQUEDA]],Tabla9[CODIGO],Tabla3[[#This Row],[CODIGO]],Tabla9[ORDEN No.],Tabla3[[#This Row],[ORDEN de COMPRA]]),0)</f>
        <v>0</v>
      </c>
      <c r="N86" s="27">
        <f>IFERROR(IF(BD_DETALLE!B86&gt;0,VLOOKUP(BD_DETALLE!B86,Tabla9[],10,0),""),"")</f>
        <v>0</v>
      </c>
      <c r="O86" s="28">
        <f>IFERROR(VLOOKUP(BD_DETALLE!B86,Tabla9[],11,0),0)</f>
        <v>0</v>
      </c>
      <c r="P86" s="26">
        <f>IFERROR(SUMIFS(Tabla9[CANTIDAD3],Tabla9[BUSQUEDA],Tabla3[[#This Row],[BUSQUEDA]],Tabla9[CODIGO],Tabla3[[#This Row],[CODIGO]]),0)</f>
        <v>0</v>
      </c>
      <c r="Q86" s="25">
        <f>IF(BD_DETALLE!P86&lt;=0,0,IF(BD_DETALLE!P86=BD_DETALLE!H86,2,1))</f>
        <v>0</v>
      </c>
      <c r="R86" s="41">
        <f ca="1">IF(BD_DETALLE!$C86&gt;0,(IF(BD_DETALLE!$N86=0,TODAY()-BD_DETALLE!$C86,BD_DETALLE!$N86-BD_DETALLE!$C86)),"")</f>
        <v>105</v>
      </c>
    </row>
    <row r="87" spans="2:18" x14ac:dyDescent="0.25">
      <c r="B87" s="68" t="str">
        <f t="shared" ref="B87:B95" si="8">IFERROR(TEXT(C87,"yy") &amp; TEXT(C87,"mm") &amp;"-"&amp;(E87) &amp;"-"&amp;(F87),"")</f>
        <v>2101-9-202478</v>
      </c>
      <c r="C87" s="69">
        <v>44200</v>
      </c>
      <c r="D87" s="70" t="str">
        <f>IF(BD_DETALLE!$E87&gt;=1,CONCATENATE(TEXT(BD_DETALLE!$C87,"YY"),TEXT(BD_DETALLE!$C87,"MM"),"-",BD_DETALLE!$E87),"")</f>
        <v>2101-9</v>
      </c>
      <c r="E87" s="71">
        <v>9</v>
      </c>
      <c r="F87" s="72">
        <v>202478</v>
      </c>
      <c r="G87" s="73" t="str">
        <f>IFERROR(VLOOKUP(BD_DETALLE!$B87,Tabla9[],6,0),"")</f>
        <v>CANDADO MEDIO PASO 120</v>
      </c>
      <c r="H87" s="74">
        <f>IFERROR(VLOOKUP(BD_DETALLE!$B87,Tabla9[],4,0),0)</f>
        <v>6</v>
      </c>
      <c r="I87" s="62" t="s">
        <v>15</v>
      </c>
      <c r="J87" s="63" t="s">
        <v>385</v>
      </c>
      <c r="K87" s="10">
        <f>IFERROR(VLOOKUP(BD_DETALLE!B87,Tabla9[],7,0),"")</f>
        <v>44214</v>
      </c>
      <c r="L87" s="11">
        <f>IFERROR(VLOOKUP(BD_DETALLE!B87,Tabla9[],8,0),"")</f>
        <v>51241</v>
      </c>
      <c r="M87" s="9">
        <f>IFERROR(SUMIFS(Tabla9[CANTIDAD2],Tabla9[BUSQUEDA],Tabla3[[#This Row],[BUSQUEDA]],Tabla9[CODIGO],Tabla3[[#This Row],[CODIGO]],Tabla9[ORDEN No.],Tabla3[[#This Row],[ORDEN de COMPRA]]),0)</f>
        <v>6</v>
      </c>
      <c r="N87" s="27">
        <f>IFERROR(IF(BD_DETALLE!B87&gt;0,VLOOKUP(BD_DETALLE!B87,Tabla9[],10,0),""),"")</f>
        <v>0</v>
      </c>
      <c r="O87" s="28">
        <f>IFERROR(VLOOKUP(BD_DETALLE!B87,Tabla9[],11,0),0)</f>
        <v>0</v>
      </c>
      <c r="P87" s="26">
        <f>IFERROR(SUMIFS(Tabla9[CANTIDAD3],Tabla9[BUSQUEDA],Tabla3[[#This Row],[BUSQUEDA]],Tabla9[CODIGO],Tabla3[[#This Row],[CODIGO]]),0)</f>
        <v>0</v>
      </c>
      <c r="Q87" s="25">
        <f>IF(BD_DETALLE!P87&lt;=0,0,IF(BD_DETALLE!P87=BD_DETALLE!H87,2,1))</f>
        <v>0</v>
      </c>
      <c r="R87" s="41">
        <f ca="1">IF(BD_DETALLE!$C87&gt;0,(IF(BD_DETALLE!$N87=0,TODAY()-BD_DETALLE!$C87,BD_DETALLE!$N87-BD_DETALLE!$C87)),"")</f>
        <v>105</v>
      </c>
    </row>
    <row r="88" spans="2:18" x14ac:dyDescent="0.25">
      <c r="B88" s="68" t="str">
        <f t="shared" si="8"/>
        <v>2101-15-314338</v>
      </c>
      <c r="C88" s="69">
        <v>44200</v>
      </c>
      <c r="D88" s="70" t="str">
        <f>IF(BD_DETALLE!$E88&gt;=1,CONCATENATE(TEXT(BD_DETALLE!$C88,"YY"),TEXT(BD_DETALLE!$C88,"MM"),"-",BD_DETALLE!$E88),"")</f>
        <v>2101-15</v>
      </c>
      <c r="E88" s="71">
        <v>15</v>
      </c>
      <c r="F88" s="72">
        <v>314338</v>
      </c>
      <c r="G88" s="73" t="str">
        <f>IFERROR(VLOOKUP(BD_DETALLE!$B88,Tabla9[],6,0),"")</f>
        <v>PLANCHA ESTIPANI  0.60  DE 6MTR (LARGO)</v>
      </c>
      <c r="H88" s="74">
        <f>IFERROR(VLOOKUP(BD_DETALLE!$B88,Tabla9[],4,0),0)</f>
        <v>20</v>
      </c>
      <c r="I88" s="75" t="s">
        <v>11</v>
      </c>
      <c r="J88" s="76" t="s">
        <v>1214</v>
      </c>
      <c r="K88" s="10">
        <f>IFERROR(VLOOKUP(BD_DETALLE!B88,Tabla9[],7,0),"")</f>
        <v>0</v>
      </c>
      <c r="L88" s="11">
        <f>IFERROR(VLOOKUP(BD_DETALLE!B88,Tabla9[],8,0),"")</f>
        <v>0</v>
      </c>
      <c r="M88" s="9">
        <f>IFERROR(SUMIFS(Tabla9[CANTIDAD2],Tabla9[BUSQUEDA],Tabla3[[#This Row],[BUSQUEDA]],Tabla9[CODIGO],Tabla3[[#This Row],[CODIGO]],Tabla9[ORDEN No.],Tabla3[[#This Row],[ORDEN de COMPRA]]),0)</f>
        <v>0</v>
      </c>
      <c r="N88" s="27">
        <f>IFERROR(IF(BD_DETALLE!B88&gt;0,VLOOKUP(BD_DETALLE!B88,Tabla9[],10,0),""),"")</f>
        <v>0</v>
      </c>
      <c r="O88" s="28">
        <f>IFERROR(VLOOKUP(BD_DETALLE!B88,Tabla9[],11,0),0)</f>
        <v>0</v>
      </c>
      <c r="P88" s="26">
        <f>IFERROR(SUMIFS(Tabla9[CANTIDAD3],Tabla9[BUSQUEDA],Tabla3[[#This Row],[BUSQUEDA]],Tabla9[CODIGO],Tabla3[[#This Row],[CODIGO]]),0)</f>
        <v>0</v>
      </c>
      <c r="Q88" s="25">
        <f>IF(BD_DETALLE!P88&lt;=0,0,IF(BD_DETALLE!P88=BD_DETALLE!H88,2,1))</f>
        <v>0</v>
      </c>
      <c r="R88" s="41">
        <f ca="1">IF(BD_DETALLE!$C88&gt;0,(IF(BD_DETALLE!$N88=0,TODAY()-BD_DETALLE!$C88,BD_DETALLE!$N88-BD_DETALLE!$C88)),"")</f>
        <v>105</v>
      </c>
    </row>
    <row r="89" spans="2:18" x14ac:dyDescent="0.25">
      <c r="B89" s="68" t="str">
        <f t="shared" si="8"/>
        <v>2101-15-305761</v>
      </c>
      <c r="C89" s="69">
        <v>44200</v>
      </c>
      <c r="D89" s="70" t="str">
        <f>IF(BD_DETALLE!$E89&gt;=1,CONCATENATE(TEXT(BD_DETALLE!$C89,"YY"),TEXT(BD_DETALLE!$C89,"MM"),"-",BD_DETALLE!$E89),"")</f>
        <v>2101-15</v>
      </c>
      <c r="E89" s="71">
        <v>15</v>
      </c>
      <c r="F89" s="72">
        <v>305761</v>
      </c>
      <c r="G89" s="73" t="str">
        <f>IFERROR(VLOOKUP(BD_DETALLE!$B89,Tabla9[],6,0),"")</f>
        <v>PERNO PARA ZINC 1/4"X2.1/2"</v>
      </c>
      <c r="H89" s="74">
        <f>IFERROR(VLOOKUP(BD_DETALLE!$B89,Tabla9[],4,0),0)</f>
        <v>200</v>
      </c>
      <c r="I89" s="75" t="s">
        <v>11</v>
      </c>
      <c r="J89" s="76" t="s">
        <v>1214</v>
      </c>
      <c r="K89" s="10">
        <f>IFERROR(VLOOKUP(BD_DETALLE!B89,Tabla9[],7,0),"")</f>
        <v>0</v>
      </c>
      <c r="L89" s="11">
        <f>IFERROR(VLOOKUP(BD_DETALLE!B89,Tabla9[],8,0),"")</f>
        <v>0</v>
      </c>
      <c r="M89" s="9">
        <f>IFERROR(SUMIFS(Tabla9[CANTIDAD2],Tabla9[BUSQUEDA],Tabla3[[#This Row],[BUSQUEDA]],Tabla9[CODIGO],Tabla3[[#This Row],[CODIGO]],Tabla9[ORDEN No.],Tabla3[[#This Row],[ORDEN de COMPRA]]),0)</f>
        <v>0</v>
      </c>
      <c r="N89" s="27">
        <f>IFERROR(IF(BD_DETALLE!B89&gt;0,VLOOKUP(BD_DETALLE!B89,Tabla9[],10,0),""),"")</f>
        <v>0</v>
      </c>
      <c r="O89" s="28">
        <f>IFERROR(VLOOKUP(BD_DETALLE!B89,Tabla9[],11,0),0)</f>
        <v>0</v>
      </c>
      <c r="P89" s="26">
        <f>IFERROR(SUMIFS(Tabla9[CANTIDAD3],Tabla9[BUSQUEDA],Tabla3[[#This Row],[BUSQUEDA]],Tabla9[CODIGO],Tabla3[[#This Row],[CODIGO]]),0)</f>
        <v>0</v>
      </c>
      <c r="Q89" s="25">
        <f>IF(BD_DETALLE!P89&lt;=0,0,IF(BD_DETALLE!P89=BD_DETALLE!H89,2,1))</f>
        <v>0</v>
      </c>
      <c r="R89" s="41">
        <f ca="1">IF(BD_DETALLE!$C89&gt;0,(IF(BD_DETALLE!$N89=0,TODAY()-BD_DETALLE!$C89,BD_DETALLE!$N89-BD_DETALLE!$C89)),"")</f>
        <v>105</v>
      </c>
    </row>
    <row r="90" spans="2:18" x14ac:dyDescent="0.25">
      <c r="B90" s="68" t="str">
        <f t="shared" si="8"/>
        <v>2101-16-205343</v>
      </c>
      <c r="C90" s="69">
        <v>44200</v>
      </c>
      <c r="D90" s="70" t="str">
        <f>IF(BD_DETALLE!$E90&gt;=1,CONCATENATE(TEXT(BD_DETALLE!$C90,"YY"),TEXT(BD_DETALLE!$C90,"MM"),"-",BD_DETALLE!$E90),"")</f>
        <v>2101-16</v>
      </c>
      <c r="E90" s="71">
        <v>16</v>
      </c>
      <c r="F90" s="72">
        <v>205343</v>
      </c>
      <c r="G90" s="73" t="str">
        <f>IFERROR(VLOOKUP(BD_DETALLE!$B90,Tabla9[],6,0),"")</f>
        <v>RULIMAN 33213 CON PISTA (BAÐERA # 5)</v>
      </c>
      <c r="H90" s="74">
        <f>IFERROR(VLOOKUP(BD_DETALLE!$B90,Tabla9[],4,0),0)</f>
        <v>1</v>
      </c>
      <c r="I90" s="75" t="s">
        <v>5</v>
      </c>
      <c r="J90" s="76" t="s">
        <v>1092</v>
      </c>
      <c r="K90" s="10">
        <f>IFERROR(VLOOKUP(BD_DETALLE!B90,Tabla9[],7,0),"")</f>
        <v>0</v>
      </c>
      <c r="L90" s="11">
        <f>IFERROR(VLOOKUP(BD_DETALLE!B90,Tabla9[],8,0),"")</f>
        <v>0</v>
      </c>
      <c r="M90" s="9">
        <f>IFERROR(SUMIFS(Tabla9[CANTIDAD2],Tabla9[BUSQUEDA],Tabla3[[#This Row],[BUSQUEDA]],Tabla9[CODIGO],Tabla3[[#This Row],[CODIGO]],Tabla9[ORDEN No.],Tabla3[[#This Row],[ORDEN de COMPRA]]),0)</f>
        <v>0</v>
      </c>
      <c r="N90" s="27">
        <f>IFERROR(IF(BD_DETALLE!B90&gt;0,VLOOKUP(BD_DETALLE!B90,Tabla9[],10,0),""),"")</f>
        <v>0</v>
      </c>
      <c r="O90" s="28">
        <f>IFERROR(VLOOKUP(BD_DETALLE!B90,Tabla9[],11,0),0)</f>
        <v>0</v>
      </c>
      <c r="P90" s="26">
        <f>IFERROR(SUMIFS(Tabla9[CANTIDAD3],Tabla9[BUSQUEDA],Tabla3[[#This Row],[BUSQUEDA]],Tabla9[CODIGO],Tabla3[[#This Row],[CODIGO]]),0)</f>
        <v>0</v>
      </c>
      <c r="Q90" s="25">
        <f>IF(BD_DETALLE!P90&lt;=0,0,IF(BD_DETALLE!P90=BD_DETALLE!H90,2,1))</f>
        <v>0</v>
      </c>
      <c r="R90" s="41">
        <f ca="1">IF(BD_DETALLE!$C90&gt;0,(IF(BD_DETALLE!$N90=0,TODAY()-BD_DETALLE!$C90,BD_DETALLE!$N90-BD_DETALLE!$C90)),"")</f>
        <v>105</v>
      </c>
    </row>
    <row r="91" spans="2:18" x14ac:dyDescent="0.25">
      <c r="B91" s="68" t="str">
        <f t="shared" si="8"/>
        <v>2101-16-206336</v>
      </c>
      <c r="C91" s="69">
        <v>44200</v>
      </c>
      <c r="D91" s="70" t="str">
        <f>IF(BD_DETALLE!$E91&gt;=1,CONCATENATE(TEXT(BD_DETALLE!$C91,"YY"),TEXT(BD_DETALLE!$C91,"MM"),"-",BD_DETALLE!$E91),"")</f>
        <v>2101-16</v>
      </c>
      <c r="E91" s="71">
        <v>16</v>
      </c>
      <c r="F91" s="72">
        <v>206336</v>
      </c>
      <c r="G91" s="73" t="str">
        <f>IFERROR(VLOOKUP(BD_DETALLE!$B91,Tabla9[],6,0),"")</f>
        <v>RULIMAN RUEDA POSTERIOR</v>
      </c>
      <c r="H91" s="74">
        <f>IFERROR(VLOOKUP(BD_DETALLE!$B91,Tabla9[],4,0),0)</f>
        <v>1</v>
      </c>
      <c r="I91" s="75" t="s">
        <v>5</v>
      </c>
      <c r="J91" s="76" t="s">
        <v>1092</v>
      </c>
      <c r="K91" s="10">
        <f>IFERROR(VLOOKUP(BD_DETALLE!B91,Tabla9[],7,0),"")</f>
        <v>0</v>
      </c>
      <c r="L91" s="11">
        <f>IFERROR(VLOOKUP(BD_DETALLE!B91,Tabla9[],8,0),"")</f>
        <v>0</v>
      </c>
      <c r="M91" s="9">
        <f>IFERROR(SUMIFS(Tabla9[CANTIDAD2],Tabla9[BUSQUEDA],Tabla3[[#This Row],[BUSQUEDA]],Tabla9[CODIGO],Tabla3[[#This Row],[CODIGO]],Tabla9[ORDEN No.],Tabla3[[#This Row],[ORDEN de COMPRA]]),0)</f>
        <v>0</v>
      </c>
      <c r="N91" s="27">
        <f>IFERROR(IF(BD_DETALLE!B91&gt;0,VLOOKUP(BD_DETALLE!B91,Tabla9[],10,0),""),"")</f>
        <v>0</v>
      </c>
      <c r="O91" s="28">
        <f>IFERROR(VLOOKUP(BD_DETALLE!B91,Tabla9[],11,0),0)</f>
        <v>0</v>
      </c>
      <c r="P91" s="26">
        <f>IFERROR(SUMIFS(Tabla9[CANTIDAD3],Tabla9[BUSQUEDA],Tabla3[[#This Row],[BUSQUEDA]],Tabla9[CODIGO],Tabla3[[#This Row],[CODIGO]]),0)</f>
        <v>0</v>
      </c>
      <c r="Q91" s="25">
        <f>IF(BD_DETALLE!P91&lt;=0,0,IF(BD_DETALLE!P91=BD_DETALLE!H91,2,1))</f>
        <v>0</v>
      </c>
      <c r="R91" s="41">
        <f ca="1">IF(BD_DETALLE!$C91&gt;0,(IF(BD_DETALLE!$N91=0,TODAY()-BD_DETALLE!$C91,BD_DETALLE!$N91-BD_DETALLE!$C91)),"")</f>
        <v>105</v>
      </c>
    </row>
    <row r="92" spans="2:18" x14ac:dyDescent="0.25">
      <c r="B92" s="68" t="str">
        <f t="shared" si="8"/>
        <v>2101-16-300908</v>
      </c>
      <c r="C92" s="69">
        <v>44200</v>
      </c>
      <c r="D92" s="70" t="str">
        <f>IF(BD_DETALLE!$E92&gt;=1,CONCATENATE(TEXT(BD_DETALLE!$C92,"YY"),TEXT(BD_DETALLE!$C92,"MM"),"-",BD_DETALLE!$E92),"")</f>
        <v>2101-16</v>
      </c>
      <c r="E92" s="71">
        <v>16</v>
      </c>
      <c r="F92" s="72">
        <v>300908</v>
      </c>
      <c r="G92" s="73" t="str">
        <f>IFERROR(VLOOKUP(BD_DETALLE!$B92,Tabla9[],6,0),"")</f>
        <v>TAMBOR FRENO DE MANO</v>
      </c>
      <c r="H92" s="74">
        <f>IFERROR(VLOOKUP(BD_DETALLE!$B92,Tabla9[],4,0),0)</f>
        <v>4</v>
      </c>
      <c r="I92" s="75" t="s">
        <v>5</v>
      </c>
      <c r="J92" s="76" t="s">
        <v>1092</v>
      </c>
      <c r="K92" s="10">
        <f>IFERROR(VLOOKUP(BD_DETALLE!B92,Tabla9[],7,0),"")</f>
        <v>0</v>
      </c>
      <c r="L92" s="11">
        <f>IFERROR(VLOOKUP(BD_DETALLE!B92,Tabla9[],8,0),"")</f>
        <v>0</v>
      </c>
      <c r="M92" s="9">
        <f>IFERROR(SUMIFS(Tabla9[CANTIDAD2],Tabla9[BUSQUEDA],Tabla3[[#This Row],[BUSQUEDA]],Tabla9[CODIGO],Tabla3[[#This Row],[CODIGO]],Tabla9[ORDEN No.],Tabla3[[#This Row],[ORDEN de COMPRA]]),0)</f>
        <v>0</v>
      </c>
      <c r="N92" s="27">
        <f>IFERROR(IF(BD_DETALLE!B92&gt;0,VLOOKUP(BD_DETALLE!B92,Tabla9[],10,0),""),"")</f>
        <v>0</v>
      </c>
      <c r="O92" s="28">
        <f>IFERROR(VLOOKUP(BD_DETALLE!B92,Tabla9[],11,0),0)</f>
        <v>0</v>
      </c>
      <c r="P92" s="26">
        <f>IFERROR(SUMIFS(Tabla9[CANTIDAD3],Tabla9[BUSQUEDA],Tabla3[[#This Row],[BUSQUEDA]],Tabla9[CODIGO],Tabla3[[#This Row],[CODIGO]]),0)</f>
        <v>0</v>
      </c>
      <c r="Q92" s="25">
        <f>IF(BD_DETALLE!P92&lt;=0,0,IF(BD_DETALLE!P92=BD_DETALLE!H92,2,1))</f>
        <v>0</v>
      </c>
      <c r="R92" s="41">
        <f ca="1">IF(BD_DETALLE!$C92&gt;0,(IF(BD_DETALLE!$N92=0,TODAY()-BD_DETALLE!$C92,BD_DETALLE!$N92-BD_DETALLE!$C92)),"")</f>
        <v>105</v>
      </c>
    </row>
    <row r="93" spans="2:18" x14ac:dyDescent="0.25">
      <c r="B93" s="68" t="str">
        <f t="shared" si="8"/>
        <v>2101-17-106357</v>
      </c>
      <c r="C93" s="69">
        <v>44200</v>
      </c>
      <c r="D93" s="70" t="str">
        <f>IF(BD_DETALLE!$E93&gt;=1,CONCATENATE(TEXT(BD_DETALLE!$C93,"YY"),TEXT(BD_DETALLE!$C93,"MM"),"-",BD_DETALLE!$E93),"")</f>
        <v>2101-17</v>
      </c>
      <c r="E93" s="71">
        <v>17</v>
      </c>
      <c r="F93" s="72">
        <v>106357</v>
      </c>
      <c r="G93" s="73" t="str">
        <f>IFERROR(VLOOKUP(BD_DETALLE!$B93,Tabla9[],6,0),"")</f>
        <v>BRAZO DE DIRECCION</v>
      </c>
      <c r="H93" s="74">
        <f>IFERROR(VLOOKUP(BD_DETALLE!$B93,Tabla9[],4,0),0)</f>
        <v>1</v>
      </c>
      <c r="I93" s="75" t="s">
        <v>5</v>
      </c>
      <c r="J93" s="76" t="s">
        <v>959</v>
      </c>
      <c r="K93" s="10">
        <f>IFERROR(VLOOKUP(BD_DETALLE!B93,Tabla9[],7,0),"")</f>
        <v>0</v>
      </c>
      <c r="L93" s="11">
        <f>IFERROR(VLOOKUP(BD_DETALLE!B93,Tabla9[],8,0),"")</f>
        <v>0</v>
      </c>
      <c r="M93" s="9">
        <f>IFERROR(SUMIFS(Tabla9[CANTIDAD2],Tabla9[BUSQUEDA],Tabla3[[#This Row],[BUSQUEDA]],Tabla9[CODIGO],Tabla3[[#This Row],[CODIGO]],Tabla9[ORDEN No.],Tabla3[[#This Row],[ORDEN de COMPRA]]),0)</f>
        <v>0</v>
      </c>
      <c r="N93" s="27">
        <f>IFERROR(IF(BD_DETALLE!B93&gt;0,VLOOKUP(BD_DETALLE!B93,Tabla9[],10,0),""),"")</f>
        <v>0</v>
      </c>
      <c r="O93" s="28">
        <f>IFERROR(VLOOKUP(BD_DETALLE!B93,Tabla9[],11,0),0)</f>
        <v>0</v>
      </c>
      <c r="P93" s="26">
        <f>IFERROR(SUMIFS(Tabla9[CANTIDAD3],Tabla9[BUSQUEDA],Tabla3[[#This Row],[BUSQUEDA]],Tabla9[CODIGO],Tabla3[[#This Row],[CODIGO]]),0)</f>
        <v>0</v>
      </c>
      <c r="Q93" s="25">
        <f>IF(BD_DETALLE!P93&lt;=0,0,IF(BD_DETALLE!P93=BD_DETALLE!H93,2,1))</f>
        <v>0</v>
      </c>
      <c r="R93" s="41">
        <f ca="1">IF(BD_DETALLE!$C93&gt;0,(IF(BD_DETALLE!$N93=0,TODAY()-BD_DETALLE!$C93,BD_DETALLE!$N93-BD_DETALLE!$C93)),"")</f>
        <v>105</v>
      </c>
    </row>
    <row r="94" spans="2:18" x14ac:dyDescent="0.25">
      <c r="B94" s="68" t="str">
        <f t="shared" si="8"/>
        <v>2101-21-204166</v>
      </c>
      <c r="C94" s="69">
        <v>44201</v>
      </c>
      <c r="D94" s="70" t="str">
        <f>IF(BD_DETALLE!$E94&gt;=1,CONCATENATE(TEXT(BD_DETALLE!$C94,"YY"),TEXT(BD_DETALLE!$C94,"MM"),"-",BD_DETALLE!$E94),"")</f>
        <v>2101-21</v>
      </c>
      <c r="E94" s="71">
        <v>21</v>
      </c>
      <c r="F94" s="72">
        <v>204166</v>
      </c>
      <c r="G94" s="73" t="str">
        <f>IFERROR(VLOOKUP(BD_DETALLE!$B94,Tabla9[],6,0),"")</f>
        <v>PLANCHA ACRILICA DE 6MM DE 1.25 X 2.44</v>
      </c>
      <c r="H94" s="74">
        <f>IFERROR(VLOOKUP(BD_DETALLE!$B94,Tabla9[],4,0),0)</f>
        <v>1</v>
      </c>
      <c r="I94" s="75" t="s">
        <v>19</v>
      </c>
      <c r="J94" s="76" t="s">
        <v>1109</v>
      </c>
      <c r="K94" s="10">
        <f>IFERROR(VLOOKUP(BD_DETALLE!B94,Tabla9[],7,0),"")</f>
        <v>0</v>
      </c>
      <c r="L94" s="11">
        <f>IFERROR(VLOOKUP(BD_DETALLE!B94,Tabla9[],8,0),"")</f>
        <v>0</v>
      </c>
      <c r="M94" s="9">
        <f>IFERROR(SUMIFS(Tabla9[CANTIDAD2],Tabla9[BUSQUEDA],Tabla3[[#This Row],[BUSQUEDA]],Tabla9[CODIGO],Tabla3[[#This Row],[CODIGO]],Tabla9[ORDEN No.],Tabla3[[#This Row],[ORDEN de COMPRA]]),0)</f>
        <v>0</v>
      </c>
      <c r="N94" s="27">
        <f>IFERROR(IF(BD_DETALLE!B94&gt;0,VLOOKUP(BD_DETALLE!B94,Tabla9[],10,0),""),"")</f>
        <v>0</v>
      </c>
      <c r="O94" s="28">
        <f>IFERROR(VLOOKUP(BD_DETALLE!B94,Tabla9[],11,0),0)</f>
        <v>0</v>
      </c>
      <c r="P94" s="26">
        <f>IFERROR(SUMIFS(Tabla9[CANTIDAD3],Tabla9[BUSQUEDA],Tabla3[[#This Row],[BUSQUEDA]],Tabla9[CODIGO],Tabla3[[#This Row],[CODIGO]]),0)</f>
        <v>0</v>
      </c>
      <c r="Q94" s="25">
        <f>IF(BD_DETALLE!P94&lt;=0,0,IF(BD_DETALLE!P94=BD_DETALLE!H94,2,1))</f>
        <v>0</v>
      </c>
      <c r="R94" s="41">
        <f ca="1">IF(BD_DETALLE!$C94&gt;0,(IF(BD_DETALLE!$N94=0,TODAY()-BD_DETALLE!$C94,BD_DETALLE!$N94-BD_DETALLE!$C94)),"")</f>
        <v>104</v>
      </c>
    </row>
    <row r="95" spans="2:18" x14ac:dyDescent="0.25">
      <c r="B95" s="68" t="str">
        <f t="shared" si="8"/>
        <v>2101-21-301139</v>
      </c>
      <c r="C95" s="69">
        <v>44201</v>
      </c>
      <c r="D95" s="70" t="str">
        <f>IF(BD_DETALLE!$E95&gt;=1,CONCATENATE(TEXT(BD_DETALLE!$C95,"YY"),TEXT(BD_DETALLE!$C95,"MM"),"-",BD_DETALLE!$E95),"")</f>
        <v>2101-21</v>
      </c>
      <c r="E95" s="71">
        <v>21</v>
      </c>
      <c r="F95" s="72">
        <v>301139</v>
      </c>
      <c r="G95" s="73" t="str">
        <f>IFERROR(VLOOKUP(BD_DETALLE!$B95,Tabla9[],6,0),"")</f>
        <v>EJE ACERO INOX DE DIAM 1-1/4" x 105CM LARGO</v>
      </c>
      <c r="H95" s="74">
        <f>IFERROR(VLOOKUP(BD_DETALLE!$B95,Tabla9[],4,0),0)</f>
        <v>1</v>
      </c>
      <c r="I95" s="75" t="s">
        <v>19</v>
      </c>
      <c r="J95" s="76" t="s">
        <v>1215</v>
      </c>
      <c r="K95" s="10">
        <f>IFERROR(VLOOKUP(BD_DETALLE!B95,Tabla9[],7,0),"")</f>
        <v>0</v>
      </c>
      <c r="L95" s="11">
        <f>IFERROR(VLOOKUP(BD_DETALLE!B95,Tabla9[],8,0),"")</f>
        <v>0</v>
      </c>
      <c r="M95" s="9">
        <f>IFERROR(SUMIFS(Tabla9[CANTIDAD2],Tabla9[BUSQUEDA],Tabla3[[#This Row],[BUSQUEDA]],Tabla9[CODIGO],Tabla3[[#This Row],[CODIGO]],Tabla9[ORDEN No.],Tabla3[[#This Row],[ORDEN de COMPRA]]),0)</f>
        <v>0</v>
      </c>
      <c r="N95" s="27">
        <f>IFERROR(IF(BD_DETALLE!B95&gt;0,VLOOKUP(BD_DETALLE!B95,Tabla9[],10,0),""),"")</f>
        <v>0</v>
      </c>
      <c r="O95" s="28">
        <f>IFERROR(VLOOKUP(BD_DETALLE!B95,Tabla9[],11,0),0)</f>
        <v>0</v>
      </c>
      <c r="P95" s="26">
        <f>IFERROR(SUMIFS(Tabla9[CANTIDAD3],Tabla9[BUSQUEDA],Tabla3[[#This Row],[BUSQUEDA]],Tabla9[CODIGO],Tabla3[[#This Row],[CODIGO]]),0)</f>
        <v>0</v>
      </c>
      <c r="Q95" s="25">
        <f>IF(BD_DETALLE!P95&lt;=0,0,IF(BD_DETALLE!P95=BD_DETALLE!H95,2,1))</f>
        <v>0</v>
      </c>
      <c r="R95" s="41">
        <f ca="1">IF(BD_DETALLE!$C95&gt;0,(IF(BD_DETALLE!$N95=0,TODAY()-BD_DETALLE!$C95,BD_DETALLE!$N95-BD_DETALLE!$C95)),"")</f>
        <v>104</v>
      </c>
    </row>
    <row r="96" spans="2:18" x14ac:dyDescent="0.25">
      <c r="B96" s="68" t="str">
        <f t="shared" ref="B96:B100" si="9">IFERROR(TEXT(C96,"yy") &amp; TEXT(C96,"mm") &amp;"-"&amp;(E96) &amp;"-"&amp;(F96),"")</f>
        <v>2101-24-312981</v>
      </c>
      <c r="C96" s="69">
        <v>44201</v>
      </c>
      <c r="D96" s="70" t="str">
        <f>IF(BD_DETALLE!$E96&gt;=1,CONCATENATE(TEXT(BD_DETALLE!$C96,"YY"),TEXT(BD_DETALLE!$C96,"MM"),"-",BD_DETALLE!$E96),"")</f>
        <v>2101-24</v>
      </c>
      <c r="E96" s="71">
        <v>24</v>
      </c>
      <c r="F96" s="72">
        <v>312981</v>
      </c>
      <c r="G96" s="73" t="str">
        <f>IFERROR(VLOOKUP(BD_DETALLE!$B96,Tabla9[],6,0),"")</f>
        <v>VALVULA A/R DE 2" VAPOR 150 PSI</v>
      </c>
      <c r="H96" s="74">
        <f>IFERROR(VLOOKUP(BD_DETALLE!$B96,Tabla9[],4,0),0)</f>
        <v>4</v>
      </c>
      <c r="I96" s="75" t="s">
        <v>12</v>
      </c>
      <c r="J96" s="76" t="s">
        <v>1216</v>
      </c>
      <c r="K96" s="10">
        <f>IFERROR(VLOOKUP(BD_DETALLE!B96,Tabla9[],7,0),"")</f>
        <v>0</v>
      </c>
      <c r="L96" s="11">
        <f>IFERROR(VLOOKUP(BD_DETALLE!B96,Tabla9[],8,0),"")</f>
        <v>0</v>
      </c>
      <c r="M96" s="9">
        <f>IFERROR(SUMIFS(Tabla9[CANTIDAD2],Tabla9[BUSQUEDA],Tabla3[[#This Row],[BUSQUEDA]],Tabla9[CODIGO],Tabla3[[#This Row],[CODIGO]],Tabla9[ORDEN No.],Tabla3[[#This Row],[ORDEN de COMPRA]]),0)</f>
        <v>0</v>
      </c>
      <c r="N96" s="27">
        <f>IFERROR(IF(BD_DETALLE!B96&gt;0,VLOOKUP(BD_DETALLE!B96,Tabla9[],10,0),""),"")</f>
        <v>0</v>
      </c>
      <c r="O96" s="28">
        <f>IFERROR(VLOOKUP(BD_DETALLE!B96,Tabla9[],11,0),0)</f>
        <v>0</v>
      </c>
      <c r="P96" s="26">
        <f>IFERROR(SUMIFS(Tabla9[CANTIDAD3],Tabla9[BUSQUEDA],Tabla3[[#This Row],[BUSQUEDA]],Tabla9[CODIGO],Tabla3[[#This Row],[CODIGO]]),0)</f>
        <v>0</v>
      </c>
      <c r="Q96" s="25">
        <f>IF(BD_DETALLE!P96&lt;=0,0,IF(BD_DETALLE!P96=BD_DETALLE!H96,2,1))</f>
        <v>0</v>
      </c>
      <c r="R96" s="41">
        <f ca="1">IF(BD_DETALLE!$C96&gt;0,(IF(BD_DETALLE!$N96=0,TODAY()-BD_DETALLE!$C96,BD_DETALLE!$N96-BD_DETALLE!$C96)),"")</f>
        <v>104</v>
      </c>
    </row>
    <row r="97" spans="2:18" x14ac:dyDescent="0.25">
      <c r="B97" s="68" t="str">
        <f t="shared" si="9"/>
        <v>2101-24-205958</v>
      </c>
      <c r="C97" s="69">
        <v>44201</v>
      </c>
      <c r="D97" s="70" t="str">
        <f>IF(BD_DETALLE!$E97&gt;=1,CONCATENATE(TEXT(BD_DETALLE!$C97,"YY"),TEXT(BD_DETALLE!$C97,"MM"),"-",BD_DETALLE!$E97),"")</f>
        <v>2101-24</v>
      </c>
      <c r="E97" s="71">
        <v>24</v>
      </c>
      <c r="F97" s="72">
        <v>205958</v>
      </c>
      <c r="G97" s="73" t="str">
        <f>IFERROR(VLOOKUP(BD_DETALLE!$B97,Tabla9[],6,0),"")</f>
        <v>VALVULA A/INOX A/RAPIDA DE 1"</v>
      </c>
      <c r="H97" s="74">
        <f>IFERROR(VLOOKUP(BD_DETALLE!$B97,Tabla9[],4,0),0)</f>
        <v>2</v>
      </c>
      <c r="I97" s="75" t="s">
        <v>12</v>
      </c>
      <c r="J97" s="76" t="s">
        <v>1216</v>
      </c>
      <c r="K97" s="10">
        <f>IFERROR(VLOOKUP(BD_DETALLE!B97,Tabla9[],7,0),"")</f>
        <v>0</v>
      </c>
      <c r="L97" s="11">
        <f>IFERROR(VLOOKUP(BD_DETALLE!B97,Tabla9[],8,0),"")</f>
        <v>0</v>
      </c>
      <c r="M97" s="9">
        <f>IFERROR(SUMIFS(Tabla9[CANTIDAD2],Tabla9[BUSQUEDA],Tabla3[[#This Row],[BUSQUEDA]],Tabla9[CODIGO],Tabla3[[#This Row],[CODIGO]],Tabla9[ORDEN No.],Tabla3[[#This Row],[ORDEN de COMPRA]]),0)</f>
        <v>0</v>
      </c>
      <c r="N97" s="27">
        <f>IFERROR(IF(BD_DETALLE!B97&gt;0,VLOOKUP(BD_DETALLE!B97,Tabla9[],10,0),""),"")</f>
        <v>0</v>
      </c>
      <c r="O97" s="28">
        <f>IFERROR(VLOOKUP(BD_DETALLE!B97,Tabla9[],11,0),0)</f>
        <v>0</v>
      </c>
      <c r="P97" s="26">
        <f>IFERROR(SUMIFS(Tabla9[CANTIDAD3],Tabla9[BUSQUEDA],Tabla3[[#This Row],[BUSQUEDA]],Tabla9[CODIGO],Tabla3[[#This Row],[CODIGO]]),0)</f>
        <v>0</v>
      </c>
      <c r="Q97" s="25">
        <f>IF(BD_DETALLE!P97&lt;=0,0,IF(BD_DETALLE!P97=BD_DETALLE!H97,2,1))</f>
        <v>0</v>
      </c>
      <c r="R97" s="41">
        <f ca="1">IF(BD_DETALLE!$C97&gt;0,(IF(BD_DETALLE!$N97=0,TODAY()-BD_DETALLE!$C97,BD_DETALLE!$N97-BD_DETALLE!$C97)),"")</f>
        <v>104</v>
      </c>
    </row>
    <row r="98" spans="2:18" x14ac:dyDescent="0.25">
      <c r="B98" s="68" t="str">
        <f t="shared" si="9"/>
        <v>2101-24-310223</v>
      </c>
      <c r="C98" s="69">
        <v>44201</v>
      </c>
      <c r="D98" s="70" t="str">
        <f>IF(BD_DETALLE!$E98&gt;=1,CONCATENATE(TEXT(BD_DETALLE!$C98,"YY"),TEXT(BD_DETALLE!$C98,"MM"),"-",BD_DETALLE!$E98),"")</f>
        <v>2101-24</v>
      </c>
      <c r="E98" s="71">
        <v>24</v>
      </c>
      <c r="F98" s="72">
        <v>310223</v>
      </c>
      <c r="G98" s="73" t="str">
        <f>IFERROR(VLOOKUP(BD_DETALLE!$B98,Tabla9[],6,0),"")</f>
        <v>MEDIDOR DE AGUA DE 2" - 20M3</v>
      </c>
      <c r="H98" s="74">
        <f>IFERROR(VLOOKUP(BD_DETALLE!$B98,Tabla9[],4,0),0)</f>
        <v>6</v>
      </c>
      <c r="I98" s="75" t="s">
        <v>12</v>
      </c>
      <c r="J98" s="76" t="s">
        <v>1216</v>
      </c>
      <c r="K98" s="10">
        <f>IFERROR(VLOOKUP(BD_DETALLE!B98,Tabla9[],7,0),"")</f>
        <v>0</v>
      </c>
      <c r="L98" s="11">
        <f>IFERROR(VLOOKUP(BD_DETALLE!B98,Tabla9[],8,0),"")</f>
        <v>0</v>
      </c>
      <c r="M98" s="9">
        <f>IFERROR(SUMIFS(Tabla9[CANTIDAD2],Tabla9[BUSQUEDA],Tabla3[[#This Row],[BUSQUEDA]],Tabla9[CODIGO],Tabla3[[#This Row],[CODIGO]],Tabla9[ORDEN No.],Tabla3[[#This Row],[ORDEN de COMPRA]]),0)</f>
        <v>0</v>
      </c>
      <c r="N98" s="27">
        <f>IFERROR(IF(BD_DETALLE!B98&gt;0,VLOOKUP(BD_DETALLE!B98,Tabla9[],10,0),""),"")</f>
        <v>0</v>
      </c>
      <c r="O98" s="28">
        <f>IFERROR(VLOOKUP(BD_DETALLE!B98,Tabla9[],11,0),0)</f>
        <v>0</v>
      </c>
      <c r="P98" s="26">
        <f>IFERROR(SUMIFS(Tabla9[CANTIDAD3],Tabla9[BUSQUEDA],Tabla3[[#This Row],[BUSQUEDA]],Tabla9[CODIGO],Tabla3[[#This Row],[CODIGO]]),0)</f>
        <v>0</v>
      </c>
      <c r="Q98" s="25">
        <f>IF(BD_DETALLE!P98&lt;=0,0,IF(BD_DETALLE!P98=BD_DETALLE!H98,2,1))</f>
        <v>0</v>
      </c>
      <c r="R98" s="41">
        <f ca="1">IF(BD_DETALLE!$C98&gt;0,(IF(BD_DETALLE!$N98=0,TODAY()-BD_DETALLE!$C98,BD_DETALLE!$N98-BD_DETALLE!$C98)),"")</f>
        <v>104</v>
      </c>
    </row>
    <row r="99" spans="2:18" x14ac:dyDescent="0.25">
      <c r="B99" s="68" t="str">
        <f t="shared" si="9"/>
        <v>2101-24-306465</v>
      </c>
      <c r="C99" s="69">
        <v>44201</v>
      </c>
      <c r="D99" s="70" t="str">
        <f>IF(BD_DETALLE!$E99&gt;=1,CONCATENATE(TEXT(BD_DETALLE!$C99,"YY"),TEXT(BD_DETALLE!$C99,"MM"),"-",BD_DETALLE!$E99),"")</f>
        <v>2101-24</v>
      </c>
      <c r="E99" s="71">
        <v>24</v>
      </c>
      <c r="F99" s="72">
        <v>306465</v>
      </c>
      <c r="G99" s="73" t="str">
        <f>IFERROR(VLOOKUP(BD_DETALLE!$B99,Tabla9[],6,0),"")</f>
        <v>MEDIDOR DE AGUA DE 1/2</v>
      </c>
      <c r="H99" s="74">
        <f>IFERROR(VLOOKUP(BD_DETALLE!$B99,Tabla9[],4,0),0)</f>
        <v>3</v>
      </c>
      <c r="I99" s="75" t="s">
        <v>12</v>
      </c>
      <c r="J99" s="76" t="s">
        <v>1216</v>
      </c>
      <c r="K99" s="10">
        <f>IFERROR(VLOOKUP(BD_DETALLE!B99,Tabla9[],7,0),"")</f>
        <v>0</v>
      </c>
      <c r="L99" s="11">
        <f>IFERROR(VLOOKUP(BD_DETALLE!B99,Tabla9[],8,0),"")</f>
        <v>0</v>
      </c>
      <c r="M99" s="9">
        <f>IFERROR(SUMIFS(Tabla9[CANTIDAD2],Tabla9[BUSQUEDA],Tabla3[[#This Row],[BUSQUEDA]],Tabla9[CODIGO],Tabla3[[#This Row],[CODIGO]],Tabla9[ORDEN No.],Tabla3[[#This Row],[ORDEN de COMPRA]]),0)</f>
        <v>0</v>
      </c>
      <c r="N99" s="27">
        <f>IFERROR(IF(BD_DETALLE!B99&gt;0,VLOOKUP(BD_DETALLE!B99,Tabla9[],10,0),""),"")</f>
        <v>0</v>
      </c>
      <c r="O99" s="28">
        <f>IFERROR(VLOOKUP(BD_DETALLE!B99,Tabla9[],11,0),0)</f>
        <v>0</v>
      </c>
      <c r="P99" s="26">
        <f>IFERROR(SUMIFS(Tabla9[CANTIDAD3],Tabla9[BUSQUEDA],Tabla3[[#This Row],[BUSQUEDA]],Tabla9[CODIGO],Tabla3[[#This Row],[CODIGO]]),0)</f>
        <v>0</v>
      </c>
      <c r="Q99" s="25">
        <f>IF(BD_DETALLE!P99&lt;=0,0,IF(BD_DETALLE!P99=BD_DETALLE!H99,2,1))</f>
        <v>0</v>
      </c>
      <c r="R99" s="41">
        <f ca="1">IF(BD_DETALLE!$C99&gt;0,(IF(BD_DETALLE!$N99=0,TODAY()-BD_DETALLE!$C99,BD_DETALLE!$N99-BD_DETALLE!$C99)),"")</f>
        <v>104</v>
      </c>
    </row>
    <row r="100" spans="2:18" x14ac:dyDescent="0.25">
      <c r="B100" s="68" t="str">
        <f t="shared" si="9"/>
        <v>2101-24-301877</v>
      </c>
      <c r="C100" s="69">
        <v>44201</v>
      </c>
      <c r="D100" s="70" t="str">
        <f>IF(BD_DETALLE!$E100&gt;=1,CONCATENATE(TEXT(BD_DETALLE!$C100,"YY"),TEXT(BD_DETALLE!$C100,"MM"),"-",BD_DETALLE!$E100),"")</f>
        <v>2101-24</v>
      </c>
      <c r="E100" s="71">
        <v>24</v>
      </c>
      <c r="F100" s="72">
        <v>301877</v>
      </c>
      <c r="G100" s="73" t="str">
        <f>IFERROR(VLOOKUP(BD_DETALLE!$B100,Tabla9[],6,0),"")</f>
        <v>BUSHING BRONCE 1/2" x 1"</v>
      </c>
      <c r="H100" s="74">
        <f>IFERROR(VLOOKUP(BD_DETALLE!$B100,Tabla9[],4,0),0)</f>
        <v>6</v>
      </c>
      <c r="I100" s="75" t="s">
        <v>12</v>
      </c>
      <c r="J100" s="76" t="s">
        <v>1216</v>
      </c>
      <c r="K100" s="10">
        <f>IFERROR(VLOOKUP(BD_DETALLE!B100,Tabla9[],7,0),"")</f>
        <v>0</v>
      </c>
      <c r="L100" s="11">
        <f>IFERROR(VLOOKUP(BD_DETALLE!B100,Tabla9[],8,0),"")</f>
        <v>0</v>
      </c>
      <c r="M100" s="9">
        <f>IFERROR(SUMIFS(Tabla9[CANTIDAD2],Tabla9[BUSQUEDA],Tabla3[[#This Row],[BUSQUEDA]],Tabla9[CODIGO],Tabla3[[#This Row],[CODIGO]],Tabla9[ORDEN No.],Tabla3[[#This Row],[ORDEN de COMPRA]]),0)</f>
        <v>0</v>
      </c>
      <c r="N100" s="27">
        <f>IFERROR(IF(BD_DETALLE!B100&gt;0,VLOOKUP(BD_DETALLE!B100,Tabla9[],10,0),""),"")</f>
        <v>0</v>
      </c>
      <c r="O100" s="28">
        <f>IFERROR(VLOOKUP(BD_DETALLE!B100,Tabla9[],11,0),0)</f>
        <v>0</v>
      </c>
      <c r="P100" s="26">
        <f>IFERROR(SUMIFS(Tabla9[CANTIDAD3],Tabla9[BUSQUEDA],Tabla3[[#This Row],[BUSQUEDA]],Tabla9[CODIGO],Tabla3[[#This Row],[CODIGO]]),0)</f>
        <v>0</v>
      </c>
      <c r="Q100" s="25">
        <f>IF(BD_DETALLE!P100&lt;=0,0,IF(BD_DETALLE!P100=BD_DETALLE!H100,2,1))</f>
        <v>0</v>
      </c>
      <c r="R100" s="41">
        <f ca="1">IF(BD_DETALLE!$C100&gt;0,(IF(BD_DETALLE!$N100=0,TODAY()-BD_DETALLE!$C100,BD_DETALLE!$N100-BD_DETALLE!$C100)),"")</f>
        <v>104</v>
      </c>
    </row>
    <row r="101" spans="2:18" x14ac:dyDescent="0.25">
      <c r="B101" s="68" t="str">
        <f t="shared" ref="B101" si="10">IFERROR(TEXT(C101,"yy") &amp; TEXT(C101,"mm") &amp;"-"&amp;(E101) &amp;"-"&amp;(F101),"")</f>
        <v>2101-31-320588</v>
      </c>
      <c r="C101" s="69">
        <v>44201</v>
      </c>
      <c r="D101" s="70" t="str">
        <f>IF(BD_DETALLE!$E101&gt;=1,CONCATENATE(TEXT(BD_DETALLE!$C101,"YY"),TEXT(BD_DETALLE!$C101,"MM"),"-",BD_DETALLE!$E101),"")</f>
        <v>2101-31</v>
      </c>
      <c r="E101" s="71">
        <v>31</v>
      </c>
      <c r="F101" s="72">
        <v>320588</v>
      </c>
      <c r="G101" s="73" t="str">
        <f>IFERROR(VLOOKUP(BD_DETALLE!$B101,Tabla9[],6,0),"")</f>
        <v>TAPON DE GOMA # 12</v>
      </c>
      <c r="H101" s="74">
        <f>IFERROR(VLOOKUP(BD_DETALLE!$B101,Tabla9[],4,0),0)</f>
        <v>10</v>
      </c>
      <c r="I101" s="75" t="s">
        <v>9</v>
      </c>
      <c r="J101" s="76" t="s">
        <v>1217</v>
      </c>
      <c r="K101" s="10">
        <f>IFERROR(VLOOKUP(BD_DETALLE!B101,Tabla9[],7,0),"")</f>
        <v>44214</v>
      </c>
      <c r="L101" s="11">
        <f>IFERROR(VLOOKUP(BD_DETALLE!B101,Tabla9[],8,0),"")</f>
        <v>51224</v>
      </c>
      <c r="M101" s="9">
        <f>IFERROR(SUMIFS(Tabla9[CANTIDAD2],Tabla9[BUSQUEDA],Tabla3[[#This Row],[BUSQUEDA]],Tabla9[CODIGO],Tabla3[[#This Row],[CODIGO]],Tabla9[ORDEN No.],Tabla3[[#This Row],[ORDEN de COMPRA]]),0)</f>
        <v>10</v>
      </c>
      <c r="N101" s="27">
        <f>IFERROR(IF(BD_DETALLE!B101&gt;0,VLOOKUP(BD_DETALLE!B101,Tabla9[],10,0),""),"")</f>
        <v>0</v>
      </c>
      <c r="O101" s="28">
        <f>IFERROR(VLOOKUP(BD_DETALLE!B101,Tabla9[],11,0),0)</f>
        <v>0</v>
      </c>
      <c r="P101" s="26">
        <f>IFERROR(SUMIFS(Tabla9[CANTIDAD3],Tabla9[BUSQUEDA],Tabla3[[#This Row],[BUSQUEDA]],Tabla9[CODIGO],Tabla3[[#This Row],[CODIGO]]),0)</f>
        <v>0</v>
      </c>
      <c r="Q101" s="25">
        <f>IF(BD_DETALLE!P101&lt;=0,0,IF(BD_DETALLE!P101=BD_DETALLE!H101,2,1))</f>
        <v>0</v>
      </c>
      <c r="R101" s="41">
        <f ca="1">IF(BD_DETALLE!$C101&gt;0,(IF(BD_DETALLE!$N101=0,TODAY()-BD_DETALLE!$C101,BD_DETALLE!$N101-BD_DETALLE!$C101)),"")</f>
        <v>104</v>
      </c>
    </row>
    <row r="102" spans="2:18" x14ac:dyDescent="0.25">
      <c r="B102" s="82" t="str">
        <f t="shared" ref="B102:B106" si="11">IFERROR(TEXT(C102,"yy") &amp; TEXT(C102,"mm") &amp;"-"&amp;(E102) &amp;"-"&amp;(F102),"")</f>
        <v>2101-56-312620</v>
      </c>
      <c r="C102" s="83">
        <v>44204</v>
      </c>
      <c r="D102" s="84" t="str">
        <f>IF(BD_DETALLE!$E102&gt;=1,CONCATENATE(TEXT(BD_DETALLE!$C102,"YY"),TEXT(BD_DETALLE!$C102,"MM"),"-",BD_DETALLE!$E102),"")</f>
        <v>2101-56</v>
      </c>
      <c r="E102" s="85">
        <v>56</v>
      </c>
      <c r="F102" s="86">
        <v>312620</v>
      </c>
      <c r="G102" s="87" t="str">
        <f>IFERROR(VLOOKUP(BD_DETALLE!$B102,Tabla9[],6,0),"")</f>
        <v>PIÐON DE 24 DIENTES  PASO 120</v>
      </c>
      <c r="H102" s="88">
        <f>IFERROR(VLOOKUP(BD_DETALLE!$B102,Tabla9[],4,0),0)</f>
        <v>6</v>
      </c>
      <c r="I102" s="89" t="s">
        <v>19</v>
      </c>
      <c r="J102" s="90" t="s">
        <v>1270</v>
      </c>
      <c r="K102" s="10">
        <f>IFERROR(VLOOKUP(BD_DETALLE!B102,Tabla9[],7,0),"")</f>
        <v>0</v>
      </c>
      <c r="L102" s="11">
        <f>IFERROR(VLOOKUP(BD_DETALLE!B102,Tabla9[],8,0),"")</f>
        <v>0</v>
      </c>
      <c r="M102" s="9">
        <f>IFERROR(SUMIFS(Tabla9[CANTIDAD2],Tabla9[BUSQUEDA],Tabla3[[#This Row],[BUSQUEDA]],Tabla9[CODIGO],Tabla3[[#This Row],[CODIGO]],Tabla9[ORDEN No.],Tabla3[[#This Row],[ORDEN de COMPRA]]),0)</f>
        <v>0</v>
      </c>
      <c r="N102" s="27">
        <f>IFERROR(IF(BD_DETALLE!B102&gt;0,VLOOKUP(BD_DETALLE!B102,Tabla9[],10,0),""),"")</f>
        <v>0</v>
      </c>
      <c r="O102" s="28">
        <f>IFERROR(VLOOKUP(BD_DETALLE!B102,Tabla9[],11,0),0)</f>
        <v>0</v>
      </c>
      <c r="P102" s="26">
        <f>IFERROR(SUMIFS(Tabla9[CANTIDAD3],Tabla9[BUSQUEDA],Tabla3[[#This Row],[BUSQUEDA]],Tabla9[CODIGO],Tabla3[[#This Row],[CODIGO]]),0)</f>
        <v>0</v>
      </c>
      <c r="Q102" s="25">
        <f>IF(BD_DETALLE!P102&lt;=0,0,IF(BD_DETALLE!P102=BD_DETALLE!H102,2,1))</f>
        <v>0</v>
      </c>
      <c r="R102" s="41">
        <f ca="1">IF(BD_DETALLE!$C102&gt;0,(IF(BD_DETALLE!$N102=0,TODAY()-BD_DETALLE!$C102,BD_DETALLE!$N102-BD_DETALLE!$C102)),"")</f>
        <v>101</v>
      </c>
    </row>
    <row r="103" spans="2:18" x14ac:dyDescent="0.25">
      <c r="B103" s="82" t="str">
        <f t="shared" si="11"/>
        <v>2101-57-301139</v>
      </c>
      <c r="C103" s="83">
        <v>44204</v>
      </c>
      <c r="D103" s="84" t="str">
        <f>IF(BD_DETALLE!$E103&gt;=1,CONCATENATE(TEXT(BD_DETALLE!$C103,"YY"),TEXT(BD_DETALLE!$C103,"MM"),"-",BD_DETALLE!$E103),"")</f>
        <v>2101-57</v>
      </c>
      <c r="E103" s="85">
        <v>57</v>
      </c>
      <c r="F103" s="86">
        <v>301139</v>
      </c>
      <c r="G103" s="87" t="str">
        <f>IFERROR(VLOOKUP(BD_DETALLE!$B103,Tabla9[],6,0),"")</f>
        <v>EJE ACERO INOX DE DIAM 1-1/4" x 105CM LARGO</v>
      </c>
      <c r="H103" s="88">
        <f>IFERROR(VLOOKUP(BD_DETALLE!$B103,Tabla9[],4,0),0)</f>
        <v>1</v>
      </c>
      <c r="I103" s="89" t="s">
        <v>1</v>
      </c>
      <c r="J103" s="90" t="s">
        <v>1271</v>
      </c>
      <c r="K103" s="10">
        <f>IFERROR(VLOOKUP(BD_DETALLE!B103,Tabla9[],7,0),"")</f>
        <v>0</v>
      </c>
      <c r="L103" s="11">
        <f>IFERROR(VLOOKUP(BD_DETALLE!B103,Tabla9[],8,0),"")</f>
        <v>0</v>
      </c>
      <c r="M103" s="9">
        <f>IFERROR(SUMIFS(Tabla9[CANTIDAD2],Tabla9[BUSQUEDA],Tabla3[[#This Row],[BUSQUEDA]],Tabla9[CODIGO],Tabla3[[#This Row],[CODIGO]],Tabla9[ORDEN No.],Tabla3[[#This Row],[ORDEN de COMPRA]]),0)</f>
        <v>0</v>
      </c>
      <c r="N103" s="27">
        <f>IFERROR(IF(BD_DETALLE!B103&gt;0,VLOOKUP(BD_DETALLE!B103,Tabla9[],10,0),""),"")</f>
        <v>0</v>
      </c>
      <c r="O103" s="28">
        <f>IFERROR(VLOOKUP(BD_DETALLE!B103,Tabla9[],11,0),0)</f>
        <v>0</v>
      </c>
      <c r="P103" s="26">
        <f>IFERROR(SUMIFS(Tabla9[CANTIDAD3],Tabla9[BUSQUEDA],Tabla3[[#This Row],[BUSQUEDA]],Tabla9[CODIGO],Tabla3[[#This Row],[CODIGO]]),0)</f>
        <v>0</v>
      </c>
      <c r="Q103" s="25">
        <f>IF(BD_DETALLE!P103&lt;=0,0,IF(BD_DETALLE!P103=BD_DETALLE!H103,2,1))</f>
        <v>0</v>
      </c>
      <c r="R103" s="41">
        <f ca="1">IF(BD_DETALLE!$C103&gt;0,(IF(BD_DETALLE!$N103=0,TODAY()-BD_DETALLE!$C103,BD_DETALLE!$N103-BD_DETALLE!$C103)),"")</f>
        <v>101</v>
      </c>
    </row>
    <row r="104" spans="2:18" x14ac:dyDescent="0.25">
      <c r="B104" s="82" t="str">
        <f t="shared" si="11"/>
        <v>2101-57-310799</v>
      </c>
      <c r="C104" s="83">
        <v>44204</v>
      </c>
      <c r="D104" s="84" t="str">
        <f>IF(BD_DETALLE!$E104&gt;=1,CONCATENATE(TEXT(BD_DETALLE!$C104,"YY"),TEXT(BD_DETALLE!$C104,"MM"),"-",BD_DETALLE!$E104),"")</f>
        <v>2101-57</v>
      </c>
      <c r="E104" s="85">
        <v>57</v>
      </c>
      <c r="F104" s="86">
        <v>310799</v>
      </c>
      <c r="G104" s="87" t="str">
        <f>IFERROR(VLOOKUP(BD_DETALLE!$B104,Tabla9[],6,0),"")</f>
        <v>BROCA COBALTO DE 5/16"</v>
      </c>
      <c r="H104" s="88">
        <f>IFERROR(VLOOKUP(BD_DETALLE!$B104,Tabla9[],4,0),0)</f>
        <v>2</v>
      </c>
      <c r="I104" s="89" t="s">
        <v>1</v>
      </c>
      <c r="J104" s="90" t="s">
        <v>1271</v>
      </c>
      <c r="K104" s="10">
        <f>IFERROR(VLOOKUP(BD_DETALLE!B104,Tabla9[],7,0),"")</f>
        <v>0</v>
      </c>
      <c r="L104" s="11">
        <f>IFERROR(VLOOKUP(BD_DETALLE!B104,Tabla9[],8,0),"")</f>
        <v>0</v>
      </c>
      <c r="M104" s="9">
        <f>IFERROR(SUMIFS(Tabla9[CANTIDAD2],Tabla9[BUSQUEDA],Tabla3[[#This Row],[BUSQUEDA]],Tabla9[CODIGO],Tabla3[[#This Row],[CODIGO]],Tabla9[ORDEN No.],Tabla3[[#This Row],[ORDEN de COMPRA]]),0)</f>
        <v>0</v>
      </c>
      <c r="N104" s="27">
        <f>IFERROR(IF(BD_DETALLE!B104&gt;0,VLOOKUP(BD_DETALLE!B104,Tabla9[],10,0),""),"")</f>
        <v>0</v>
      </c>
      <c r="O104" s="28">
        <f>IFERROR(VLOOKUP(BD_DETALLE!B104,Tabla9[],11,0),0)</f>
        <v>0</v>
      </c>
      <c r="P104" s="26">
        <f>IFERROR(SUMIFS(Tabla9[CANTIDAD3],Tabla9[BUSQUEDA],Tabla3[[#This Row],[BUSQUEDA]],Tabla9[CODIGO],Tabla3[[#This Row],[CODIGO]]),0)</f>
        <v>0</v>
      </c>
      <c r="Q104" s="25">
        <f>IF(BD_DETALLE!P104&lt;=0,0,IF(BD_DETALLE!P104=BD_DETALLE!H104,2,1))</f>
        <v>0</v>
      </c>
      <c r="R104" s="41">
        <f ca="1">IF(BD_DETALLE!$C104&gt;0,(IF(BD_DETALLE!$N104=0,TODAY()-BD_DETALLE!$C104,BD_DETALLE!$N104-BD_DETALLE!$C104)),"")</f>
        <v>101</v>
      </c>
    </row>
    <row r="105" spans="2:18" x14ac:dyDescent="0.25">
      <c r="B105" s="82" t="str">
        <f t="shared" si="11"/>
        <v>2101-67-102033</v>
      </c>
      <c r="C105" s="83">
        <v>44204</v>
      </c>
      <c r="D105" s="84" t="str">
        <f>IF(BD_DETALLE!$E105&gt;=1,CONCATENATE(TEXT(BD_DETALLE!$C105,"YY"),TEXT(BD_DETALLE!$C105,"MM"),"-",BD_DETALLE!$E105),"")</f>
        <v>2101-67</v>
      </c>
      <c r="E105" s="85">
        <v>67</v>
      </c>
      <c r="F105" s="86">
        <v>102033</v>
      </c>
      <c r="G105" s="87" t="str">
        <f>IFERROR(VLOOKUP(BD_DETALLE!$B105,Tabla9[],6,0),"")</f>
        <v>TUBO H/N DE 1-1/2" x 6MTS. - CED 40</v>
      </c>
      <c r="H105" s="88">
        <f>IFERROR(VLOOKUP(BD_DETALLE!$B105,Tabla9[],4,0),0)</f>
        <v>1</v>
      </c>
      <c r="I105" s="89" t="s">
        <v>1</v>
      </c>
      <c r="J105" s="90" t="s">
        <v>1108</v>
      </c>
      <c r="K105" s="10">
        <f>IFERROR(VLOOKUP(BD_DETALLE!B105,Tabla9[],7,0),"")</f>
        <v>44208</v>
      </c>
      <c r="L105" s="11">
        <f>IFERROR(VLOOKUP(BD_DETALLE!B105,Tabla9[],8,0),"")</f>
        <v>51184</v>
      </c>
      <c r="M105" s="9">
        <f>IFERROR(SUMIFS(Tabla9[CANTIDAD2],Tabla9[BUSQUEDA],Tabla3[[#This Row],[BUSQUEDA]],Tabla9[CODIGO],Tabla3[[#This Row],[CODIGO]],Tabla9[ORDEN No.],Tabla3[[#This Row],[ORDEN de COMPRA]]),0)</f>
        <v>1</v>
      </c>
      <c r="N105" s="27">
        <f>IFERROR(IF(BD_DETALLE!B105&gt;0,VLOOKUP(BD_DETALLE!B105,Tabla9[],10,0),""),"")</f>
        <v>0</v>
      </c>
      <c r="O105" s="28">
        <f>IFERROR(VLOOKUP(BD_DETALLE!B105,Tabla9[],11,0),0)</f>
        <v>0</v>
      </c>
      <c r="P105" s="26">
        <f>IFERROR(SUMIFS(Tabla9[CANTIDAD3],Tabla9[BUSQUEDA],Tabla3[[#This Row],[BUSQUEDA]],Tabla9[CODIGO],Tabla3[[#This Row],[CODIGO]]),0)</f>
        <v>0</v>
      </c>
      <c r="Q105" s="25">
        <f>IF(BD_DETALLE!P105&lt;=0,0,IF(BD_DETALLE!P105=BD_DETALLE!H105,2,1))</f>
        <v>0</v>
      </c>
      <c r="R105" s="41">
        <f ca="1">IF(BD_DETALLE!$C105&gt;0,(IF(BD_DETALLE!$N105=0,TODAY()-BD_DETALLE!$C105,BD_DETALLE!$N105-BD_DETALLE!$C105)),"")</f>
        <v>101</v>
      </c>
    </row>
    <row r="106" spans="2:18" x14ac:dyDescent="0.25">
      <c r="B106" s="91" t="str">
        <f t="shared" si="11"/>
        <v>2101-67-106973</v>
      </c>
      <c r="C106" s="92">
        <v>44204</v>
      </c>
      <c r="D106" s="93" t="str">
        <f>IF(BD_DETALLE!$E106&gt;=1,CONCATENATE(TEXT(BD_DETALLE!$C106,"YY"),TEXT(BD_DETALLE!$C106,"MM"),"-",BD_DETALLE!$E106),"")</f>
        <v>2101-67</v>
      </c>
      <c r="E106" s="94">
        <v>67</v>
      </c>
      <c r="F106" s="95">
        <v>106973</v>
      </c>
      <c r="G106" s="96" t="str">
        <f>IFERROR(VLOOKUP(BD_DETALLE!$B106,Tabla9[],6,0),"")</f>
        <v>TUBO H/N DE 3/4" x 6MTS - CED 40</v>
      </c>
      <c r="H106" s="97">
        <f>IFERROR(VLOOKUP(BD_DETALLE!$B106,Tabla9[],4,0),0)</f>
        <v>1</v>
      </c>
      <c r="I106" s="89" t="s">
        <v>1</v>
      </c>
      <c r="J106" s="90" t="s">
        <v>1108</v>
      </c>
      <c r="K106" s="10">
        <f>IFERROR(VLOOKUP(BD_DETALLE!B106,Tabla9[],7,0),"")</f>
        <v>44208</v>
      </c>
      <c r="L106" s="11">
        <f>IFERROR(VLOOKUP(BD_DETALLE!B106,Tabla9[],8,0),"")</f>
        <v>51184</v>
      </c>
      <c r="M106" s="9">
        <f>IFERROR(SUMIFS(Tabla9[CANTIDAD2],Tabla9[BUSQUEDA],Tabla3[[#This Row],[BUSQUEDA]],Tabla9[CODIGO],Tabla3[[#This Row],[CODIGO]],Tabla9[ORDEN No.],Tabla3[[#This Row],[ORDEN de COMPRA]]),0)</f>
        <v>1</v>
      </c>
      <c r="N106" s="27">
        <f>IFERROR(IF(BD_DETALLE!B106&gt;0,VLOOKUP(BD_DETALLE!B106,Tabla9[],10,0),""),"")</f>
        <v>0</v>
      </c>
      <c r="O106" s="28">
        <f>IFERROR(VLOOKUP(BD_DETALLE!B106,Tabla9[],11,0),0)</f>
        <v>0</v>
      </c>
      <c r="P106" s="26">
        <f>IFERROR(SUMIFS(Tabla9[CANTIDAD3],Tabla9[BUSQUEDA],Tabla3[[#This Row],[BUSQUEDA]],Tabla9[CODIGO],Tabla3[[#This Row],[CODIGO]]),0)</f>
        <v>0</v>
      </c>
      <c r="Q106" s="25">
        <f>IF(BD_DETALLE!P106&lt;=0,0,IF(BD_DETALLE!P106=BD_DETALLE!H106,2,1))</f>
        <v>0</v>
      </c>
      <c r="R106" s="41">
        <f ca="1">IF(BD_DETALLE!$C106&gt;0,(IF(BD_DETALLE!$N106=0,TODAY()-BD_DETALLE!$C106,BD_DETALLE!$N106-BD_DETALLE!$C106)),"")</f>
        <v>101</v>
      </c>
    </row>
    <row r="107" spans="2:18" x14ac:dyDescent="0.25">
      <c r="B107" s="82" t="str">
        <f t="shared" ref="B107:B116" si="12">IFERROR(TEXT(C107,"yy") &amp; TEXT(C107,"mm") &amp;"-"&amp;(E107) &amp;"-"&amp;(F107),"")</f>
        <v>2101-74-314883</v>
      </c>
      <c r="C107" s="83">
        <v>44207</v>
      </c>
      <c r="D107" s="84" t="str">
        <f>IF(BD_DETALLE!$E107&gt;=1,CONCATENATE(TEXT(BD_DETALLE!$C107,"YY"),TEXT(BD_DETALLE!$C107,"MM"),"-",BD_DETALLE!$E107),"")</f>
        <v>2101-74</v>
      </c>
      <c r="E107" s="85">
        <v>74</v>
      </c>
      <c r="F107" s="86">
        <v>314883</v>
      </c>
      <c r="G107" s="87" t="str">
        <f>IFERROR(VLOOKUP(BD_DETALLE!$B107,Tabla9[],6,0),"")</f>
        <v>SHAFT SEAL RING NBR # 1112.054.60</v>
      </c>
      <c r="H107" s="88">
        <f>IFERROR(VLOOKUP(BD_DETALLE!$B107,Tabla9[],4,0),0)</f>
        <v>4</v>
      </c>
      <c r="I107" s="89" t="s">
        <v>19</v>
      </c>
      <c r="J107" s="90" t="s">
        <v>1440</v>
      </c>
      <c r="K107" s="10">
        <f>IFERROR(VLOOKUP(BD_DETALLE!B107,Tabla9[],7,0),"")</f>
        <v>0</v>
      </c>
      <c r="L107" s="11">
        <f>IFERROR(VLOOKUP(BD_DETALLE!B107,Tabla9[],8,0),"")</f>
        <v>0</v>
      </c>
      <c r="M107" s="9">
        <f>IFERROR(SUMIFS(Tabla9[CANTIDAD2],Tabla9[BUSQUEDA],Tabla3[[#This Row],[BUSQUEDA]],Tabla9[CODIGO],Tabla3[[#This Row],[CODIGO]],Tabla9[ORDEN No.],Tabla3[[#This Row],[ORDEN de COMPRA]]),0)</f>
        <v>0</v>
      </c>
      <c r="N107" s="27">
        <f>IFERROR(IF(BD_DETALLE!B107&gt;0,VLOOKUP(BD_DETALLE!B107,Tabla9[],10,0),""),"")</f>
        <v>0</v>
      </c>
      <c r="O107" s="28">
        <f>IFERROR(VLOOKUP(BD_DETALLE!B107,Tabla9[],11,0),0)</f>
        <v>0</v>
      </c>
      <c r="P107" s="26">
        <f>IFERROR(SUMIFS(Tabla9[CANTIDAD3],Tabla9[BUSQUEDA],Tabla3[[#This Row],[BUSQUEDA]],Tabla9[CODIGO],Tabla3[[#This Row],[CODIGO]]),0)</f>
        <v>0</v>
      </c>
      <c r="Q107" s="25">
        <f>IF(BD_DETALLE!P107&lt;=0,0,IF(BD_DETALLE!P107=BD_DETALLE!H107,2,1))</f>
        <v>0</v>
      </c>
      <c r="R107" s="41">
        <f ca="1">IF(BD_DETALLE!$C107&gt;0,(IF(BD_DETALLE!$N107=0,TODAY()-BD_DETALLE!$C107,BD_DETALLE!$N107-BD_DETALLE!$C107)),"")</f>
        <v>98</v>
      </c>
    </row>
    <row r="108" spans="2:18" x14ac:dyDescent="0.25">
      <c r="B108" s="82" t="str">
        <f t="shared" si="12"/>
        <v>2101-74-304230</v>
      </c>
      <c r="C108" s="83">
        <v>44207</v>
      </c>
      <c r="D108" s="84" t="str">
        <f>IF(BD_DETALLE!$E108&gt;=1,CONCATENATE(TEXT(BD_DETALLE!$C108,"YY"),TEXT(BD_DETALLE!$C108,"MM"),"-",BD_DETALLE!$E108),"")</f>
        <v>2101-74</v>
      </c>
      <c r="E108" s="85">
        <v>74</v>
      </c>
      <c r="F108" s="86">
        <v>304230</v>
      </c>
      <c r="G108" s="87" t="str">
        <f>IFERROR(VLOOKUP(BD_DETALLE!$B108,Tabla9[],6,0),"")</f>
        <v>SEAL RING 6120735501</v>
      </c>
      <c r="H108" s="88">
        <f>IFERROR(VLOOKUP(BD_DETALLE!$B108,Tabla9[],4,0),0)</f>
        <v>4</v>
      </c>
      <c r="I108" s="89" t="s">
        <v>19</v>
      </c>
      <c r="J108" s="90" t="s">
        <v>1440</v>
      </c>
      <c r="K108" s="10">
        <f>IFERROR(VLOOKUP(BD_DETALLE!B108,Tabla9[],7,0),"")</f>
        <v>0</v>
      </c>
      <c r="L108" s="11">
        <f>IFERROR(VLOOKUP(BD_DETALLE!B108,Tabla9[],8,0),"")</f>
        <v>0</v>
      </c>
      <c r="M108" s="9">
        <f>IFERROR(SUMIFS(Tabla9[CANTIDAD2],Tabla9[BUSQUEDA],Tabla3[[#This Row],[BUSQUEDA]],Tabla9[CODIGO],Tabla3[[#This Row],[CODIGO]],Tabla9[ORDEN No.],Tabla3[[#This Row],[ORDEN de COMPRA]]),0)</f>
        <v>0</v>
      </c>
      <c r="N108" s="27">
        <f>IFERROR(IF(BD_DETALLE!B108&gt;0,VLOOKUP(BD_DETALLE!B108,Tabla9[],10,0),""),"")</f>
        <v>0</v>
      </c>
      <c r="O108" s="28">
        <f>IFERROR(VLOOKUP(BD_DETALLE!B108,Tabla9[],11,0),0)</f>
        <v>0</v>
      </c>
      <c r="P108" s="26">
        <f>IFERROR(SUMIFS(Tabla9[CANTIDAD3],Tabla9[BUSQUEDA],Tabla3[[#This Row],[BUSQUEDA]],Tabla9[CODIGO],Tabla3[[#This Row],[CODIGO]]),0)</f>
        <v>0</v>
      </c>
      <c r="Q108" s="25">
        <f>IF(BD_DETALLE!P108&lt;=0,0,IF(BD_DETALLE!P108=BD_DETALLE!H108,2,1))</f>
        <v>0</v>
      </c>
      <c r="R108" s="41">
        <f ca="1">IF(BD_DETALLE!$C108&gt;0,(IF(BD_DETALLE!$N108=0,TODAY()-BD_DETALLE!$C108,BD_DETALLE!$N108-BD_DETALLE!$C108)),"")</f>
        <v>98</v>
      </c>
    </row>
    <row r="109" spans="2:18" x14ac:dyDescent="0.25">
      <c r="B109" s="82" t="str">
        <f t="shared" si="12"/>
        <v>2101-75-313918</v>
      </c>
      <c r="C109" s="83">
        <v>44207</v>
      </c>
      <c r="D109" s="84" t="str">
        <f>IF(BD_DETALLE!$E109&gt;=1,CONCATENATE(TEXT(BD_DETALLE!$C109,"YY"),TEXT(BD_DETALLE!$C109,"MM"),"-",BD_DETALLE!$E109),"")</f>
        <v>2101-75</v>
      </c>
      <c r="E109" s="85">
        <v>75</v>
      </c>
      <c r="F109" s="86">
        <v>313918</v>
      </c>
      <c r="G109" s="87" t="str">
        <f>IFERROR(VLOOKUP(BD_DETALLE!$B109,Tabla9[],6,0),"")</f>
        <v>TAPON HEMBRA A/INOX DE 3"</v>
      </c>
      <c r="H109" s="88">
        <f>IFERROR(VLOOKUP(BD_DETALLE!$B109,Tabla9[],4,0),0)</f>
        <v>6</v>
      </c>
      <c r="I109" s="89" t="s">
        <v>12</v>
      </c>
      <c r="J109" s="90" t="s">
        <v>1269</v>
      </c>
      <c r="K109" s="10">
        <f>IFERROR(VLOOKUP(BD_DETALLE!B109,Tabla9[],7,0),"")</f>
        <v>44215</v>
      </c>
      <c r="L109" s="11">
        <f>IFERROR(VLOOKUP(BD_DETALLE!B109,Tabla9[],8,0),"")</f>
        <v>51258</v>
      </c>
      <c r="M109" s="9">
        <f>IFERROR(SUMIFS(Tabla9[CANTIDAD2],Tabla9[BUSQUEDA],Tabla3[[#This Row],[BUSQUEDA]],Tabla9[CODIGO],Tabla3[[#This Row],[CODIGO]],Tabla9[ORDEN No.],Tabla3[[#This Row],[ORDEN de COMPRA]]),0)</f>
        <v>6</v>
      </c>
      <c r="N109" s="27">
        <f>IFERROR(IF(BD_DETALLE!B109&gt;0,VLOOKUP(BD_DETALLE!B109,Tabla9[],10,0),""),"")</f>
        <v>0</v>
      </c>
      <c r="O109" s="28">
        <f>IFERROR(VLOOKUP(BD_DETALLE!B109,Tabla9[],11,0),0)</f>
        <v>0</v>
      </c>
      <c r="P109" s="26">
        <f>IFERROR(SUMIFS(Tabla9[CANTIDAD3],Tabla9[BUSQUEDA],Tabla3[[#This Row],[BUSQUEDA]],Tabla9[CODIGO],Tabla3[[#This Row],[CODIGO]]),0)</f>
        <v>0</v>
      </c>
      <c r="Q109" s="25">
        <f>IF(BD_DETALLE!P109&lt;=0,0,IF(BD_DETALLE!P109=BD_DETALLE!H109,2,1))</f>
        <v>0</v>
      </c>
      <c r="R109" s="41">
        <f ca="1">IF(BD_DETALLE!$C109&gt;0,(IF(BD_DETALLE!$N109=0,TODAY()-BD_DETALLE!$C109,BD_DETALLE!$N109-BD_DETALLE!$C109)),"")</f>
        <v>98</v>
      </c>
    </row>
    <row r="110" spans="2:18" x14ac:dyDescent="0.25">
      <c r="B110" s="82" t="str">
        <f t="shared" si="12"/>
        <v>2101-82-300334</v>
      </c>
      <c r="C110" s="83">
        <v>44208</v>
      </c>
      <c r="D110" s="84" t="str">
        <f>IF(BD_DETALLE!$E110&gt;=1,CONCATENATE(TEXT(BD_DETALLE!$C110,"YY"),TEXT(BD_DETALLE!$C110,"MM"),"-",BD_DETALLE!$E110),"")</f>
        <v>2101-82</v>
      </c>
      <c r="E110" s="85">
        <v>82</v>
      </c>
      <c r="F110" s="86">
        <v>300334</v>
      </c>
      <c r="G110" s="87" t="str">
        <f>IFERROR(VLOOKUP(BD_DETALLE!$B110,Tabla9[],6,0),"")</f>
        <v>TUBO A/INOX DE 2" x 6MTS - CED. 40</v>
      </c>
      <c r="H110" s="88">
        <f>IFERROR(VLOOKUP(BD_DETALLE!$B110,Tabla9[],4,0),0)</f>
        <v>6</v>
      </c>
      <c r="I110" s="89" t="s">
        <v>1218</v>
      </c>
      <c r="J110" s="20" t="s">
        <v>1441</v>
      </c>
      <c r="K110" s="10">
        <f>IFERROR(VLOOKUP(BD_DETALLE!B110,Tabla9[],7,0),"")</f>
        <v>0</v>
      </c>
      <c r="L110" s="11">
        <f>IFERROR(VLOOKUP(BD_DETALLE!B110,Tabla9[],8,0),"")</f>
        <v>0</v>
      </c>
      <c r="M110" s="9">
        <f>IFERROR(SUMIFS(Tabla9[CANTIDAD2],Tabla9[BUSQUEDA],Tabla3[[#This Row],[BUSQUEDA]],Tabla9[CODIGO],Tabla3[[#This Row],[CODIGO]],Tabla9[ORDEN No.],Tabla3[[#This Row],[ORDEN de COMPRA]]),0)</f>
        <v>0</v>
      </c>
      <c r="N110" s="27">
        <f>IFERROR(IF(BD_DETALLE!B110&gt;0,VLOOKUP(BD_DETALLE!B110,Tabla9[],10,0),""),"")</f>
        <v>0</v>
      </c>
      <c r="O110" s="28">
        <f>IFERROR(VLOOKUP(BD_DETALLE!B110,Tabla9[],11,0),0)</f>
        <v>0</v>
      </c>
      <c r="P110" s="26">
        <f>IFERROR(SUMIFS(Tabla9[CANTIDAD3],Tabla9[BUSQUEDA],Tabla3[[#This Row],[BUSQUEDA]],Tabla9[CODIGO],Tabla3[[#This Row],[CODIGO]]),0)</f>
        <v>0</v>
      </c>
      <c r="Q110" s="25">
        <f>IF(BD_DETALLE!P110&lt;=0,0,IF(BD_DETALLE!P110=BD_DETALLE!H110,2,1))</f>
        <v>0</v>
      </c>
      <c r="R110" s="41">
        <f ca="1">IF(BD_DETALLE!$C110&gt;0,(IF(BD_DETALLE!$N110=0,TODAY()-BD_DETALLE!$C110,BD_DETALLE!$N110-BD_DETALLE!$C110)),"")</f>
        <v>97</v>
      </c>
    </row>
    <row r="111" spans="2:18" x14ac:dyDescent="0.25">
      <c r="B111" s="82" t="str">
        <f t="shared" si="12"/>
        <v>2101-82-306625</v>
      </c>
      <c r="C111" s="83">
        <v>44208</v>
      </c>
      <c r="D111" s="84" t="str">
        <f>IF(BD_DETALLE!$E111&gt;=1,CONCATENATE(TEXT(BD_DETALLE!$C111,"YY"),TEXT(BD_DETALLE!$C111,"MM"),"-",BD_DETALLE!$E111),"")</f>
        <v>2101-82</v>
      </c>
      <c r="E111" s="85">
        <v>82</v>
      </c>
      <c r="F111" s="86">
        <v>306625</v>
      </c>
      <c r="G111" s="87" t="str">
        <f>IFERROR(VLOOKUP(BD_DETALLE!$B111,Tabla9[],6,0),"")</f>
        <v>TUBO PVC DE 1-1/2" x 6 MTS. REFORZADO</v>
      </c>
      <c r="H111" s="88">
        <f>IFERROR(VLOOKUP(BD_DETALLE!$B111,Tabla9[],4,0),0)</f>
        <v>2</v>
      </c>
      <c r="I111" s="89" t="s">
        <v>1218</v>
      </c>
      <c r="J111" s="20" t="s">
        <v>1441</v>
      </c>
      <c r="K111" s="10">
        <f>IFERROR(VLOOKUP(BD_DETALLE!B111,Tabla9[],7,0),"")</f>
        <v>0</v>
      </c>
      <c r="L111" s="11">
        <f>IFERROR(VLOOKUP(BD_DETALLE!B111,Tabla9[],8,0),"")</f>
        <v>0</v>
      </c>
      <c r="M111" s="9">
        <f>IFERROR(SUMIFS(Tabla9[CANTIDAD2],Tabla9[BUSQUEDA],Tabla3[[#This Row],[BUSQUEDA]],Tabla9[CODIGO],Tabla3[[#This Row],[CODIGO]],Tabla9[ORDEN No.],Tabla3[[#This Row],[ORDEN de COMPRA]]),0)</f>
        <v>0</v>
      </c>
      <c r="N111" s="27">
        <f>IFERROR(IF(BD_DETALLE!B111&gt;0,VLOOKUP(BD_DETALLE!B111,Tabla9[],10,0),""),"")</f>
        <v>0</v>
      </c>
      <c r="O111" s="28">
        <f>IFERROR(VLOOKUP(BD_DETALLE!B111,Tabla9[],11,0),0)</f>
        <v>0</v>
      </c>
      <c r="P111" s="26">
        <f>IFERROR(SUMIFS(Tabla9[CANTIDAD3],Tabla9[BUSQUEDA],Tabla3[[#This Row],[BUSQUEDA]],Tabla9[CODIGO],Tabla3[[#This Row],[CODIGO]]),0)</f>
        <v>0</v>
      </c>
      <c r="Q111" s="25">
        <f>IF(BD_DETALLE!P111&lt;=0,0,IF(BD_DETALLE!P111=BD_DETALLE!H111,2,1))</f>
        <v>0</v>
      </c>
      <c r="R111" s="41">
        <f ca="1">IF(BD_DETALLE!$C111&gt;0,(IF(BD_DETALLE!$N111=0,TODAY()-BD_DETALLE!$C111,BD_DETALLE!$N111-BD_DETALLE!$C111)),"")</f>
        <v>97</v>
      </c>
    </row>
    <row r="112" spans="2:18" x14ac:dyDescent="0.25">
      <c r="B112" s="82" t="str">
        <f t="shared" si="12"/>
        <v>2101-82-301856</v>
      </c>
      <c r="C112" s="83">
        <v>44208</v>
      </c>
      <c r="D112" s="84" t="str">
        <f>IF(BD_DETALLE!$E112&gt;=1,CONCATENATE(TEXT(BD_DETALLE!$C112,"YY"),TEXT(BD_DETALLE!$C112,"MM"),"-",BD_DETALLE!$E112),"")</f>
        <v>2101-82</v>
      </c>
      <c r="E112" s="85">
        <v>82</v>
      </c>
      <c r="F112" s="86">
        <v>301856</v>
      </c>
      <c r="G112" s="87" t="str">
        <f>IFERROR(VLOOKUP(BD_DETALLE!$B112,Tabla9[],6,0),"")</f>
        <v>CODO A/INOX SOLDABLE DE 2" x 90║ CED. 40</v>
      </c>
      <c r="H112" s="88">
        <f>IFERROR(VLOOKUP(BD_DETALLE!$B112,Tabla9[],4,0),0)</f>
        <v>8</v>
      </c>
      <c r="I112" s="89" t="s">
        <v>1218</v>
      </c>
      <c r="J112" s="20" t="s">
        <v>1441</v>
      </c>
      <c r="K112" s="10">
        <f>IFERROR(VLOOKUP(BD_DETALLE!B112,Tabla9[],7,0),"")</f>
        <v>0</v>
      </c>
      <c r="L112" s="11">
        <f>IFERROR(VLOOKUP(BD_DETALLE!B112,Tabla9[],8,0),"")</f>
        <v>0</v>
      </c>
      <c r="M112" s="9">
        <f>IFERROR(SUMIFS(Tabla9[CANTIDAD2],Tabla9[BUSQUEDA],Tabla3[[#This Row],[BUSQUEDA]],Tabla9[CODIGO],Tabla3[[#This Row],[CODIGO]],Tabla9[ORDEN No.],Tabla3[[#This Row],[ORDEN de COMPRA]]),0)</f>
        <v>0</v>
      </c>
      <c r="N112" s="27">
        <f>IFERROR(IF(BD_DETALLE!B112&gt;0,VLOOKUP(BD_DETALLE!B112,Tabla9[],10,0),""),"")</f>
        <v>0</v>
      </c>
      <c r="O112" s="28">
        <f>IFERROR(VLOOKUP(BD_DETALLE!B112,Tabla9[],11,0),0)</f>
        <v>0</v>
      </c>
      <c r="P112" s="26">
        <f>IFERROR(SUMIFS(Tabla9[CANTIDAD3],Tabla9[BUSQUEDA],Tabla3[[#This Row],[BUSQUEDA]],Tabla9[CODIGO],Tabla3[[#This Row],[CODIGO]]),0)</f>
        <v>0</v>
      </c>
      <c r="Q112" s="25">
        <f>IF(BD_DETALLE!P112&lt;=0,0,IF(BD_DETALLE!P112=BD_DETALLE!H112,2,1))</f>
        <v>0</v>
      </c>
      <c r="R112" s="41">
        <f ca="1">IF(BD_DETALLE!$C112&gt;0,(IF(BD_DETALLE!$N112=0,TODAY()-BD_DETALLE!$C112,BD_DETALLE!$N112-BD_DETALLE!$C112)),"")</f>
        <v>97</v>
      </c>
    </row>
    <row r="113" spans="2:18" x14ac:dyDescent="0.25">
      <c r="B113" s="82" t="str">
        <f t="shared" si="12"/>
        <v>2101-82-307031</v>
      </c>
      <c r="C113" s="83">
        <v>44208</v>
      </c>
      <c r="D113" s="84" t="str">
        <f>IF(BD_DETALLE!$E113&gt;=1,CONCATENATE(TEXT(BD_DETALLE!$C113,"YY"),TEXT(BD_DETALLE!$C113,"MM"),"-",BD_DETALLE!$E113),"")</f>
        <v>2101-82</v>
      </c>
      <c r="E113" s="85">
        <v>82</v>
      </c>
      <c r="F113" s="86">
        <v>307031</v>
      </c>
      <c r="G113" s="87" t="str">
        <f>IFERROR(VLOOKUP(BD_DETALLE!$B113,Tabla9[],6,0),"")</f>
        <v>VALVULA A/INOX A/RAPIDA DE 3"</v>
      </c>
      <c r="H113" s="88">
        <f>IFERROR(VLOOKUP(BD_DETALLE!$B113,Tabla9[],4,0),0)</f>
        <v>2</v>
      </c>
      <c r="I113" s="89" t="s">
        <v>1218</v>
      </c>
      <c r="J113" s="20" t="s">
        <v>1441</v>
      </c>
      <c r="K113" s="10">
        <f>IFERROR(VLOOKUP(BD_DETALLE!B113,Tabla9[],7,0),"")</f>
        <v>0</v>
      </c>
      <c r="L113" s="11">
        <f>IFERROR(VLOOKUP(BD_DETALLE!B113,Tabla9[],8,0),"")</f>
        <v>0</v>
      </c>
      <c r="M113" s="9">
        <f>IFERROR(SUMIFS(Tabla9[CANTIDAD2],Tabla9[BUSQUEDA],Tabla3[[#This Row],[BUSQUEDA]],Tabla9[CODIGO],Tabla3[[#This Row],[CODIGO]],Tabla9[ORDEN No.],Tabla3[[#This Row],[ORDEN de COMPRA]]),0)</f>
        <v>0</v>
      </c>
      <c r="N113" s="27">
        <f>IFERROR(IF(BD_DETALLE!B113&gt;0,VLOOKUP(BD_DETALLE!B113,Tabla9[],10,0),""),"")</f>
        <v>0</v>
      </c>
      <c r="O113" s="28">
        <f>IFERROR(VLOOKUP(BD_DETALLE!B113,Tabla9[],11,0),0)</f>
        <v>0</v>
      </c>
      <c r="P113" s="26">
        <f>IFERROR(SUMIFS(Tabla9[CANTIDAD3],Tabla9[BUSQUEDA],Tabla3[[#This Row],[BUSQUEDA]],Tabla9[CODIGO],Tabla3[[#This Row],[CODIGO]]),0)</f>
        <v>0</v>
      </c>
      <c r="Q113" s="25">
        <f>IF(BD_DETALLE!P113&lt;=0,0,IF(BD_DETALLE!P113=BD_DETALLE!H113,2,1))</f>
        <v>0</v>
      </c>
      <c r="R113" s="41">
        <f ca="1">IF(BD_DETALLE!$C113&gt;0,(IF(BD_DETALLE!$N113=0,TODAY()-BD_DETALLE!$C113,BD_DETALLE!$N113-BD_DETALLE!$C113)),"")</f>
        <v>97</v>
      </c>
    </row>
    <row r="114" spans="2:18" x14ac:dyDescent="0.25">
      <c r="B114" s="82" t="str">
        <f t="shared" si="12"/>
        <v>2101-82-301163</v>
      </c>
      <c r="C114" s="83">
        <v>44208</v>
      </c>
      <c r="D114" s="84" t="str">
        <f>IF(BD_DETALLE!$E114&gt;=1,CONCATENATE(TEXT(BD_DETALLE!$C114,"YY"),TEXT(BD_DETALLE!$C114,"MM"),"-",BD_DETALLE!$E114),"")</f>
        <v>2101-82</v>
      </c>
      <c r="E114" s="85">
        <v>82</v>
      </c>
      <c r="F114" s="86">
        <v>301163</v>
      </c>
      <c r="G114" s="87" t="str">
        <f>IFERROR(VLOOKUP(BD_DETALLE!$B114,Tabla9[],6,0),"")</f>
        <v>VALVULA A/INOX A/RAPIDA DE 2"</v>
      </c>
      <c r="H114" s="88">
        <f>IFERROR(VLOOKUP(BD_DETALLE!$B114,Tabla9[],4,0),0)</f>
        <v>6</v>
      </c>
      <c r="I114" s="89" t="s">
        <v>1218</v>
      </c>
      <c r="J114" s="20" t="s">
        <v>1441</v>
      </c>
      <c r="K114" s="10">
        <f>IFERROR(VLOOKUP(BD_DETALLE!B114,Tabla9[],7,0),"")</f>
        <v>0</v>
      </c>
      <c r="L114" s="11">
        <f>IFERROR(VLOOKUP(BD_DETALLE!B114,Tabla9[],8,0),"")</f>
        <v>0</v>
      </c>
      <c r="M114" s="9">
        <f>IFERROR(SUMIFS(Tabla9[CANTIDAD2],Tabla9[BUSQUEDA],Tabla3[[#This Row],[BUSQUEDA]],Tabla9[CODIGO],Tabla3[[#This Row],[CODIGO]],Tabla9[ORDEN No.],Tabla3[[#This Row],[ORDEN de COMPRA]]),0)</f>
        <v>0</v>
      </c>
      <c r="N114" s="27">
        <f>IFERROR(IF(BD_DETALLE!B114&gt;0,VLOOKUP(BD_DETALLE!B114,Tabla9[],10,0),""),"")</f>
        <v>0</v>
      </c>
      <c r="O114" s="28">
        <f>IFERROR(VLOOKUP(BD_DETALLE!B114,Tabla9[],11,0),0)</f>
        <v>0</v>
      </c>
      <c r="P114" s="26">
        <f>IFERROR(SUMIFS(Tabla9[CANTIDAD3],Tabla9[BUSQUEDA],Tabla3[[#This Row],[BUSQUEDA]],Tabla9[CODIGO],Tabla3[[#This Row],[CODIGO]]),0)</f>
        <v>0</v>
      </c>
      <c r="Q114" s="25">
        <f>IF(BD_DETALLE!P114&lt;=0,0,IF(BD_DETALLE!P114=BD_DETALLE!H114,2,1))</f>
        <v>0</v>
      </c>
      <c r="R114" s="41">
        <f ca="1">IF(BD_DETALLE!$C114&gt;0,(IF(BD_DETALLE!$N114=0,TODAY()-BD_DETALLE!$C114,BD_DETALLE!$N114-BD_DETALLE!$C114)),"")</f>
        <v>97</v>
      </c>
    </row>
    <row r="115" spans="2:18" x14ac:dyDescent="0.25">
      <c r="B115" s="82" t="str">
        <f t="shared" si="12"/>
        <v>2101-82-203010</v>
      </c>
      <c r="C115" s="83">
        <v>44208</v>
      </c>
      <c r="D115" s="84" t="str">
        <f>IF(BD_DETALLE!$E115&gt;=1,CONCATENATE(TEXT(BD_DETALLE!$C115,"YY"),TEXT(BD_DETALLE!$C115,"MM"),"-",BD_DETALLE!$E115),"")</f>
        <v>2101-82</v>
      </c>
      <c r="E115" s="85">
        <v>82</v>
      </c>
      <c r="F115" s="86">
        <v>203010</v>
      </c>
      <c r="G115" s="87" t="str">
        <f>IFERROR(VLOOKUP(BD_DETALLE!$B115,Tabla9[],6,0),"")</f>
        <v>VALVULA H/N A/RAPIDA DE 1-1/2" P/VAPOR</v>
      </c>
      <c r="H115" s="88">
        <f>IFERROR(VLOOKUP(BD_DETALLE!$B115,Tabla9[],4,0),0)</f>
        <v>2</v>
      </c>
      <c r="I115" s="89" t="s">
        <v>1218</v>
      </c>
      <c r="J115" s="20" t="s">
        <v>1441</v>
      </c>
      <c r="K115" s="10">
        <f>IFERROR(VLOOKUP(BD_DETALLE!B115,Tabla9[],7,0),"")</f>
        <v>0</v>
      </c>
      <c r="L115" s="11">
        <f>IFERROR(VLOOKUP(BD_DETALLE!B115,Tabla9[],8,0),"")</f>
        <v>0</v>
      </c>
      <c r="M115" s="9">
        <f>IFERROR(SUMIFS(Tabla9[CANTIDAD2],Tabla9[BUSQUEDA],Tabla3[[#This Row],[BUSQUEDA]],Tabla9[CODIGO],Tabla3[[#This Row],[CODIGO]],Tabla9[ORDEN No.],Tabla3[[#This Row],[ORDEN de COMPRA]]),0)</f>
        <v>0</v>
      </c>
      <c r="N115" s="27">
        <f>IFERROR(IF(BD_DETALLE!B115&gt;0,VLOOKUP(BD_DETALLE!B115,Tabla9[],10,0),""),"")</f>
        <v>0</v>
      </c>
      <c r="O115" s="28">
        <f>IFERROR(VLOOKUP(BD_DETALLE!B115,Tabla9[],11,0),0)</f>
        <v>0</v>
      </c>
      <c r="P115" s="26">
        <f>IFERROR(SUMIFS(Tabla9[CANTIDAD3],Tabla9[BUSQUEDA],Tabla3[[#This Row],[BUSQUEDA]],Tabla9[CODIGO],Tabla3[[#This Row],[CODIGO]]),0)</f>
        <v>0</v>
      </c>
      <c r="Q115" s="25">
        <f>IF(BD_DETALLE!P115&lt;=0,0,IF(BD_DETALLE!P115=BD_DETALLE!H115,2,1))</f>
        <v>0</v>
      </c>
      <c r="R115" s="41">
        <f ca="1">IF(BD_DETALLE!$C115&gt;0,(IF(BD_DETALLE!$N115=0,TODAY()-BD_DETALLE!$C115,BD_DETALLE!$N115-BD_DETALLE!$C115)),"")</f>
        <v>97</v>
      </c>
    </row>
    <row r="116" spans="2:18" x14ac:dyDescent="0.25">
      <c r="B116" s="82" t="str">
        <f t="shared" si="12"/>
        <v>2101-86-206441</v>
      </c>
      <c r="C116" s="83">
        <v>44208</v>
      </c>
      <c r="D116" s="84" t="str">
        <f>IF(BD_DETALLE!$E116&gt;=1,CONCATENATE(TEXT(BD_DETALLE!$C116,"YY"),TEXT(BD_DETALLE!$C116,"MM"),"-",BD_DETALLE!$E116),"")</f>
        <v>2101-86</v>
      </c>
      <c r="E116" s="85">
        <v>86</v>
      </c>
      <c r="F116" s="86">
        <v>206441</v>
      </c>
      <c r="G116" s="87" t="str">
        <f>IFERROR(VLOOKUP(BD_DETALLE!$B116,Tabla9[],6,0),"")</f>
        <v>VALVULA CHECK DE 2" HORIZONTAL</v>
      </c>
      <c r="H116" s="88">
        <f>IFERROR(VLOOKUP(BD_DETALLE!$B116,Tabla9[],4,0),0)</f>
        <v>1</v>
      </c>
      <c r="I116" s="89" t="s">
        <v>1218</v>
      </c>
      <c r="J116" s="20" t="s">
        <v>1442</v>
      </c>
      <c r="K116" s="10">
        <f>IFERROR(VLOOKUP(BD_DETALLE!B116,Tabla9[],7,0),"")</f>
        <v>44214</v>
      </c>
      <c r="L116" s="11">
        <f>IFERROR(VLOOKUP(BD_DETALLE!B116,Tabla9[],8,0),"")</f>
        <v>51238</v>
      </c>
      <c r="M116" s="9">
        <f>IFERROR(SUMIFS(Tabla9[CANTIDAD2],Tabla9[BUSQUEDA],Tabla3[[#This Row],[BUSQUEDA]],Tabla9[CODIGO],Tabla3[[#This Row],[CODIGO]],Tabla9[ORDEN No.],Tabla3[[#This Row],[ORDEN de COMPRA]]),0)</f>
        <v>1</v>
      </c>
      <c r="N116" s="27">
        <f>IFERROR(IF(BD_DETALLE!B116&gt;0,VLOOKUP(BD_DETALLE!B116,Tabla9[],10,0),""),"")</f>
        <v>0</v>
      </c>
      <c r="O116" s="28">
        <f>IFERROR(VLOOKUP(BD_DETALLE!B116,Tabla9[],11,0),0)</f>
        <v>0</v>
      </c>
      <c r="P116" s="26">
        <f>IFERROR(SUMIFS(Tabla9[CANTIDAD3],Tabla9[BUSQUEDA],Tabla3[[#This Row],[BUSQUEDA]],Tabla9[CODIGO],Tabla3[[#This Row],[CODIGO]]),0)</f>
        <v>0</v>
      </c>
      <c r="Q116" s="25">
        <f>IF(BD_DETALLE!P116&lt;=0,0,IF(BD_DETALLE!P116=BD_DETALLE!H116,2,1))</f>
        <v>0</v>
      </c>
      <c r="R116" s="41">
        <f ca="1">IF(BD_DETALLE!$C116&gt;0,(IF(BD_DETALLE!$N116=0,TODAY()-BD_DETALLE!$C116,BD_DETALLE!$N116-BD_DETALLE!$C116)),"")</f>
        <v>97</v>
      </c>
    </row>
    <row r="117" spans="2:18" x14ac:dyDescent="0.25">
      <c r="B117" s="82" t="str">
        <f t="shared" ref="B117:B118" si="13">IFERROR(TEXT(C117,"yy") &amp; TEXT(C117,"mm") &amp;"-"&amp;(E117) &amp;"-"&amp;(F117),"")</f>
        <v>2101-86-105843</v>
      </c>
      <c r="C117" s="83">
        <v>44208</v>
      </c>
      <c r="D117" s="84" t="str">
        <f>IF(BD_DETALLE!$E117&gt;=1,CONCATENATE(TEXT(BD_DETALLE!$C117,"YY"),TEXT(BD_DETALLE!$C117,"MM"),"-",BD_DETALLE!$E117),"")</f>
        <v>2101-86</v>
      </c>
      <c r="E117" s="85">
        <v>86</v>
      </c>
      <c r="F117" s="86">
        <v>105843</v>
      </c>
      <c r="G117" s="87" t="str">
        <f>IFERROR(VLOOKUP(BD_DETALLE!$B117,Tabla9[],6,0),"")</f>
        <v>TUBO GALV. DE 1" x 6MTS</v>
      </c>
      <c r="H117" s="88">
        <f>IFERROR(VLOOKUP(BD_DETALLE!$B117,Tabla9[],4,0),0)</f>
        <v>2</v>
      </c>
      <c r="I117" s="89" t="s">
        <v>1218</v>
      </c>
      <c r="J117" s="20" t="s">
        <v>1442</v>
      </c>
      <c r="K117" s="10">
        <f>IFERROR(VLOOKUP(BD_DETALLE!B117,Tabla9[],7,0),"")</f>
        <v>44214</v>
      </c>
      <c r="L117" s="11">
        <f>IFERROR(VLOOKUP(BD_DETALLE!B117,Tabla9[],8,0),"")</f>
        <v>51237</v>
      </c>
      <c r="M117" s="9">
        <f>IFERROR(SUMIFS(Tabla9[CANTIDAD2],Tabla9[BUSQUEDA],Tabla3[[#This Row],[BUSQUEDA]],Tabla9[CODIGO],Tabla3[[#This Row],[CODIGO]],Tabla9[ORDEN No.],Tabla3[[#This Row],[ORDEN de COMPRA]]),0)</f>
        <v>2</v>
      </c>
      <c r="N117" s="27">
        <f>IFERROR(IF(BD_DETALLE!B117&gt;0,VLOOKUP(BD_DETALLE!B117,Tabla9[],10,0),""),"")</f>
        <v>0</v>
      </c>
      <c r="O117" s="28">
        <f>IFERROR(VLOOKUP(BD_DETALLE!B117,Tabla9[],11,0),0)</f>
        <v>0</v>
      </c>
      <c r="P117" s="26">
        <f>IFERROR(SUMIFS(Tabla9[CANTIDAD3],Tabla9[BUSQUEDA],Tabla3[[#This Row],[BUSQUEDA]],Tabla9[CODIGO],Tabla3[[#This Row],[CODIGO]]),0)</f>
        <v>0</v>
      </c>
      <c r="Q117" s="25">
        <f>IF(BD_DETALLE!P117&lt;=0,0,IF(BD_DETALLE!P117=BD_DETALLE!H117,2,1))</f>
        <v>0</v>
      </c>
      <c r="R117" s="41">
        <f ca="1">IF(BD_DETALLE!$C117&gt;0,(IF(BD_DETALLE!$N117=0,TODAY()-BD_DETALLE!$C117,BD_DETALLE!$N117-BD_DETALLE!$C117)),"")</f>
        <v>97</v>
      </c>
    </row>
    <row r="118" spans="2:18" x14ac:dyDescent="0.25">
      <c r="B118" s="82" t="str">
        <f t="shared" si="13"/>
        <v>2101-86-105872</v>
      </c>
      <c r="C118" s="83">
        <v>44208</v>
      </c>
      <c r="D118" s="84" t="str">
        <f>IF(BD_DETALLE!$E118&gt;=1,CONCATENATE(TEXT(BD_DETALLE!$C118,"YY"),TEXT(BD_DETALLE!$C118,"MM"),"-",BD_DETALLE!$E118),"")</f>
        <v>2101-86</v>
      </c>
      <c r="E118" s="85">
        <v>86</v>
      </c>
      <c r="F118" s="86">
        <v>105872</v>
      </c>
      <c r="G118" s="87" t="str">
        <f>IFERROR(VLOOKUP(BD_DETALLE!$B118,Tabla9[],6,0),"")</f>
        <v>CODO H/N SOLDABLE DE 2" x 90║ - CED. 40</v>
      </c>
      <c r="H118" s="88">
        <f>IFERROR(VLOOKUP(BD_DETALLE!$B118,Tabla9[],4,0),0)</f>
        <v>8</v>
      </c>
      <c r="I118" s="89" t="s">
        <v>1218</v>
      </c>
      <c r="J118" s="20" t="s">
        <v>1442</v>
      </c>
      <c r="K118" s="10">
        <f>IFERROR(VLOOKUP(BD_DETALLE!B118,Tabla9[],7,0),"")</f>
        <v>44214</v>
      </c>
      <c r="L118" s="11">
        <f>IFERROR(VLOOKUP(BD_DETALLE!B118,Tabla9[],8,0),"")</f>
        <v>51237</v>
      </c>
      <c r="M118" s="9">
        <f>IFERROR(SUMIFS(Tabla9[CANTIDAD2],Tabla9[BUSQUEDA],Tabla3[[#This Row],[BUSQUEDA]],Tabla9[CODIGO],Tabla3[[#This Row],[CODIGO]],Tabla9[ORDEN No.],Tabla3[[#This Row],[ORDEN de COMPRA]]),0)</f>
        <v>8</v>
      </c>
      <c r="N118" s="27">
        <f>IFERROR(IF(BD_DETALLE!B118&gt;0,VLOOKUP(BD_DETALLE!B118,Tabla9[],10,0),""),"")</f>
        <v>0</v>
      </c>
      <c r="O118" s="28">
        <f>IFERROR(VLOOKUP(BD_DETALLE!B118,Tabla9[],11,0),0)</f>
        <v>0</v>
      </c>
      <c r="P118" s="26">
        <f>IFERROR(SUMIFS(Tabla9[CANTIDAD3],Tabla9[BUSQUEDA],Tabla3[[#This Row],[BUSQUEDA]],Tabla9[CODIGO],Tabla3[[#This Row],[CODIGO]]),0)</f>
        <v>0</v>
      </c>
      <c r="Q118" s="25">
        <f>IF(BD_DETALLE!P118&lt;=0,0,IF(BD_DETALLE!P118=BD_DETALLE!H118,2,1))</f>
        <v>0</v>
      </c>
      <c r="R118" s="41">
        <f ca="1">IF(BD_DETALLE!$C118&gt;0,(IF(BD_DETALLE!$N118=0,TODAY()-BD_DETALLE!$C118,BD_DETALLE!$N118-BD_DETALLE!$C118)),"")</f>
        <v>97</v>
      </c>
    </row>
    <row r="119" spans="2:18" x14ac:dyDescent="0.25">
      <c r="B119" s="82" t="str">
        <f t="shared" ref="B119:B120" si="14">IFERROR(TEXT(C119,"yy") &amp; TEXT(C119,"mm") &amp;"-"&amp;(E119) &amp;"-"&amp;(F119),"")</f>
        <v>2101-108-105871</v>
      </c>
      <c r="C119" s="83">
        <v>44209</v>
      </c>
      <c r="D119" s="84" t="str">
        <f>IF(BD_DETALLE!$E119&gt;=1,CONCATENATE(TEXT(BD_DETALLE!$C119,"YY"),TEXT(BD_DETALLE!$C119,"MM"),"-",BD_DETALLE!$E119),"")</f>
        <v>2101-108</v>
      </c>
      <c r="E119" s="85">
        <v>108</v>
      </c>
      <c r="F119" s="86">
        <v>105871</v>
      </c>
      <c r="G119" s="87" t="str">
        <f>IFERROR(VLOOKUP(BD_DETALLE!$B119,Tabla9[],6,0),"")</f>
        <v>TEE H/N SOLDABLE DE 2"</v>
      </c>
      <c r="H119" s="88">
        <f>IFERROR(VLOOKUP(BD_DETALLE!$B119,Tabla9[],4,0),0)</f>
        <v>4</v>
      </c>
      <c r="I119" s="19" t="s">
        <v>12</v>
      </c>
      <c r="J119" s="20" t="s">
        <v>1443</v>
      </c>
      <c r="K119" s="10">
        <f>IFERROR(VLOOKUP(BD_DETALLE!B119,Tabla9[],7,0),"")</f>
        <v>44216</v>
      </c>
      <c r="L119" s="11">
        <f>IFERROR(VLOOKUP(BD_DETALLE!B119,Tabla9[],8,0),"")</f>
        <v>51271</v>
      </c>
      <c r="M119" s="9">
        <f>IFERROR(SUMIFS(Tabla9[CANTIDAD2],Tabla9[BUSQUEDA],Tabla3[[#This Row],[BUSQUEDA]],Tabla9[CODIGO],Tabla3[[#This Row],[CODIGO]],Tabla9[ORDEN No.],Tabla3[[#This Row],[ORDEN de COMPRA]]),0)</f>
        <v>4</v>
      </c>
      <c r="N119" s="27">
        <f>IFERROR(IF(BD_DETALLE!B119&gt;0,VLOOKUP(BD_DETALLE!B119,Tabla9[],10,0),""),"")</f>
        <v>0</v>
      </c>
      <c r="O119" s="28">
        <f>IFERROR(VLOOKUP(BD_DETALLE!B119,Tabla9[],11,0),0)</f>
        <v>0</v>
      </c>
      <c r="P119" s="26">
        <f>IFERROR(SUMIFS(Tabla9[CANTIDAD3],Tabla9[BUSQUEDA],Tabla3[[#This Row],[BUSQUEDA]],Tabla9[CODIGO],Tabla3[[#This Row],[CODIGO]]),0)</f>
        <v>0</v>
      </c>
      <c r="Q119" s="25">
        <f>IF(BD_DETALLE!P119&lt;=0,0,IF(BD_DETALLE!P119=BD_DETALLE!H119,2,1))</f>
        <v>0</v>
      </c>
      <c r="R119" s="41">
        <f ca="1">IF(BD_DETALLE!$C119&gt;0,(IF(BD_DETALLE!$N119=0,TODAY()-BD_DETALLE!$C119,BD_DETALLE!$N119-BD_DETALLE!$C119)),"")</f>
        <v>96</v>
      </c>
    </row>
    <row r="120" spans="2:18" x14ac:dyDescent="0.25">
      <c r="B120" s="82" t="str">
        <f t="shared" si="14"/>
        <v>2101-108-204290</v>
      </c>
      <c r="C120" s="83">
        <v>44209</v>
      </c>
      <c r="D120" s="84" t="str">
        <f>IF(BD_DETALLE!$E120&gt;=1,CONCATENATE(TEXT(BD_DETALLE!$C120,"YY"),TEXT(BD_DETALLE!$C120,"MM"),"-",BD_DETALLE!$E120),"")</f>
        <v>2101-108</v>
      </c>
      <c r="E120" s="85">
        <v>108</v>
      </c>
      <c r="F120" s="86">
        <v>204290</v>
      </c>
      <c r="G120" s="87" t="str">
        <f>IFERROR(VLOOKUP(BD_DETALLE!$B120,Tabla9[],6,0),"")</f>
        <v>TUBO DE H/N DE 3/4" CEL 40</v>
      </c>
      <c r="H120" s="88">
        <f>IFERROR(VLOOKUP(BD_DETALLE!$B120,Tabla9[],4,0),0)</f>
        <v>1</v>
      </c>
      <c r="I120" s="19" t="s">
        <v>12</v>
      </c>
      <c r="J120" s="20" t="s">
        <v>1443</v>
      </c>
      <c r="K120" s="10">
        <f>IFERROR(VLOOKUP(BD_DETALLE!B120,Tabla9[],7,0),"")</f>
        <v>44216</v>
      </c>
      <c r="L120" s="11">
        <f>IFERROR(VLOOKUP(BD_DETALLE!B120,Tabla9[],8,0),"")</f>
        <v>51271</v>
      </c>
      <c r="M120" s="9">
        <f>IFERROR(SUMIFS(Tabla9[CANTIDAD2],Tabla9[BUSQUEDA],Tabla3[[#This Row],[BUSQUEDA]],Tabla9[CODIGO],Tabla3[[#This Row],[CODIGO]],Tabla9[ORDEN No.],Tabla3[[#This Row],[ORDEN de COMPRA]]),0)</f>
        <v>1</v>
      </c>
      <c r="N120" s="27">
        <f>IFERROR(IF(BD_DETALLE!B120&gt;0,VLOOKUP(BD_DETALLE!B120,Tabla9[],10,0),""),"")</f>
        <v>0</v>
      </c>
      <c r="O120" s="28">
        <f>IFERROR(VLOOKUP(BD_DETALLE!B120,Tabla9[],11,0),0)</f>
        <v>0</v>
      </c>
      <c r="P120" s="26">
        <f>IFERROR(SUMIFS(Tabla9[CANTIDAD3],Tabla9[BUSQUEDA],Tabla3[[#This Row],[BUSQUEDA]],Tabla9[CODIGO],Tabla3[[#This Row],[CODIGO]]),0)</f>
        <v>0</v>
      </c>
      <c r="Q120" s="25">
        <f>IF(BD_DETALLE!P120&lt;=0,0,IF(BD_DETALLE!P120=BD_DETALLE!H120,2,1))</f>
        <v>0</v>
      </c>
      <c r="R120" s="41">
        <f ca="1">IF(BD_DETALLE!$C120&gt;0,(IF(BD_DETALLE!$N120=0,TODAY()-BD_DETALLE!$C120,BD_DETALLE!$N120-BD_DETALLE!$C120)),"")</f>
        <v>96</v>
      </c>
    </row>
    <row r="121" spans="2:18" x14ac:dyDescent="0.25">
      <c r="B121" s="82" t="str">
        <f t="shared" ref="B121:B148" si="15">IFERROR(TEXT(C121,"yy") &amp; TEXT(C121,"mm") &amp;"-"&amp;(E121) &amp;"-"&amp;(F121),"")</f>
        <v>2101-116-202694</v>
      </c>
      <c r="C121" s="83">
        <v>44209</v>
      </c>
      <c r="D121" s="84" t="str">
        <f>IF(BD_DETALLE!$E121&gt;=1,CONCATENATE(TEXT(BD_DETALLE!$C121,"YY"),TEXT(BD_DETALLE!$C121,"MM"),"-",BD_DETALLE!$E121),"")</f>
        <v>2101-116</v>
      </c>
      <c r="E121" s="85">
        <v>116</v>
      </c>
      <c r="F121" s="86">
        <v>202694</v>
      </c>
      <c r="G121" s="87" t="str">
        <f>IFERROR(VLOOKUP(BD_DETALLE!$B121,Tabla9[],6,0),"")</f>
        <v>CONDULECT  TIPO "L"  DE 1"</v>
      </c>
      <c r="H121" s="88">
        <f>IFERROR(VLOOKUP(BD_DETALLE!$B121,Tabla9[],4,0),0)</f>
        <v>6</v>
      </c>
      <c r="I121" s="89" t="s">
        <v>14</v>
      </c>
      <c r="J121" s="20" t="s">
        <v>1450</v>
      </c>
      <c r="K121" s="10">
        <f>IFERROR(VLOOKUP(BD_DETALLE!B121,Tabla9[],7,0),"")</f>
        <v>0</v>
      </c>
      <c r="L121" s="11">
        <f>IFERROR(VLOOKUP(BD_DETALLE!B121,Tabla9[],8,0),"")</f>
        <v>0</v>
      </c>
      <c r="M121" s="9">
        <f>IFERROR(SUMIFS(Tabla9[CANTIDAD2],Tabla9[BUSQUEDA],Tabla3[[#This Row],[BUSQUEDA]],Tabla9[CODIGO],Tabla3[[#This Row],[CODIGO]],Tabla9[ORDEN No.],Tabla3[[#This Row],[ORDEN de COMPRA]]),0)</f>
        <v>0</v>
      </c>
      <c r="N121" s="27">
        <f>IFERROR(IF(BD_DETALLE!B121&gt;0,VLOOKUP(BD_DETALLE!B121,Tabla9[],10,0),""),"")</f>
        <v>0</v>
      </c>
      <c r="O121" s="28">
        <f>IFERROR(VLOOKUP(BD_DETALLE!B121,Tabla9[],11,0),0)</f>
        <v>0</v>
      </c>
      <c r="P121" s="26">
        <f>IFERROR(SUMIFS(Tabla9[CANTIDAD3],Tabla9[BUSQUEDA],Tabla3[[#This Row],[BUSQUEDA]],Tabla9[CODIGO],Tabla3[[#This Row],[CODIGO]]),0)</f>
        <v>0</v>
      </c>
      <c r="Q121" s="25">
        <f>IF(BD_DETALLE!P121&lt;=0,0,IF(BD_DETALLE!P121=BD_DETALLE!H121,2,1))</f>
        <v>0</v>
      </c>
      <c r="R121" s="41">
        <f ca="1">IF(BD_DETALLE!$C121&gt;0,(IF(BD_DETALLE!$N121=0,TODAY()-BD_DETALLE!$C121,BD_DETALLE!$N121-BD_DETALLE!$C121)),"")</f>
        <v>96</v>
      </c>
    </row>
    <row r="122" spans="2:18" x14ac:dyDescent="0.25">
      <c r="B122" s="82" t="str">
        <f t="shared" si="15"/>
        <v>2101-116-313005</v>
      </c>
      <c r="C122" s="83">
        <v>44209</v>
      </c>
      <c r="D122" s="84" t="str">
        <f>IF(BD_DETALLE!$E122&gt;=1,CONCATENATE(TEXT(BD_DETALLE!$C122,"YY"),TEXT(BD_DETALLE!$C122,"MM"),"-",BD_DETALLE!$E122),"")</f>
        <v>2101-116</v>
      </c>
      <c r="E122" s="85">
        <v>116</v>
      </c>
      <c r="F122" s="86">
        <v>313005</v>
      </c>
      <c r="G122" s="87" t="str">
        <f>IFERROR(VLOOKUP(BD_DETALLE!$B122,Tabla9[],6,0),"")</f>
        <v>CONDULEC TIPO I DE 1"</v>
      </c>
      <c r="H122" s="88">
        <f>IFERROR(VLOOKUP(BD_DETALLE!$B122,Tabla9[],4,0),0)</f>
        <v>6</v>
      </c>
      <c r="I122" s="89" t="s">
        <v>14</v>
      </c>
      <c r="J122" s="20" t="s">
        <v>1450</v>
      </c>
      <c r="K122" s="10">
        <f>IFERROR(VLOOKUP(BD_DETALLE!B122,Tabla9[],7,0),"")</f>
        <v>0</v>
      </c>
      <c r="L122" s="11">
        <f>IFERROR(VLOOKUP(BD_DETALLE!B122,Tabla9[],8,0),"")</f>
        <v>0</v>
      </c>
      <c r="M122" s="9">
        <f>IFERROR(SUMIFS(Tabla9[CANTIDAD2],Tabla9[BUSQUEDA],Tabla3[[#This Row],[BUSQUEDA]],Tabla9[CODIGO],Tabla3[[#This Row],[CODIGO]],Tabla9[ORDEN No.],Tabla3[[#This Row],[ORDEN de COMPRA]]),0)</f>
        <v>0</v>
      </c>
      <c r="N122" s="27">
        <f>IFERROR(IF(BD_DETALLE!B122&gt;0,VLOOKUP(BD_DETALLE!B122,Tabla9[],10,0),""),"")</f>
        <v>0</v>
      </c>
      <c r="O122" s="28">
        <f>IFERROR(VLOOKUP(BD_DETALLE!B122,Tabla9[],11,0),0)</f>
        <v>0</v>
      </c>
      <c r="P122" s="26">
        <f>IFERROR(SUMIFS(Tabla9[CANTIDAD3],Tabla9[BUSQUEDA],Tabla3[[#This Row],[BUSQUEDA]],Tabla9[CODIGO],Tabla3[[#This Row],[CODIGO]]),0)</f>
        <v>0</v>
      </c>
      <c r="Q122" s="25">
        <f>IF(BD_DETALLE!P122&lt;=0,0,IF(BD_DETALLE!P122=BD_DETALLE!H122,2,1))</f>
        <v>0</v>
      </c>
      <c r="R122" s="41">
        <f ca="1">IF(BD_DETALLE!$C122&gt;0,(IF(BD_DETALLE!$N122=0,TODAY()-BD_DETALLE!$C122,BD_DETALLE!$N122-BD_DETALLE!$C122)),"")</f>
        <v>96</v>
      </c>
    </row>
    <row r="123" spans="2:18" x14ac:dyDescent="0.25">
      <c r="B123" s="82" t="str">
        <f t="shared" si="15"/>
        <v>2101-116-203981</v>
      </c>
      <c r="C123" s="83">
        <v>44209</v>
      </c>
      <c r="D123" s="84" t="str">
        <f>IF(BD_DETALLE!$E123&gt;=1,CONCATENATE(TEXT(BD_DETALLE!$C123,"YY"),TEXT(BD_DETALLE!$C123,"MM"),"-",BD_DETALLE!$E123),"")</f>
        <v>2101-116</v>
      </c>
      <c r="E123" s="85">
        <v>116</v>
      </c>
      <c r="F123" s="86">
        <v>203981</v>
      </c>
      <c r="G123" s="87" t="str">
        <f>IFERROR(VLOOKUP(BD_DETALLE!$B123,Tabla9[],6,0),"")</f>
        <v>CONDULECT  TIPO "T"  DE 1"</v>
      </c>
      <c r="H123" s="88">
        <f>IFERROR(VLOOKUP(BD_DETALLE!$B123,Tabla9[],4,0),0)</f>
        <v>6</v>
      </c>
      <c r="I123" s="89" t="s">
        <v>14</v>
      </c>
      <c r="J123" s="20" t="s">
        <v>1450</v>
      </c>
      <c r="K123" s="10">
        <f>IFERROR(VLOOKUP(BD_DETALLE!B123,Tabla9[],7,0),"")</f>
        <v>0</v>
      </c>
      <c r="L123" s="11">
        <f>IFERROR(VLOOKUP(BD_DETALLE!B123,Tabla9[],8,0),"")</f>
        <v>0</v>
      </c>
      <c r="M123" s="9">
        <f>IFERROR(SUMIFS(Tabla9[CANTIDAD2],Tabla9[BUSQUEDA],Tabla3[[#This Row],[BUSQUEDA]],Tabla9[CODIGO],Tabla3[[#This Row],[CODIGO]],Tabla9[ORDEN No.],Tabla3[[#This Row],[ORDEN de COMPRA]]),0)</f>
        <v>0</v>
      </c>
      <c r="N123" s="27">
        <f>IFERROR(IF(BD_DETALLE!B123&gt;0,VLOOKUP(BD_DETALLE!B123,Tabla9[],10,0),""),"")</f>
        <v>0</v>
      </c>
      <c r="O123" s="28">
        <f>IFERROR(VLOOKUP(BD_DETALLE!B123,Tabla9[],11,0),0)</f>
        <v>0</v>
      </c>
      <c r="P123" s="26">
        <f>IFERROR(SUMIFS(Tabla9[CANTIDAD3],Tabla9[BUSQUEDA],Tabla3[[#This Row],[BUSQUEDA]],Tabla9[CODIGO],Tabla3[[#This Row],[CODIGO]]),0)</f>
        <v>0</v>
      </c>
      <c r="Q123" s="25">
        <f>IF(BD_DETALLE!P123&lt;=0,0,IF(BD_DETALLE!P123=BD_DETALLE!H123,2,1))</f>
        <v>0</v>
      </c>
      <c r="R123" s="41">
        <f ca="1">IF(BD_DETALLE!$C123&gt;0,(IF(BD_DETALLE!$N123=0,TODAY()-BD_DETALLE!$C123,BD_DETALLE!$N123-BD_DETALLE!$C123)),"")</f>
        <v>96</v>
      </c>
    </row>
    <row r="124" spans="2:18" x14ac:dyDescent="0.25">
      <c r="B124" s="82" t="str">
        <f t="shared" si="15"/>
        <v>2101-116-308304</v>
      </c>
      <c r="C124" s="83">
        <v>44209</v>
      </c>
      <c r="D124" s="84" t="str">
        <f>IF(BD_DETALLE!$E124&gt;=1,CONCATENATE(TEXT(BD_DETALLE!$C124,"YY"),TEXT(BD_DETALLE!$C124,"MM"),"-",BD_DETALLE!$E124),"")</f>
        <v>2101-116</v>
      </c>
      <c r="E124" s="85">
        <v>116</v>
      </c>
      <c r="F124" s="86">
        <v>308304</v>
      </c>
      <c r="G124" s="87" t="str">
        <f>IFERROR(VLOOKUP(BD_DETALLE!$B124,Tabla9[],6,0),"")</f>
        <v>CONDULEC TIPO I DE 1 1/4"</v>
      </c>
      <c r="H124" s="88">
        <f>IFERROR(VLOOKUP(BD_DETALLE!$B124,Tabla9[],4,0),0)</f>
        <v>12</v>
      </c>
      <c r="I124" s="89" t="s">
        <v>14</v>
      </c>
      <c r="J124" s="20" t="s">
        <v>1450</v>
      </c>
      <c r="K124" s="10">
        <f>IFERROR(VLOOKUP(BD_DETALLE!B124,Tabla9[],7,0),"")</f>
        <v>0</v>
      </c>
      <c r="L124" s="11">
        <f>IFERROR(VLOOKUP(BD_DETALLE!B124,Tabla9[],8,0),"")</f>
        <v>0</v>
      </c>
      <c r="M124" s="9">
        <f>IFERROR(SUMIFS(Tabla9[CANTIDAD2],Tabla9[BUSQUEDA],Tabla3[[#This Row],[BUSQUEDA]],Tabla9[CODIGO],Tabla3[[#This Row],[CODIGO]],Tabla9[ORDEN No.],Tabla3[[#This Row],[ORDEN de COMPRA]]),0)</f>
        <v>0</v>
      </c>
      <c r="N124" s="27">
        <f>IFERROR(IF(BD_DETALLE!B124&gt;0,VLOOKUP(BD_DETALLE!B124,Tabla9[],10,0),""),"")</f>
        <v>0</v>
      </c>
      <c r="O124" s="28">
        <f>IFERROR(VLOOKUP(BD_DETALLE!B124,Tabla9[],11,0),0)</f>
        <v>0</v>
      </c>
      <c r="P124" s="26">
        <f>IFERROR(SUMIFS(Tabla9[CANTIDAD3],Tabla9[BUSQUEDA],Tabla3[[#This Row],[BUSQUEDA]],Tabla9[CODIGO],Tabla3[[#This Row],[CODIGO]]),0)</f>
        <v>0</v>
      </c>
      <c r="Q124" s="25">
        <f>IF(BD_DETALLE!P124&lt;=0,0,IF(BD_DETALLE!P124=BD_DETALLE!H124,2,1))</f>
        <v>0</v>
      </c>
      <c r="R124" s="41">
        <f ca="1">IF(BD_DETALLE!$C124&gt;0,(IF(BD_DETALLE!$N124=0,TODAY()-BD_DETALLE!$C124,BD_DETALLE!$N124-BD_DETALLE!$C124)),"")</f>
        <v>96</v>
      </c>
    </row>
    <row r="125" spans="2:18" x14ac:dyDescent="0.25">
      <c r="B125" s="82" t="str">
        <f t="shared" si="15"/>
        <v>2101-116-202693</v>
      </c>
      <c r="C125" s="83">
        <v>44209</v>
      </c>
      <c r="D125" s="84" t="str">
        <f>IF(BD_DETALLE!$E125&gt;=1,CONCATENATE(TEXT(BD_DETALLE!$C125,"YY"),TEXT(BD_DETALLE!$C125,"MM"),"-",BD_DETALLE!$E125),"")</f>
        <v>2101-116</v>
      </c>
      <c r="E125" s="85">
        <v>116</v>
      </c>
      <c r="F125" s="86">
        <v>202693</v>
      </c>
      <c r="G125" s="87" t="str">
        <f>IFERROR(VLOOKUP(BD_DETALLE!$B125,Tabla9[],6,0),"")</f>
        <v>CONDULECT TIPO "L"  DE 1 1/4"</v>
      </c>
      <c r="H125" s="88">
        <f>IFERROR(VLOOKUP(BD_DETALLE!$B125,Tabla9[],4,0),0)</f>
        <v>12</v>
      </c>
      <c r="I125" s="89" t="s">
        <v>14</v>
      </c>
      <c r="J125" s="20" t="s">
        <v>1450</v>
      </c>
      <c r="K125" s="10">
        <f>IFERROR(VLOOKUP(BD_DETALLE!B125,Tabla9[],7,0),"")</f>
        <v>0</v>
      </c>
      <c r="L125" s="11">
        <f>IFERROR(VLOOKUP(BD_DETALLE!B125,Tabla9[],8,0),"")</f>
        <v>0</v>
      </c>
      <c r="M125" s="9">
        <f>IFERROR(SUMIFS(Tabla9[CANTIDAD2],Tabla9[BUSQUEDA],Tabla3[[#This Row],[BUSQUEDA]],Tabla9[CODIGO],Tabla3[[#This Row],[CODIGO]],Tabla9[ORDEN No.],Tabla3[[#This Row],[ORDEN de COMPRA]]),0)</f>
        <v>0</v>
      </c>
      <c r="N125" s="27">
        <f>IFERROR(IF(BD_DETALLE!B125&gt;0,VLOOKUP(BD_DETALLE!B125,Tabla9[],10,0),""),"")</f>
        <v>0</v>
      </c>
      <c r="O125" s="28">
        <f>IFERROR(VLOOKUP(BD_DETALLE!B125,Tabla9[],11,0),0)</f>
        <v>0</v>
      </c>
      <c r="P125" s="26">
        <f>IFERROR(SUMIFS(Tabla9[CANTIDAD3],Tabla9[BUSQUEDA],Tabla3[[#This Row],[BUSQUEDA]],Tabla9[CODIGO],Tabla3[[#This Row],[CODIGO]]),0)</f>
        <v>0</v>
      </c>
      <c r="Q125" s="25">
        <f>IF(BD_DETALLE!P125&lt;=0,0,IF(BD_DETALLE!P125=BD_DETALLE!H125,2,1))</f>
        <v>0</v>
      </c>
      <c r="R125" s="41">
        <f ca="1">IF(BD_DETALLE!$C125&gt;0,(IF(BD_DETALLE!$N125=0,TODAY()-BD_DETALLE!$C125,BD_DETALLE!$N125-BD_DETALLE!$C125)),"")</f>
        <v>96</v>
      </c>
    </row>
    <row r="126" spans="2:18" x14ac:dyDescent="0.25">
      <c r="B126" s="82" t="str">
        <f t="shared" si="15"/>
        <v>2101-116-301143</v>
      </c>
      <c r="C126" s="83">
        <v>44209</v>
      </c>
      <c r="D126" s="84" t="str">
        <f>IF(BD_DETALLE!$E126&gt;=1,CONCATENATE(TEXT(BD_DETALLE!$C126,"YY"),TEXT(BD_DETALLE!$C126,"MM"),"-",BD_DETALLE!$E126),"")</f>
        <v>2101-116</v>
      </c>
      <c r="E126" s="85">
        <v>116</v>
      </c>
      <c r="F126" s="86">
        <v>301143</v>
      </c>
      <c r="G126" s="87" t="str">
        <f>IFERROR(VLOOKUP(BD_DETALLE!$B126,Tabla9[],6,0),"")</f>
        <v>CODO EMT 1 1/4"</v>
      </c>
      <c r="H126" s="88">
        <f>IFERROR(VLOOKUP(BD_DETALLE!$B126,Tabla9[],4,0),0)</f>
        <v>6</v>
      </c>
      <c r="I126" s="89" t="s">
        <v>14</v>
      </c>
      <c r="J126" s="20" t="s">
        <v>1450</v>
      </c>
      <c r="K126" s="10">
        <f>IFERROR(VLOOKUP(BD_DETALLE!B126,Tabla9[],7,0),"")</f>
        <v>0</v>
      </c>
      <c r="L126" s="11">
        <f>IFERROR(VLOOKUP(BD_DETALLE!B126,Tabla9[],8,0),"")</f>
        <v>0</v>
      </c>
      <c r="M126" s="9">
        <f>IFERROR(SUMIFS(Tabla9[CANTIDAD2],Tabla9[BUSQUEDA],Tabla3[[#This Row],[BUSQUEDA]],Tabla9[CODIGO],Tabla3[[#This Row],[CODIGO]],Tabla9[ORDEN No.],Tabla3[[#This Row],[ORDEN de COMPRA]]),0)</f>
        <v>0</v>
      </c>
      <c r="N126" s="27">
        <f>IFERROR(IF(BD_DETALLE!B126&gt;0,VLOOKUP(BD_DETALLE!B126,Tabla9[],10,0),""),"")</f>
        <v>0</v>
      </c>
      <c r="O126" s="28">
        <f>IFERROR(VLOOKUP(BD_DETALLE!B126,Tabla9[],11,0),0)</f>
        <v>0</v>
      </c>
      <c r="P126" s="26">
        <f>IFERROR(SUMIFS(Tabla9[CANTIDAD3],Tabla9[BUSQUEDA],Tabla3[[#This Row],[BUSQUEDA]],Tabla9[CODIGO],Tabla3[[#This Row],[CODIGO]]),0)</f>
        <v>0</v>
      </c>
      <c r="Q126" s="25">
        <f>IF(BD_DETALLE!P126&lt;=0,0,IF(BD_DETALLE!P126=BD_DETALLE!H126,2,1))</f>
        <v>0</v>
      </c>
      <c r="R126" s="41">
        <f ca="1">IF(BD_DETALLE!$C126&gt;0,(IF(BD_DETALLE!$N126=0,TODAY()-BD_DETALLE!$C126,BD_DETALLE!$N126-BD_DETALLE!$C126)),"")</f>
        <v>96</v>
      </c>
    </row>
    <row r="127" spans="2:18" x14ac:dyDescent="0.25">
      <c r="B127" s="82" t="str">
        <f t="shared" si="15"/>
        <v>2101-116-206154</v>
      </c>
      <c r="C127" s="83">
        <v>44209</v>
      </c>
      <c r="D127" s="84" t="str">
        <f>IF(BD_DETALLE!$E127&gt;=1,CONCATENATE(TEXT(BD_DETALLE!$C127,"YY"),TEXT(BD_DETALLE!$C127,"MM"),"-",BD_DETALLE!$E127),"")</f>
        <v>2101-116</v>
      </c>
      <c r="E127" s="85">
        <v>116</v>
      </c>
      <c r="F127" s="86">
        <v>206154</v>
      </c>
      <c r="G127" s="87" t="str">
        <f>IFERROR(VLOOKUP(BD_DETALLE!$B127,Tabla9[],6,0),"")</f>
        <v>CODO EMT DE 1-1/2"</v>
      </c>
      <c r="H127" s="88">
        <f>IFERROR(VLOOKUP(BD_DETALLE!$B127,Tabla9[],4,0),0)</f>
        <v>6</v>
      </c>
      <c r="I127" s="89" t="s">
        <v>14</v>
      </c>
      <c r="J127" s="20" t="s">
        <v>1450</v>
      </c>
      <c r="K127" s="10">
        <f>IFERROR(VLOOKUP(BD_DETALLE!B127,Tabla9[],7,0),"")</f>
        <v>0</v>
      </c>
      <c r="L127" s="11">
        <f>IFERROR(VLOOKUP(BD_DETALLE!B127,Tabla9[],8,0),"")</f>
        <v>0</v>
      </c>
      <c r="M127" s="9">
        <f>IFERROR(SUMIFS(Tabla9[CANTIDAD2],Tabla9[BUSQUEDA],Tabla3[[#This Row],[BUSQUEDA]],Tabla9[CODIGO],Tabla3[[#This Row],[CODIGO]],Tabla9[ORDEN No.],Tabla3[[#This Row],[ORDEN de COMPRA]]),0)</f>
        <v>0</v>
      </c>
      <c r="N127" s="27">
        <f>IFERROR(IF(BD_DETALLE!B127&gt;0,VLOOKUP(BD_DETALLE!B127,Tabla9[],10,0),""),"")</f>
        <v>0</v>
      </c>
      <c r="O127" s="28">
        <f>IFERROR(VLOOKUP(BD_DETALLE!B127,Tabla9[],11,0),0)</f>
        <v>0</v>
      </c>
      <c r="P127" s="26">
        <f>IFERROR(SUMIFS(Tabla9[CANTIDAD3],Tabla9[BUSQUEDA],Tabla3[[#This Row],[BUSQUEDA]],Tabla9[CODIGO],Tabla3[[#This Row],[CODIGO]]),0)</f>
        <v>0</v>
      </c>
      <c r="Q127" s="25">
        <f>IF(BD_DETALLE!P127&lt;=0,0,IF(BD_DETALLE!P127=BD_DETALLE!H127,2,1))</f>
        <v>0</v>
      </c>
      <c r="R127" s="41">
        <f ca="1">IF(BD_DETALLE!$C127&gt;0,(IF(BD_DETALLE!$N127=0,TODAY()-BD_DETALLE!$C127,BD_DETALLE!$N127-BD_DETALLE!$C127)),"")</f>
        <v>96</v>
      </c>
    </row>
    <row r="128" spans="2:18" x14ac:dyDescent="0.25">
      <c r="B128" s="82" t="str">
        <f t="shared" si="15"/>
        <v>2101-116-204423</v>
      </c>
      <c r="C128" s="83">
        <v>44209</v>
      </c>
      <c r="D128" s="84" t="str">
        <f>IF(BD_DETALLE!$E128&gt;=1,CONCATENATE(TEXT(BD_DETALLE!$C128,"YY"),TEXT(BD_DETALLE!$C128,"MM"),"-",BD_DETALLE!$E128),"")</f>
        <v>2101-116</v>
      </c>
      <c r="E128" s="85">
        <v>116</v>
      </c>
      <c r="F128" s="86">
        <v>204423</v>
      </c>
      <c r="G128" s="87" t="str">
        <f>IFERROR(VLOOKUP(BD_DETALLE!$B128,Tabla9[],6,0),"")</f>
        <v>CODO EMT DE 2"</v>
      </c>
      <c r="H128" s="88">
        <f>IFERROR(VLOOKUP(BD_DETALLE!$B128,Tabla9[],4,0),0)</f>
        <v>6</v>
      </c>
      <c r="I128" s="89" t="s">
        <v>14</v>
      </c>
      <c r="J128" s="20" t="s">
        <v>1450</v>
      </c>
      <c r="K128" s="10">
        <f>IFERROR(VLOOKUP(BD_DETALLE!B128,Tabla9[],7,0),"")</f>
        <v>0</v>
      </c>
      <c r="L128" s="11">
        <f>IFERROR(VLOOKUP(BD_DETALLE!B128,Tabla9[],8,0),"")</f>
        <v>0</v>
      </c>
      <c r="M128" s="9">
        <f>IFERROR(SUMIFS(Tabla9[CANTIDAD2],Tabla9[BUSQUEDA],Tabla3[[#This Row],[BUSQUEDA]],Tabla9[CODIGO],Tabla3[[#This Row],[CODIGO]],Tabla9[ORDEN No.],Tabla3[[#This Row],[ORDEN de COMPRA]]),0)</f>
        <v>0</v>
      </c>
      <c r="N128" s="27">
        <f>IFERROR(IF(BD_DETALLE!B128&gt;0,VLOOKUP(BD_DETALLE!B128,Tabla9[],10,0),""),"")</f>
        <v>0</v>
      </c>
      <c r="O128" s="28">
        <f>IFERROR(VLOOKUP(BD_DETALLE!B128,Tabla9[],11,0),0)</f>
        <v>0</v>
      </c>
      <c r="P128" s="26">
        <f>IFERROR(SUMIFS(Tabla9[CANTIDAD3],Tabla9[BUSQUEDA],Tabla3[[#This Row],[BUSQUEDA]],Tabla9[CODIGO],Tabla3[[#This Row],[CODIGO]]),0)</f>
        <v>0</v>
      </c>
      <c r="Q128" s="25">
        <f>IF(BD_DETALLE!P128&lt;=0,0,IF(BD_DETALLE!P128=BD_DETALLE!H128,2,1))</f>
        <v>0</v>
      </c>
      <c r="R128" s="41">
        <f ca="1">IF(BD_DETALLE!$C128&gt;0,(IF(BD_DETALLE!$N128=0,TODAY()-BD_DETALLE!$C128,BD_DETALLE!$N128-BD_DETALLE!$C128)),"")</f>
        <v>96</v>
      </c>
    </row>
    <row r="129" spans="2:18" x14ac:dyDescent="0.25">
      <c r="B129" s="82" t="str">
        <f t="shared" si="15"/>
        <v>2101-116-205091</v>
      </c>
      <c r="C129" s="83">
        <v>44209</v>
      </c>
      <c r="D129" s="84" t="str">
        <f>IF(BD_DETALLE!$E129&gt;=1,CONCATENATE(TEXT(BD_DETALLE!$C129,"YY"),TEXT(BD_DETALLE!$C129,"MM"),"-",BD_DETALLE!$E129),"")</f>
        <v>2101-116</v>
      </c>
      <c r="E129" s="85">
        <v>116</v>
      </c>
      <c r="F129" s="86">
        <v>205091</v>
      </c>
      <c r="G129" s="87" t="str">
        <f>IFERROR(VLOOKUP(BD_DETALLE!$B129,Tabla9[],6,0),"")</f>
        <v>ABRAZADERA DE TUBO DE 1/2" PARA CHANEL</v>
      </c>
      <c r="H129" s="88">
        <f>IFERROR(VLOOKUP(BD_DETALLE!$B129,Tabla9[],4,0),0)</f>
        <v>24</v>
      </c>
      <c r="I129" s="89" t="s">
        <v>14</v>
      </c>
      <c r="J129" s="20" t="s">
        <v>1450</v>
      </c>
      <c r="K129" s="10">
        <f>IFERROR(VLOOKUP(BD_DETALLE!B129,Tabla9[],7,0),"")</f>
        <v>0</v>
      </c>
      <c r="L129" s="11">
        <f>IFERROR(VLOOKUP(BD_DETALLE!B129,Tabla9[],8,0),"")</f>
        <v>0</v>
      </c>
      <c r="M129" s="9">
        <f>IFERROR(SUMIFS(Tabla9[CANTIDAD2],Tabla9[BUSQUEDA],Tabla3[[#This Row],[BUSQUEDA]],Tabla9[CODIGO],Tabla3[[#This Row],[CODIGO]],Tabla9[ORDEN No.],Tabla3[[#This Row],[ORDEN de COMPRA]]),0)</f>
        <v>0</v>
      </c>
      <c r="N129" s="27">
        <f>IFERROR(IF(BD_DETALLE!B129&gt;0,VLOOKUP(BD_DETALLE!B129,Tabla9[],10,0),""),"")</f>
        <v>0</v>
      </c>
      <c r="O129" s="28">
        <f>IFERROR(VLOOKUP(BD_DETALLE!B129,Tabla9[],11,0),0)</f>
        <v>0</v>
      </c>
      <c r="P129" s="26">
        <f>IFERROR(SUMIFS(Tabla9[CANTIDAD3],Tabla9[BUSQUEDA],Tabla3[[#This Row],[BUSQUEDA]],Tabla9[CODIGO],Tabla3[[#This Row],[CODIGO]]),0)</f>
        <v>0</v>
      </c>
      <c r="Q129" s="25">
        <f>IF(BD_DETALLE!P129&lt;=0,0,IF(BD_DETALLE!P129=BD_DETALLE!H129,2,1))</f>
        <v>0</v>
      </c>
      <c r="R129" s="41">
        <f ca="1">IF(BD_DETALLE!$C129&gt;0,(IF(BD_DETALLE!$N129=0,TODAY()-BD_DETALLE!$C129,BD_DETALLE!$N129-BD_DETALLE!$C129)),"")</f>
        <v>96</v>
      </c>
    </row>
    <row r="130" spans="2:18" x14ac:dyDescent="0.25">
      <c r="B130" s="82" t="str">
        <f t="shared" si="15"/>
        <v>2101-116-204417</v>
      </c>
      <c r="C130" s="83">
        <v>44209</v>
      </c>
      <c r="D130" s="84" t="str">
        <f>IF(BD_DETALLE!$E130&gt;=1,CONCATENATE(TEXT(BD_DETALLE!$C130,"YY"),TEXT(BD_DETALLE!$C130,"MM"),"-",BD_DETALLE!$E130),"")</f>
        <v>2101-116</v>
      </c>
      <c r="E130" s="85">
        <v>116</v>
      </c>
      <c r="F130" s="86">
        <v>204417</v>
      </c>
      <c r="G130" s="87" t="str">
        <f>IFERROR(VLOOKUP(BD_DETALLE!$B130,Tabla9[],6,0),"")</f>
        <v>ABRAZADERA DE TUBO DE 3/4" PARA CHANEL</v>
      </c>
      <c r="H130" s="88">
        <f>IFERROR(VLOOKUP(BD_DETALLE!$B130,Tabla9[],4,0),0)</f>
        <v>24</v>
      </c>
      <c r="I130" s="89" t="s">
        <v>14</v>
      </c>
      <c r="J130" s="20" t="s">
        <v>1450</v>
      </c>
      <c r="K130" s="10">
        <f>IFERROR(VLOOKUP(BD_DETALLE!B130,Tabla9[],7,0),"")</f>
        <v>0</v>
      </c>
      <c r="L130" s="11">
        <f>IFERROR(VLOOKUP(BD_DETALLE!B130,Tabla9[],8,0),"")</f>
        <v>0</v>
      </c>
      <c r="M130" s="9">
        <f>IFERROR(SUMIFS(Tabla9[CANTIDAD2],Tabla9[BUSQUEDA],Tabla3[[#This Row],[BUSQUEDA]],Tabla9[CODIGO],Tabla3[[#This Row],[CODIGO]],Tabla9[ORDEN No.],Tabla3[[#This Row],[ORDEN de COMPRA]]),0)</f>
        <v>0</v>
      </c>
      <c r="N130" s="27">
        <f>IFERROR(IF(BD_DETALLE!B130&gt;0,VLOOKUP(BD_DETALLE!B130,Tabla9[],10,0),""),"")</f>
        <v>0</v>
      </c>
      <c r="O130" s="28">
        <f>IFERROR(VLOOKUP(BD_DETALLE!B130,Tabla9[],11,0),0)</f>
        <v>0</v>
      </c>
      <c r="P130" s="26">
        <f>IFERROR(SUMIFS(Tabla9[CANTIDAD3],Tabla9[BUSQUEDA],Tabla3[[#This Row],[BUSQUEDA]],Tabla9[CODIGO],Tabla3[[#This Row],[CODIGO]]),0)</f>
        <v>0</v>
      </c>
      <c r="Q130" s="25">
        <f>IF(BD_DETALLE!P130&lt;=0,0,IF(BD_DETALLE!P130=BD_DETALLE!H130,2,1))</f>
        <v>0</v>
      </c>
      <c r="R130" s="41">
        <f ca="1">IF(BD_DETALLE!$C130&gt;0,(IF(BD_DETALLE!$N130=0,TODAY()-BD_DETALLE!$C130,BD_DETALLE!$N130-BD_DETALLE!$C130)),"")</f>
        <v>96</v>
      </c>
    </row>
    <row r="131" spans="2:18" x14ac:dyDescent="0.25">
      <c r="B131" s="82" t="str">
        <f t="shared" si="15"/>
        <v>2101-116-204415</v>
      </c>
      <c r="C131" s="83">
        <v>44209</v>
      </c>
      <c r="D131" s="84" t="str">
        <f>IF(BD_DETALLE!$E131&gt;=1,CONCATENATE(TEXT(BD_DETALLE!$C131,"YY"),TEXT(BD_DETALLE!$C131,"MM"),"-",BD_DETALLE!$E131),"")</f>
        <v>2101-116</v>
      </c>
      <c r="E131" s="85">
        <v>116</v>
      </c>
      <c r="F131" s="86">
        <v>204415</v>
      </c>
      <c r="G131" s="87" t="str">
        <f>IFERROR(VLOOKUP(BD_DETALLE!$B131,Tabla9[],6,0),"")</f>
        <v>ABRAZADERA DE TUBO DE 1-1/4" PARA CHANEL</v>
      </c>
      <c r="H131" s="88">
        <f>IFERROR(VLOOKUP(BD_DETALLE!$B131,Tabla9[],4,0),0)</f>
        <v>24</v>
      </c>
      <c r="I131" s="89" t="s">
        <v>14</v>
      </c>
      <c r="J131" s="20" t="s">
        <v>1450</v>
      </c>
      <c r="K131" s="10">
        <f>IFERROR(VLOOKUP(BD_DETALLE!B131,Tabla9[],7,0),"")</f>
        <v>0</v>
      </c>
      <c r="L131" s="11">
        <f>IFERROR(VLOOKUP(BD_DETALLE!B131,Tabla9[],8,0),"")</f>
        <v>0</v>
      </c>
      <c r="M131" s="9">
        <f>IFERROR(SUMIFS(Tabla9[CANTIDAD2],Tabla9[BUSQUEDA],Tabla3[[#This Row],[BUSQUEDA]],Tabla9[CODIGO],Tabla3[[#This Row],[CODIGO]],Tabla9[ORDEN No.],Tabla3[[#This Row],[ORDEN de COMPRA]]),0)</f>
        <v>0</v>
      </c>
      <c r="N131" s="27">
        <f>IFERROR(IF(BD_DETALLE!B131&gt;0,VLOOKUP(BD_DETALLE!B131,Tabla9[],10,0),""),"")</f>
        <v>0</v>
      </c>
      <c r="O131" s="28">
        <f>IFERROR(VLOOKUP(BD_DETALLE!B131,Tabla9[],11,0),0)</f>
        <v>0</v>
      </c>
      <c r="P131" s="26">
        <f>IFERROR(SUMIFS(Tabla9[CANTIDAD3],Tabla9[BUSQUEDA],Tabla3[[#This Row],[BUSQUEDA]],Tabla9[CODIGO],Tabla3[[#This Row],[CODIGO]]),0)</f>
        <v>0</v>
      </c>
      <c r="Q131" s="25">
        <f>IF(BD_DETALLE!P131&lt;=0,0,IF(BD_DETALLE!P131=BD_DETALLE!H131,2,1))</f>
        <v>0</v>
      </c>
      <c r="R131" s="41">
        <f ca="1">IF(BD_DETALLE!$C131&gt;0,(IF(BD_DETALLE!$N131=0,TODAY()-BD_DETALLE!$C131,BD_DETALLE!$N131-BD_DETALLE!$C131)),"")</f>
        <v>96</v>
      </c>
    </row>
    <row r="132" spans="2:18" x14ac:dyDescent="0.25">
      <c r="B132" s="82" t="str">
        <f t="shared" si="15"/>
        <v>2101-116-204418</v>
      </c>
      <c r="C132" s="83">
        <v>44209</v>
      </c>
      <c r="D132" s="84" t="str">
        <f>IF(BD_DETALLE!$E132&gt;=1,CONCATENATE(TEXT(BD_DETALLE!$C132,"YY"),TEXT(BD_DETALLE!$C132,"MM"),"-",BD_DETALLE!$E132),"")</f>
        <v>2101-116</v>
      </c>
      <c r="E132" s="85">
        <v>116</v>
      </c>
      <c r="F132" s="86">
        <v>204418</v>
      </c>
      <c r="G132" s="87" t="str">
        <f>IFERROR(VLOOKUP(BD_DETALLE!$B132,Tabla9[],6,0),"")</f>
        <v>ABRAZADERA DE TUBO DE 2" PARA CHANEL</v>
      </c>
      <c r="H132" s="88">
        <f>IFERROR(VLOOKUP(BD_DETALLE!$B132,Tabla9[],4,0),0)</f>
        <v>24</v>
      </c>
      <c r="I132" s="89" t="s">
        <v>14</v>
      </c>
      <c r="J132" s="20" t="s">
        <v>1450</v>
      </c>
      <c r="K132" s="10">
        <f>IFERROR(VLOOKUP(BD_DETALLE!B132,Tabla9[],7,0),"")</f>
        <v>0</v>
      </c>
      <c r="L132" s="11">
        <f>IFERROR(VLOOKUP(BD_DETALLE!B132,Tabla9[],8,0),"")</f>
        <v>0</v>
      </c>
      <c r="M132" s="9">
        <f>IFERROR(SUMIFS(Tabla9[CANTIDAD2],Tabla9[BUSQUEDA],Tabla3[[#This Row],[BUSQUEDA]],Tabla9[CODIGO],Tabla3[[#This Row],[CODIGO]],Tabla9[ORDEN No.],Tabla3[[#This Row],[ORDEN de COMPRA]]),0)</f>
        <v>0</v>
      </c>
      <c r="N132" s="27">
        <f>IFERROR(IF(BD_DETALLE!B132&gt;0,VLOOKUP(BD_DETALLE!B132,Tabla9[],10,0),""),"")</f>
        <v>0</v>
      </c>
      <c r="O132" s="28">
        <f>IFERROR(VLOOKUP(BD_DETALLE!B132,Tabla9[],11,0),0)</f>
        <v>0</v>
      </c>
      <c r="P132" s="26">
        <f>IFERROR(SUMIFS(Tabla9[CANTIDAD3],Tabla9[BUSQUEDA],Tabla3[[#This Row],[BUSQUEDA]],Tabla9[CODIGO],Tabla3[[#This Row],[CODIGO]]),0)</f>
        <v>0</v>
      </c>
      <c r="Q132" s="25">
        <f>IF(BD_DETALLE!P132&lt;=0,0,IF(BD_DETALLE!P132=BD_DETALLE!H132,2,1))</f>
        <v>0</v>
      </c>
      <c r="R132" s="41">
        <f ca="1">IF(BD_DETALLE!$C132&gt;0,(IF(BD_DETALLE!$N132=0,TODAY()-BD_DETALLE!$C132,BD_DETALLE!$N132-BD_DETALLE!$C132)),"")</f>
        <v>96</v>
      </c>
    </row>
    <row r="133" spans="2:18" x14ac:dyDescent="0.25">
      <c r="B133" s="82" t="str">
        <f t="shared" si="15"/>
        <v>2101-118-300915</v>
      </c>
      <c r="C133" s="83">
        <v>44209</v>
      </c>
      <c r="D133" s="84" t="str">
        <f>IF(BD_DETALLE!$E133&gt;=1,CONCATENATE(TEXT(BD_DETALLE!$C133,"YY"),TEXT(BD_DETALLE!$C133,"MM"),"-",BD_DETALLE!$E133),"")</f>
        <v>2101-118</v>
      </c>
      <c r="E133" s="85">
        <v>118</v>
      </c>
      <c r="F133" s="86">
        <v>300915</v>
      </c>
      <c r="G133" s="87" t="str">
        <f>IFERROR(VLOOKUP(BD_DETALLE!$B133,Tabla9[],6,0),"")</f>
        <v>TUBO EMT DE 1/2" x 3MTR</v>
      </c>
      <c r="H133" s="88">
        <f>IFERROR(VLOOKUP(BD_DETALLE!$B133,Tabla9[],4,0),0)</f>
        <v>10</v>
      </c>
      <c r="I133" s="89" t="s">
        <v>14</v>
      </c>
      <c r="J133" s="20" t="s">
        <v>1450</v>
      </c>
      <c r="K133" s="10">
        <f>IFERROR(VLOOKUP(BD_DETALLE!B133,Tabla9[],7,0),"")</f>
        <v>44291</v>
      </c>
      <c r="L133" s="11">
        <f>IFERROR(VLOOKUP(BD_DETALLE!B133,Tabla9[],8,0),"")</f>
        <v>52350</v>
      </c>
      <c r="M133" s="9">
        <f>IFERROR(SUMIFS(Tabla9[CANTIDAD2],Tabla9[BUSQUEDA],Tabla3[[#This Row],[BUSQUEDA]],Tabla9[CODIGO],Tabla3[[#This Row],[CODIGO]],Tabla9[ORDEN No.],Tabla3[[#This Row],[ORDEN de COMPRA]]),0)</f>
        <v>10</v>
      </c>
      <c r="N133" s="27">
        <f>IFERROR(IF(BD_DETALLE!B133&gt;0,VLOOKUP(BD_DETALLE!B133,Tabla9[],10,0),""),"")</f>
        <v>44301</v>
      </c>
      <c r="O133" s="28">
        <f>IFERROR(VLOOKUP(BD_DETALLE!B133,Tabla9[],11,0),0)</f>
        <v>11841</v>
      </c>
      <c r="P133" s="26">
        <f>IFERROR(SUMIFS(Tabla9[CANTIDAD3],Tabla9[BUSQUEDA],Tabla3[[#This Row],[BUSQUEDA]],Tabla9[CODIGO],Tabla3[[#This Row],[CODIGO]]),0)</f>
        <v>10</v>
      </c>
      <c r="Q133" s="25">
        <f>IF(BD_DETALLE!P133&lt;=0,0,IF(BD_DETALLE!P133=BD_DETALLE!H133,2,1))</f>
        <v>2</v>
      </c>
      <c r="R133" s="41">
        <f ca="1">IF(BD_DETALLE!$C133&gt;0,(IF(BD_DETALLE!$N133=0,TODAY()-BD_DETALLE!$C133,BD_DETALLE!$N133-BD_DETALLE!$C133)),"")</f>
        <v>92</v>
      </c>
    </row>
    <row r="134" spans="2:18" x14ac:dyDescent="0.25">
      <c r="B134" s="82" t="str">
        <f t="shared" si="15"/>
        <v>2101-118-204410</v>
      </c>
      <c r="C134" s="83">
        <v>44209</v>
      </c>
      <c r="D134" s="84" t="str">
        <f>IF(BD_DETALLE!$E134&gt;=1,CONCATENATE(TEXT(BD_DETALLE!$C134,"YY"),TEXT(BD_DETALLE!$C134,"MM"),"-",BD_DETALLE!$E134),"")</f>
        <v>2101-118</v>
      </c>
      <c r="E134" s="85">
        <v>118</v>
      </c>
      <c r="F134" s="86">
        <v>204410</v>
      </c>
      <c r="G134" s="87" t="str">
        <f>IFERROR(VLOOKUP(BD_DETALLE!$B134,Tabla9[],6,0),"")</f>
        <v>TUBO EMT DE 3/4" x 3MTS</v>
      </c>
      <c r="H134" s="88">
        <f>IFERROR(VLOOKUP(BD_DETALLE!$B134,Tabla9[],4,0),0)</f>
        <v>10</v>
      </c>
      <c r="I134" s="89" t="s">
        <v>14</v>
      </c>
      <c r="J134" s="20" t="s">
        <v>1450</v>
      </c>
      <c r="K134" s="10">
        <f>IFERROR(VLOOKUP(BD_DETALLE!B134,Tabla9[],7,0),"")</f>
        <v>44291</v>
      </c>
      <c r="L134" s="11">
        <f>IFERROR(VLOOKUP(BD_DETALLE!B134,Tabla9[],8,0),"")</f>
        <v>52350</v>
      </c>
      <c r="M134" s="9">
        <f>IFERROR(SUMIFS(Tabla9[CANTIDAD2],Tabla9[BUSQUEDA],Tabla3[[#This Row],[BUSQUEDA]],Tabla9[CODIGO],Tabla3[[#This Row],[CODIGO]],Tabla9[ORDEN No.],Tabla3[[#This Row],[ORDEN de COMPRA]]),0)</f>
        <v>10</v>
      </c>
      <c r="N134" s="27">
        <f>IFERROR(IF(BD_DETALLE!B134&gt;0,VLOOKUP(BD_DETALLE!B134,Tabla9[],10,0),""),"")</f>
        <v>44301</v>
      </c>
      <c r="O134" s="28">
        <f>IFERROR(VLOOKUP(BD_DETALLE!B134,Tabla9[],11,0),0)</f>
        <v>11841</v>
      </c>
      <c r="P134" s="26">
        <f>IFERROR(SUMIFS(Tabla9[CANTIDAD3],Tabla9[BUSQUEDA],Tabla3[[#This Row],[BUSQUEDA]],Tabla9[CODIGO],Tabla3[[#This Row],[CODIGO]]),0)</f>
        <v>10</v>
      </c>
      <c r="Q134" s="25">
        <f>IF(BD_DETALLE!P134&lt;=0,0,IF(BD_DETALLE!P134=BD_DETALLE!H134,2,1))</f>
        <v>2</v>
      </c>
      <c r="R134" s="41">
        <f ca="1">IF(BD_DETALLE!$C134&gt;0,(IF(BD_DETALLE!$N134=0,TODAY()-BD_DETALLE!$C134,BD_DETALLE!$N134-BD_DETALLE!$C134)),"")</f>
        <v>92</v>
      </c>
    </row>
    <row r="135" spans="2:18" x14ac:dyDescent="0.25">
      <c r="B135" s="82" t="str">
        <f t="shared" si="15"/>
        <v>2101-118-203972</v>
      </c>
      <c r="C135" s="83">
        <v>44209</v>
      </c>
      <c r="D135" s="84" t="str">
        <f>IF(BD_DETALLE!$E135&gt;=1,CONCATENATE(TEXT(BD_DETALLE!$C135,"YY"),TEXT(BD_DETALLE!$C135,"MM"),"-",BD_DETALLE!$E135),"")</f>
        <v>2101-118</v>
      </c>
      <c r="E135" s="85">
        <v>118</v>
      </c>
      <c r="F135" s="86">
        <v>203972</v>
      </c>
      <c r="G135" s="87" t="str">
        <f>IFERROR(VLOOKUP(BD_DETALLE!$B135,Tabla9[],6,0),"")</f>
        <v>TUBO EMT DE 1" x 3MTS</v>
      </c>
      <c r="H135" s="88">
        <f>IFERROR(VLOOKUP(BD_DETALLE!$B135,Tabla9[],4,0),0)</f>
        <v>10</v>
      </c>
      <c r="I135" s="89" t="s">
        <v>14</v>
      </c>
      <c r="J135" s="20" t="s">
        <v>1450</v>
      </c>
      <c r="K135" s="10">
        <f>IFERROR(VLOOKUP(BD_DETALLE!B135,Tabla9[],7,0),"")</f>
        <v>44291</v>
      </c>
      <c r="L135" s="11">
        <f>IFERROR(VLOOKUP(BD_DETALLE!B135,Tabla9[],8,0),"")</f>
        <v>52350</v>
      </c>
      <c r="M135" s="9">
        <f>IFERROR(SUMIFS(Tabla9[CANTIDAD2],Tabla9[BUSQUEDA],Tabla3[[#This Row],[BUSQUEDA]],Tabla9[CODIGO],Tabla3[[#This Row],[CODIGO]],Tabla9[ORDEN No.],Tabla3[[#This Row],[ORDEN de COMPRA]]),0)</f>
        <v>10</v>
      </c>
      <c r="N135" s="27">
        <f>IFERROR(IF(BD_DETALLE!B135&gt;0,VLOOKUP(BD_DETALLE!B135,Tabla9[],10,0),""),"")</f>
        <v>44301</v>
      </c>
      <c r="O135" s="28">
        <f>IFERROR(VLOOKUP(BD_DETALLE!B135,Tabla9[],11,0),0)</f>
        <v>11841</v>
      </c>
      <c r="P135" s="26">
        <f>IFERROR(SUMIFS(Tabla9[CANTIDAD3],Tabla9[BUSQUEDA],Tabla3[[#This Row],[BUSQUEDA]],Tabla9[CODIGO],Tabla3[[#This Row],[CODIGO]]),0)</f>
        <v>10</v>
      </c>
      <c r="Q135" s="25">
        <f>IF(BD_DETALLE!P135&lt;=0,0,IF(BD_DETALLE!P135=BD_DETALLE!H135,2,1))</f>
        <v>2</v>
      </c>
      <c r="R135" s="41">
        <f ca="1">IF(BD_DETALLE!$C135&gt;0,(IF(BD_DETALLE!$N135=0,TODAY()-BD_DETALLE!$C135,BD_DETALLE!$N135-BD_DETALLE!$C135)),"")</f>
        <v>92</v>
      </c>
    </row>
    <row r="136" spans="2:18" x14ac:dyDescent="0.25">
      <c r="B136" s="82" t="str">
        <f t="shared" si="15"/>
        <v>2101-118-203973</v>
      </c>
      <c r="C136" s="83">
        <v>44209</v>
      </c>
      <c r="D136" s="84" t="str">
        <f>IF(BD_DETALLE!$E136&gt;=1,CONCATENATE(TEXT(BD_DETALLE!$C136,"YY"),TEXT(BD_DETALLE!$C136,"MM"),"-",BD_DETALLE!$E136),"")</f>
        <v>2101-118</v>
      </c>
      <c r="E136" s="85">
        <v>118</v>
      </c>
      <c r="F136" s="86">
        <v>203973</v>
      </c>
      <c r="G136" s="87" t="str">
        <f>IFERROR(VLOOKUP(BD_DETALLE!$B136,Tabla9[],6,0),"")</f>
        <v>TUBO EMT DE 1-1/4" x 3MTS</v>
      </c>
      <c r="H136" s="88">
        <f>IFERROR(VLOOKUP(BD_DETALLE!$B136,Tabla9[],4,0),0)</f>
        <v>8</v>
      </c>
      <c r="I136" s="89" t="s">
        <v>14</v>
      </c>
      <c r="J136" s="20" t="s">
        <v>1450</v>
      </c>
      <c r="K136" s="10">
        <f>IFERROR(VLOOKUP(BD_DETALLE!B136,Tabla9[],7,0),"")</f>
        <v>44291</v>
      </c>
      <c r="L136" s="11">
        <f>IFERROR(VLOOKUP(BD_DETALLE!B136,Tabla9[],8,0),"")</f>
        <v>52350</v>
      </c>
      <c r="M136" s="9">
        <f>IFERROR(SUMIFS(Tabla9[CANTIDAD2],Tabla9[BUSQUEDA],Tabla3[[#This Row],[BUSQUEDA]],Tabla9[CODIGO],Tabla3[[#This Row],[CODIGO]],Tabla9[ORDEN No.],Tabla3[[#This Row],[ORDEN de COMPRA]]),0)</f>
        <v>8</v>
      </c>
      <c r="N136" s="27">
        <f>IFERROR(IF(BD_DETALLE!B136&gt;0,VLOOKUP(BD_DETALLE!B136,Tabla9[],10,0),""),"")</f>
        <v>44301</v>
      </c>
      <c r="O136" s="28">
        <f>IFERROR(VLOOKUP(BD_DETALLE!B136,Tabla9[],11,0),0)</f>
        <v>11841</v>
      </c>
      <c r="P136" s="26">
        <f>IFERROR(SUMIFS(Tabla9[CANTIDAD3],Tabla9[BUSQUEDA],Tabla3[[#This Row],[BUSQUEDA]],Tabla9[CODIGO],Tabla3[[#This Row],[CODIGO]]),0)</f>
        <v>8</v>
      </c>
      <c r="Q136" s="25">
        <f>IF(BD_DETALLE!P136&lt;=0,0,IF(BD_DETALLE!P136=BD_DETALLE!H136,2,1))</f>
        <v>2</v>
      </c>
      <c r="R136" s="41">
        <f ca="1">IF(BD_DETALLE!$C136&gt;0,(IF(BD_DETALLE!$N136=0,TODAY()-BD_DETALLE!$C136,BD_DETALLE!$N136-BD_DETALLE!$C136)),"")</f>
        <v>92</v>
      </c>
    </row>
    <row r="137" spans="2:18" x14ac:dyDescent="0.25">
      <c r="B137" s="82" t="str">
        <f t="shared" si="15"/>
        <v>2101-118-202691</v>
      </c>
      <c r="C137" s="83">
        <v>44209</v>
      </c>
      <c r="D137" s="84" t="str">
        <f>IF(BD_DETALLE!$E137&gt;=1,CONCATENATE(TEXT(BD_DETALLE!$C137,"YY"),TEXT(BD_DETALLE!$C137,"MM"),"-",BD_DETALLE!$E137),"")</f>
        <v>2101-118</v>
      </c>
      <c r="E137" s="85">
        <v>118</v>
      </c>
      <c r="F137" s="86">
        <v>202691</v>
      </c>
      <c r="G137" s="87" t="str">
        <f>IFERROR(VLOOKUP(BD_DETALLE!$B137,Tabla9[],6,0),"")</f>
        <v>CONECTOR  EMT  3/4"</v>
      </c>
      <c r="H137" s="88">
        <f>IFERROR(VLOOKUP(BD_DETALLE!$B137,Tabla9[],4,0),0)</f>
        <v>12</v>
      </c>
      <c r="I137" s="89" t="s">
        <v>14</v>
      </c>
      <c r="J137" s="20" t="s">
        <v>1450</v>
      </c>
      <c r="K137" s="10">
        <f>IFERROR(VLOOKUP(BD_DETALLE!B137,Tabla9[],7,0),"")</f>
        <v>44291</v>
      </c>
      <c r="L137" s="11">
        <f>IFERROR(VLOOKUP(BD_DETALLE!B137,Tabla9[],8,0),"")</f>
        <v>52350</v>
      </c>
      <c r="M137" s="9">
        <f>IFERROR(SUMIFS(Tabla9[CANTIDAD2],Tabla9[BUSQUEDA],Tabla3[[#This Row],[BUSQUEDA]],Tabla9[CODIGO],Tabla3[[#This Row],[CODIGO]],Tabla9[ORDEN No.],Tabla3[[#This Row],[ORDEN de COMPRA]]),0)</f>
        <v>12</v>
      </c>
      <c r="N137" s="27">
        <f>IFERROR(IF(BD_DETALLE!B137&gt;0,VLOOKUP(BD_DETALLE!B137,Tabla9[],10,0),""),"")</f>
        <v>44301</v>
      </c>
      <c r="O137" s="28">
        <f>IFERROR(VLOOKUP(BD_DETALLE!B137,Tabla9[],11,0),0)</f>
        <v>11841</v>
      </c>
      <c r="P137" s="26">
        <f>IFERROR(SUMIFS(Tabla9[CANTIDAD3],Tabla9[BUSQUEDA],Tabla3[[#This Row],[BUSQUEDA]],Tabla9[CODIGO],Tabla3[[#This Row],[CODIGO]]),0)</f>
        <v>12</v>
      </c>
      <c r="Q137" s="25">
        <f>IF(BD_DETALLE!P137&lt;=0,0,IF(BD_DETALLE!P137=BD_DETALLE!H137,2,1))</f>
        <v>2</v>
      </c>
      <c r="R137" s="41">
        <f ca="1">IF(BD_DETALLE!$C137&gt;0,(IF(BD_DETALLE!$N137=0,TODAY()-BD_DETALLE!$C137,BD_DETALLE!$N137-BD_DETALLE!$C137)),"")</f>
        <v>92</v>
      </c>
    </row>
    <row r="138" spans="2:18" x14ac:dyDescent="0.25">
      <c r="B138" s="82" t="str">
        <f t="shared" si="15"/>
        <v>2101-118-302829</v>
      </c>
      <c r="C138" s="83">
        <v>44209</v>
      </c>
      <c r="D138" s="84" t="str">
        <f>IF(BD_DETALLE!$E138&gt;=1,CONCATENATE(TEXT(BD_DETALLE!$C138,"YY"),TEXT(BD_DETALLE!$C138,"MM"),"-",BD_DETALLE!$E138),"")</f>
        <v>2101-118</v>
      </c>
      <c r="E138" s="85">
        <v>118</v>
      </c>
      <c r="F138" s="86">
        <v>302829</v>
      </c>
      <c r="G138" s="87" t="str">
        <f>IFERROR(VLOOKUP(BD_DETALLE!$B138,Tabla9[],6,0),"")</f>
        <v>CONECTOR EMT DE 1-1/4"</v>
      </c>
      <c r="H138" s="88">
        <f>IFERROR(VLOOKUP(BD_DETALLE!$B138,Tabla9[],4,0),0)</f>
        <v>6</v>
      </c>
      <c r="I138" s="89" t="s">
        <v>14</v>
      </c>
      <c r="J138" s="20" t="s">
        <v>1450</v>
      </c>
      <c r="K138" s="10">
        <f>IFERROR(VLOOKUP(BD_DETALLE!B138,Tabla9[],7,0),"")</f>
        <v>44291</v>
      </c>
      <c r="L138" s="11">
        <f>IFERROR(VLOOKUP(BD_DETALLE!B138,Tabla9[],8,0),"")</f>
        <v>52350</v>
      </c>
      <c r="M138" s="9">
        <f>IFERROR(SUMIFS(Tabla9[CANTIDAD2],Tabla9[BUSQUEDA],Tabla3[[#This Row],[BUSQUEDA]],Tabla9[CODIGO],Tabla3[[#This Row],[CODIGO]],Tabla9[ORDEN No.],Tabla3[[#This Row],[ORDEN de COMPRA]]),0)</f>
        <v>6</v>
      </c>
      <c r="N138" s="27">
        <f>IFERROR(IF(BD_DETALLE!B138&gt;0,VLOOKUP(BD_DETALLE!B138,Tabla9[],10,0),""),"")</f>
        <v>44301</v>
      </c>
      <c r="O138" s="28">
        <f>IFERROR(VLOOKUP(BD_DETALLE!B138,Tabla9[],11,0),0)</f>
        <v>11841</v>
      </c>
      <c r="P138" s="26">
        <f>IFERROR(SUMIFS(Tabla9[CANTIDAD3],Tabla9[BUSQUEDA],Tabla3[[#This Row],[BUSQUEDA]],Tabla9[CODIGO],Tabla3[[#This Row],[CODIGO]]),0)</f>
        <v>6</v>
      </c>
      <c r="Q138" s="25">
        <f>IF(BD_DETALLE!P138&lt;=0,0,IF(BD_DETALLE!P138=BD_DETALLE!H138,2,1))</f>
        <v>2</v>
      </c>
      <c r="R138" s="41">
        <f ca="1">IF(BD_DETALLE!$C138&gt;0,(IF(BD_DETALLE!$N138=0,TODAY()-BD_DETALLE!$C138,BD_DETALLE!$N138-BD_DETALLE!$C138)),"")</f>
        <v>92</v>
      </c>
    </row>
    <row r="139" spans="2:18" x14ac:dyDescent="0.25">
      <c r="B139" s="82" t="str">
        <f t="shared" si="15"/>
        <v>2101-118-300406</v>
      </c>
      <c r="C139" s="83">
        <v>44209</v>
      </c>
      <c r="D139" s="84" t="str">
        <f>IF(BD_DETALLE!$E139&gt;=1,CONCATENATE(TEXT(BD_DETALLE!$C139,"YY"),TEXT(BD_DETALLE!$C139,"MM"),"-",BD_DETALLE!$E139),"")</f>
        <v>2101-118</v>
      </c>
      <c r="E139" s="85">
        <v>118</v>
      </c>
      <c r="F139" s="86">
        <v>300406</v>
      </c>
      <c r="G139" s="87" t="str">
        <f>IFERROR(VLOOKUP(BD_DETALLE!$B139,Tabla9[],6,0),"")</f>
        <v>CONECTOR EMT DE 1-1/2"</v>
      </c>
      <c r="H139" s="88">
        <f>IFERROR(VLOOKUP(BD_DETALLE!$B139,Tabla9[],4,0),0)</f>
        <v>6</v>
      </c>
      <c r="I139" s="89" t="s">
        <v>14</v>
      </c>
      <c r="J139" s="20" t="s">
        <v>1450</v>
      </c>
      <c r="K139" s="10">
        <f>IFERROR(VLOOKUP(BD_DETALLE!B139,Tabla9[],7,0),"")</f>
        <v>44291</v>
      </c>
      <c r="L139" s="11">
        <f>IFERROR(VLOOKUP(BD_DETALLE!B139,Tabla9[],8,0),"")</f>
        <v>52350</v>
      </c>
      <c r="M139" s="9">
        <f>IFERROR(SUMIFS(Tabla9[CANTIDAD2],Tabla9[BUSQUEDA],Tabla3[[#This Row],[BUSQUEDA]],Tabla9[CODIGO],Tabla3[[#This Row],[CODIGO]],Tabla9[ORDEN No.],Tabla3[[#This Row],[ORDEN de COMPRA]]),0)</f>
        <v>6</v>
      </c>
      <c r="N139" s="27">
        <f>IFERROR(IF(BD_DETALLE!B139&gt;0,VLOOKUP(BD_DETALLE!B139,Tabla9[],10,0),""),"")</f>
        <v>44301</v>
      </c>
      <c r="O139" s="28">
        <f>IFERROR(VLOOKUP(BD_DETALLE!B139,Tabla9[],11,0),0)</f>
        <v>11841</v>
      </c>
      <c r="P139" s="26">
        <f>IFERROR(SUMIFS(Tabla9[CANTIDAD3],Tabla9[BUSQUEDA],Tabla3[[#This Row],[BUSQUEDA]],Tabla9[CODIGO],Tabla3[[#This Row],[CODIGO]]),0)</f>
        <v>6</v>
      </c>
      <c r="Q139" s="25">
        <f>IF(BD_DETALLE!P139&lt;=0,0,IF(BD_DETALLE!P139=BD_DETALLE!H139,2,1))</f>
        <v>2</v>
      </c>
      <c r="R139" s="41">
        <f ca="1">IF(BD_DETALLE!$C139&gt;0,(IF(BD_DETALLE!$N139=0,TODAY()-BD_DETALLE!$C139,BD_DETALLE!$N139-BD_DETALLE!$C139)),"")</f>
        <v>92</v>
      </c>
    </row>
    <row r="140" spans="2:18" x14ac:dyDescent="0.25">
      <c r="B140" s="82" t="str">
        <f t="shared" si="15"/>
        <v>2101-118-201030</v>
      </c>
      <c r="C140" s="83">
        <v>44209</v>
      </c>
      <c r="D140" s="84" t="str">
        <f>IF(BD_DETALLE!$E140&gt;=1,CONCATENATE(TEXT(BD_DETALLE!$C140,"YY"),TEXT(BD_DETALLE!$C140,"MM"),"-",BD_DETALLE!$E140),"")</f>
        <v>2101-118</v>
      </c>
      <c r="E140" s="85">
        <v>118</v>
      </c>
      <c r="F140" s="86">
        <v>201030</v>
      </c>
      <c r="G140" s="87" t="str">
        <f>IFERROR(VLOOKUP(BD_DETALLE!$B140,Tabla9[],6,0),"")</f>
        <v>UNION  EMT  1.1/4</v>
      </c>
      <c r="H140" s="88">
        <f>IFERROR(VLOOKUP(BD_DETALLE!$B140,Tabla9[],4,0),0)</f>
        <v>12</v>
      </c>
      <c r="I140" s="89" t="s">
        <v>14</v>
      </c>
      <c r="J140" s="20" t="s">
        <v>1450</v>
      </c>
      <c r="K140" s="10">
        <f>IFERROR(VLOOKUP(BD_DETALLE!B140,Tabla9[],7,0),"")</f>
        <v>44291</v>
      </c>
      <c r="L140" s="11">
        <f>IFERROR(VLOOKUP(BD_DETALLE!B140,Tabla9[],8,0),"")</f>
        <v>52350</v>
      </c>
      <c r="M140" s="9">
        <f>IFERROR(SUMIFS(Tabla9[CANTIDAD2],Tabla9[BUSQUEDA],Tabla3[[#This Row],[BUSQUEDA]],Tabla9[CODIGO],Tabla3[[#This Row],[CODIGO]],Tabla9[ORDEN No.],Tabla3[[#This Row],[ORDEN de COMPRA]]),0)</f>
        <v>12</v>
      </c>
      <c r="N140" s="27">
        <f>IFERROR(IF(BD_DETALLE!B140&gt;0,VLOOKUP(BD_DETALLE!B140,Tabla9[],10,0),""),"")</f>
        <v>44301</v>
      </c>
      <c r="O140" s="28">
        <f>IFERROR(VLOOKUP(BD_DETALLE!B140,Tabla9[],11,0),0)</f>
        <v>11841</v>
      </c>
      <c r="P140" s="26">
        <f>IFERROR(SUMIFS(Tabla9[CANTIDAD3],Tabla9[BUSQUEDA],Tabla3[[#This Row],[BUSQUEDA]],Tabla9[CODIGO],Tabla3[[#This Row],[CODIGO]]),0)</f>
        <v>12</v>
      </c>
      <c r="Q140" s="25">
        <f>IF(BD_DETALLE!P140&lt;=0,0,IF(BD_DETALLE!P140=BD_DETALLE!H140,2,1))</f>
        <v>2</v>
      </c>
      <c r="R140" s="41">
        <f ca="1">IF(BD_DETALLE!$C140&gt;0,(IF(BD_DETALLE!$N140=0,TODAY()-BD_DETALLE!$C140,BD_DETALLE!$N140-BD_DETALLE!$C140)),"")</f>
        <v>92</v>
      </c>
    </row>
    <row r="141" spans="2:18" x14ac:dyDescent="0.25">
      <c r="B141" s="82" t="str">
        <f t="shared" si="15"/>
        <v>2101-118-203258</v>
      </c>
      <c r="C141" s="83">
        <v>44209</v>
      </c>
      <c r="D141" s="84" t="str">
        <f>IF(BD_DETALLE!$E141&gt;=1,CONCATENATE(TEXT(BD_DETALLE!$C141,"YY"),TEXT(BD_DETALLE!$C141,"MM"),"-",BD_DETALLE!$E141),"")</f>
        <v>2101-118</v>
      </c>
      <c r="E141" s="85">
        <v>118</v>
      </c>
      <c r="F141" s="86">
        <v>203258</v>
      </c>
      <c r="G141" s="87" t="str">
        <f>IFERROR(VLOOKUP(BD_DETALLE!$B141,Tabla9[],6,0),"")</f>
        <v>CONECTOR DE 1/2" PARA FUNDA SELLADA</v>
      </c>
      <c r="H141" s="88">
        <f>IFERROR(VLOOKUP(BD_DETALLE!$B141,Tabla9[],4,0),0)</f>
        <v>12</v>
      </c>
      <c r="I141" s="89" t="s">
        <v>14</v>
      </c>
      <c r="J141" s="20" t="s">
        <v>1450</v>
      </c>
      <c r="K141" s="10">
        <f>IFERROR(VLOOKUP(BD_DETALLE!B141,Tabla9[],7,0),"")</f>
        <v>44291</v>
      </c>
      <c r="L141" s="11">
        <f>IFERROR(VLOOKUP(BD_DETALLE!B141,Tabla9[],8,0),"")</f>
        <v>52350</v>
      </c>
      <c r="M141" s="9">
        <f>IFERROR(SUMIFS(Tabla9[CANTIDAD2],Tabla9[BUSQUEDA],Tabla3[[#This Row],[BUSQUEDA]],Tabla9[CODIGO],Tabla3[[#This Row],[CODIGO]],Tabla9[ORDEN No.],Tabla3[[#This Row],[ORDEN de COMPRA]]),0)</f>
        <v>12</v>
      </c>
      <c r="N141" s="27">
        <f>IFERROR(IF(BD_DETALLE!B141&gt;0,VLOOKUP(BD_DETALLE!B141,Tabla9[],10,0),""),"")</f>
        <v>44301</v>
      </c>
      <c r="O141" s="28">
        <f>IFERROR(VLOOKUP(BD_DETALLE!B141,Tabla9[],11,0),0)</f>
        <v>11841</v>
      </c>
      <c r="P141" s="26">
        <f>IFERROR(SUMIFS(Tabla9[CANTIDAD3],Tabla9[BUSQUEDA],Tabla3[[#This Row],[BUSQUEDA]],Tabla9[CODIGO],Tabla3[[#This Row],[CODIGO]]),0)</f>
        <v>12</v>
      </c>
      <c r="Q141" s="25">
        <f>IF(BD_DETALLE!P141&lt;=0,0,IF(BD_DETALLE!P141=BD_DETALLE!H141,2,1))</f>
        <v>2</v>
      </c>
      <c r="R141" s="41">
        <f ca="1">IF(BD_DETALLE!$C141&gt;0,(IF(BD_DETALLE!$N141=0,TODAY()-BD_DETALLE!$C141,BD_DETALLE!$N141-BD_DETALLE!$C141)),"")</f>
        <v>92</v>
      </c>
    </row>
    <row r="142" spans="2:18" x14ac:dyDescent="0.25">
      <c r="B142" s="82" t="str">
        <f t="shared" si="15"/>
        <v>2101-118-203259</v>
      </c>
      <c r="C142" s="83">
        <v>44209</v>
      </c>
      <c r="D142" s="84" t="str">
        <f>IF(BD_DETALLE!$E142&gt;=1,CONCATENATE(TEXT(BD_DETALLE!$C142,"YY"),TEXT(BD_DETALLE!$C142,"MM"),"-",BD_DETALLE!$E142),"")</f>
        <v>2101-118</v>
      </c>
      <c r="E142" s="85">
        <v>118</v>
      </c>
      <c r="F142" s="86">
        <v>203259</v>
      </c>
      <c r="G142" s="87" t="str">
        <f>IFERROR(VLOOKUP(BD_DETALLE!$B142,Tabla9[],6,0),"")</f>
        <v>CONECTOR DE 3/4" PARA FUNDA SELLADA</v>
      </c>
      <c r="H142" s="88">
        <f>IFERROR(VLOOKUP(BD_DETALLE!$B142,Tabla9[],4,0),0)</f>
        <v>12</v>
      </c>
      <c r="I142" s="89" t="s">
        <v>14</v>
      </c>
      <c r="J142" s="20" t="s">
        <v>1450</v>
      </c>
      <c r="K142" s="10">
        <f>IFERROR(VLOOKUP(BD_DETALLE!B142,Tabla9[],7,0),"")</f>
        <v>44291</v>
      </c>
      <c r="L142" s="11">
        <f>IFERROR(VLOOKUP(BD_DETALLE!B142,Tabla9[],8,0),"")</f>
        <v>52350</v>
      </c>
      <c r="M142" s="9">
        <f>IFERROR(SUMIFS(Tabla9[CANTIDAD2],Tabla9[BUSQUEDA],Tabla3[[#This Row],[BUSQUEDA]],Tabla9[CODIGO],Tabla3[[#This Row],[CODIGO]],Tabla9[ORDEN No.],Tabla3[[#This Row],[ORDEN de COMPRA]]),0)</f>
        <v>12</v>
      </c>
      <c r="N142" s="27">
        <f>IFERROR(IF(BD_DETALLE!B142&gt;0,VLOOKUP(BD_DETALLE!B142,Tabla9[],10,0),""),"")</f>
        <v>44301</v>
      </c>
      <c r="O142" s="28">
        <f>IFERROR(VLOOKUP(BD_DETALLE!B142,Tabla9[],11,0),0)</f>
        <v>11841</v>
      </c>
      <c r="P142" s="26">
        <f>IFERROR(SUMIFS(Tabla9[CANTIDAD3],Tabla9[BUSQUEDA],Tabla3[[#This Row],[BUSQUEDA]],Tabla9[CODIGO],Tabla3[[#This Row],[CODIGO]]),0)</f>
        <v>12</v>
      </c>
      <c r="Q142" s="25">
        <f>IF(BD_DETALLE!P142&lt;=0,0,IF(BD_DETALLE!P142=BD_DETALLE!H142,2,1))</f>
        <v>2</v>
      </c>
      <c r="R142" s="41">
        <f ca="1">IF(BD_DETALLE!$C142&gt;0,(IF(BD_DETALLE!$N142=0,TODAY()-BD_DETALLE!$C142,BD_DETALLE!$N142-BD_DETALLE!$C142)),"")</f>
        <v>92</v>
      </c>
    </row>
    <row r="143" spans="2:18" x14ac:dyDescent="0.25">
      <c r="B143" s="82" t="str">
        <f t="shared" si="15"/>
        <v>2101-118-203261</v>
      </c>
      <c r="C143" s="83">
        <v>44209</v>
      </c>
      <c r="D143" s="84" t="str">
        <f>IF(BD_DETALLE!$E143&gt;=1,CONCATENATE(TEXT(BD_DETALLE!$C143,"YY"),TEXT(BD_DETALLE!$C143,"MM"),"-",BD_DETALLE!$E143),"")</f>
        <v>2101-118</v>
      </c>
      <c r="E143" s="85">
        <v>118</v>
      </c>
      <c r="F143" s="86">
        <v>203261</v>
      </c>
      <c r="G143" s="87" t="str">
        <f>IFERROR(VLOOKUP(BD_DETALLE!$B143,Tabla9[],6,0),"")</f>
        <v>CONECTOR DE 1-1/4" PARA FUNDA SELLADA</v>
      </c>
      <c r="H143" s="88">
        <f>IFERROR(VLOOKUP(BD_DETALLE!$B143,Tabla9[],4,0),0)</f>
        <v>12</v>
      </c>
      <c r="I143" s="89" t="s">
        <v>14</v>
      </c>
      <c r="J143" s="20" t="s">
        <v>1450</v>
      </c>
      <c r="K143" s="10">
        <f>IFERROR(VLOOKUP(BD_DETALLE!B143,Tabla9[],7,0),"")</f>
        <v>44291</v>
      </c>
      <c r="L143" s="11">
        <f>IFERROR(VLOOKUP(BD_DETALLE!B143,Tabla9[],8,0),"")</f>
        <v>52350</v>
      </c>
      <c r="M143" s="9">
        <f>IFERROR(SUMIFS(Tabla9[CANTIDAD2],Tabla9[BUSQUEDA],Tabla3[[#This Row],[BUSQUEDA]],Tabla9[CODIGO],Tabla3[[#This Row],[CODIGO]],Tabla9[ORDEN No.],Tabla3[[#This Row],[ORDEN de COMPRA]]),0)</f>
        <v>12</v>
      </c>
      <c r="N143" s="27">
        <f>IFERROR(IF(BD_DETALLE!B143&gt;0,VLOOKUP(BD_DETALLE!B143,Tabla9[],10,0),""),"")</f>
        <v>44301</v>
      </c>
      <c r="O143" s="28">
        <f>IFERROR(VLOOKUP(BD_DETALLE!B143,Tabla9[],11,0),0)</f>
        <v>11841</v>
      </c>
      <c r="P143" s="26">
        <f>IFERROR(SUMIFS(Tabla9[CANTIDAD3],Tabla9[BUSQUEDA],Tabla3[[#This Row],[BUSQUEDA]],Tabla9[CODIGO],Tabla3[[#This Row],[CODIGO]]),0)</f>
        <v>12</v>
      </c>
      <c r="Q143" s="25">
        <f>IF(BD_DETALLE!P143&lt;=0,0,IF(BD_DETALLE!P143=BD_DETALLE!H143,2,1))</f>
        <v>2</v>
      </c>
      <c r="R143" s="41">
        <f ca="1">IF(BD_DETALLE!$C143&gt;0,(IF(BD_DETALLE!$N143=0,TODAY()-BD_DETALLE!$C143,BD_DETALLE!$N143-BD_DETALLE!$C143)),"")</f>
        <v>92</v>
      </c>
    </row>
    <row r="144" spans="2:18" x14ac:dyDescent="0.25">
      <c r="B144" s="82" t="str">
        <f t="shared" si="15"/>
        <v>2101-118-203263</v>
      </c>
      <c r="C144" s="83">
        <v>44209</v>
      </c>
      <c r="D144" s="84" t="str">
        <f>IF(BD_DETALLE!$E144&gt;=1,CONCATENATE(TEXT(BD_DETALLE!$C144,"YY"),TEXT(BD_DETALLE!$C144,"MM"),"-",BD_DETALLE!$E144),"")</f>
        <v>2101-118</v>
      </c>
      <c r="E144" s="85">
        <v>118</v>
      </c>
      <c r="F144" s="86">
        <v>203263</v>
      </c>
      <c r="G144" s="87" t="str">
        <f>IFERROR(VLOOKUP(BD_DETALLE!$B144,Tabla9[],6,0),"")</f>
        <v>CONECTOR DE 2" PARA FUNDA SELLADA</v>
      </c>
      <c r="H144" s="88">
        <f>IFERROR(VLOOKUP(BD_DETALLE!$B144,Tabla9[],4,0),0)</f>
        <v>10</v>
      </c>
      <c r="I144" s="89" t="s">
        <v>14</v>
      </c>
      <c r="J144" s="20" t="s">
        <v>1450</v>
      </c>
      <c r="K144" s="10">
        <f>IFERROR(VLOOKUP(BD_DETALLE!B144,Tabla9[],7,0),"")</f>
        <v>44291</v>
      </c>
      <c r="L144" s="11">
        <f>IFERROR(VLOOKUP(BD_DETALLE!B144,Tabla9[],8,0),"")</f>
        <v>52350</v>
      </c>
      <c r="M144" s="9">
        <f>IFERROR(SUMIFS(Tabla9[CANTIDAD2],Tabla9[BUSQUEDA],Tabla3[[#This Row],[BUSQUEDA]],Tabla9[CODIGO],Tabla3[[#This Row],[CODIGO]],Tabla9[ORDEN No.],Tabla3[[#This Row],[ORDEN de COMPRA]]),0)</f>
        <v>10</v>
      </c>
      <c r="N144" s="27">
        <f>IFERROR(IF(BD_DETALLE!B144&gt;0,VLOOKUP(BD_DETALLE!B144,Tabla9[],10,0),""),"")</f>
        <v>44301</v>
      </c>
      <c r="O144" s="28">
        <f>IFERROR(VLOOKUP(BD_DETALLE!B144,Tabla9[],11,0),0)</f>
        <v>11841</v>
      </c>
      <c r="P144" s="26">
        <f>IFERROR(SUMIFS(Tabla9[CANTIDAD3],Tabla9[BUSQUEDA],Tabla3[[#This Row],[BUSQUEDA]],Tabla9[CODIGO],Tabla3[[#This Row],[CODIGO]]),0)</f>
        <v>10</v>
      </c>
      <c r="Q144" s="25">
        <f>IF(BD_DETALLE!P144&lt;=0,0,IF(BD_DETALLE!P144=BD_DETALLE!H144,2,1))</f>
        <v>2</v>
      </c>
      <c r="R144" s="41">
        <f ca="1">IF(BD_DETALLE!$C144&gt;0,(IF(BD_DETALLE!$N144=0,TODAY()-BD_DETALLE!$C144,BD_DETALLE!$N144-BD_DETALLE!$C144)),"")</f>
        <v>92</v>
      </c>
    </row>
    <row r="145" spans="2:18" x14ac:dyDescent="0.25">
      <c r="B145" s="82" t="str">
        <f t="shared" si="15"/>
        <v>2101-118-306236</v>
      </c>
      <c r="C145" s="83">
        <v>44209</v>
      </c>
      <c r="D145" s="84" t="str">
        <f>IF(BD_DETALLE!$E145&gt;=1,CONCATENATE(TEXT(BD_DETALLE!$C145,"YY"),TEXT(BD_DETALLE!$C145,"MM"),"-",BD_DETALLE!$E145),"")</f>
        <v>2101-118</v>
      </c>
      <c r="E145" s="85">
        <v>118</v>
      </c>
      <c r="F145" s="86">
        <v>306236</v>
      </c>
      <c r="G145" s="87" t="str">
        <f>IFERROR(VLOOKUP(BD_DETALLE!$B145,Tabla9[],6,0),"")</f>
        <v>CONECTOR CURVO DE 1" PARA FUNDA SELLADA</v>
      </c>
      <c r="H145" s="88">
        <f>IFERROR(VLOOKUP(BD_DETALLE!$B145,Tabla9[],4,0),0)</f>
        <v>10</v>
      </c>
      <c r="I145" s="89" t="s">
        <v>14</v>
      </c>
      <c r="J145" s="20" t="s">
        <v>1450</v>
      </c>
      <c r="K145" s="10">
        <f>IFERROR(VLOOKUP(BD_DETALLE!B145,Tabla9[],7,0),"")</f>
        <v>44291</v>
      </c>
      <c r="L145" s="11">
        <f>IFERROR(VLOOKUP(BD_DETALLE!B145,Tabla9[],8,0),"")</f>
        <v>52350</v>
      </c>
      <c r="M145" s="9">
        <f>IFERROR(SUMIFS(Tabla9[CANTIDAD2],Tabla9[BUSQUEDA],Tabla3[[#This Row],[BUSQUEDA]],Tabla9[CODIGO],Tabla3[[#This Row],[CODIGO]],Tabla9[ORDEN No.],Tabla3[[#This Row],[ORDEN de COMPRA]]),0)</f>
        <v>10</v>
      </c>
      <c r="N145" s="27">
        <f>IFERROR(IF(BD_DETALLE!B145&gt;0,VLOOKUP(BD_DETALLE!B145,Tabla9[],10,0),""),"")</f>
        <v>44301</v>
      </c>
      <c r="O145" s="28">
        <f>IFERROR(VLOOKUP(BD_DETALLE!B145,Tabla9[],11,0),0)</f>
        <v>11841</v>
      </c>
      <c r="P145" s="26">
        <f>IFERROR(SUMIFS(Tabla9[CANTIDAD3],Tabla9[BUSQUEDA],Tabla3[[#This Row],[BUSQUEDA]],Tabla9[CODIGO],Tabla3[[#This Row],[CODIGO]]),0)</f>
        <v>10</v>
      </c>
      <c r="Q145" s="25">
        <f>IF(BD_DETALLE!P145&lt;=0,0,IF(BD_DETALLE!P145=BD_DETALLE!H145,2,1))</f>
        <v>2</v>
      </c>
      <c r="R145" s="41">
        <f ca="1">IF(BD_DETALLE!$C145&gt;0,(IF(BD_DETALLE!$N145=0,TODAY()-BD_DETALLE!$C145,BD_DETALLE!$N145-BD_DETALLE!$C145)),"")</f>
        <v>92</v>
      </c>
    </row>
    <row r="146" spans="2:18" x14ac:dyDescent="0.25">
      <c r="B146" s="82" t="str">
        <f t="shared" si="15"/>
        <v>2101-118-304725</v>
      </c>
      <c r="C146" s="83">
        <v>44209</v>
      </c>
      <c r="D146" s="84" t="str">
        <f>IF(BD_DETALLE!$E146&gt;=1,CONCATENATE(TEXT(BD_DETALLE!$C146,"YY"),TEXT(BD_DETALLE!$C146,"MM"),"-",BD_DETALLE!$E146),"")</f>
        <v>2101-118</v>
      </c>
      <c r="E146" s="85">
        <v>118</v>
      </c>
      <c r="F146" s="86">
        <v>304725</v>
      </c>
      <c r="G146" s="87" t="str">
        <f>IFERROR(VLOOKUP(BD_DETALLE!$B146,Tabla9[],6,0),"")</f>
        <v>CONECTOR CURVO DE 1-1/4" PARA FUNDA SELLADA</v>
      </c>
      <c r="H146" s="88">
        <f>IFERROR(VLOOKUP(BD_DETALLE!$B146,Tabla9[],4,0),0)</f>
        <v>10</v>
      </c>
      <c r="I146" s="89" t="s">
        <v>14</v>
      </c>
      <c r="J146" s="20" t="s">
        <v>1450</v>
      </c>
      <c r="K146" s="10">
        <f>IFERROR(VLOOKUP(BD_DETALLE!B146,Tabla9[],7,0),"")</f>
        <v>44291</v>
      </c>
      <c r="L146" s="11">
        <f>IFERROR(VLOOKUP(BD_DETALLE!B146,Tabla9[],8,0),"")</f>
        <v>52350</v>
      </c>
      <c r="M146" s="9">
        <f>IFERROR(SUMIFS(Tabla9[CANTIDAD2],Tabla9[BUSQUEDA],Tabla3[[#This Row],[BUSQUEDA]],Tabla9[CODIGO],Tabla3[[#This Row],[CODIGO]],Tabla9[ORDEN No.],Tabla3[[#This Row],[ORDEN de COMPRA]]),0)</f>
        <v>10</v>
      </c>
      <c r="N146" s="27">
        <f>IFERROR(IF(BD_DETALLE!B146&gt;0,VLOOKUP(BD_DETALLE!B146,Tabla9[],10,0),""),"")</f>
        <v>44301</v>
      </c>
      <c r="O146" s="28">
        <f>IFERROR(VLOOKUP(BD_DETALLE!B146,Tabla9[],11,0),0)</f>
        <v>11841</v>
      </c>
      <c r="P146" s="26">
        <f>IFERROR(SUMIFS(Tabla9[CANTIDAD3],Tabla9[BUSQUEDA],Tabla3[[#This Row],[BUSQUEDA]],Tabla9[CODIGO],Tabla3[[#This Row],[CODIGO]]),0)</f>
        <v>10</v>
      </c>
      <c r="Q146" s="25">
        <f>IF(BD_DETALLE!P146&lt;=0,0,IF(BD_DETALLE!P146=BD_DETALLE!H146,2,1))</f>
        <v>2</v>
      </c>
      <c r="R146" s="41">
        <f ca="1">IF(BD_DETALLE!$C146&gt;0,(IF(BD_DETALLE!$N146=0,TODAY()-BD_DETALLE!$C146,BD_DETALLE!$N146-BD_DETALLE!$C146)),"")</f>
        <v>92</v>
      </c>
    </row>
    <row r="147" spans="2:18" x14ac:dyDescent="0.25">
      <c r="B147" s="82" t="str">
        <f t="shared" si="15"/>
        <v>2101-118-203980</v>
      </c>
      <c r="C147" s="83">
        <v>44209</v>
      </c>
      <c r="D147" s="84" t="str">
        <f>IF(BD_DETALLE!$E147&gt;=1,CONCATENATE(TEXT(BD_DETALLE!$C147,"YY"),TEXT(BD_DETALLE!$C147,"MM"),"-",BD_DETALLE!$E147),"")</f>
        <v>2101-118</v>
      </c>
      <c r="E147" s="85">
        <v>118</v>
      </c>
      <c r="F147" s="86">
        <v>203980</v>
      </c>
      <c r="G147" s="87" t="str">
        <f>IFERROR(VLOOKUP(BD_DETALLE!$B147,Tabla9[],6,0),"")</f>
        <v>CONDULECT TIPO "L"  DE 3/4"</v>
      </c>
      <c r="H147" s="88">
        <f>IFERROR(VLOOKUP(BD_DETALLE!$B147,Tabla9[],4,0),0)</f>
        <v>6</v>
      </c>
      <c r="I147" s="89" t="s">
        <v>14</v>
      </c>
      <c r="J147" s="20" t="s">
        <v>1450</v>
      </c>
      <c r="K147" s="10">
        <f>IFERROR(VLOOKUP(BD_DETALLE!B147,Tabla9[],7,0),"")</f>
        <v>44291</v>
      </c>
      <c r="L147" s="11">
        <f>IFERROR(VLOOKUP(BD_DETALLE!B147,Tabla9[],8,0),"")</f>
        <v>52350</v>
      </c>
      <c r="M147" s="9">
        <f>IFERROR(SUMIFS(Tabla9[CANTIDAD2],Tabla9[BUSQUEDA],Tabla3[[#This Row],[BUSQUEDA]],Tabla9[CODIGO],Tabla3[[#This Row],[CODIGO]],Tabla9[ORDEN No.],Tabla3[[#This Row],[ORDEN de COMPRA]]),0)</f>
        <v>6</v>
      </c>
      <c r="N147" s="27">
        <f>IFERROR(IF(BD_DETALLE!B147&gt;0,VLOOKUP(BD_DETALLE!B147,Tabla9[],10,0),""),"")</f>
        <v>44301</v>
      </c>
      <c r="O147" s="28">
        <f>IFERROR(VLOOKUP(BD_DETALLE!B147,Tabla9[],11,0),0)</f>
        <v>11841</v>
      </c>
      <c r="P147" s="26">
        <f>IFERROR(SUMIFS(Tabla9[CANTIDAD3],Tabla9[BUSQUEDA],Tabla3[[#This Row],[BUSQUEDA]],Tabla9[CODIGO],Tabla3[[#This Row],[CODIGO]]),0)</f>
        <v>6</v>
      </c>
      <c r="Q147" s="25">
        <f>IF(BD_DETALLE!P147&lt;=0,0,IF(BD_DETALLE!P147=BD_DETALLE!H147,2,1))</f>
        <v>2</v>
      </c>
      <c r="R147" s="41">
        <f ca="1">IF(BD_DETALLE!$C147&gt;0,(IF(BD_DETALLE!$N147=0,TODAY()-BD_DETALLE!$C147,BD_DETALLE!$N147-BD_DETALLE!$C147)),"")</f>
        <v>92</v>
      </c>
    </row>
    <row r="148" spans="2:18" x14ac:dyDescent="0.25">
      <c r="B148" s="82" t="str">
        <f t="shared" si="15"/>
        <v>2101-118-301985</v>
      </c>
      <c r="C148" s="83">
        <v>44209</v>
      </c>
      <c r="D148" s="84" t="str">
        <f>IF(BD_DETALLE!$E148&gt;=1,CONCATENATE(TEXT(BD_DETALLE!$C148,"YY"),TEXT(BD_DETALLE!$C148,"MM"),"-",BD_DETALLE!$E148),"")</f>
        <v>2101-118</v>
      </c>
      <c r="E148" s="85">
        <v>118</v>
      </c>
      <c r="F148" s="86">
        <v>301985</v>
      </c>
      <c r="G148" s="87" t="str">
        <f>IFERROR(VLOOKUP(BD_DETALLE!$B148,Tabla9[],6,0),"")</f>
        <v>CONDULEC TIPO "I" DE 3/4</v>
      </c>
      <c r="H148" s="88">
        <f>IFERROR(VLOOKUP(BD_DETALLE!$B148,Tabla9[],4,0),0)</f>
        <v>6</v>
      </c>
      <c r="I148" s="89" t="s">
        <v>14</v>
      </c>
      <c r="J148" s="20" t="s">
        <v>1450</v>
      </c>
      <c r="K148" s="10">
        <f>IFERROR(VLOOKUP(BD_DETALLE!B148,Tabla9[],7,0),"")</f>
        <v>44291</v>
      </c>
      <c r="L148" s="11">
        <f>IFERROR(VLOOKUP(BD_DETALLE!B148,Tabla9[],8,0),"")</f>
        <v>52350</v>
      </c>
      <c r="M148" s="9">
        <f>IFERROR(SUMIFS(Tabla9[CANTIDAD2],Tabla9[BUSQUEDA],Tabla3[[#This Row],[BUSQUEDA]],Tabla9[CODIGO],Tabla3[[#This Row],[CODIGO]],Tabla9[ORDEN No.],Tabla3[[#This Row],[ORDEN de COMPRA]]),0)</f>
        <v>6</v>
      </c>
      <c r="N148" s="27">
        <f>IFERROR(IF(BD_DETALLE!B148&gt;0,VLOOKUP(BD_DETALLE!B148,Tabla9[],10,0),""),"")</f>
        <v>44301</v>
      </c>
      <c r="O148" s="28">
        <f>IFERROR(VLOOKUP(BD_DETALLE!B148,Tabla9[],11,0),0)</f>
        <v>11841</v>
      </c>
      <c r="P148" s="26">
        <f>IFERROR(SUMIFS(Tabla9[CANTIDAD3],Tabla9[BUSQUEDA],Tabla3[[#This Row],[BUSQUEDA]],Tabla9[CODIGO],Tabla3[[#This Row],[CODIGO]]),0)</f>
        <v>6</v>
      </c>
      <c r="Q148" s="25">
        <f>IF(BD_DETALLE!P148&lt;=0,0,IF(BD_DETALLE!P148=BD_DETALLE!H148,2,1))</f>
        <v>2</v>
      </c>
      <c r="R148" s="41">
        <f ca="1">IF(BD_DETALLE!$C148&gt;0,(IF(BD_DETALLE!$N148=0,TODAY()-BD_DETALLE!$C148,BD_DETALLE!$N148-BD_DETALLE!$C148)),"")</f>
        <v>92</v>
      </c>
    </row>
    <row r="149" spans="2:18" x14ac:dyDescent="0.25">
      <c r="B149" s="106" t="str">
        <f t="shared" ref="B149:B150" si="16">IFERROR(TEXT(C149,"yy") &amp; TEXT(C149,"mm") &amp;"-"&amp;(E149) &amp;"-"&amp;(F149),"")</f>
        <v>2101-131-320638</v>
      </c>
      <c r="C149" s="107">
        <v>44211</v>
      </c>
      <c r="D149" s="108" t="str">
        <f>IF(BD_DETALLE!$E149&gt;=1,CONCATENATE(TEXT(BD_DETALLE!$C149,"YY"),TEXT(BD_DETALLE!$C149,"MM"),"-",BD_DETALLE!$E149),"")</f>
        <v>2101-131</v>
      </c>
      <c r="E149" s="109">
        <v>131</v>
      </c>
      <c r="F149" s="110">
        <v>320638</v>
      </c>
      <c r="G149" s="127" t="str">
        <f>IFERROR(VLOOKUP(BD_DETALLE!$B149,Tabla9[],6,0),"")</f>
        <v>BLOQUE 10 POSICIONES - 10 ELECTROVALVULAS 24VDC  FESTO</v>
      </c>
      <c r="H149" s="112">
        <f>IFERROR(VLOOKUP(BD_DETALLE!$B149,Tabla9[],4,0),0)</f>
        <v>2</v>
      </c>
      <c r="I149" s="113" t="s">
        <v>1218</v>
      </c>
      <c r="J149" s="114" t="s">
        <v>1451</v>
      </c>
      <c r="K149" s="10">
        <f>IFERROR(VLOOKUP(BD_DETALLE!B149,Tabla9[],7,0),"")</f>
        <v>0</v>
      </c>
      <c r="L149" s="11">
        <f>IFERROR(VLOOKUP(BD_DETALLE!B149,Tabla9[],8,0),"")</f>
        <v>0</v>
      </c>
      <c r="M149" s="9">
        <f>IFERROR(SUMIFS(Tabla9[CANTIDAD2],Tabla9[BUSQUEDA],Tabla3[[#This Row],[BUSQUEDA]],Tabla9[CODIGO],Tabla3[[#This Row],[CODIGO]],Tabla9[ORDEN No.],Tabla3[[#This Row],[ORDEN de COMPRA]]),0)</f>
        <v>0</v>
      </c>
      <c r="N149" s="27">
        <f>IFERROR(IF(BD_DETALLE!B149&gt;0,VLOOKUP(BD_DETALLE!B149,Tabla9[],10,0),""),"")</f>
        <v>0</v>
      </c>
      <c r="O149" s="28">
        <f>IFERROR(VLOOKUP(BD_DETALLE!B149,Tabla9[],11,0),0)</f>
        <v>0</v>
      </c>
      <c r="P149" s="26">
        <f>IFERROR(SUMIFS(Tabla9[CANTIDAD3],Tabla9[BUSQUEDA],Tabla3[[#This Row],[BUSQUEDA]],Tabla9[CODIGO],Tabla3[[#This Row],[CODIGO]]),0)</f>
        <v>0</v>
      </c>
      <c r="Q149" s="25">
        <f>IF(BD_DETALLE!P149&lt;=0,0,IF(BD_DETALLE!P149=BD_DETALLE!H149,2,1))</f>
        <v>0</v>
      </c>
      <c r="R149" s="41">
        <f ca="1">IF(BD_DETALLE!$C149&gt;0,(IF(BD_DETALLE!$N149=0,TODAY()-BD_DETALLE!$C149,BD_DETALLE!$N149-BD_DETALLE!$C149)),"")</f>
        <v>94</v>
      </c>
    </row>
    <row r="150" spans="2:18" x14ac:dyDescent="0.25">
      <c r="B150" s="106" t="str">
        <f t="shared" si="16"/>
        <v>2101-131-311373</v>
      </c>
      <c r="C150" s="107">
        <v>44211</v>
      </c>
      <c r="D150" s="108" t="str">
        <f>IF(BD_DETALLE!$E150&gt;=1,CONCATENATE(TEXT(BD_DETALLE!$C150,"YY"),TEXT(BD_DETALLE!$C150,"MM"),"-",BD_DETALLE!$E150),"")</f>
        <v>2101-131</v>
      </c>
      <c r="E150" s="109">
        <v>131</v>
      </c>
      <c r="F150" s="110">
        <v>311373</v>
      </c>
      <c r="G150" s="111" t="str">
        <f>IFERROR(VLOOKUP(BD_DETALLE!$B150,Tabla9[],6,0),"")</f>
        <v>TUBO A/INOX DE 6" x 6MTS - CED. 40</v>
      </c>
      <c r="H150" s="112">
        <f>IFERROR(VLOOKUP(BD_DETALLE!$B150,Tabla9[],4,0),0)</f>
        <v>1</v>
      </c>
      <c r="I150" s="113" t="s">
        <v>1218</v>
      </c>
      <c r="J150" s="114" t="s">
        <v>1451</v>
      </c>
      <c r="K150" s="10">
        <f>IFERROR(VLOOKUP(BD_DETALLE!B150,Tabla9[],7,0),"")</f>
        <v>0</v>
      </c>
      <c r="L150" s="11">
        <f>IFERROR(VLOOKUP(BD_DETALLE!B150,Tabla9[],8,0),"")</f>
        <v>0</v>
      </c>
      <c r="M150" s="9">
        <f>IFERROR(SUMIFS(Tabla9[CANTIDAD2],Tabla9[BUSQUEDA],Tabla3[[#This Row],[BUSQUEDA]],Tabla9[CODIGO],Tabla3[[#This Row],[CODIGO]],Tabla9[ORDEN No.],Tabla3[[#This Row],[ORDEN de COMPRA]]),0)</f>
        <v>0</v>
      </c>
      <c r="N150" s="27">
        <f>IFERROR(IF(BD_DETALLE!B150&gt;0,VLOOKUP(BD_DETALLE!B150,Tabla9[],10,0),""),"")</f>
        <v>0</v>
      </c>
      <c r="O150" s="28">
        <f>IFERROR(VLOOKUP(BD_DETALLE!B150,Tabla9[],11,0),0)</f>
        <v>0</v>
      </c>
      <c r="P150" s="26">
        <f>IFERROR(SUMIFS(Tabla9[CANTIDAD3],Tabla9[BUSQUEDA],Tabla3[[#This Row],[BUSQUEDA]],Tabla9[CODIGO],Tabla3[[#This Row],[CODIGO]]),0)</f>
        <v>0</v>
      </c>
      <c r="Q150" s="25">
        <f>IF(BD_DETALLE!P150&lt;=0,0,IF(BD_DETALLE!P150=BD_DETALLE!H150,2,1))</f>
        <v>0</v>
      </c>
      <c r="R150" s="41">
        <f ca="1">IF(BD_DETALLE!$C150&gt;0,(IF(BD_DETALLE!$N150=0,TODAY()-BD_DETALLE!$C150,BD_DETALLE!$N150-BD_DETALLE!$C150)),"")</f>
        <v>94</v>
      </c>
    </row>
    <row r="151" spans="2:18" x14ac:dyDescent="0.25">
      <c r="B151" s="118" t="str">
        <f t="shared" ref="B151" si="17">IFERROR(TEXT(C151,"yy") &amp; TEXT(C151,"mm") &amp;"-"&amp;(E151) &amp;"-"&amp;(F151),"")</f>
        <v>2101-164-301161</v>
      </c>
      <c r="C151" s="119">
        <v>44215</v>
      </c>
      <c r="D151" s="120" t="str">
        <f>IF(BD_DETALLE!$E151&gt;=1,CONCATENATE(TEXT(BD_DETALLE!$C151,"YY"),TEXT(BD_DETALLE!$C151,"MM"),"-",BD_DETALLE!$E151),"")</f>
        <v>2101-164</v>
      </c>
      <c r="E151" s="121">
        <v>164</v>
      </c>
      <c r="F151" s="122">
        <v>301161</v>
      </c>
      <c r="G151" s="123" t="str">
        <f>IFERROR(VLOOKUP(BD_DETALLE!$B151,Tabla9[],6,0),"")</f>
        <v>PLATINA A/INOX DE 4MM x 1" x 6MTS</v>
      </c>
      <c r="H151" s="124">
        <f>IFERROR(VLOOKUP(BD_DETALLE!$B151,Tabla9[],4,0),0)</f>
        <v>2</v>
      </c>
      <c r="I151" s="125" t="s">
        <v>12</v>
      </c>
      <c r="J151" s="126" t="s">
        <v>1109</v>
      </c>
      <c r="K151" s="10">
        <f>IFERROR(VLOOKUP(BD_DETALLE!B151,Tabla9[],7,0),"")</f>
        <v>0</v>
      </c>
      <c r="L151" s="11">
        <f>IFERROR(VLOOKUP(BD_DETALLE!B151,Tabla9[],8,0),"")</f>
        <v>0</v>
      </c>
      <c r="M151" s="9">
        <f>IFERROR(SUMIFS(Tabla9[CANTIDAD2],Tabla9[BUSQUEDA],Tabla3[[#This Row],[BUSQUEDA]],Tabla9[CODIGO],Tabla3[[#This Row],[CODIGO]],Tabla9[ORDEN No.],Tabla3[[#This Row],[ORDEN de COMPRA]]),0)</f>
        <v>0</v>
      </c>
      <c r="N151" s="27">
        <f>IFERROR(IF(BD_DETALLE!B151&gt;0,VLOOKUP(BD_DETALLE!B151,Tabla9[],10,0),""),"")</f>
        <v>0</v>
      </c>
      <c r="O151" s="28">
        <f>IFERROR(VLOOKUP(BD_DETALLE!B151,Tabla9[],11,0),0)</f>
        <v>0</v>
      </c>
      <c r="P151" s="26">
        <f>IFERROR(SUMIFS(Tabla9[CANTIDAD3],Tabla9[BUSQUEDA],Tabla3[[#This Row],[BUSQUEDA]],Tabla9[CODIGO],Tabla3[[#This Row],[CODIGO]]),0)</f>
        <v>0</v>
      </c>
      <c r="Q151" s="25">
        <f>IF(BD_DETALLE!P151&lt;=0,0,IF(BD_DETALLE!P151=BD_DETALLE!H151,2,1))</f>
        <v>0</v>
      </c>
      <c r="R151" s="41">
        <f ca="1">IF(BD_DETALLE!$C151&gt;0,(IF(BD_DETALLE!$N151=0,TODAY()-BD_DETALLE!$C151,BD_DETALLE!$N151-BD_DETALLE!$C151)),"")</f>
        <v>90</v>
      </c>
    </row>
    <row r="152" spans="2:18" x14ac:dyDescent="0.25">
      <c r="B152" s="118" t="str">
        <f t="shared" ref="B152:B160" si="18">IFERROR(TEXT(C152,"yy") &amp; TEXT(C152,"mm") &amp;"-"&amp;(E152) &amp;"-"&amp;(F152),"")</f>
        <v>2101-169-306156</v>
      </c>
      <c r="C152" s="119">
        <v>44216</v>
      </c>
      <c r="D152" s="120" t="str">
        <f>IF(BD_DETALLE!$E152&gt;=1,CONCATENATE(TEXT(BD_DETALLE!$C152,"YY"),TEXT(BD_DETALLE!$C152,"MM"),"-",BD_DETALLE!$E152),"")</f>
        <v>2101-169</v>
      </c>
      <c r="E152" s="121">
        <v>169</v>
      </c>
      <c r="F152" s="122">
        <v>306156</v>
      </c>
      <c r="G152" s="123" t="str">
        <f>IFERROR(VLOOKUP(BD_DETALLE!$B152,Tabla9[],6,0),"")</f>
        <v>EMPAQUE MERGOLLAR GRAFITO EXPANDIDO DE 3/4"</v>
      </c>
      <c r="H152" s="124">
        <f>IFERROR(VLOOKUP(BD_DETALLE!$B152,Tabla9[],4,0),0)</f>
        <v>5</v>
      </c>
      <c r="I152" s="125" t="s">
        <v>15</v>
      </c>
      <c r="J152" s="126" t="s">
        <v>385</v>
      </c>
      <c r="K152" s="10">
        <f>IFERROR(VLOOKUP(BD_DETALLE!B152,Tabla9[],7,0),"")</f>
        <v>0</v>
      </c>
      <c r="L152" s="11">
        <f>IFERROR(VLOOKUP(BD_DETALLE!B152,Tabla9[],8,0),"")</f>
        <v>0</v>
      </c>
      <c r="M152" s="9">
        <f>IFERROR(SUMIFS(Tabla9[CANTIDAD2],Tabla9[BUSQUEDA],Tabla3[[#This Row],[BUSQUEDA]],Tabla9[CODIGO],Tabla3[[#This Row],[CODIGO]],Tabla9[ORDEN No.],Tabla3[[#This Row],[ORDEN de COMPRA]]),0)</f>
        <v>0</v>
      </c>
      <c r="N152" s="27">
        <f>IFERROR(IF(BD_DETALLE!B152&gt;0,VLOOKUP(BD_DETALLE!B152,Tabla9[],10,0),""),"")</f>
        <v>0</v>
      </c>
      <c r="O152" s="28">
        <f>IFERROR(VLOOKUP(BD_DETALLE!B152,Tabla9[],11,0),0)</f>
        <v>0</v>
      </c>
      <c r="P152" s="26">
        <f>IFERROR(SUMIFS(Tabla9[CANTIDAD3],Tabla9[BUSQUEDA],Tabla3[[#This Row],[BUSQUEDA]],Tabla9[CODIGO],Tabla3[[#This Row],[CODIGO]]),0)</f>
        <v>0</v>
      </c>
      <c r="Q152" s="25">
        <f>IF(BD_DETALLE!P152&lt;=0,0,IF(BD_DETALLE!P152=BD_DETALLE!H152,2,1))</f>
        <v>0</v>
      </c>
      <c r="R152" s="41">
        <f ca="1">IF(BD_DETALLE!$C152&gt;0,(IF(BD_DETALLE!$N152=0,TODAY()-BD_DETALLE!$C152,BD_DETALLE!$N152-BD_DETALLE!$C152)),"")</f>
        <v>89</v>
      </c>
    </row>
    <row r="153" spans="2:18" x14ac:dyDescent="0.25">
      <c r="B153" s="118" t="str">
        <f t="shared" si="18"/>
        <v>2101-169-205435</v>
      </c>
      <c r="C153" s="119">
        <v>44216</v>
      </c>
      <c r="D153" s="120" t="str">
        <f>IF(BD_DETALLE!$E153&gt;=1,CONCATENATE(TEXT(BD_DETALLE!$C153,"YY"),TEXT(BD_DETALLE!$C153,"MM"),"-",BD_DETALLE!$E153),"")</f>
        <v>2101-169</v>
      </c>
      <c r="E153" s="121">
        <v>169</v>
      </c>
      <c r="F153" s="122">
        <v>205435</v>
      </c>
      <c r="G153" s="123" t="str">
        <f>IFERROR(VLOOKUP(BD_DETALLE!$B153,Tabla9[],6,0),"")</f>
        <v>MERGOLLAR GRAFITADO DE 1" x 1"</v>
      </c>
      <c r="H153" s="124">
        <f>IFERROR(VLOOKUP(BD_DETALLE!$B153,Tabla9[],4,0),0)</f>
        <v>5</v>
      </c>
      <c r="I153" s="125" t="s">
        <v>15</v>
      </c>
      <c r="J153" s="126" t="s">
        <v>385</v>
      </c>
      <c r="K153" s="10">
        <f>IFERROR(VLOOKUP(BD_DETALLE!B153,Tabla9[],7,0),"")</f>
        <v>0</v>
      </c>
      <c r="L153" s="11">
        <f>IFERROR(VLOOKUP(BD_DETALLE!B153,Tabla9[],8,0),"")</f>
        <v>0</v>
      </c>
      <c r="M153" s="9">
        <f>IFERROR(SUMIFS(Tabla9[CANTIDAD2],Tabla9[BUSQUEDA],Tabla3[[#This Row],[BUSQUEDA]],Tabla9[CODIGO],Tabla3[[#This Row],[CODIGO]],Tabla9[ORDEN No.],Tabla3[[#This Row],[ORDEN de COMPRA]]),0)</f>
        <v>0</v>
      </c>
      <c r="N153" s="27">
        <f>IFERROR(IF(BD_DETALLE!B153&gt;0,VLOOKUP(BD_DETALLE!B153,Tabla9[],10,0),""),"")</f>
        <v>0</v>
      </c>
      <c r="O153" s="28">
        <f>IFERROR(VLOOKUP(BD_DETALLE!B153,Tabla9[],11,0),0)</f>
        <v>0</v>
      </c>
      <c r="P153" s="26">
        <f>IFERROR(SUMIFS(Tabla9[CANTIDAD3],Tabla9[BUSQUEDA],Tabla3[[#This Row],[BUSQUEDA]],Tabla9[CODIGO],Tabla3[[#This Row],[CODIGO]]),0)</f>
        <v>0</v>
      </c>
      <c r="Q153" s="25">
        <f>IF(BD_DETALLE!P153&lt;=0,0,IF(BD_DETALLE!P153=BD_DETALLE!H153,2,1))</f>
        <v>0</v>
      </c>
      <c r="R153" s="41">
        <f ca="1">IF(BD_DETALLE!$C153&gt;0,(IF(BD_DETALLE!$N153=0,TODAY()-BD_DETALLE!$C153,BD_DETALLE!$N153-BD_DETALLE!$C153)),"")</f>
        <v>89</v>
      </c>
    </row>
    <row r="154" spans="2:18" x14ac:dyDescent="0.25">
      <c r="B154" s="118" t="str">
        <f t="shared" si="18"/>
        <v>2101-169-300552</v>
      </c>
      <c r="C154" s="119">
        <v>44216</v>
      </c>
      <c r="D154" s="120" t="str">
        <f>IF(BD_DETALLE!$E154&gt;=1,CONCATENATE(TEXT(BD_DETALLE!$C154,"YY"),TEXT(BD_DETALLE!$C154,"MM"),"-",BD_DETALLE!$E154),"")</f>
        <v>2101-169</v>
      </c>
      <c r="E154" s="121">
        <v>169</v>
      </c>
      <c r="F154" s="122">
        <v>300552</v>
      </c>
      <c r="G154" s="123" t="str">
        <f>IFERROR(VLOOKUP(BD_DETALLE!$B154,Tabla9[],6,0),"")</f>
        <v>MERGOLLAR GRAFITADO DE 1/2"</v>
      </c>
      <c r="H154" s="124">
        <f>IFERROR(VLOOKUP(BD_DETALLE!$B154,Tabla9[],4,0),0)</f>
        <v>5</v>
      </c>
      <c r="I154" s="125" t="s">
        <v>15</v>
      </c>
      <c r="J154" s="126" t="s">
        <v>385</v>
      </c>
      <c r="K154" s="10">
        <f>IFERROR(VLOOKUP(BD_DETALLE!B154,Tabla9[],7,0),"")</f>
        <v>0</v>
      </c>
      <c r="L154" s="11">
        <f>IFERROR(VLOOKUP(BD_DETALLE!B154,Tabla9[],8,0),"")</f>
        <v>0</v>
      </c>
      <c r="M154" s="9">
        <f>IFERROR(SUMIFS(Tabla9[CANTIDAD2],Tabla9[BUSQUEDA],Tabla3[[#This Row],[BUSQUEDA]],Tabla9[CODIGO],Tabla3[[#This Row],[CODIGO]],Tabla9[ORDEN No.],Tabla3[[#This Row],[ORDEN de COMPRA]]),0)</f>
        <v>0</v>
      </c>
      <c r="N154" s="27">
        <f>IFERROR(IF(BD_DETALLE!B154&gt;0,VLOOKUP(BD_DETALLE!B154,Tabla9[],10,0),""),"")</f>
        <v>0</v>
      </c>
      <c r="O154" s="28">
        <f>IFERROR(VLOOKUP(BD_DETALLE!B154,Tabla9[],11,0),0)</f>
        <v>0</v>
      </c>
      <c r="P154" s="26">
        <f>IFERROR(SUMIFS(Tabla9[CANTIDAD3],Tabla9[BUSQUEDA],Tabla3[[#This Row],[BUSQUEDA]],Tabla9[CODIGO],Tabla3[[#This Row],[CODIGO]]),0)</f>
        <v>0</v>
      </c>
      <c r="Q154" s="25">
        <f>IF(BD_DETALLE!P154&lt;=0,0,IF(BD_DETALLE!P154=BD_DETALLE!H154,2,1))</f>
        <v>0</v>
      </c>
      <c r="R154" s="41">
        <f ca="1">IF(BD_DETALLE!$C154&gt;0,(IF(BD_DETALLE!$N154=0,TODAY()-BD_DETALLE!$C154,BD_DETALLE!$N154-BD_DETALLE!$C154)),"")</f>
        <v>89</v>
      </c>
    </row>
    <row r="155" spans="2:18" x14ac:dyDescent="0.25">
      <c r="B155" s="118" t="str">
        <f t="shared" si="18"/>
        <v>2101-170-106735</v>
      </c>
      <c r="C155" s="119">
        <v>44216</v>
      </c>
      <c r="D155" s="120" t="str">
        <f>IF(BD_DETALLE!$E155&gt;=1,CONCATENATE(TEXT(BD_DETALLE!$C155,"YY"),TEXT(BD_DETALLE!$C155,"MM"),"-",BD_DETALLE!$E155),"")</f>
        <v>2101-170</v>
      </c>
      <c r="E155" s="121">
        <v>170</v>
      </c>
      <c r="F155" s="122">
        <v>106735</v>
      </c>
      <c r="G155" s="123" t="str">
        <f>IFERROR(VLOOKUP(BD_DETALLE!$B155,Tabla9[],6,0),"")</f>
        <v>CEMENTO AISLANTE BEBLOMIX (25 KILOS)</v>
      </c>
      <c r="H155" s="124">
        <f>IFERROR(VLOOKUP(BD_DETALLE!$B155,Tabla9[],4,0),0)</f>
        <v>4</v>
      </c>
      <c r="I155" s="125" t="s">
        <v>12</v>
      </c>
      <c r="J155" s="126" t="s">
        <v>1466</v>
      </c>
      <c r="K155" s="10">
        <f>IFERROR(VLOOKUP(BD_DETALLE!B155,Tabla9[],7,0),"")</f>
        <v>0</v>
      </c>
      <c r="L155" s="11">
        <f>IFERROR(VLOOKUP(BD_DETALLE!B155,Tabla9[],8,0),"")</f>
        <v>0</v>
      </c>
      <c r="M155" s="9">
        <f>IFERROR(SUMIFS(Tabla9[CANTIDAD2],Tabla9[BUSQUEDA],Tabla3[[#This Row],[BUSQUEDA]],Tabla9[CODIGO],Tabla3[[#This Row],[CODIGO]],Tabla9[ORDEN No.],Tabla3[[#This Row],[ORDEN de COMPRA]]),0)</f>
        <v>0</v>
      </c>
      <c r="N155" s="27">
        <f>IFERROR(IF(BD_DETALLE!B155&gt;0,VLOOKUP(BD_DETALLE!B155,Tabla9[],10,0),""),"")</f>
        <v>0</v>
      </c>
      <c r="O155" s="28">
        <f>IFERROR(VLOOKUP(BD_DETALLE!B155,Tabla9[],11,0),0)</f>
        <v>0</v>
      </c>
      <c r="P155" s="26">
        <f>IFERROR(SUMIFS(Tabla9[CANTIDAD3],Tabla9[BUSQUEDA],Tabla3[[#This Row],[BUSQUEDA]],Tabla9[CODIGO],Tabla3[[#This Row],[CODIGO]]),0)</f>
        <v>0</v>
      </c>
      <c r="Q155" s="25">
        <f>IF(BD_DETALLE!P155&lt;=0,0,IF(BD_DETALLE!P155=BD_DETALLE!H155,2,1))</f>
        <v>0</v>
      </c>
      <c r="R155" s="41">
        <f ca="1">IF(BD_DETALLE!$C155&gt;0,(IF(BD_DETALLE!$N155=0,TODAY()-BD_DETALLE!$C155,BD_DETALLE!$N155-BD_DETALLE!$C155)),"")</f>
        <v>89</v>
      </c>
    </row>
    <row r="156" spans="2:18" x14ac:dyDescent="0.25">
      <c r="B156" s="118" t="str">
        <f t="shared" si="18"/>
        <v>2101-170-105945</v>
      </c>
      <c r="C156" s="119">
        <v>44216</v>
      </c>
      <c r="D156" s="120" t="str">
        <f>IF(BD_DETALLE!$E156&gt;=1,CONCATENATE(TEXT(BD_DETALLE!$C156,"YY"),TEXT(BD_DETALLE!$C156,"MM"),"-",BD_DETALLE!$E156),"")</f>
        <v>2101-170</v>
      </c>
      <c r="E156" s="121">
        <v>170</v>
      </c>
      <c r="F156" s="122">
        <v>105945</v>
      </c>
      <c r="G156" s="123" t="str">
        <f>IFERROR(VLOOKUP(BD_DETALLE!$B156,Tabla9[],6,0),"")</f>
        <v>CEMENTO REFRACTARIO KS-4 (25KL)</v>
      </c>
      <c r="H156" s="124">
        <f>IFERROR(VLOOKUP(BD_DETALLE!$B156,Tabla9[],4,0),0)</f>
        <v>6</v>
      </c>
      <c r="I156" s="125" t="s">
        <v>12</v>
      </c>
      <c r="J156" s="126" t="s">
        <v>1466</v>
      </c>
      <c r="K156" s="10">
        <f>IFERROR(VLOOKUP(BD_DETALLE!B156,Tabla9[],7,0),"")</f>
        <v>0</v>
      </c>
      <c r="L156" s="11">
        <f>IFERROR(VLOOKUP(BD_DETALLE!B156,Tabla9[],8,0),"")</f>
        <v>0</v>
      </c>
      <c r="M156" s="9">
        <f>IFERROR(SUMIFS(Tabla9[CANTIDAD2],Tabla9[BUSQUEDA],Tabla3[[#This Row],[BUSQUEDA]],Tabla9[CODIGO],Tabla3[[#This Row],[CODIGO]],Tabla9[ORDEN No.],Tabla3[[#This Row],[ORDEN de COMPRA]]),0)</f>
        <v>0</v>
      </c>
      <c r="N156" s="27">
        <f>IFERROR(IF(BD_DETALLE!B156&gt;0,VLOOKUP(BD_DETALLE!B156,Tabla9[],10,0),""),"")</f>
        <v>0</v>
      </c>
      <c r="O156" s="28">
        <f>IFERROR(VLOOKUP(BD_DETALLE!B156,Tabla9[],11,0),0)</f>
        <v>0</v>
      </c>
      <c r="P156" s="26">
        <f>IFERROR(SUMIFS(Tabla9[CANTIDAD3],Tabla9[BUSQUEDA],Tabla3[[#This Row],[BUSQUEDA]],Tabla9[CODIGO],Tabla3[[#This Row],[CODIGO]]),0)</f>
        <v>0</v>
      </c>
      <c r="Q156" s="25">
        <f>IF(BD_DETALLE!P156&lt;=0,0,IF(BD_DETALLE!P156=BD_DETALLE!H156,2,1))</f>
        <v>0</v>
      </c>
      <c r="R156" s="41">
        <f ca="1">IF(BD_DETALLE!$C156&gt;0,(IF(BD_DETALLE!$N156=0,TODAY()-BD_DETALLE!$C156,BD_DETALLE!$N156-BD_DETALLE!$C156)),"")</f>
        <v>89</v>
      </c>
    </row>
    <row r="157" spans="2:18" x14ac:dyDescent="0.25">
      <c r="B157" s="118" t="str">
        <f t="shared" si="18"/>
        <v>2101-170-309793</v>
      </c>
      <c r="C157" s="119">
        <v>44216</v>
      </c>
      <c r="D157" s="120" t="str">
        <f>IF(BD_DETALLE!$E157&gt;=1,CONCATENATE(TEXT(BD_DETALLE!$C157,"YY"),TEXT(BD_DETALLE!$C157,"MM"),"-",BD_DETALLE!$E157),"")</f>
        <v>2101-170</v>
      </c>
      <c r="E157" s="121">
        <v>170</v>
      </c>
      <c r="F157" s="122">
        <v>309793</v>
      </c>
      <c r="G157" s="123" t="str">
        <f>IFERROR(VLOOKUP(BD_DETALLE!$B157,Tabla9[],6,0),"")</f>
        <v>SUPER HYBOND 80 ALTA ALUMINA 80.5%(CAJA DE 55 LBRS)</v>
      </c>
      <c r="H157" s="124">
        <f>IFERROR(VLOOKUP(BD_DETALLE!$B157,Tabla9[],4,0),0)</f>
        <v>6</v>
      </c>
      <c r="I157" s="125" t="s">
        <v>12</v>
      </c>
      <c r="J157" s="126" t="s">
        <v>1466</v>
      </c>
      <c r="K157" s="10">
        <f>IFERROR(VLOOKUP(BD_DETALLE!B157,Tabla9[],7,0),"")</f>
        <v>0</v>
      </c>
      <c r="L157" s="11">
        <f>IFERROR(VLOOKUP(BD_DETALLE!B157,Tabla9[],8,0),"")</f>
        <v>0</v>
      </c>
      <c r="M157" s="9">
        <f>IFERROR(SUMIFS(Tabla9[CANTIDAD2],Tabla9[BUSQUEDA],Tabla3[[#This Row],[BUSQUEDA]],Tabla9[CODIGO],Tabla3[[#This Row],[CODIGO]],Tabla9[ORDEN No.],Tabla3[[#This Row],[ORDEN de COMPRA]]),0)</f>
        <v>0</v>
      </c>
      <c r="N157" s="27">
        <f>IFERROR(IF(BD_DETALLE!B157&gt;0,VLOOKUP(BD_DETALLE!B157,Tabla9[],10,0),""),"")</f>
        <v>0</v>
      </c>
      <c r="O157" s="28">
        <f>IFERROR(VLOOKUP(BD_DETALLE!B157,Tabla9[],11,0),0)</f>
        <v>0</v>
      </c>
      <c r="P157" s="26">
        <f>IFERROR(SUMIFS(Tabla9[CANTIDAD3],Tabla9[BUSQUEDA],Tabla3[[#This Row],[BUSQUEDA]],Tabla9[CODIGO],Tabla3[[#This Row],[CODIGO]]),0)</f>
        <v>0</v>
      </c>
      <c r="Q157" s="25">
        <f>IF(BD_DETALLE!P157&lt;=0,0,IF(BD_DETALLE!P157=BD_DETALLE!H157,2,1))</f>
        <v>0</v>
      </c>
      <c r="R157" s="41">
        <f ca="1">IF(BD_DETALLE!$C157&gt;0,(IF(BD_DETALLE!$N157=0,TODAY()-BD_DETALLE!$C157,BD_DETALLE!$N157-BD_DETALLE!$C157)),"")</f>
        <v>89</v>
      </c>
    </row>
    <row r="158" spans="2:18" x14ac:dyDescent="0.25">
      <c r="B158" s="118" t="str">
        <f t="shared" si="18"/>
        <v>2101-170-309682</v>
      </c>
      <c r="C158" s="119">
        <v>44216</v>
      </c>
      <c r="D158" s="120" t="str">
        <f>IF(BD_DETALLE!$E158&gt;=1,CONCATENATE(TEXT(BD_DETALLE!$C158,"YY"),TEXT(BD_DETALLE!$C158,"MM"),"-",BD_DETALLE!$E158),"")</f>
        <v>2101-170</v>
      </c>
      <c r="E158" s="121">
        <v>170</v>
      </c>
      <c r="F158" s="122">
        <v>309682</v>
      </c>
      <c r="G158" s="123" t="str">
        <f>IFERROR(VLOOKUP(BD_DETALLE!$B158,Tabla9[],6,0),"")</f>
        <v>CONCRETO REFRACTARIO SAIRSET(TACHO DE 55LBRS)</v>
      </c>
      <c r="H158" s="124">
        <f>IFERROR(VLOOKUP(BD_DETALLE!$B158,Tabla9[],4,0),0)</f>
        <v>4</v>
      </c>
      <c r="I158" s="125" t="s">
        <v>12</v>
      </c>
      <c r="J158" s="126" t="s">
        <v>1466</v>
      </c>
      <c r="K158" s="10">
        <f>IFERROR(VLOOKUP(BD_DETALLE!B158,Tabla9[],7,0),"")</f>
        <v>0</v>
      </c>
      <c r="L158" s="11">
        <f>IFERROR(VLOOKUP(BD_DETALLE!B158,Tabla9[],8,0),"")</f>
        <v>0</v>
      </c>
      <c r="M158" s="9">
        <f>IFERROR(SUMIFS(Tabla9[CANTIDAD2],Tabla9[BUSQUEDA],Tabla3[[#This Row],[BUSQUEDA]],Tabla9[CODIGO],Tabla3[[#This Row],[CODIGO]],Tabla9[ORDEN No.],Tabla3[[#This Row],[ORDEN de COMPRA]]),0)</f>
        <v>0</v>
      </c>
      <c r="N158" s="27">
        <f>IFERROR(IF(BD_DETALLE!B158&gt;0,VLOOKUP(BD_DETALLE!B158,Tabla9[],10,0),""),"")</f>
        <v>0</v>
      </c>
      <c r="O158" s="28">
        <f>IFERROR(VLOOKUP(BD_DETALLE!B158,Tabla9[],11,0),0)</f>
        <v>0</v>
      </c>
      <c r="P158" s="26">
        <f>IFERROR(SUMIFS(Tabla9[CANTIDAD3],Tabla9[BUSQUEDA],Tabla3[[#This Row],[BUSQUEDA]],Tabla9[CODIGO],Tabla3[[#This Row],[CODIGO]]),0)</f>
        <v>0</v>
      </c>
      <c r="Q158" s="25">
        <f>IF(BD_DETALLE!P158&lt;=0,0,IF(BD_DETALLE!P158=BD_DETALLE!H158,2,1))</f>
        <v>0</v>
      </c>
      <c r="R158" s="41">
        <f ca="1">IF(BD_DETALLE!$C158&gt;0,(IF(BD_DETALLE!$N158=0,TODAY()-BD_DETALLE!$C158,BD_DETALLE!$N158-BD_DETALLE!$C158)),"")</f>
        <v>89</v>
      </c>
    </row>
    <row r="159" spans="2:18" x14ac:dyDescent="0.25">
      <c r="B159" s="118" t="str">
        <f t="shared" si="18"/>
        <v>2101-170-309858</v>
      </c>
      <c r="C159" s="119">
        <v>44216</v>
      </c>
      <c r="D159" s="120" t="str">
        <f>IF(BD_DETALLE!$E159&gt;=1,CONCATENATE(TEXT(BD_DETALLE!$C159,"YY"),TEXT(BD_DETALLE!$C159,"MM"),"-",BD_DETALLE!$E159),"")</f>
        <v>2101-170</v>
      </c>
      <c r="E159" s="121">
        <v>170</v>
      </c>
      <c r="F159" s="122">
        <v>309858</v>
      </c>
      <c r="G159" s="123" t="str">
        <f>IFERROR(VLOOKUP(BD_DETALLE!$B159,Tabla9[],6,0),"")</f>
        <v>VALVULA DE PURGA DE 1/2" ROSCABLE</v>
      </c>
      <c r="H159" s="124">
        <f>IFERROR(VLOOKUP(BD_DETALLE!$B159,Tabla9[],4,0),0)</f>
        <v>3</v>
      </c>
      <c r="I159" s="125" t="s">
        <v>12</v>
      </c>
      <c r="J159" s="126" t="s">
        <v>1466</v>
      </c>
      <c r="K159" s="10">
        <f>IFERROR(VLOOKUP(BD_DETALLE!B159,Tabla9[],7,0),"")</f>
        <v>0</v>
      </c>
      <c r="L159" s="11">
        <f>IFERROR(VLOOKUP(BD_DETALLE!B159,Tabla9[],8,0),"")</f>
        <v>0</v>
      </c>
      <c r="M159" s="9">
        <f>IFERROR(SUMIFS(Tabla9[CANTIDAD2],Tabla9[BUSQUEDA],Tabla3[[#This Row],[BUSQUEDA]],Tabla9[CODIGO],Tabla3[[#This Row],[CODIGO]],Tabla9[ORDEN No.],Tabla3[[#This Row],[ORDEN de COMPRA]]),0)</f>
        <v>0</v>
      </c>
      <c r="N159" s="27">
        <f>IFERROR(IF(BD_DETALLE!B159&gt;0,VLOOKUP(BD_DETALLE!B159,Tabla9[],10,0),""),"")</f>
        <v>0</v>
      </c>
      <c r="O159" s="28">
        <f>IFERROR(VLOOKUP(BD_DETALLE!B159,Tabla9[],11,0),0)</f>
        <v>0</v>
      </c>
      <c r="P159" s="26">
        <f>IFERROR(SUMIFS(Tabla9[CANTIDAD3],Tabla9[BUSQUEDA],Tabla3[[#This Row],[BUSQUEDA]],Tabla9[CODIGO],Tabla3[[#This Row],[CODIGO]]),0)</f>
        <v>0</v>
      </c>
      <c r="Q159" s="25">
        <f>IF(BD_DETALLE!P159&lt;=0,0,IF(BD_DETALLE!P159=BD_DETALLE!H159,2,1))</f>
        <v>0</v>
      </c>
      <c r="R159" s="41">
        <f ca="1">IF(BD_DETALLE!$C159&gt;0,(IF(BD_DETALLE!$N159=0,TODAY()-BD_DETALLE!$C159,BD_DETALLE!$N159-BD_DETALLE!$C159)),"")</f>
        <v>89</v>
      </c>
    </row>
    <row r="160" spans="2:18" x14ac:dyDescent="0.25">
      <c r="B160" s="118" t="str">
        <f t="shared" si="18"/>
        <v>2101-173-316610</v>
      </c>
      <c r="C160" s="119">
        <v>44216</v>
      </c>
      <c r="D160" s="120" t="str">
        <f>IF(BD_DETALLE!$E160&gt;=1,CONCATENATE(TEXT(BD_DETALLE!$C160,"YY"),TEXT(BD_DETALLE!$C160,"MM"),"-",BD_DETALLE!$E160),"")</f>
        <v>2101-173</v>
      </c>
      <c r="E160" s="121">
        <v>173</v>
      </c>
      <c r="F160" s="122">
        <v>316610</v>
      </c>
      <c r="G160" s="123" t="str">
        <f>IFERROR(VLOOKUP(BD_DETALLE!$B160,Tabla9[],6,0),"")</f>
        <v>MAQ. SOLDAR PLASMA MOD. PAK10 - 220/440V</v>
      </c>
      <c r="H160" s="124">
        <f>IFERROR(VLOOKUP(BD_DETALLE!$B160,Tabla9[],4,0),0)</f>
        <v>1</v>
      </c>
      <c r="I160" s="125" t="s">
        <v>12</v>
      </c>
      <c r="J160" s="126" t="s">
        <v>1467</v>
      </c>
      <c r="K160" s="10">
        <f>IFERROR(VLOOKUP(BD_DETALLE!B160,Tabla9[],7,0),"")</f>
        <v>0</v>
      </c>
      <c r="L160" s="11">
        <f>IFERROR(VLOOKUP(BD_DETALLE!B160,Tabla9[],8,0),"")</f>
        <v>0</v>
      </c>
      <c r="M160" s="9">
        <f>IFERROR(SUMIFS(Tabla9[CANTIDAD2],Tabla9[BUSQUEDA],Tabla3[[#This Row],[BUSQUEDA]],Tabla9[CODIGO],Tabla3[[#This Row],[CODIGO]],Tabla9[ORDEN No.],Tabla3[[#This Row],[ORDEN de COMPRA]]),0)</f>
        <v>0</v>
      </c>
      <c r="N160" s="27">
        <f>IFERROR(IF(BD_DETALLE!B160&gt;0,VLOOKUP(BD_DETALLE!B160,Tabla9[],10,0),""),"")</f>
        <v>0</v>
      </c>
      <c r="O160" s="28">
        <f>IFERROR(VLOOKUP(BD_DETALLE!B160,Tabla9[],11,0),0)</f>
        <v>0</v>
      </c>
      <c r="P160" s="26">
        <f>IFERROR(SUMIFS(Tabla9[CANTIDAD3],Tabla9[BUSQUEDA],Tabla3[[#This Row],[BUSQUEDA]],Tabla9[CODIGO],Tabla3[[#This Row],[CODIGO]]),0)</f>
        <v>0</v>
      </c>
      <c r="Q160" s="25">
        <f>IF(BD_DETALLE!P160&lt;=0,0,IF(BD_DETALLE!P160=BD_DETALLE!H160,2,1))</f>
        <v>0</v>
      </c>
      <c r="R160" s="41">
        <f ca="1">IF(BD_DETALLE!$C160&gt;0,(IF(BD_DETALLE!$N160=0,TODAY()-BD_DETALLE!$C160,BD_DETALLE!$N160-BD_DETALLE!$C160)),"")</f>
        <v>89</v>
      </c>
    </row>
    <row r="161" spans="2:18" x14ac:dyDescent="0.25">
      <c r="B161" s="118" t="str">
        <f t="shared" ref="B161" si="19">IFERROR(TEXT(C161,"yy") &amp; TEXT(C161,"mm") &amp;"-"&amp;(E161) &amp;"-"&amp;(F161),"")</f>
        <v>2101-187-300796</v>
      </c>
      <c r="C161" s="119">
        <v>44217</v>
      </c>
      <c r="D161" s="120" t="str">
        <f>IF(BD_DETALLE!$E161&gt;=1,CONCATENATE(TEXT(BD_DETALLE!$C161,"YY"),TEXT(BD_DETALLE!$C161,"MM"),"-",BD_DETALLE!$E161),"")</f>
        <v>2101-187</v>
      </c>
      <c r="E161" s="121">
        <v>187</v>
      </c>
      <c r="F161" s="122">
        <v>300796</v>
      </c>
      <c r="G161" s="123" t="str">
        <f>IFERROR(VLOOKUP(BD_DETALLE!$B161,Tabla9[],6,0),"")</f>
        <v>LOCTITE 609</v>
      </c>
      <c r="H161" s="124">
        <f>IFERROR(VLOOKUP(BD_DETALLE!$B161,Tabla9[],4,0),0)</f>
        <v>5</v>
      </c>
      <c r="I161" s="125" t="s">
        <v>15</v>
      </c>
      <c r="J161" s="126" t="s">
        <v>385</v>
      </c>
      <c r="K161" s="10">
        <f>IFERROR(VLOOKUP(BD_DETALLE!B161,Tabla9[],7,0),"")</f>
        <v>0</v>
      </c>
      <c r="L161" s="11">
        <f>IFERROR(VLOOKUP(BD_DETALLE!B161,Tabla9[],8,0),"")</f>
        <v>0</v>
      </c>
      <c r="M161" s="9">
        <f>IFERROR(SUMIFS(Tabla9[CANTIDAD2],Tabla9[BUSQUEDA],Tabla3[[#This Row],[BUSQUEDA]],Tabla9[CODIGO],Tabla3[[#This Row],[CODIGO]],Tabla9[ORDEN No.],Tabla3[[#This Row],[ORDEN de COMPRA]]),0)</f>
        <v>0</v>
      </c>
      <c r="N161" s="27">
        <f>IFERROR(IF(BD_DETALLE!B161&gt;0,VLOOKUP(BD_DETALLE!B161,Tabla9[],10,0),""),"")</f>
        <v>0</v>
      </c>
      <c r="O161" s="28">
        <f>IFERROR(VLOOKUP(BD_DETALLE!B161,Tabla9[],11,0),0)</f>
        <v>0</v>
      </c>
      <c r="P161" s="26">
        <f>IFERROR(SUMIFS(Tabla9[CANTIDAD3],Tabla9[BUSQUEDA],Tabla3[[#This Row],[BUSQUEDA]],Tabla9[CODIGO],Tabla3[[#This Row],[CODIGO]]),0)</f>
        <v>0</v>
      </c>
      <c r="Q161" s="25">
        <f>IF(BD_DETALLE!P161&lt;=0,0,IF(BD_DETALLE!P161=BD_DETALLE!H161,2,1))</f>
        <v>0</v>
      </c>
      <c r="R161" s="41">
        <f ca="1">IF(BD_DETALLE!$C161&gt;0,(IF(BD_DETALLE!$N161=0,TODAY()-BD_DETALLE!$C161,BD_DETALLE!$N161-BD_DETALLE!$C161)),"")</f>
        <v>88</v>
      </c>
    </row>
    <row r="162" spans="2:18" x14ac:dyDescent="0.25">
      <c r="B162" s="15" t="str">
        <f t="shared" ref="B162:B169" si="20">IFERROR(TEXT(C162,"yy") &amp; TEXT(C162,"mm") &amp;"-"&amp;(E162) &amp;"-"&amp;(F162),"")</f>
        <v>2101-203-318200</v>
      </c>
      <c r="C162" s="7">
        <v>44222</v>
      </c>
      <c r="D162" s="5" t="str">
        <f>IF(BD_DETALLE!$E162&gt;=1,CONCATENATE(TEXT(BD_DETALLE!$C162,"YY"),TEXT(BD_DETALLE!$C162,"MM"),"-",BD_DETALLE!$E162),"")</f>
        <v>2101-203</v>
      </c>
      <c r="E162" s="12">
        <v>203</v>
      </c>
      <c r="F162" s="21">
        <v>318200</v>
      </c>
      <c r="G162" s="4" t="str">
        <f>IFERROR(VLOOKUP(BD_DETALLE!$B162,Tabla9[],6,0),"")</f>
        <v>EMPAQUE VITON P/FERRULE DE 3"</v>
      </c>
      <c r="H162" s="6">
        <f>IFERROR(VLOOKUP(BD_DETALLE!$B162,Tabla9[],4,0),0)</f>
        <v>10</v>
      </c>
      <c r="I162" s="19" t="s">
        <v>12</v>
      </c>
      <c r="J162" s="20" t="s">
        <v>1504</v>
      </c>
      <c r="K162" s="10">
        <f>IFERROR(VLOOKUP(BD_DETALLE!B162,Tabla9[],7,0),"")</f>
        <v>0</v>
      </c>
      <c r="L162" s="11">
        <f>IFERROR(VLOOKUP(BD_DETALLE!B162,Tabla9[],8,0),"")</f>
        <v>0</v>
      </c>
      <c r="M162" s="9">
        <f>IFERROR(SUMIFS(Tabla9[CANTIDAD2],Tabla9[BUSQUEDA],Tabla3[[#This Row],[BUSQUEDA]],Tabla9[CODIGO],Tabla3[[#This Row],[CODIGO]],Tabla9[ORDEN No.],Tabla3[[#This Row],[ORDEN de COMPRA]]),0)</f>
        <v>0</v>
      </c>
      <c r="N162" s="27">
        <f>IFERROR(IF(BD_DETALLE!B162&gt;0,VLOOKUP(BD_DETALLE!B162,Tabla9[],10,0),""),"")</f>
        <v>0</v>
      </c>
      <c r="O162" s="28">
        <f>IFERROR(VLOOKUP(BD_DETALLE!B162,Tabla9[],11,0),0)</f>
        <v>0</v>
      </c>
      <c r="P162" s="26">
        <f>IFERROR(SUMIFS(Tabla9[CANTIDAD3],Tabla9[BUSQUEDA],Tabla3[[#This Row],[BUSQUEDA]],Tabla9[CODIGO],Tabla3[[#This Row],[CODIGO]]),0)</f>
        <v>0</v>
      </c>
      <c r="Q162" s="25">
        <f>IF(BD_DETALLE!P162&lt;=0,0,IF(BD_DETALLE!P162=BD_DETALLE!H162,2,1))</f>
        <v>0</v>
      </c>
      <c r="R162" s="41">
        <f ca="1">IF(BD_DETALLE!$C162&gt;0,(IF(BD_DETALLE!$N162=0,TODAY()-BD_DETALLE!$C162,BD_DETALLE!$N162-BD_DETALLE!$C162)),"")</f>
        <v>83</v>
      </c>
    </row>
    <row r="163" spans="2:18" x14ac:dyDescent="0.25">
      <c r="B163" s="15" t="str">
        <f t="shared" si="20"/>
        <v>2101-203-205957</v>
      </c>
      <c r="C163" s="7">
        <v>44222</v>
      </c>
      <c r="D163" s="5" t="str">
        <f>IF(BD_DETALLE!$E163&gt;=1,CONCATENATE(TEXT(BD_DETALLE!$C163,"YY"),TEXT(BD_DETALLE!$C163,"MM"),"-",BD_DETALLE!$E163),"")</f>
        <v>2101-203</v>
      </c>
      <c r="E163" s="12">
        <v>203</v>
      </c>
      <c r="F163" s="21">
        <v>205957</v>
      </c>
      <c r="G163" s="4" t="str">
        <f>IFERROR(VLOOKUP(BD_DETALLE!$B163,Tabla9[],6,0),"")</f>
        <v>BRIDA A/INOX DE 3"</v>
      </c>
      <c r="H163" s="6">
        <f>IFERROR(VLOOKUP(BD_DETALLE!$B163,Tabla9[],4,0),0)</f>
        <v>12</v>
      </c>
      <c r="I163" s="19" t="s">
        <v>12</v>
      </c>
      <c r="J163" s="20" t="s">
        <v>1504</v>
      </c>
      <c r="K163" s="10">
        <f>IFERROR(VLOOKUP(BD_DETALLE!B163,Tabla9[],7,0),"")</f>
        <v>0</v>
      </c>
      <c r="L163" s="11">
        <f>IFERROR(VLOOKUP(BD_DETALLE!B163,Tabla9[],8,0),"")</f>
        <v>0</v>
      </c>
      <c r="M163" s="9">
        <f>IFERROR(SUMIFS(Tabla9[CANTIDAD2],Tabla9[BUSQUEDA],Tabla3[[#This Row],[BUSQUEDA]],Tabla9[CODIGO],Tabla3[[#This Row],[CODIGO]],Tabla9[ORDEN No.],Tabla3[[#This Row],[ORDEN de COMPRA]]),0)</f>
        <v>0</v>
      </c>
      <c r="N163" s="27">
        <f>IFERROR(IF(BD_DETALLE!B163&gt;0,VLOOKUP(BD_DETALLE!B163,Tabla9[],10,0),""),"")</f>
        <v>0</v>
      </c>
      <c r="O163" s="28">
        <f>IFERROR(VLOOKUP(BD_DETALLE!B163,Tabla9[],11,0),0)</f>
        <v>0</v>
      </c>
      <c r="P163" s="26">
        <f>IFERROR(SUMIFS(Tabla9[CANTIDAD3],Tabla9[BUSQUEDA],Tabla3[[#This Row],[BUSQUEDA]],Tabla9[CODIGO],Tabla3[[#This Row],[CODIGO]]),0)</f>
        <v>0</v>
      </c>
      <c r="Q163" s="25">
        <f>IF(BD_DETALLE!P163&lt;=0,0,IF(BD_DETALLE!P163=BD_DETALLE!H163,2,1))</f>
        <v>0</v>
      </c>
      <c r="R163" s="41">
        <f ca="1">IF(BD_DETALLE!$C163&gt;0,(IF(BD_DETALLE!$N163=0,TODAY()-BD_DETALLE!$C163,BD_DETALLE!$N163-BD_DETALLE!$C163)),"")</f>
        <v>83</v>
      </c>
    </row>
    <row r="164" spans="2:18" x14ac:dyDescent="0.25">
      <c r="B164" s="15" t="str">
        <f t="shared" si="20"/>
        <v>2101-203-300331</v>
      </c>
      <c r="C164" s="7">
        <v>44222</v>
      </c>
      <c r="D164" s="5" t="str">
        <f>IF(BD_DETALLE!$E164&gt;=1,CONCATENATE(TEXT(BD_DETALLE!$C164,"YY"),TEXT(BD_DETALLE!$C164,"MM"),"-",BD_DETALLE!$E164),"")</f>
        <v>2101-203</v>
      </c>
      <c r="E164" s="12">
        <v>203</v>
      </c>
      <c r="F164" s="21">
        <v>300331</v>
      </c>
      <c r="G164" s="4" t="str">
        <f>IFERROR(VLOOKUP(BD_DETALLE!$B164,Tabla9[],6,0),"")</f>
        <v>BRIDA A/INOX DE 2"</v>
      </c>
      <c r="H164" s="6">
        <f>IFERROR(VLOOKUP(BD_DETALLE!$B164,Tabla9[],4,0),0)</f>
        <v>12</v>
      </c>
      <c r="I164" s="19" t="s">
        <v>12</v>
      </c>
      <c r="J164" s="20" t="s">
        <v>1504</v>
      </c>
      <c r="K164" s="10">
        <f>IFERROR(VLOOKUP(BD_DETALLE!B164,Tabla9[],7,0),"")</f>
        <v>0</v>
      </c>
      <c r="L164" s="11">
        <f>IFERROR(VLOOKUP(BD_DETALLE!B164,Tabla9[],8,0),"")</f>
        <v>0</v>
      </c>
      <c r="M164" s="9">
        <f>IFERROR(SUMIFS(Tabla9[CANTIDAD2],Tabla9[BUSQUEDA],Tabla3[[#This Row],[BUSQUEDA]],Tabla9[CODIGO],Tabla3[[#This Row],[CODIGO]],Tabla9[ORDEN No.],Tabla3[[#This Row],[ORDEN de COMPRA]]),0)</f>
        <v>0</v>
      </c>
      <c r="N164" s="27">
        <f>IFERROR(IF(BD_DETALLE!B164&gt;0,VLOOKUP(BD_DETALLE!B164,Tabla9[],10,0),""),"")</f>
        <v>0</v>
      </c>
      <c r="O164" s="28">
        <f>IFERROR(VLOOKUP(BD_DETALLE!B164,Tabla9[],11,0),0)</f>
        <v>0</v>
      </c>
      <c r="P164" s="26">
        <f>IFERROR(SUMIFS(Tabla9[CANTIDAD3],Tabla9[BUSQUEDA],Tabla3[[#This Row],[BUSQUEDA]],Tabla9[CODIGO],Tabla3[[#This Row],[CODIGO]]),0)</f>
        <v>0</v>
      </c>
      <c r="Q164" s="25">
        <f>IF(BD_DETALLE!P164&lt;=0,0,IF(BD_DETALLE!P164=BD_DETALLE!H164,2,1))</f>
        <v>0</v>
      </c>
      <c r="R164" s="41">
        <f ca="1">IF(BD_DETALLE!$C164&gt;0,(IF(BD_DETALLE!$N164=0,TODAY()-BD_DETALLE!$C164,BD_DETALLE!$N164-BD_DETALLE!$C164)),"")</f>
        <v>83</v>
      </c>
    </row>
    <row r="165" spans="2:18" x14ac:dyDescent="0.25">
      <c r="B165" s="15" t="str">
        <f t="shared" si="20"/>
        <v>2101-203-320702</v>
      </c>
      <c r="C165" s="7">
        <v>44222</v>
      </c>
      <c r="D165" s="5" t="str">
        <f>IF(BD_DETALLE!$E165&gt;=1,CONCATENATE(TEXT(BD_DETALLE!$C165,"YY"),TEXT(BD_DETALLE!$C165,"MM"),"-",BD_DETALLE!$E165),"")</f>
        <v>2101-203</v>
      </c>
      <c r="E165" s="12">
        <v>203</v>
      </c>
      <c r="F165" s="21">
        <v>320702</v>
      </c>
      <c r="G165" s="4" t="str">
        <f>IFERROR(VLOOKUP(BD_DETALLE!$B165,Tabla9[],6,0),"")</f>
        <v>MANGUERA ABRASIVA DE 3/8</v>
      </c>
      <c r="H165" s="6">
        <f>IFERROR(VLOOKUP(BD_DETALLE!$B165,Tabla9[],4,0),0)</f>
        <v>250</v>
      </c>
      <c r="I165" s="19" t="s">
        <v>12</v>
      </c>
      <c r="J165" s="20" t="s">
        <v>1504</v>
      </c>
      <c r="K165" s="10">
        <f>IFERROR(VLOOKUP(BD_DETALLE!B165,Tabla9[],7,0),"")</f>
        <v>0</v>
      </c>
      <c r="L165" s="11">
        <f>IFERROR(VLOOKUP(BD_DETALLE!B165,Tabla9[],8,0),"")</f>
        <v>0</v>
      </c>
      <c r="M165" s="9">
        <f>IFERROR(SUMIFS(Tabla9[CANTIDAD2],Tabla9[BUSQUEDA],Tabla3[[#This Row],[BUSQUEDA]],Tabla9[CODIGO],Tabla3[[#This Row],[CODIGO]],Tabla9[ORDEN No.],Tabla3[[#This Row],[ORDEN de COMPRA]]),0)</f>
        <v>0</v>
      </c>
      <c r="N165" s="27">
        <f>IFERROR(IF(BD_DETALLE!B165&gt;0,VLOOKUP(BD_DETALLE!B165,Tabla9[],10,0),""),"")</f>
        <v>0</v>
      </c>
      <c r="O165" s="28">
        <f>IFERROR(VLOOKUP(BD_DETALLE!B165,Tabla9[],11,0),0)</f>
        <v>0</v>
      </c>
      <c r="P165" s="26">
        <f>IFERROR(SUMIFS(Tabla9[CANTIDAD3],Tabla9[BUSQUEDA],Tabla3[[#This Row],[BUSQUEDA]],Tabla9[CODIGO],Tabla3[[#This Row],[CODIGO]]),0)</f>
        <v>0</v>
      </c>
      <c r="Q165" s="25">
        <f>IF(BD_DETALLE!P165&lt;=0,0,IF(BD_DETALLE!P165=BD_DETALLE!H165,2,1))</f>
        <v>0</v>
      </c>
      <c r="R165" s="41">
        <f ca="1">IF(BD_DETALLE!$C165&gt;0,(IF(BD_DETALLE!$N165=0,TODAY()-BD_DETALLE!$C165,BD_DETALLE!$N165-BD_DETALLE!$C165)),"")</f>
        <v>83</v>
      </c>
    </row>
    <row r="166" spans="2:18" x14ac:dyDescent="0.25">
      <c r="B166" s="15" t="str">
        <f t="shared" si="20"/>
        <v>2101-203-203639</v>
      </c>
      <c r="C166" s="7">
        <v>44222</v>
      </c>
      <c r="D166" s="5" t="str">
        <f>IF(BD_DETALLE!$E166&gt;=1,CONCATENATE(TEXT(BD_DETALLE!$C166,"YY"),TEXT(BD_DETALLE!$C166,"MM"),"-",BD_DETALLE!$E166),"")</f>
        <v>2101-203</v>
      </c>
      <c r="E166" s="12">
        <v>203</v>
      </c>
      <c r="F166" s="21">
        <v>203639</v>
      </c>
      <c r="G166" s="4" t="str">
        <f>IFERROR(VLOOKUP(BD_DETALLE!$B166,Tabla9[],6,0),"")</f>
        <v>PIÐON PAS0 120 DE 16 DIENTES</v>
      </c>
      <c r="H166" s="6">
        <f>IFERROR(VLOOKUP(BD_DETALLE!$B166,Tabla9[],4,0),0)</f>
        <v>2</v>
      </c>
      <c r="I166" s="19" t="s">
        <v>12</v>
      </c>
      <c r="J166" s="20" t="s">
        <v>1504</v>
      </c>
      <c r="K166" s="10">
        <f>IFERROR(VLOOKUP(BD_DETALLE!B166,Tabla9[],7,0),"")</f>
        <v>0</v>
      </c>
      <c r="L166" s="11">
        <f>IFERROR(VLOOKUP(BD_DETALLE!B166,Tabla9[],8,0),"")</f>
        <v>0</v>
      </c>
      <c r="M166" s="9">
        <f>IFERROR(SUMIFS(Tabla9[CANTIDAD2],Tabla9[BUSQUEDA],Tabla3[[#This Row],[BUSQUEDA]],Tabla9[CODIGO],Tabla3[[#This Row],[CODIGO]],Tabla9[ORDEN No.],Tabla3[[#This Row],[ORDEN de COMPRA]]),0)</f>
        <v>0</v>
      </c>
      <c r="N166" s="27">
        <f>IFERROR(IF(BD_DETALLE!B166&gt;0,VLOOKUP(BD_DETALLE!B166,Tabla9[],10,0),""),"")</f>
        <v>0</v>
      </c>
      <c r="O166" s="28">
        <f>IFERROR(VLOOKUP(BD_DETALLE!B166,Tabla9[],11,0),0)</f>
        <v>0</v>
      </c>
      <c r="P166" s="26">
        <f>IFERROR(SUMIFS(Tabla9[CANTIDAD3],Tabla9[BUSQUEDA],Tabla3[[#This Row],[BUSQUEDA]],Tabla9[CODIGO],Tabla3[[#This Row],[CODIGO]]),0)</f>
        <v>0</v>
      </c>
      <c r="Q166" s="25">
        <f>IF(BD_DETALLE!P166&lt;=0,0,IF(BD_DETALLE!P166=BD_DETALLE!H166,2,1))</f>
        <v>0</v>
      </c>
      <c r="R166" s="41">
        <f ca="1">IF(BD_DETALLE!$C166&gt;0,(IF(BD_DETALLE!$N166=0,TODAY()-BD_DETALLE!$C166,BD_DETALLE!$N166-BD_DETALLE!$C166)),"")</f>
        <v>83</v>
      </c>
    </row>
    <row r="167" spans="2:18" x14ac:dyDescent="0.25">
      <c r="B167" s="15" t="str">
        <f t="shared" si="20"/>
        <v>2101-205-320703</v>
      </c>
      <c r="C167" s="7">
        <v>44222</v>
      </c>
      <c r="D167" s="5" t="str">
        <f>IF(BD_DETALLE!$E167&gt;=1,CONCATENATE(TEXT(BD_DETALLE!$C167,"YY"),TEXT(BD_DETALLE!$C167,"MM"),"-",BD_DETALLE!$E167),"")</f>
        <v>2101-205</v>
      </c>
      <c r="E167" s="12">
        <v>205</v>
      </c>
      <c r="F167" s="21">
        <v>320703</v>
      </c>
      <c r="G167" s="4" t="str">
        <f>IFERROR(VLOOKUP(BD_DETALLE!$B167,Tabla9[],6,0),"")</f>
        <v>RULIMAN N-219 ECM</v>
      </c>
      <c r="H167" s="6">
        <f>IFERROR(VLOOKUP(BD_DETALLE!$B167,Tabla9[],4,0),0)</f>
        <v>2</v>
      </c>
      <c r="I167" s="19" t="s">
        <v>19</v>
      </c>
      <c r="J167" s="20" t="s">
        <v>1441</v>
      </c>
      <c r="K167" s="10">
        <f>IFERROR(VLOOKUP(BD_DETALLE!B167,Tabla9[],7,0),"")</f>
        <v>0</v>
      </c>
      <c r="L167" s="11">
        <f>IFERROR(VLOOKUP(BD_DETALLE!B167,Tabla9[],8,0),"")</f>
        <v>0</v>
      </c>
      <c r="M167" s="9">
        <f>IFERROR(SUMIFS(Tabla9[CANTIDAD2],Tabla9[BUSQUEDA],Tabla3[[#This Row],[BUSQUEDA]],Tabla9[CODIGO],Tabla3[[#This Row],[CODIGO]],Tabla9[ORDEN No.],Tabla3[[#This Row],[ORDEN de COMPRA]]),0)</f>
        <v>0</v>
      </c>
      <c r="N167" s="27">
        <f>IFERROR(IF(BD_DETALLE!B167&gt;0,VLOOKUP(BD_DETALLE!B167,Tabla9[],10,0),""),"")</f>
        <v>0</v>
      </c>
      <c r="O167" s="28">
        <f>IFERROR(VLOOKUP(BD_DETALLE!B167,Tabla9[],11,0),0)</f>
        <v>0</v>
      </c>
      <c r="P167" s="26">
        <f>IFERROR(SUMIFS(Tabla9[CANTIDAD3],Tabla9[BUSQUEDA],Tabla3[[#This Row],[BUSQUEDA]],Tabla9[CODIGO],Tabla3[[#This Row],[CODIGO]]),0)</f>
        <v>0</v>
      </c>
      <c r="Q167" s="25">
        <f>IF(BD_DETALLE!P167&lt;=0,0,IF(BD_DETALLE!P167=BD_DETALLE!H167,2,1))</f>
        <v>0</v>
      </c>
      <c r="R167" s="41">
        <f ca="1">IF(BD_DETALLE!$C167&gt;0,(IF(BD_DETALLE!$N167=0,TODAY()-BD_DETALLE!$C167,BD_DETALLE!$N167-BD_DETALLE!$C167)),"")</f>
        <v>83</v>
      </c>
    </row>
    <row r="168" spans="2:18" x14ac:dyDescent="0.25">
      <c r="B168" s="15" t="str">
        <f t="shared" si="20"/>
        <v>2101-214-320704</v>
      </c>
      <c r="C168" s="7">
        <v>44222</v>
      </c>
      <c r="D168" s="5" t="str">
        <f>IF(BD_DETALLE!$E168&gt;=1,CONCATENATE(TEXT(BD_DETALLE!$C168,"YY"),TEXT(BD_DETALLE!$C168,"MM"),"-",BD_DETALLE!$E168),"")</f>
        <v>2101-214</v>
      </c>
      <c r="E168" s="12">
        <v>214</v>
      </c>
      <c r="F168" s="21">
        <v>320704</v>
      </c>
      <c r="G168" s="4" t="str">
        <f>IFERROR(VLOOKUP(BD_DETALLE!$B168,Tabla9[],6,0),"")</f>
        <v>RULIMAN 6310 MC3</v>
      </c>
      <c r="H168" s="6">
        <f>IFERROR(VLOOKUP(BD_DETALLE!$B168,Tabla9[],4,0),0)</f>
        <v>2</v>
      </c>
      <c r="I168" s="19" t="s">
        <v>19</v>
      </c>
      <c r="J168" s="20" t="s">
        <v>1505</v>
      </c>
      <c r="K168" s="10">
        <f>IFERROR(VLOOKUP(BD_DETALLE!B168,Tabla9[],7,0),"")</f>
        <v>0</v>
      </c>
      <c r="L168" s="11">
        <f>IFERROR(VLOOKUP(BD_DETALLE!B168,Tabla9[],8,0),"")</f>
        <v>0</v>
      </c>
      <c r="M168" s="9">
        <f>IFERROR(SUMIFS(Tabla9[CANTIDAD2],Tabla9[BUSQUEDA],Tabla3[[#This Row],[BUSQUEDA]],Tabla9[CODIGO],Tabla3[[#This Row],[CODIGO]],Tabla9[ORDEN No.],Tabla3[[#This Row],[ORDEN de COMPRA]]),0)</f>
        <v>0</v>
      </c>
      <c r="N168" s="27">
        <f>IFERROR(IF(BD_DETALLE!B168&gt;0,VLOOKUP(BD_DETALLE!B168,Tabla9[],10,0),""),"")</f>
        <v>0</v>
      </c>
      <c r="O168" s="28">
        <f>IFERROR(VLOOKUP(BD_DETALLE!B168,Tabla9[],11,0),0)</f>
        <v>0</v>
      </c>
      <c r="P168" s="26">
        <f>IFERROR(SUMIFS(Tabla9[CANTIDAD3],Tabla9[BUSQUEDA],Tabla3[[#This Row],[BUSQUEDA]],Tabla9[CODIGO],Tabla3[[#This Row],[CODIGO]]),0)</f>
        <v>0</v>
      </c>
      <c r="Q168" s="25">
        <f>IF(BD_DETALLE!P168&lt;=0,0,IF(BD_DETALLE!P168=BD_DETALLE!H168,2,1))</f>
        <v>0</v>
      </c>
      <c r="R168" s="41">
        <f ca="1">IF(BD_DETALLE!$C168&gt;0,(IF(BD_DETALLE!$N168=0,TODAY()-BD_DETALLE!$C168,BD_DETALLE!$N168-BD_DETALLE!$C168)),"")</f>
        <v>83</v>
      </c>
    </row>
    <row r="169" spans="2:18" x14ac:dyDescent="0.25">
      <c r="B169" s="15" t="str">
        <f t="shared" si="20"/>
        <v>2101-214-312190</v>
      </c>
      <c r="C169" s="7">
        <v>44222</v>
      </c>
      <c r="D169" s="5" t="str">
        <f>IF(BD_DETALLE!$E169&gt;=1,CONCATENATE(TEXT(BD_DETALLE!$C169,"YY"),TEXT(BD_DETALLE!$C169,"MM"),"-",BD_DETALLE!$E169),"")</f>
        <v>2101-214</v>
      </c>
      <c r="E169" s="12">
        <v>214</v>
      </c>
      <c r="F169" s="21">
        <v>312190</v>
      </c>
      <c r="G169" s="4" t="str">
        <f>IFERROR(VLOOKUP(BD_DETALLE!$B169,Tabla9[],6,0),"")</f>
        <v>RODAMIENTO 2305 M</v>
      </c>
      <c r="H169" s="6">
        <f>IFERROR(VLOOKUP(BD_DETALLE!$B169,Tabla9[],4,0),0)</f>
        <v>2</v>
      </c>
      <c r="I169" s="19" t="s">
        <v>19</v>
      </c>
      <c r="J169" s="20" t="s">
        <v>1505</v>
      </c>
      <c r="K169" s="10">
        <f>IFERROR(VLOOKUP(BD_DETALLE!B169,Tabla9[],7,0),"")</f>
        <v>0</v>
      </c>
      <c r="L169" s="11">
        <f>IFERROR(VLOOKUP(BD_DETALLE!B169,Tabla9[],8,0),"")</f>
        <v>0</v>
      </c>
      <c r="M169" s="9">
        <f>IFERROR(SUMIFS(Tabla9[CANTIDAD2],Tabla9[BUSQUEDA],Tabla3[[#This Row],[BUSQUEDA]],Tabla9[CODIGO],Tabla3[[#This Row],[CODIGO]],Tabla9[ORDEN No.],Tabla3[[#This Row],[ORDEN de COMPRA]]),0)</f>
        <v>0</v>
      </c>
      <c r="N169" s="27">
        <f>IFERROR(IF(BD_DETALLE!B169&gt;0,VLOOKUP(BD_DETALLE!B169,Tabla9[],10,0),""),"")</f>
        <v>0</v>
      </c>
      <c r="O169" s="28">
        <f>IFERROR(VLOOKUP(BD_DETALLE!B169,Tabla9[],11,0),0)</f>
        <v>0</v>
      </c>
      <c r="P169" s="26">
        <f>IFERROR(SUMIFS(Tabla9[CANTIDAD3],Tabla9[BUSQUEDA],Tabla3[[#This Row],[BUSQUEDA]],Tabla9[CODIGO],Tabla3[[#This Row],[CODIGO]]),0)</f>
        <v>0</v>
      </c>
      <c r="Q169" s="25">
        <f>IF(BD_DETALLE!P169&lt;=0,0,IF(BD_DETALLE!P169=BD_DETALLE!H169,2,1))</f>
        <v>0</v>
      </c>
      <c r="R169" s="41">
        <f ca="1">IF(BD_DETALLE!$C169&gt;0,(IF(BD_DETALLE!$N169=0,TODAY()-BD_DETALLE!$C169,BD_DETALLE!$N169-BD_DETALLE!$C169)),"")</f>
        <v>83</v>
      </c>
    </row>
    <row r="170" spans="2:18" x14ac:dyDescent="0.25">
      <c r="B170" s="15" t="str">
        <f t="shared" ref="B170:B172" si="21">IFERROR(TEXT(C170,"yy") &amp; TEXT(C170,"mm") &amp;"-"&amp;(E170) &amp;"-"&amp;(F170),"")</f>
        <v>2101-219-204801</v>
      </c>
      <c r="C170" s="7">
        <v>44222</v>
      </c>
      <c r="D170" s="5" t="str">
        <f>IF(BD_DETALLE!$E170&gt;=1,CONCATENATE(TEXT(BD_DETALLE!$C170,"YY"),TEXT(BD_DETALLE!$C170,"MM"),"-",BD_DETALLE!$E170),"")</f>
        <v>2101-219</v>
      </c>
      <c r="E170" s="12">
        <v>219</v>
      </c>
      <c r="F170" s="21">
        <v>204801</v>
      </c>
      <c r="G170" s="4" t="str">
        <f>IFERROR(VLOOKUP(BD_DETALLE!$B170,Tabla9[],6,0),"")</f>
        <v>PARABRISA</v>
      </c>
      <c r="H170" s="6">
        <f>IFERROR(VLOOKUP(BD_DETALLE!$B170,Tabla9[],4,0),0)</f>
        <v>1</v>
      </c>
      <c r="I170" s="19" t="s">
        <v>5</v>
      </c>
      <c r="J170" s="20" t="s">
        <v>392</v>
      </c>
      <c r="K170" s="10">
        <f>IFERROR(VLOOKUP(BD_DETALLE!B170,Tabla9[],7,0),"")</f>
        <v>44229</v>
      </c>
      <c r="L170" s="11">
        <f>IFERROR(VLOOKUP(BD_DETALLE!B170,Tabla9[],8,0),"")</f>
        <v>51453</v>
      </c>
      <c r="M170" s="9">
        <f>IFERROR(SUMIFS(Tabla9[CANTIDAD2],Tabla9[BUSQUEDA],Tabla3[[#This Row],[BUSQUEDA]],Tabla9[CODIGO],Tabla3[[#This Row],[CODIGO]],Tabla9[ORDEN No.],Tabla3[[#This Row],[ORDEN de COMPRA]]),0)</f>
        <v>1</v>
      </c>
      <c r="N170" s="27">
        <f>IFERROR(IF(BD_DETALLE!B170&gt;0,VLOOKUP(BD_DETALLE!B170,Tabla9[],10,0),""),"")</f>
        <v>0</v>
      </c>
      <c r="O170" s="28">
        <f>IFERROR(VLOOKUP(BD_DETALLE!B170,Tabla9[],11,0),0)</f>
        <v>0</v>
      </c>
      <c r="P170" s="26">
        <f>IFERROR(SUMIFS(Tabla9[CANTIDAD3],Tabla9[BUSQUEDA],Tabla3[[#This Row],[BUSQUEDA]],Tabla9[CODIGO],Tabla3[[#This Row],[CODIGO]]),0)</f>
        <v>0</v>
      </c>
      <c r="Q170" s="25">
        <f>IF(BD_DETALLE!P170&lt;=0,0,IF(BD_DETALLE!P170=BD_DETALLE!H170,2,1))</f>
        <v>0</v>
      </c>
      <c r="R170" s="41">
        <f ca="1">IF(BD_DETALLE!$C170&gt;0,(IF(BD_DETALLE!$N170=0,TODAY()-BD_DETALLE!$C170,BD_DETALLE!$N170-BD_DETALLE!$C170)),"")</f>
        <v>83</v>
      </c>
    </row>
    <row r="171" spans="2:18" x14ac:dyDescent="0.25">
      <c r="B171" s="15" t="str">
        <f t="shared" si="21"/>
        <v>2101-222-320444</v>
      </c>
      <c r="C171" s="7">
        <v>44222</v>
      </c>
      <c r="D171" s="5" t="str">
        <f>IF(BD_DETALLE!$E171&gt;=1,CONCATENATE(TEXT(BD_DETALLE!$C171,"YY"),TEXT(BD_DETALLE!$C171,"MM"),"-",BD_DETALLE!$E171),"")</f>
        <v>2101-222</v>
      </c>
      <c r="E171" s="12">
        <v>222</v>
      </c>
      <c r="F171" s="21">
        <v>320444</v>
      </c>
      <c r="G171" s="4" t="str">
        <f>IFERROR(VLOOKUP(BD_DETALLE!$B171,Tabla9[],6,0),"")</f>
        <v>CANALETA A/INOX 360MM ALTURA X 330 MM INTERIOR X 4 MM ESPESOR</v>
      </c>
      <c r="H171" s="6">
        <f>IFERROR(VLOOKUP(BD_DETALLE!$B171,Tabla9[],4,0),0)</f>
        <v>9</v>
      </c>
      <c r="I171" s="19" t="s">
        <v>12</v>
      </c>
      <c r="J171" s="20" t="s">
        <v>1506</v>
      </c>
      <c r="K171" s="10">
        <f>IFERROR(VLOOKUP(BD_DETALLE!B171,Tabla9[],7,0),"")</f>
        <v>0</v>
      </c>
      <c r="L171" s="11">
        <f>IFERROR(VLOOKUP(BD_DETALLE!B171,Tabla9[],8,0),"")</f>
        <v>0</v>
      </c>
      <c r="M171" s="9">
        <f>IFERROR(SUMIFS(Tabla9[CANTIDAD2],Tabla9[BUSQUEDA],Tabla3[[#This Row],[BUSQUEDA]],Tabla9[CODIGO],Tabla3[[#This Row],[CODIGO]],Tabla9[ORDEN No.],Tabla3[[#This Row],[ORDEN de COMPRA]]),0)</f>
        <v>0</v>
      </c>
      <c r="N171" s="27">
        <f>IFERROR(IF(BD_DETALLE!B171&gt;0,VLOOKUP(BD_DETALLE!B171,Tabla9[],10,0),""),"")</f>
        <v>0</v>
      </c>
      <c r="O171" s="28">
        <f>IFERROR(VLOOKUP(BD_DETALLE!B171,Tabla9[],11,0),0)</f>
        <v>0</v>
      </c>
      <c r="P171" s="26">
        <f>IFERROR(SUMIFS(Tabla9[CANTIDAD3],Tabla9[BUSQUEDA],Tabla3[[#This Row],[BUSQUEDA]],Tabla9[CODIGO],Tabla3[[#This Row],[CODIGO]]),0)</f>
        <v>0</v>
      </c>
      <c r="Q171" s="25">
        <f>IF(BD_DETALLE!P171&lt;=0,0,IF(BD_DETALLE!P171=BD_DETALLE!H171,2,1))</f>
        <v>0</v>
      </c>
      <c r="R171" s="41">
        <f ca="1">IF(BD_DETALLE!$C171&gt;0,(IF(BD_DETALLE!$N171=0,TODAY()-BD_DETALLE!$C171,BD_DETALLE!$N171-BD_DETALLE!$C171)),"")</f>
        <v>83</v>
      </c>
    </row>
    <row r="172" spans="2:18" x14ac:dyDescent="0.25">
      <c r="B172" s="15" t="str">
        <f t="shared" si="21"/>
        <v>2101-222-205653</v>
      </c>
      <c r="C172" s="7">
        <v>44222</v>
      </c>
      <c r="D172" s="5" t="str">
        <f>IF(BD_DETALLE!$E172&gt;=1,CONCATENATE(TEXT(BD_DETALLE!$C172,"YY"),TEXT(BD_DETALLE!$C172,"MM"),"-",BD_DETALLE!$E172),"")</f>
        <v>2101-222</v>
      </c>
      <c r="E172" s="12">
        <v>222</v>
      </c>
      <c r="F172" s="21">
        <v>205653</v>
      </c>
      <c r="G172" s="4" t="str">
        <f>IFERROR(VLOOKUP(BD_DETALLE!$B172,Tabla9[],6,0),"")</f>
        <v>VALVULA A/INOX A/RAPIDA DE 3/4"</v>
      </c>
      <c r="H172" s="6">
        <f>IFERROR(VLOOKUP(BD_DETALLE!$B172,Tabla9[],4,0),0)</f>
        <v>6</v>
      </c>
      <c r="I172" s="19" t="s">
        <v>12</v>
      </c>
      <c r="J172" s="20" t="s">
        <v>1506</v>
      </c>
      <c r="K172" s="10">
        <f>IFERROR(VLOOKUP(BD_DETALLE!B172,Tabla9[],7,0),"")</f>
        <v>44223</v>
      </c>
      <c r="L172" s="11">
        <f>IFERROR(VLOOKUP(BD_DETALLE!B172,Tabla9[],8,0),"")</f>
        <v>51383</v>
      </c>
      <c r="M172" s="9">
        <f>IFERROR(SUMIFS(Tabla9[CANTIDAD2],Tabla9[BUSQUEDA],Tabla3[[#This Row],[BUSQUEDA]],Tabla9[CODIGO],Tabla3[[#This Row],[CODIGO]],Tabla9[ORDEN No.],Tabla3[[#This Row],[ORDEN de COMPRA]]),0)</f>
        <v>6</v>
      </c>
      <c r="N172" s="27">
        <f>IFERROR(IF(BD_DETALLE!B172&gt;0,VLOOKUP(BD_DETALLE!B172,Tabla9[],10,0),""),"")</f>
        <v>0</v>
      </c>
      <c r="O172" s="28">
        <f>IFERROR(VLOOKUP(BD_DETALLE!B172,Tabla9[],11,0),0)</f>
        <v>0</v>
      </c>
      <c r="P172" s="26">
        <f>IFERROR(SUMIFS(Tabla9[CANTIDAD3],Tabla9[BUSQUEDA],Tabla3[[#This Row],[BUSQUEDA]],Tabla9[CODIGO],Tabla3[[#This Row],[CODIGO]]),0)</f>
        <v>0</v>
      </c>
      <c r="Q172" s="25">
        <f>IF(BD_DETALLE!P172&lt;=0,0,IF(BD_DETALLE!P172=BD_DETALLE!H172,2,1))</f>
        <v>0</v>
      </c>
      <c r="R172" s="41">
        <f ca="1">IF(BD_DETALLE!$C172&gt;0,(IF(BD_DETALLE!$N172=0,TODAY()-BD_DETALLE!$C172,BD_DETALLE!$N172-BD_DETALLE!$C172)),"")</f>
        <v>83</v>
      </c>
    </row>
    <row r="173" spans="2:18" x14ac:dyDescent="0.25">
      <c r="B173" s="128" t="str">
        <f t="shared" ref="B173:B251" si="22">IFERROR(TEXT(C173,"yy") &amp; TEXT(C173,"mm") &amp;"-"&amp;(E173) &amp;"-"&amp;(F173),"")</f>
        <v>2101-228-203231</v>
      </c>
      <c r="C173" s="129">
        <v>44224</v>
      </c>
      <c r="D173" s="130" t="str">
        <f>IF(BD_DETALLE!$E173&gt;=1,CONCATENATE(TEXT(BD_DETALLE!$C173,"YY"),TEXT(BD_DETALLE!$C173,"MM"),"-",BD_DETALLE!$E173),"")</f>
        <v>2101-228</v>
      </c>
      <c r="E173" s="131">
        <v>228</v>
      </c>
      <c r="F173" s="132">
        <v>203231</v>
      </c>
      <c r="G173" s="133" t="str">
        <f>IFERROR(VLOOKUP(BD_DETALLE!$B173,Tabla9[],6,0),"")</f>
        <v>UNION EMT DE 1-1/2"</v>
      </c>
      <c r="H173" s="134">
        <f>IFERROR(VLOOKUP(BD_DETALLE!$B173,Tabla9[],4,0),0)</f>
        <v>25</v>
      </c>
      <c r="I173" s="135" t="s">
        <v>1218</v>
      </c>
      <c r="J173" s="136" t="s">
        <v>1547</v>
      </c>
      <c r="K173" s="10">
        <f>IFERROR(VLOOKUP(BD_DETALLE!B173,Tabla9[],7,0),"")</f>
        <v>44285</v>
      </c>
      <c r="L173" s="11">
        <f>IFERROR(VLOOKUP(BD_DETALLE!B173,Tabla9[],8,0),"")</f>
        <v>52301</v>
      </c>
      <c r="M173" s="9">
        <f>IFERROR(SUMIFS(Tabla9[CANTIDAD2],Tabla9[BUSQUEDA],Tabla3[[#This Row],[BUSQUEDA]],Tabla9[CODIGO],Tabla3[[#This Row],[CODIGO]],Tabla9[ORDEN No.],Tabla3[[#This Row],[ORDEN de COMPRA]]),0)</f>
        <v>25</v>
      </c>
      <c r="N173" s="27">
        <f>IFERROR(IF(BD_DETALLE!B173&gt;0,VLOOKUP(BD_DETALLE!B173,Tabla9[],10,0),""),"")</f>
        <v>44294</v>
      </c>
      <c r="O173" s="28">
        <f>IFERROR(VLOOKUP(BD_DETALLE!B173,Tabla9[],11,0),0)</f>
        <v>11740</v>
      </c>
      <c r="P173" s="26">
        <f>IFERROR(SUMIFS(Tabla9[CANTIDAD3],Tabla9[BUSQUEDA],Tabla3[[#This Row],[BUSQUEDA]],Tabla9[CODIGO],Tabla3[[#This Row],[CODIGO]]),0)</f>
        <v>25</v>
      </c>
      <c r="Q173" s="25">
        <f>IF(BD_DETALLE!P173&lt;=0,0,IF(BD_DETALLE!P173=BD_DETALLE!H173,2,1))</f>
        <v>2</v>
      </c>
      <c r="R173" s="41">
        <f ca="1">IF(BD_DETALLE!$C173&gt;0,(IF(BD_DETALLE!$N173=0,TODAY()-BD_DETALLE!$C173,BD_DETALLE!$N173-BD_DETALLE!$C173)),"")</f>
        <v>70</v>
      </c>
    </row>
    <row r="174" spans="2:18" x14ac:dyDescent="0.25">
      <c r="B174" s="128" t="str">
        <f t="shared" si="22"/>
        <v>2101-228-314372</v>
      </c>
      <c r="C174" s="129">
        <v>44224</v>
      </c>
      <c r="D174" s="130" t="str">
        <f>IF(BD_DETALLE!$E174&gt;=1,CONCATENATE(TEXT(BD_DETALLE!$C174,"YY"),TEXT(BD_DETALLE!$C174,"MM"),"-",BD_DETALLE!$E174),"")</f>
        <v>2101-228</v>
      </c>
      <c r="E174" s="131">
        <v>228</v>
      </c>
      <c r="F174" s="132">
        <v>314372</v>
      </c>
      <c r="G174" s="133" t="str">
        <f>IFERROR(VLOOKUP(BD_DETALLE!$B174,Tabla9[],6,0),"")</f>
        <v>3RQ3065 - 1SM30 RELE DE SALIDA 1NA SIRIUS 24VDC</v>
      </c>
      <c r="H174" s="134">
        <f>IFERROR(VLOOKUP(BD_DETALLE!$B174,Tabla9[],4,0),0)</f>
        <v>10</v>
      </c>
      <c r="I174" s="135" t="s">
        <v>1218</v>
      </c>
      <c r="J174" s="136" t="s">
        <v>1547</v>
      </c>
      <c r="K174" s="10">
        <f>IFERROR(VLOOKUP(BD_DETALLE!B174,Tabla9[],7,0),"")</f>
        <v>44284</v>
      </c>
      <c r="L174" s="11">
        <f>IFERROR(VLOOKUP(BD_DETALLE!B174,Tabla9[],8,0),"")</f>
        <v>52300</v>
      </c>
      <c r="M174" s="9">
        <f>IFERROR(SUMIFS(Tabla9[CANTIDAD2],Tabla9[BUSQUEDA],Tabla3[[#This Row],[BUSQUEDA]],Tabla9[CODIGO],Tabla3[[#This Row],[CODIGO]],Tabla9[ORDEN No.],Tabla3[[#This Row],[ORDEN de COMPRA]]),0)</f>
        <v>10</v>
      </c>
      <c r="N174" s="27">
        <f>IFERROR(IF(BD_DETALLE!B174&gt;0,VLOOKUP(BD_DETALLE!B174,Tabla9[],10,0),""),"")</f>
        <v>44292</v>
      </c>
      <c r="O174" s="28">
        <f>IFERROR(VLOOKUP(BD_DETALLE!B174,Tabla9[],11,0),0)</f>
        <v>11713</v>
      </c>
      <c r="P174" s="26">
        <f>IFERROR(SUMIFS(Tabla9[CANTIDAD3],Tabla9[BUSQUEDA],Tabla3[[#This Row],[BUSQUEDA]],Tabla9[CODIGO],Tabla3[[#This Row],[CODIGO]]),0)</f>
        <v>10</v>
      </c>
      <c r="Q174" s="25">
        <f>IF(BD_DETALLE!P174&lt;=0,0,IF(BD_DETALLE!P174=BD_DETALLE!H174,2,1))</f>
        <v>2</v>
      </c>
      <c r="R174" s="41">
        <f ca="1">IF(BD_DETALLE!$C174&gt;0,(IF(BD_DETALLE!$N174=0,TODAY()-BD_DETALLE!$C174,BD_DETALLE!$N174-BD_DETALLE!$C174)),"")</f>
        <v>68</v>
      </c>
    </row>
    <row r="175" spans="2:18" x14ac:dyDescent="0.25">
      <c r="B175" s="128" t="str">
        <f t="shared" si="22"/>
        <v>2101-228-320708</v>
      </c>
      <c r="C175" s="129">
        <v>44224</v>
      </c>
      <c r="D175" s="130" t="str">
        <f>IF(BD_DETALLE!$E175&gt;=1,CONCATENATE(TEXT(BD_DETALLE!$C175,"YY"),TEXT(BD_DETALLE!$C175,"MM"),"-",BD_DETALLE!$E175),"")</f>
        <v>2101-228</v>
      </c>
      <c r="E175" s="131">
        <v>228</v>
      </c>
      <c r="F175" s="132">
        <v>320708</v>
      </c>
      <c r="G175" s="133" t="str">
        <f>IFERROR(VLOOKUP(BD_DETALLE!$B175,Tabla9[],6,0),"")</f>
        <v>TABLERO A/INOX. 600mm(ALTO) X 400mm(ANCHO) X 300mm(FONDO)</v>
      </c>
      <c r="H175" s="134">
        <f>IFERROR(VLOOKUP(BD_DETALLE!$B175,Tabla9[],4,0),0)</f>
        <v>2</v>
      </c>
      <c r="I175" s="135" t="s">
        <v>1218</v>
      </c>
      <c r="J175" s="136" t="s">
        <v>1547</v>
      </c>
      <c r="K175" s="10">
        <f>IFERROR(VLOOKUP(BD_DETALLE!B175,Tabla9[],7,0),"")</f>
        <v>44285</v>
      </c>
      <c r="L175" s="11">
        <f>IFERROR(VLOOKUP(BD_DETALLE!B175,Tabla9[],8,0),"")</f>
        <v>52301</v>
      </c>
      <c r="M175" s="9">
        <f>IFERROR(SUMIFS(Tabla9[CANTIDAD2],Tabla9[BUSQUEDA],Tabla3[[#This Row],[BUSQUEDA]],Tabla9[CODIGO],Tabla3[[#This Row],[CODIGO]],Tabla9[ORDEN No.],Tabla3[[#This Row],[ORDEN de COMPRA]]),0)</f>
        <v>2</v>
      </c>
      <c r="N175" s="27">
        <f>IFERROR(IF(BD_DETALLE!B175&gt;0,VLOOKUP(BD_DETALLE!B175,Tabla9[],10,0),""),"")</f>
        <v>44301</v>
      </c>
      <c r="O175" s="28">
        <f>IFERROR(VLOOKUP(BD_DETALLE!B175,Tabla9[],11,0),0)</f>
        <v>11842</v>
      </c>
      <c r="P175" s="26">
        <f>IFERROR(SUMIFS(Tabla9[CANTIDAD3],Tabla9[BUSQUEDA],Tabla3[[#This Row],[BUSQUEDA]],Tabla9[CODIGO],Tabla3[[#This Row],[CODIGO]]),0)</f>
        <v>2</v>
      </c>
      <c r="Q175" s="25">
        <f>IF(BD_DETALLE!P175&lt;=0,0,IF(BD_DETALLE!P175=BD_DETALLE!H175,2,1))</f>
        <v>2</v>
      </c>
      <c r="R175" s="41">
        <f ca="1">IF(BD_DETALLE!$C175&gt;0,(IF(BD_DETALLE!$N175=0,TODAY()-BD_DETALLE!$C175,BD_DETALLE!$N175-BD_DETALLE!$C175)),"")</f>
        <v>77</v>
      </c>
    </row>
    <row r="176" spans="2:18" x14ac:dyDescent="0.25">
      <c r="B176" s="128" t="str">
        <f t="shared" ref="B176:B207" si="23">IFERROR(TEXT(C176,"yy") &amp; TEXT(C176,"mm") &amp;"-"&amp;(E176) &amp;"-"&amp;(F176),"")</f>
        <v>2101-228-317495</v>
      </c>
      <c r="C176" s="129">
        <v>44224</v>
      </c>
      <c r="D176" s="130" t="str">
        <f>IF(BD_DETALLE!$E176&gt;=1,CONCATENATE(TEXT(BD_DETALLE!$C176,"YY"),TEXT(BD_DETALLE!$C176,"MM"),"-",BD_DETALLE!$E176),"")</f>
        <v>2101-228</v>
      </c>
      <c r="E176" s="131">
        <v>228</v>
      </c>
      <c r="F176" s="132">
        <v>317495</v>
      </c>
      <c r="G176" s="133" t="str">
        <f>IFERROR(VLOOKUP(BD_DETALLE!$B176,Tabla9[],6,0),"")</f>
        <v>CANALETA PLASTICA RANURADA 80 x 60</v>
      </c>
      <c r="H176" s="134">
        <f>IFERROR(VLOOKUP(BD_DETALLE!$B176,Tabla9[],4,0),0)</f>
        <v>8</v>
      </c>
      <c r="I176" s="135" t="s">
        <v>1218</v>
      </c>
      <c r="J176" s="136" t="s">
        <v>1547</v>
      </c>
      <c r="K176" s="137">
        <f>IFERROR(VLOOKUP(BD_DETALLE!$B176,Tabla9[],7,0),"")</f>
        <v>44285</v>
      </c>
      <c r="L176" s="138">
        <f>IFERROR(VLOOKUP(BD_DETALLE!$B176,Tabla9[],8,0),"")</f>
        <v>52301</v>
      </c>
      <c r="M176" s="139">
        <f ca="1">IFERROR(SUMIF(Tabla9[],BD_DETALLE!$B176,Tabla9[CANTIDAD2]),"")</f>
        <v>8</v>
      </c>
      <c r="N176" s="140">
        <f>IFERROR(IF(BD_DETALLE!$B176&gt;0,VLOOKUP(BD_DETALLE!$B176,Tabla9[],10,0),""),"")</f>
        <v>44294</v>
      </c>
      <c r="O176" s="141">
        <f>IFERROR(VLOOKUP(BD_DETALLE!$B176,Tabla9[],11,0),0)</f>
        <v>11740</v>
      </c>
      <c r="P176" s="142">
        <f ca="1">SUMIF(Tabla9[],BD_DETALLE!$B176,Tabla9[CANTIDAD3])</f>
        <v>8</v>
      </c>
      <c r="Q176" s="143">
        <f ca="1">IF(BD_DETALLE!$P176&lt;=0,0,IF(BD_DETALLE!$P176=BD_DETALLE!$H176,2,1))</f>
        <v>2</v>
      </c>
      <c r="R176" s="144">
        <f ca="1">IF(BD_DETALLE!$C176&gt;0,(IF(BD_DETALLE!$N176=0,TODAY()-BD_DETALLE!$C176,BD_DETALLE!$N176-BD_DETALLE!$C176)),"")</f>
        <v>70</v>
      </c>
    </row>
    <row r="177" spans="2:18" x14ac:dyDescent="0.25">
      <c r="B177" s="128" t="str">
        <f t="shared" si="23"/>
        <v>2101-228-313280</v>
      </c>
      <c r="C177" s="129">
        <v>44224</v>
      </c>
      <c r="D177" s="130" t="str">
        <f>IF(BD_DETALLE!$E177&gt;=1,CONCATENATE(TEXT(BD_DETALLE!$C177,"YY"),TEXT(BD_DETALLE!$C177,"MM"),"-",BD_DETALLE!$E177),"")</f>
        <v>2101-228</v>
      </c>
      <c r="E177" s="131">
        <v>228</v>
      </c>
      <c r="F177" s="132">
        <v>313280</v>
      </c>
      <c r="G177" s="133" t="str">
        <f>IFERROR(VLOOKUP(BD_DETALLE!$B177,Tabla9[],6,0),"")</f>
        <v>CANALETA PLASTICA RANURADA  60 x 60 x 20</v>
      </c>
      <c r="H177" s="134">
        <f>IFERROR(VLOOKUP(BD_DETALLE!$B177,Tabla9[],4,0),0)</f>
        <v>8</v>
      </c>
      <c r="I177" s="135" t="s">
        <v>1218</v>
      </c>
      <c r="J177" s="136" t="s">
        <v>1547</v>
      </c>
      <c r="K177" s="137">
        <f>IFERROR(VLOOKUP(BD_DETALLE!$B177,Tabla9[],7,0),"")</f>
        <v>44285</v>
      </c>
      <c r="L177" s="138">
        <f>IFERROR(VLOOKUP(BD_DETALLE!$B177,Tabla9[],8,0),"")</f>
        <v>52301</v>
      </c>
      <c r="M177" s="139">
        <f ca="1">IFERROR(SUMIF(Tabla9[],BD_DETALLE!$B177,Tabla9[CANTIDAD2]),"")</f>
        <v>8</v>
      </c>
      <c r="N177" s="140">
        <f>IFERROR(IF(BD_DETALLE!$B177&gt;0,VLOOKUP(BD_DETALLE!$B177,Tabla9[],10,0),""),"")</f>
        <v>44294</v>
      </c>
      <c r="O177" s="141">
        <f>IFERROR(VLOOKUP(BD_DETALLE!$B177,Tabla9[],11,0),0)</f>
        <v>11740</v>
      </c>
      <c r="P177" s="142">
        <f ca="1">SUMIF(Tabla9[],BD_DETALLE!$B177,Tabla9[CANTIDAD3])</f>
        <v>8</v>
      </c>
      <c r="Q177" s="143">
        <f ca="1">IF(BD_DETALLE!$P177&lt;=0,0,IF(BD_DETALLE!$P177=BD_DETALLE!$H177,2,1))</f>
        <v>2</v>
      </c>
      <c r="R177" s="144">
        <f ca="1">IF(BD_DETALLE!$C177&gt;0,(IF(BD_DETALLE!$N177=0,TODAY()-BD_DETALLE!$C177,BD_DETALLE!$N177-BD_DETALLE!$C177)),"")</f>
        <v>70</v>
      </c>
    </row>
    <row r="178" spans="2:18" x14ac:dyDescent="0.25">
      <c r="B178" s="128" t="str">
        <f t="shared" si="23"/>
        <v>2101-228-307710</v>
      </c>
      <c r="C178" s="129">
        <v>44224</v>
      </c>
      <c r="D178" s="130" t="str">
        <f>IF(BD_DETALLE!$E178&gt;=1,CONCATENATE(TEXT(BD_DETALLE!$C178,"YY"),TEXT(BD_DETALLE!$C178,"MM"),"-",BD_DETALLE!$E178),"")</f>
        <v>2101-228</v>
      </c>
      <c r="E178" s="131">
        <v>228</v>
      </c>
      <c r="F178" s="132">
        <v>307710</v>
      </c>
      <c r="G178" s="133" t="str">
        <f>IFERROR(VLOOKUP(BD_DETALLE!$B178,Tabla9[],6,0),"")</f>
        <v>TAPA P/CANALETA T/ESCALERA DE 30CM</v>
      </c>
      <c r="H178" s="134">
        <f>IFERROR(VLOOKUP(BD_DETALLE!$B178,Tabla9[],4,0),0)</f>
        <v>10</v>
      </c>
      <c r="I178" s="135" t="s">
        <v>1218</v>
      </c>
      <c r="J178" s="136" t="s">
        <v>1547</v>
      </c>
      <c r="K178" s="137">
        <f>IFERROR(VLOOKUP(BD_DETALLE!$B178,Tabla9[],7,0),"")</f>
        <v>44285</v>
      </c>
      <c r="L178" s="138">
        <f>IFERROR(VLOOKUP(BD_DETALLE!$B178,Tabla9[],8,0),"")</f>
        <v>52301</v>
      </c>
      <c r="M178" s="139">
        <f ca="1">IFERROR(SUMIF(Tabla9[],BD_DETALLE!$B178,Tabla9[CANTIDAD2]),"")</f>
        <v>10</v>
      </c>
      <c r="N178" s="140">
        <f>IFERROR(IF(BD_DETALLE!$B178&gt;0,VLOOKUP(BD_DETALLE!$B178,Tabla9[],10,0),""),"")</f>
        <v>44294</v>
      </c>
      <c r="O178" s="141">
        <f>IFERROR(VLOOKUP(BD_DETALLE!$B178,Tabla9[],11,0),0)</f>
        <v>11740</v>
      </c>
      <c r="P178" s="142">
        <f ca="1">SUMIF(Tabla9[],BD_DETALLE!$B178,Tabla9[CANTIDAD3])</f>
        <v>10</v>
      </c>
      <c r="Q178" s="143">
        <f ca="1">IF(BD_DETALLE!$P178&lt;=0,0,IF(BD_DETALLE!$P178=BD_DETALLE!$H178,2,1))</f>
        <v>2</v>
      </c>
      <c r="R178" s="144">
        <f ca="1">IF(BD_DETALLE!$C178&gt;0,(IF(BD_DETALLE!$N178=0,TODAY()-BD_DETALLE!$C178,BD_DETALLE!$N178-BD_DETALLE!$C178)),"")</f>
        <v>70</v>
      </c>
    </row>
    <row r="179" spans="2:18" x14ac:dyDescent="0.25">
      <c r="B179" s="128" t="str">
        <f t="shared" si="23"/>
        <v>2101-228-204192</v>
      </c>
      <c r="C179" s="129">
        <v>44224</v>
      </c>
      <c r="D179" s="130" t="str">
        <f>IF(BD_DETALLE!$E179&gt;=1,CONCATENATE(TEXT(BD_DETALLE!$C179,"YY"),TEXT(BD_DETALLE!$C179,"MM"),"-",BD_DETALLE!$E179),"")</f>
        <v>2101-228</v>
      </c>
      <c r="E179" s="131">
        <v>228</v>
      </c>
      <c r="F179" s="132">
        <v>204192</v>
      </c>
      <c r="G179" s="133" t="str">
        <f>IFERROR(VLOOKUP(BD_DETALLE!$B179,Tabla9[],6,0),"")</f>
        <v>CABLE FLEXIBLE #18</v>
      </c>
      <c r="H179" s="134">
        <f>IFERROR(VLOOKUP(BD_DETALLE!$B179,Tabla9[],4,0),0)</f>
        <v>600</v>
      </c>
      <c r="I179" s="135" t="s">
        <v>1218</v>
      </c>
      <c r="J179" s="136" t="s">
        <v>1547</v>
      </c>
      <c r="K179" s="137">
        <f>IFERROR(VLOOKUP(BD_DETALLE!$B179,Tabla9[],7,0),"")</f>
        <v>44285</v>
      </c>
      <c r="L179" s="138">
        <f>IFERROR(VLOOKUP(BD_DETALLE!$B179,Tabla9[],8,0),"")</f>
        <v>52301</v>
      </c>
      <c r="M179" s="139">
        <f ca="1">IFERROR(SUMIF(Tabla9[],BD_DETALLE!$B179,Tabla9[CANTIDAD2]),"")</f>
        <v>1200</v>
      </c>
      <c r="N179" s="140">
        <f>IFERROR(IF(BD_DETALLE!$B179&gt;0,VLOOKUP(BD_DETALLE!$B179,Tabla9[],10,0),""),"")</f>
        <v>44294</v>
      </c>
      <c r="O179" s="141">
        <f>IFERROR(VLOOKUP(BD_DETALLE!$B179,Tabla9[],11,0),0)</f>
        <v>11742</v>
      </c>
      <c r="P179" s="142">
        <f ca="1">SUMIF(Tabla9[],BD_DETALLE!$B179,Tabla9[CANTIDAD3])</f>
        <v>600</v>
      </c>
      <c r="Q179" s="143">
        <f ca="1">IF(BD_DETALLE!$P179&lt;=0,0,IF(BD_DETALLE!$P179=BD_DETALLE!$H179,2,1))</f>
        <v>2</v>
      </c>
      <c r="R179" s="144">
        <f ca="1">IF(BD_DETALLE!$C179&gt;0,(IF(BD_DETALLE!$N179=0,TODAY()-BD_DETALLE!$C179,BD_DETALLE!$N179-BD_DETALLE!$C179)),"")</f>
        <v>70</v>
      </c>
    </row>
    <row r="180" spans="2:18" x14ac:dyDescent="0.25">
      <c r="B180" s="128" t="str">
        <f t="shared" si="23"/>
        <v>2101-228-304271</v>
      </c>
      <c r="C180" s="129">
        <v>44224</v>
      </c>
      <c r="D180" s="130" t="str">
        <f>IF(BD_DETALLE!$E180&gt;=1,CONCATENATE(TEXT(BD_DETALLE!$C180,"YY"),TEXT(BD_DETALLE!$C180,"MM"),"-",BD_DETALLE!$E180),"")</f>
        <v>2101-228</v>
      </c>
      <c r="E180" s="131">
        <v>228</v>
      </c>
      <c r="F180" s="132">
        <v>304271</v>
      </c>
      <c r="G180" s="133" t="str">
        <f>IFERROR(VLOOKUP(BD_DETALLE!$B180,Tabla9[],6,0),"")</f>
        <v>TERMINAL TIPO PUNTERA CABLE # 18 (COMPRESION)</v>
      </c>
      <c r="H180" s="134">
        <f>IFERROR(VLOOKUP(BD_DETALLE!$B180,Tabla9[],4,0),0)</f>
        <v>1000</v>
      </c>
      <c r="I180" s="135" t="s">
        <v>1218</v>
      </c>
      <c r="J180" s="136" t="s">
        <v>1547</v>
      </c>
      <c r="K180" s="137">
        <f>IFERROR(VLOOKUP(BD_DETALLE!$B180,Tabla9[],7,0),"")</f>
        <v>44285</v>
      </c>
      <c r="L180" s="138">
        <f>IFERROR(VLOOKUP(BD_DETALLE!$B180,Tabla9[],8,0),"")</f>
        <v>52301</v>
      </c>
      <c r="M180" s="139">
        <f ca="1">IFERROR(SUMIF(Tabla9[],BD_DETALLE!$B180,Tabla9[CANTIDAD2]),"")</f>
        <v>1000</v>
      </c>
      <c r="N180" s="140">
        <f>IFERROR(IF(BD_DETALLE!$B180&gt;0,VLOOKUP(BD_DETALLE!$B180,Tabla9[],10,0),""),"")</f>
        <v>44294</v>
      </c>
      <c r="O180" s="141">
        <f>IFERROR(VLOOKUP(BD_DETALLE!$B180,Tabla9[],11,0),0)</f>
        <v>11740</v>
      </c>
      <c r="P180" s="142">
        <f ca="1">SUMIF(Tabla9[],BD_DETALLE!$B180,Tabla9[CANTIDAD3])</f>
        <v>1000</v>
      </c>
      <c r="Q180" s="143">
        <f ca="1">IF(BD_DETALLE!$P180&lt;=0,0,IF(BD_DETALLE!$P180=BD_DETALLE!$H180,2,1))</f>
        <v>2</v>
      </c>
      <c r="R180" s="144">
        <f ca="1">IF(BD_DETALLE!$C180&gt;0,(IF(BD_DETALLE!$N180=0,TODAY()-BD_DETALLE!$C180,BD_DETALLE!$N180-BD_DETALLE!$C180)),"")</f>
        <v>70</v>
      </c>
    </row>
    <row r="181" spans="2:18" x14ac:dyDescent="0.25">
      <c r="B181" s="128" t="str">
        <f t="shared" si="23"/>
        <v>2101-228-309883</v>
      </c>
      <c r="C181" s="129">
        <v>44224</v>
      </c>
      <c r="D181" s="130" t="str">
        <f>IF(BD_DETALLE!$E181&gt;=1,CONCATENATE(TEXT(BD_DETALLE!$C181,"YY"),TEXT(BD_DETALLE!$C181,"MM"),"-",BD_DETALLE!$E181),"")</f>
        <v>2101-228</v>
      </c>
      <c r="E181" s="131">
        <v>228</v>
      </c>
      <c r="F181" s="132">
        <v>309883</v>
      </c>
      <c r="G181" s="133" t="str">
        <f>IFERROR(VLOOKUP(BD_DETALLE!$B181,Tabla9[],6,0),"")</f>
        <v>TERMINAL PUNTERA DOBLE PARA CABLE N║ 18</v>
      </c>
      <c r="H181" s="134">
        <f>IFERROR(VLOOKUP(BD_DETALLE!$B181,Tabla9[],4,0),0)</f>
        <v>800</v>
      </c>
      <c r="I181" s="135" t="s">
        <v>1218</v>
      </c>
      <c r="J181" s="136" t="s">
        <v>1547</v>
      </c>
      <c r="K181" s="137">
        <f>IFERROR(VLOOKUP(BD_DETALLE!$B181,Tabla9[],7,0),"")</f>
        <v>0</v>
      </c>
      <c r="L181" s="138">
        <f>IFERROR(VLOOKUP(BD_DETALLE!$B181,Tabla9[],8,0),"")</f>
        <v>0</v>
      </c>
      <c r="M181" s="139">
        <f ca="1">IFERROR(SUMIF(Tabla9[],BD_DETALLE!$B181,Tabla9[CANTIDAD2]),"")</f>
        <v>0</v>
      </c>
      <c r="N181" s="140">
        <f>IFERROR(IF(BD_DETALLE!$B181&gt;0,VLOOKUP(BD_DETALLE!$B181,Tabla9[],10,0),""),"")</f>
        <v>0</v>
      </c>
      <c r="O181" s="141">
        <f>IFERROR(VLOOKUP(BD_DETALLE!$B181,Tabla9[],11,0),0)</f>
        <v>0</v>
      </c>
      <c r="P181" s="142">
        <f ca="1">SUMIF(Tabla9[],BD_DETALLE!$B181,Tabla9[CANTIDAD3])</f>
        <v>0</v>
      </c>
      <c r="Q181" s="143">
        <f ca="1">IF(BD_DETALLE!$P181&lt;=0,0,IF(BD_DETALLE!$P181=BD_DETALLE!$H181,2,1))</f>
        <v>0</v>
      </c>
      <c r="R181" s="144">
        <f ca="1">IF(BD_DETALLE!$C181&gt;0,(IF(BD_DETALLE!$N181=0,TODAY()-BD_DETALLE!$C181,BD_DETALLE!$N181-BD_DETALLE!$C181)),"")</f>
        <v>81</v>
      </c>
    </row>
    <row r="182" spans="2:18" x14ac:dyDescent="0.25">
      <c r="B182" s="128" t="str">
        <f t="shared" si="23"/>
        <v>2101-228-308224</v>
      </c>
      <c r="C182" s="129">
        <v>44224</v>
      </c>
      <c r="D182" s="130" t="str">
        <f>IF(BD_DETALLE!$E182&gt;=1,CONCATENATE(TEXT(BD_DETALLE!$C182,"YY"),TEXT(BD_DETALLE!$C182,"MM"),"-",BD_DETALLE!$E182),"")</f>
        <v>2101-228</v>
      </c>
      <c r="E182" s="131">
        <v>228</v>
      </c>
      <c r="F182" s="132">
        <v>308224</v>
      </c>
      <c r="G182" s="133" t="str">
        <f>IFERROR(VLOOKUP(BD_DETALLE!$B182,Tabla9[],6,0),"")</f>
        <v>MULTIMETRO DIGITAL INDUSTRIAL FLUKE87V+IMSK</v>
      </c>
      <c r="H182" s="134">
        <f>IFERROR(VLOOKUP(BD_DETALLE!$B182,Tabla9[],4,0),0)</f>
        <v>1</v>
      </c>
      <c r="I182" s="135" t="s">
        <v>1218</v>
      </c>
      <c r="J182" s="136" t="s">
        <v>1547</v>
      </c>
      <c r="K182" s="137">
        <f>IFERROR(VLOOKUP(BD_DETALLE!$B182,Tabla9[],7,0),"")</f>
        <v>44284</v>
      </c>
      <c r="L182" s="138">
        <f>IFERROR(VLOOKUP(BD_DETALLE!$B182,Tabla9[],8,0),"")</f>
        <v>52300</v>
      </c>
      <c r="M182" s="139">
        <f ca="1">IFERROR(SUMIF(Tabla9[],BD_DETALLE!$B182,Tabla9[CANTIDAD2]),"")</f>
        <v>1</v>
      </c>
      <c r="N182" s="140">
        <f>IFERROR(IF(BD_DETALLE!$B182&gt;0,VLOOKUP(BD_DETALLE!$B182,Tabla9[],10,0),""),"")</f>
        <v>44300</v>
      </c>
      <c r="O182" s="141">
        <f>IFERROR(VLOOKUP(BD_DETALLE!$B182,Tabla9[],11,0),0)</f>
        <v>11824</v>
      </c>
      <c r="P182" s="142">
        <f ca="1">SUMIF(Tabla9[],BD_DETALLE!$B182,Tabla9[CANTIDAD3])</f>
        <v>1</v>
      </c>
      <c r="Q182" s="143">
        <f ca="1">IF(BD_DETALLE!$P182&lt;=0,0,IF(BD_DETALLE!$P182=BD_DETALLE!$H182,2,1))</f>
        <v>2</v>
      </c>
      <c r="R182" s="144">
        <f ca="1">IF(BD_DETALLE!$C182&gt;0,(IF(BD_DETALLE!$N182=0,TODAY()-BD_DETALLE!$C182,BD_DETALLE!$N182-BD_DETALLE!$C182)),"")</f>
        <v>76</v>
      </c>
    </row>
    <row r="183" spans="2:18" x14ac:dyDescent="0.25">
      <c r="B183" s="128" t="str">
        <f t="shared" si="23"/>
        <v>2101-228-106405</v>
      </c>
      <c r="C183" s="129">
        <v>44224</v>
      </c>
      <c r="D183" s="130" t="str">
        <f>IF(BD_DETALLE!$E183&gt;=1,CONCATENATE(TEXT(BD_DETALLE!$C183,"YY"),TEXT(BD_DETALLE!$C183,"MM"),"-",BD_DETALLE!$E183),"")</f>
        <v>2101-228</v>
      </c>
      <c r="E183" s="131">
        <v>228</v>
      </c>
      <c r="F183" s="132">
        <v>106405</v>
      </c>
      <c r="G183" s="133" t="str">
        <f>IFERROR(VLOOKUP(BD_DETALLE!$B183,Tabla9[],6,0),"")</f>
        <v>PINTURA ANTICORROSIVO AZUL FRANCES</v>
      </c>
      <c r="H183" s="134">
        <f>IFERROR(VLOOKUP(BD_DETALLE!$B183,Tabla9[],4,0),0)</f>
        <v>5</v>
      </c>
      <c r="I183" s="135" t="s">
        <v>1218</v>
      </c>
      <c r="J183" s="136" t="s">
        <v>1547</v>
      </c>
      <c r="K183" s="137">
        <f>IFERROR(VLOOKUP(BD_DETALLE!$B183,Tabla9[],7,0),"")</f>
        <v>0</v>
      </c>
      <c r="L183" s="138">
        <f>IFERROR(VLOOKUP(BD_DETALLE!$B183,Tabla9[],8,0),"")</f>
        <v>0</v>
      </c>
      <c r="M183" s="139">
        <f ca="1">IFERROR(SUMIF(Tabla9[],BD_DETALLE!$B183,Tabla9[CANTIDAD2]),"")</f>
        <v>0</v>
      </c>
      <c r="N183" s="140">
        <f>IFERROR(IF(BD_DETALLE!$B183&gt;0,VLOOKUP(BD_DETALLE!$B183,Tabla9[],10,0),""),"")</f>
        <v>0</v>
      </c>
      <c r="O183" s="141">
        <f>IFERROR(VLOOKUP(BD_DETALLE!$B183,Tabla9[],11,0),0)</f>
        <v>0</v>
      </c>
      <c r="P183" s="142">
        <f ca="1">SUMIF(Tabla9[],BD_DETALLE!$B183,Tabla9[CANTIDAD3])</f>
        <v>0</v>
      </c>
      <c r="Q183" s="143">
        <f ca="1">IF(BD_DETALLE!$P183&lt;=0,0,IF(BD_DETALLE!$P183=BD_DETALLE!$H183,2,1))</f>
        <v>0</v>
      </c>
      <c r="R183" s="144">
        <f ca="1">IF(BD_DETALLE!$C183&gt;0,(IF(BD_DETALLE!$N183=0,TODAY()-BD_DETALLE!$C183,BD_DETALLE!$N183-BD_DETALLE!$C183)),"")</f>
        <v>81</v>
      </c>
    </row>
    <row r="184" spans="2:18" x14ac:dyDescent="0.25">
      <c r="B184" s="128" t="str">
        <f t="shared" si="23"/>
        <v>2101-228-205091</v>
      </c>
      <c r="C184" s="129">
        <v>44224</v>
      </c>
      <c r="D184" s="130" t="str">
        <f>IF(BD_DETALLE!$E184&gt;=1,CONCATENATE(TEXT(BD_DETALLE!$C184,"YY"),TEXT(BD_DETALLE!$C184,"MM"),"-",BD_DETALLE!$E184),"")</f>
        <v>2101-228</v>
      </c>
      <c r="E184" s="131">
        <v>228</v>
      </c>
      <c r="F184" s="132">
        <v>205091</v>
      </c>
      <c r="G184" s="133" t="str">
        <f>IFERROR(VLOOKUP(BD_DETALLE!$B184,Tabla9[],6,0),"")</f>
        <v>ABRAZADERA DE TUBO DE 1/2" PARA CHANEL</v>
      </c>
      <c r="H184" s="134">
        <f>IFERROR(VLOOKUP(BD_DETALLE!$B184,Tabla9[],4,0),0)</f>
        <v>30</v>
      </c>
      <c r="I184" s="135" t="s">
        <v>1218</v>
      </c>
      <c r="J184" s="136" t="s">
        <v>1547</v>
      </c>
      <c r="K184" s="137">
        <f>IFERROR(VLOOKUP(BD_DETALLE!$B184,Tabla9[],7,0),"")</f>
        <v>44285</v>
      </c>
      <c r="L184" s="138">
        <f>IFERROR(VLOOKUP(BD_DETALLE!$B184,Tabla9[],8,0),"")</f>
        <v>52301</v>
      </c>
      <c r="M184" s="139">
        <f ca="1">IFERROR(SUMIF(Tabla9[],BD_DETALLE!$B184,Tabla9[CANTIDAD2]),"")</f>
        <v>30</v>
      </c>
      <c r="N184" s="140">
        <f>IFERROR(IF(BD_DETALLE!$B184&gt;0,VLOOKUP(BD_DETALLE!$B184,Tabla9[],10,0),""),"")</f>
        <v>44294</v>
      </c>
      <c r="O184" s="141">
        <f>IFERROR(VLOOKUP(BD_DETALLE!$B184,Tabla9[],11,0),0)</f>
        <v>11740</v>
      </c>
      <c r="P184" s="142">
        <f ca="1">SUMIF(Tabla9[],BD_DETALLE!$B184,Tabla9[CANTIDAD3])</f>
        <v>30</v>
      </c>
      <c r="Q184" s="143">
        <f ca="1">IF(BD_DETALLE!$P184&lt;=0,0,IF(BD_DETALLE!$P184=BD_DETALLE!$H184,2,1))</f>
        <v>2</v>
      </c>
      <c r="R184" s="144">
        <f ca="1">IF(BD_DETALLE!$C184&gt;0,(IF(BD_DETALLE!$N184=0,TODAY()-BD_DETALLE!$C184,BD_DETALLE!$N184-BD_DETALLE!$C184)),"")</f>
        <v>70</v>
      </c>
    </row>
    <row r="185" spans="2:18" x14ac:dyDescent="0.25">
      <c r="B185" s="128" t="str">
        <f t="shared" si="23"/>
        <v>2101-228-204417</v>
      </c>
      <c r="C185" s="129">
        <v>44224</v>
      </c>
      <c r="D185" s="130" t="str">
        <f>IF(BD_DETALLE!$E185&gt;=1,CONCATENATE(TEXT(BD_DETALLE!$C185,"YY"),TEXT(BD_DETALLE!$C185,"MM"),"-",BD_DETALLE!$E185),"")</f>
        <v>2101-228</v>
      </c>
      <c r="E185" s="131">
        <v>228</v>
      </c>
      <c r="F185" s="132">
        <v>204417</v>
      </c>
      <c r="G185" s="133" t="str">
        <f>IFERROR(VLOOKUP(BD_DETALLE!$B185,Tabla9[],6,0),"")</f>
        <v>ABRAZADERA DE TUBO DE 3/4" PARA CHANEL</v>
      </c>
      <c r="H185" s="134">
        <f>IFERROR(VLOOKUP(BD_DETALLE!$B185,Tabla9[],4,0),0)</f>
        <v>15</v>
      </c>
      <c r="I185" s="135" t="s">
        <v>1218</v>
      </c>
      <c r="J185" s="136" t="s">
        <v>1547</v>
      </c>
      <c r="K185" s="137">
        <f>IFERROR(VLOOKUP(BD_DETALLE!$B185,Tabla9[],7,0),"")</f>
        <v>44285</v>
      </c>
      <c r="L185" s="138">
        <f>IFERROR(VLOOKUP(BD_DETALLE!$B185,Tabla9[],8,0),"")</f>
        <v>52301</v>
      </c>
      <c r="M185" s="139">
        <f ca="1">IFERROR(SUMIF(Tabla9[],BD_DETALLE!$B185,Tabla9[CANTIDAD2]),"")</f>
        <v>15</v>
      </c>
      <c r="N185" s="140">
        <f>IFERROR(IF(BD_DETALLE!$B185&gt;0,VLOOKUP(BD_DETALLE!$B185,Tabla9[],10,0),""),"")</f>
        <v>44294</v>
      </c>
      <c r="O185" s="141">
        <f>IFERROR(VLOOKUP(BD_DETALLE!$B185,Tabla9[],11,0),0)</f>
        <v>11740</v>
      </c>
      <c r="P185" s="142">
        <f ca="1">SUMIF(Tabla9[],BD_DETALLE!$B185,Tabla9[CANTIDAD3])</f>
        <v>15</v>
      </c>
      <c r="Q185" s="143">
        <f ca="1">IF(BD_DETALLE!$P185&lt;=0,0,IF(BD_DETALLE!$P185=BD_DETALLE!$H185,2,1))</f>
        <v>2</v>
      </c>
      <c r="R185" s="144">
        <f ca="1">IF(BD_DETALLE!$C185&gt;0,(IF(BD_DETALLE!$N185=0,TODAY()-BD_DETALLE!$C185,BD_DETALLE!$N185-BD_DETALLE!$C185)),"")</f>
        <v>70</v>
      </c>
    </row>
    <row r="186" spans="2:18" x14ac:dyDescent="0.25">
      <c r="B186" s="128" t="str">
        <f t="shared" si="23"/>
        <v>2101-228-204416</v>
      </c>
      <c r="C186" s="129">
        <v>44224</v>
      </c>
      <c r="D186" s="130" t="str">
        <f>IF(BD_DETALLE!$E186&gt;=1,CONCATENATE(TEXT(BD_DETALLE!$C186,"YY"),TEXT(BD_DETALLE!$C186,"MM"),"-",BD_DETALLE!$E186),"")</f>
        <v>2101-228</v>
      </c>
      <c r="E186" s="131">
        <v>228</v>
      </c>
      <c r="F186" s="132">
        <v>204416</v>
      </c>
      <c r="G186" s="133" t="str">
        <f>IFERROR(VLOOKUP(BD_DETALLE!$B186,Tabla9[],6,0),"")</f>
        <v>ABRAZADERA DE TUBO DE 1" PARA CHANEL</v>
      </c>
      <c r="H186" s="134">
        <f>IFERROR(VLOOKUP(BD_DETALLE!$B186,Tabla9[],4,0),0)</f>
        <v>30</v>
      </c>
      <c r="I186" s="135" t="s">
        <v>1218</v>
      </c>
      <c r="J186" s="136" t="s">
        <v>1547</v>
      </c>
      <c r="K186" s="137">
        <f>IFERROR(VLOOKUP(BD_DETALLE!$B186,Tabla9[],7,0),"")</f>
        <v>44285</v>
      </c>
      <c r="L186" s="138">
        <f>IFERROR(VLOOKUP(BD_DETALLE!$B186,Tabla9[],8,0),"")</f>
        <v>52301</v>
      </c>
      <c r="M186" s="139">
        <f ca="1">IFERROR(SUMIF(Tabla9[],BD_DETALLE!$B186,Tabla9[CANTIDAD2]),"")</f>
        <v>30</v>
      </c>
      <c r="N186" s="140">
        <f>IFERROR(IF(BD_DETALLE!$B186&gt;0,VLOOKUP(BD_DETALLE!$B186,Tabla9[],10,0),""),"")</f>
        <v>44294</v>
      </c>
      <c r="O186" s="141">
        <f>IFERROR(VLOOKUP(BD_DETALLE!$B186,Tabla9[],11,0),0)</f>
        <v>11740</v>
      </c>
      <c r="P186" s="142">
        <f ca="1">SUMIF(Tabla9[],BD_DETALLE!$B186,Tabla9[CANTIDAD3])</f>
        <v>30</v>
      </c>
      <c r="Q186" s="143">
        <f ca="1">IF(BD_DETALLE!$P186&lt;=0,0,IF(BD_DETALLE!$P186=BD_DETALLE!$H186,2,1))</f>
        <v>2</v>
      </c>
      <c r="R186" s="144">
        <f ca="1">IF(BD_DETALLE!$C186&gt;0,(IF(BD_DETALLE!$N186=0,TODAY()-BD_DETALLE!$C186,BD_DETALLE!$N186-BD_DETALLE!$C186)),"")</f>
        <v>70</v>
      </c>
    </row>
    <row r="187" spans="2:18" x14ac:dyDescent="0.25">
      <c r="B187" s="128" t="str">
        <f t="shared" si="23"/>
        <v>2101-228-300933</v>
      </c>
      <c r="C187" s="129">
        <v>44224</v>
      </c>
      <c r="D187" s="130" t="str">
        <f>IF(BD_DETALLE!$E187&gt;=1,CONCATENATE(TEXT(BD_DETALLE!$C187,"YY"),TEXT(BD_DETALLE!$C187,"MM"),"-",BD_DETALLE!$E187),"")</f>
        <v>2101-228</v>
      </c>
      <c r="E187" s="131">
        <v>228</v>
      </c>
      <c r="F187" s="132">
        <v>300933</v>
      </c>
      <c r="G187" s="133" t="str">
        <f>IFERROR(VLOOKUP(BD_DETALLE!$B187,Tabla9[],6,0),"")</f>
        <v>ABRAZADERA DE TUBO DE 1-1/2" PARA CHANEL</v>
      </c>
      <c r="H187" s="134">
        <f>IFERROR(VLOOKUP(BD_DETALLE!$B187,Tabla9[],4,0),0)</f>
        <v>20</v>
      </c>
      <c r="I187" s="135" t="s">
        <v>1218</v>
      </c>
      <c r="J187" s="136" t="s">
        <v>1547</v>
      </c>
      <c r="K187" s="137">
        <f>IFERROR(VLOOKUP(BD_DETALLE!$B187,Tabla9[],7,0),"")</f>
        <v>44285</v>
      </c>
      <c r="L187" s="138">
        <f>IFERROR(VLOOKUP(BD_DETALLE!$B187,Tabla9[],8,0),"")</f>
        <v>52301</v>
      </c>
      <c r="M187" s="139">
        <f ca="1">IFERROR(SUMIF(Tabla9[],BD_DETALLE!$B187,Tabla9[CANTIDAD2]),"")</f>
        <v>20</v>
      </c>
      <c r="N187" s="140">
        <f>IFERROR(IF(BD_DETALLE!$B187&gt;0,VLOOKUP(BD_DETALLE!$B187,Tabla9[],10,0),""),"")</f>
        <v>44294</v>
      </c>
      <c r="O187" s="141">
        <f>IFERROR(VLOOKUP(BD_DETALLE!$B187,Tabla9[],11,0),0)</f>
        <v>11740</v>
      </c>
      <c r="P187" s="142">
        <f ca="1">SUMIF(Tabla9[],BD_DETALLE!$B187,Tabla9[CANTIDAD3])</f>
        <v>20</v>
      </c>
      <c r="Q187" s="143">
        <f ca="1">IF(BD_DETALLE!$P187&lt;=0,0,IF(BD_DETALLE!$P187=BD_DETALLE!$H187,2,1))</f>
        <v>2</v>
      </c>
      <c r="R187" s="144">
        <f ca="1">IF(BD_DETALLE!$C187&gt;0,(IF(BD_DETALLE!$N187=0,TODAY()-BD_DETALLE!$C187,BD_DETALLE!$N187-BD_DETALLE!$C187)),"")</f>
        <v>70</v>
      </c>
    </row>
    <row r="188" spans="2:18" x14ac:dyDescent="0.25">
      <c r="B188" s="128" t="str">
        <f t="shared" si="23"/>
        <v>2101-228-203233</v>
      </c>
      <c r="C188" s="129">
        <v>44224</v>
      </c>
      <c r="D188" s="130" t="str">
        <f>IF(BD_DETALLE!$E188&gt;=1,CONCATENATE(TEXT(BD_DETALLE!$C188,"YY"),TEXT(BD_DETALLE!$C188,"MM"),"-",BD_DETALLE!$E188),"")</f>
        <v>2101-228</v>
      </c>
      <c r="E188" s="131">
        <v>228</v>
      </c>
      <c r="F188" s="132">
        <v>203233</v>
      </c>
      <c r="G188" s="133" t="str">
        <f>IFERROR(VLOOKUP(BD_DETALLE!$B188,Tabla9[],6,0),"")</f>
        <v>TUBO EMT DE 1-1/2" x 3MTRS</v>
      </c>
      <c r="H188" s="134">
        <f>IFERROR(VLOOKUP(BD_DETALLE!$B188,Tabla9[],4,0),0)</f>
        <v>10</v>
      </c>
      <c r="I188" s="135" t="s">
        <v>1218</v>
      </c>
      <c r="J188" s="136" t="s">
        <v>1547</v>
      </c>
      <c r="K188" s="137">
        <f>IFERROR(VLOOKUP(BD_DETALLE!$B188,Tabla9[],7,0),"")</f>
        <v>44285</v>
      </c>
      <c r="L188" s="138">
        <f>IFERROR(VLOOKUP(BD_DETALLE!$B188,Tabla9[],8,0),"")</f>
        <v>52301</v>
      </c>
      <c r="M188" s="139">
        <f ca="1">IFERROR(SUMIF(Tabla9[],BD_DETALLE!$B188,Tabla9[CANTIDAD2]),"")</f>
        <v>10</v>
      </c>
      <c r="N188" s="140">
        <f>IFERROR(IF(BD_DETALLE!$B188&gt;0,VLOOKUP(BD_DETALLE!$B188,Tabla9[],10,0),""),"")</f>
        <v>44294</v>
      </c>
      <c r="O188" s="141">
        <f>IFERROR(VLOOKUP(BD_DETALLE!$B188,Tabla9[],11,0),0)</f>
        <v>11742</v>
      </c>
      <c r="P188" s="142">
        <f ca="1">SUMIF(Tabla9[],BD_DETALLE!$B188,Tabla9[CANTIDAD3])</f>
        <v>10</v>
      </c>
      <c r="Q188" s="143">
        <f ca="1">IF(BD_DETALLE!$P188&lt;=0,0,IF(BD_DETALLE!$P188=BD_DETALLE!$H188,2,1))</f>
        <v>2</v>
      </c>
      <c r="R188" s="144">
        <f ca="1">IF(BD_DETALLE!$C188&gt;0,(IF(BD_DETALLE!$N188=0,TODAY()-BD_DETALLE!$C188,BD_DETALLE!$N188-BD_DETALLE!$C188)),"")</f>
        <v>70</v>
      </c>
    </row>
    <row r="189" spans="2:18" x14ac:dyDescent="0.25">
      <c r="B189" s="128" t="str">
        <f t="shared" si="23"/>
        <v>2101-228-203972</v>
      </c>
      <c r="C189" s="129">
        <v>44224</v>
      </c>
      <c r="D189" s="130" t="str">
        <f>IF(BD_DETALLE!$E189&gt;=1,CONCATENATE(TEXT(BD_DETALLE!$C189,"YY"),TEXT(BD_DETALLE!$C189,"MM"),"-",BD_DETALLE!$E189),"")</f>
        <v>2101-228</v>
      </c>
      <c r="E189" s="131">
        <v>228</v>
      </c>
      <c r="F189" s="132">
        <v>203972</v>
      </c>
      <c r="G189" s="133" t="str">
        <f>IFERROR(VLOOKUP(BD_DETALLE!$B189,Tabla9[],6,0),"")</f>
        <v>TUBO EMT DE 1" x 3MTS</v>
      </c>
      <c r="H189" s="134">
        <f>IFERROR(VLOOKUP(BD_DETALLE!$B189,Tabla9[],4,0),0)</f>
        <v>15</v>
      </c>
      <c r="I189" s="135" t="s">
        <v>1218</v>
      </c>
      <c r="J189" s="136" t="s">
        <v>1547</v>
      </c>
      <c r="K189" s="137">
        <f>IFERROR(VLOOKUP(BD_DETALLE!$B189,Tabla9[],7,0),"")</f>
        <v>44285</v>
      </c>
      <c r="L189" s="138">
        <f>IFERROR(VLOOKUP(BD_DETALLE!$B189,Tabla9[],8,0),"")</f>
        <v>52301</v>
      </c>
      <c r="M189" s="139">
        <f ca="1">IFERROR(SUMIF(Tabla9[],BD_DETALLE!$B189,Tabla9[CANTIDAD2]),"")</f>
        <v>30</v>
      </c>
      <c r="N189" s="140">
        <f>IFERROR(IF(BD_DETALLE!$B189&gt;0,VLOOKUP(BD_DETALLE!$B189,Tabla9[],10,0),""),"")</f>
        <v>44294</v>
      </c>
      <c r="O189" s="141">
        <f>IFERROR(VLOOKUP(BD_DETALLE!$B189,Tabla9[],11,0),0)</f>
        <v>11742</v>
      </c>
      <c r="P189" s="142">
        <f ca="1">SUMIF(Tabla9[],BD_DETALLE!$B189,Tabla9[CANTIDAD3])</f>
        <v>15</v>
      </c>
      <c r="Q189" s="143">
        <f ca="1">IF(BD_DETALLE!$P189&lt;=0,0,IF(BD_DETALLE!$P189=BD_DETALLE!$H189,2,1))</f>
        <v>2</v>
      </c>
      <c r="R189" s="144">
        <f ca="1">IF(BD_DETALLE!$C189&gt;0,(IF(BD_DETALLE!$N189=0,TODAY()-BD_DETALLE!$C189,BD_DETALLE!$N189-BD_DETALLE!$C189)),"")</f>
        <v>70</v>
      </c>
    </row>
    <row r="190" spans="2:18" x14ac:dyDescent="0.25">
      <c r="B190" s="128" t="str">
        <f t="shared" si="23"/>
        <v>2101-228-204410</v>
      </c>
      <c r="C190" s="129">
        <v>44224</v>
      </c>
      <c r="D190" s="130" t="str">
        <f>IF(BD_DETALLE!$E190&gt;=1,CONCATENATE(TEXT(BD_DETALLE!$C190,"YY"),TEXT(BD_DETALLE!$C190,"MM"),"-",BD_DETALLE!$E190),"")</f>
        <v>2101-228</v>
      </c>
      <c r="E190" s="131">
        <v>228</v>
      </c>
      <c r="F190" s="132">
        <v>204410</v>
      </c>
      <c r="G190" s="133" t="str">
        <f>IFERROR(VLOOKUP(BD_DETALLE!$B190,Tabla9[],6,0),"")</f>
        <v>TUBO EMT DE 3/4" x 3MTS</v>
      </c>
      <c r="H190" s="134">
        <f>IFERROR(VLOOKUP(BD_DETALLE!$B190,Tabla9[],4,0),0)</f>
        <v>10</v>
      </c>
      <c r="I190" s="135" t="s">
        <v>1218</v>
      </c>
      <c r="J190" s="136" t="s">
        <v>1547</v>
      </c>
      <c r="K190" s="137">
        <f>IFERROR(VLOOKUP(BD_DETALLE!$B190,Tabla9[],7,0),"")</f>
        <v>44285</v>
      </c>
      <c r="L190" s="138">
        <f>IFERROR(VLOOKUP(BD_DETALLE!$B190,Tabla9[],8,0),"")</f>
        <v>52301</v>
      </c>
      <c r="M190" s="139">
        <f ca="1">IFERROR(SUMIF(Tabla9[],BD_DETALLE!$B190,Tabla9[CANTIDAD2]),"")</f>
        <v>10</v>
      </c>
      <c r="N190" s="140">
        <f>IFERROR(IF(BD_DETALLE!$B190&gt;0,VLOOKUP(BD_DETALLE!$B190,Tabla9[],10,0),""),"")</f>
        <v>44294</v>
      </c>
      <c r="O190" s="141">
        <f>IFERROR(VLOOKUP(BD_DETALLE!$B190,Tabla9[],11,0),0)</f>
        <v>11742</v>
      </c>
      <c r="P190" s="142">
        <f ca="1">SUMIF(Tabla9[],BD_DETALLE!$B190,Tabla9[CANTIDAD3])</f>
        <v>10</v>
      </c>
      <c r="Q190" s="143">
        <f ca="1">IF(BD_DETALLE!$P190&lt;=0,0,IF(BD_DETALLE!$P190=BD_DETALLE!$H190,2,1))</f>
        <v>2</v>
      </c>
      <c r="R190" s="144">
        <f ca="1">IF(BD_DETALLE!$C190&gt;0,(IF(BD_DETALLE!$N190=0,TODAY()-BD_DETALLE!$C190,BD_DETALLE!$N190-BD_DETALLE!$C190)),"")</f>
        <v>70</v>
      </c>
    </row>
    <row r="191" spans="2:18" x14ac:dyDescent="0.25">
      <c r="B191" s="128" t="str">
        <f t="shared" si="23"/>
        <v>2101-228-300915</v>
      </c>
      <c r="C191" s="129">
        <v>44224</v>
      </c>
      <c r="D191" s="130" t="str">
        <f>IF(BD_DETALLE!$E191&gt;=1,CONCATENATE(TEXT(BD_DETALLE!$C191,"YY"),TEXT(BD_DETALLE!$C191,"MM"),"-",BD_DETALLE!$E191),"")</f>
        <v>2101-228</v>
      </c>
      <c r="E191" s="131">
        <v>228</v>
      </c>
      <c r="F191" s="132">
        <v>300915</v>
      </c>
      <c r="G191" s="133" t="str">
        <f>IFERROR(VLOOKUP(BD_DETALLE!$B191,Tabla9[],6,0),"")</f>
        <v>TUBO EMT DE 1/2" x 3MTR</v>
      </c>
      <c r="H191" s="134">
        <f>IFERROR(VLOOKUP(BD_DETALLE!$B191,Tabla9[],4,0),0)</f>
        <v>15</v>
      </c>
      <c r="I191" s="135" t="s">
        <v>1218</v>
      </c>
      <c r="J191" s="136" t="s">
        <v>1547</v>
      </c>
      <c r="K191" s="137">
        <f>IFERROR(VLOOKUP(BD_DETALLE!$B191,Tabla9[],7,0),"")</f>
        <v>44285</v>
      </c>
      <c r="L191" s="138">
        <f>IFERROR(VLOOKUP(BD_DETALLE!$B191,Tabla9[],8,0),"")</f>
        <v>52301</v>
      </c>
      <c r="M191" s="139">
        <f ca="1">IFERROR(SUMIF(Tabla9[],BD_DETALLE!$B191,Tabla9[CANTIDAD2]),"")</f>
        <v>15</v>
      </c>
      <c r="N191" s="140">
        <f>IFERROR(IF(BD_DETALLE!$B191&gt;0,VLOOKUP(BD_DETALLE!$B191,Tabla9[],10,0),""),"")</f>
        <v>44294</v>
      </c>
      <c r="O191" s="141">
        <f>IFERROR(VLOOKUP(BD_DETALLE!$B191,Tabla9[],11,0),0)</f>
        <v>11742</v>
      </c>
      <c r="P191" s="142">
        <f ca="1">SUMIF(Tabla9[],BD_DETALLE!$B191,Tabla9[CANTIDAD3])</f>
        <v>15</v>
      </c>
      <c r="Q191" s="143">
        <f ca="1">IF(BD_DETALLE!$P191&lt;=0,0,IF(BD_DETALLE!$P191=BD_DETALLE!$H191,2,1))</f>
        <v>2</v>
      </c>
      <c r="R191" s="144">
        <f ca="1">IF(BD_DETALLE!$C191&gt;0,(IF(BD_DETALLE!$N191=0,TODAY()-BD_DETALLE!$C191,BD_DETALLE!$N191-BD_DETALLE!$C191)),"")</f>
        <v>70</v>
      </c>
    </row>
    <row r="192" spans="2:18" x14ac:dyDescent="0.25">
      <c r="B192" s="128" t="str">
        <f t="shared" si="23"/>
        <v>2101-228-203980</v>
      </c>
      <c r="C192" s="129">
        <v>44224</v>
      </c>
      <c r="D192" s="130" t="str">
        <f>IF(BD_DETALLE!$E192&gt;=1,CONCATENATE(TEXT(BD_DETALLE!$C192,"YY"),TEXT(BD_DETALLE!$C192,"MM"),"-",BD_DETALLE!$E192),"")</f>
        <v>2101-228</v>
      </c>
      <c r="E192" s="131">
        <v>228</v>
      </c>
      <c r="F192" s="132">
        <v>203980</v>
      </c>
      <c r="G192" s="133" t="str">
        <f>IFERROR(VLOOKUP(BD_DETALLE!$B192,Tabla9[],6,0),"")</f>
        <v>CONDULECT TIPO "L"  DE 3/4"</v>
      </c>
      <c r="H192" s="134">
        <f>IFERROR(VLOOKUP(BD_DETALLE!$B192,Tabla9[],4,0),0)</f>
        <v>15</v>
      </c>
      <c r="I192" s="135" t="s">
        <v>1218</v>
      </c>
      <c r="J192" s="136" t="s">
        <v>1547</v>
      </c>
      <c r="K192" s="137">
        <f>IFERROR(VLOOKUP(BD_DETALLE!$B192,Tabla9[],7,0),"")</f>
        <v>44285</v>
      </c>
      <c r="L192" s="138">
        <f>IFERROR(VLOOKUP(BD_DETALLE!$B192,Tabla9[],8,0),"")</f>
        <v>52301</v>
      </c>
      <c r="M192" s="139">
        <f ca="1">IFERROR(SUMIF(Tabla9[],BD_DETALLE!$B192,Tabla9[CANTIDAD2]),"")</f>
        <v>15</v>
      </c>
      <c r="N192" s="140">
        <f>IFERROR(IF(BD_DETALLE!$B192&gt;0,VLOOKUP(BD_DETALLE!$B192,Tabla9[],10,0),""),"")</f>
        <v>44294</v>
      </c>
      <c r="O192" s="141">
        <f>IFERROR(VLOOKUP(BD_DETALLE!$B192,Tabla9[],11,0),0)</f>
        <v>11740</v>
      </c>
      <c r="P192" s="142">
        <f ca="1">SUMIF(Tabla9[],BD_DETALLE!$B192,Tabla9[CANTIDAD3])</f>
        <v>15</v>
      </c>
      <c r="Q192" s="143">
        <f ca="1">IF(BD_DETALLE!$P192&lt;=0,0,IF(BD_DETALLE!$P192=BD_DETALLE!$H192,2,1))</f>
        <v>2</v>
      </c>
      <c r="R192" s="144">
        <f ca="1">IF(BD_DETALLE!$C192&gt;0,(IF(BD_DETALLE!$N192=0,TODAY()-BD_DETALLE!$C192,BD_DETALLE!$N192-BD_DETALLE!$C192)),"")</f>
        <v>70</v>
      </c>
    </row>
    <row r="193" spans="2:18" x14ac:dyDescent="0.25">
      <c r="B193" s="128" t="str">
        <f t="shared" si="23"/>
        <v>2101-228-202694</v>
      </c>
      <c r="C193" s="129">
        <v>44224</v>
      </c>
      <c r="D193" s="130" t="str">
        <f>IF(BD_DETALLE!$E193&gt;=1,CONCATENATE(TEXT(BD_DETALLE!$C193,"YY"),TEXT(BD_DETALLE!$C193,"MM"),"-",BD_DETALLE!$E193),"")</f>
        <v>2101-228</v>
      </c>
      <c r="E193" s="131">
        <v>228</v>
      </c>
      <c r="F193" s="132">
        <v>202694</v>
      </c>
      <c r="G193" s="133" t="str">
        <f>IFERROR(VLOOKUP(BD_DETALLE!$B193,Tabla9[],6,0),"")</f>
        <v>CONDULECT  TIPO "L"  DE 1"</v>
      </c>
      <c r="H193" s="134">
        <f>IFERROR(VLOOKUP(BD_DETALLE!$B193,Tabla9[],4,0),0)</f>
        <v>20</v>
      </c>
      <c r="I193" s="135" t="s">
        <v>1218</v>
      </c>
      <c r="J193" s="136" t="s">
        <v>1547</v>
      </c>
      <c r="K193" s="137">
        <f>IFERROR(VLOOKUP(BD_DETALLE!$B193,Tabla9[],7,0),"")</f>
        <v>44285</v>
      </c>
      <c r="L193" s="138">
        <f>IFERROR(VLOOKUP(BD_DETALLE!$B193,Tabla9[],8,0),"")</f>
        <v>52301</v>
      </c>
      <c r="M193" s="139">
        <f ca="1">IFERROR(SUMIF(Tabla9[],BD_DETALLE!$B193,Tabla9[CANTIDAD2]),"")</f>
        <v>20</v>
      </c>
      <c r="N193" s="140">
        <f>IFERROR(IF(BD_DETALLE!$B193&gt;0,VLOOKUP(BD_DETALLE!$B193,Tabla9[],10,0),""),"")</f>
        <v>44294</v>
      </c>
      <c r="O193" s="141">
        <f>IFERROR(VLOOKUP(BD_DETALLE!$B193,Tabla9[],11,0),0)</f>
        <v>11740</v>
      </c>
      <c r="P193" s="142">
        <f ca="1">SUMIF(Tabla9[],BD_DETALLE!$B193,Tabla9[CANTIDAD3])</f>
        <v>20</v>
      </c>
      <c r="Q193" s="143">
        <f ca="1">IF(BD_DETALLE!$P193&lt;=0,0,IF(BD_DETALLE!$P193=BD_DETALLE!$H193,2,1))</f>
        <v>2</v>
      </c>
      <c r="R193" s="144">
        <f ca="1">IF(BD_DETALLE!$C193&gt;0,(IF(BD_DETALLE!$N193=0,TODAY()-BD_DETALLE!$C193,BD_DETALLE!$N193-BD_DETALLE!$C193)),"")</f>
        <v>70</v>
      </c>
    </row>
    <row r="194" spans="2:18" x14ac:dyDescent="0.25">
      <c r="B194" s="128" t="str">
        <f t="shared" si="23"/>
        <v>2101-228-201048</v>
      </c>
      <c r="C194" s="129">
        <v>44224</v>
      </c>
      <c r="D194" s="130" t="str">
        <f>IF(BD_DETALLE!$E194&gt;=1,CONCATENATE(TEXT(BD_DETALLE!$C194,"YY"),TEXT(BD_DETALLE!$C194,"MM"),"-",BD_DETALLE!$E194),"")</f>
        <v>2101-228</v>
      </c>
      <c r="E194" s="131">
        <v>228</v>
      </c>
      <c r="F194" s="132">
        <v>201048</v>
      </c>
      <c r="G194" s="133" t="str">
        <f>IFERROR(VLOOKUP(BD_DETALLE!$B194,Tabla9[],6,0),"")</f>
        <v>FUNDA SELLADA DE 1/2" PARA CABLE ELECTRICO</v>
      </c>
      <c r="H194" s="134">
        <f>IFERROR(VLOOKUP(BD_DETALLE!$B194,Tabla9[],4,0),0)</f>
        <v>20</v>
      </c>
      <c r="I194" s="135" t="s">
        <v>1218</v>
      </c>
      <c r="J194" s="136" t="s">
        <v>1547</v>
      </c>
      <c r="K194" s="137">
        <f>IFERROR(VLOOKUP(BD_DETALLE!$B194,Tabla9[],7,0),"")</f>
        <v>44285</v>
      </c>
      <c r="L194" s="138">
        <f>IFERROR(VLOOKUP(BD_DETALLE!$B194,Tabla9[],8,0),"")</f>
        <v>52301</v>
      </c>
      <c r="M194" s="139">
        <f ca="1">IFERROR(SUMIF(Tabla9[],BD_DETALLE!$B194,Tabla9[CANTIDAD2]),"")</f>
        <v>20</v>
      </c>
      <c r="N194" s="140">
        <f>IFERROR(IF(BD_DETALLE!$B194&gt;0,VLOOKUP(BD_DETALLE!$B194,Tabla9[],10,0),""),"")</f>
        <v>44294</v>
      </c>
      <c r="O194" s="141">
        <f>IFERROR(VLOOKUP(BD_DETALLE!$B194,Tabla9[],11,0),0)</f>
        <v>11740</v>
      </c>
      <c r="P194" s="142">
        <f ca="1">SUMIF(Tabla9[],BD_DETALLE!$B194,Tabla9[CANTIDAD3])</f>
        <v>20</v>
      </c>
      <c r="Q194" s="143">
        <f ca="1">IF(BD_DETALLE!$P194&lt;=0,0,IF(BD_DETALLE!$P194=BD_DETALLE!$H194,2,1))</f>
        <v>2</v>
      </c>
      <c r="R194" s="144">
        <f ca="1">IF(BD_DETALLE!$C194&gt;0,(IF(BD_DETALLE!$N194=0,TODAY()-BD_DETALLE!$C194,BD_DETALLE!$N194-BD_DETALLE!$C194)),"")</f>
        <v>70</v>
      </c>
    </row>
    <row r="195" spans="2:18" x14ac:dyDescent="0.25">
      <c r="B195" s="128" t="str">
        <f t="shared" si="23"/>
        <v>2101-228-301142</v>
      </c>
      <c r="C195" s="129">
        <v>44224</v>
      </c>
      <c r="D195" s="130" t="str">
        <f>IF(BD_DETALLE!$E195&gt;=1,CONCATENATE(TEXT(BD_DETALLE!$C195,"YY"),TEXT(BD_DETALLE!$C195,"MM"),"-",BD_DETALLE!$E195),"")</f>
        <v>2101-228</v>
      </c>
      <c r="E195" s="131">
        <v>228</v>
      </c>
      <c r="F195" s="132">
        <v>301142</v>
      </c>
      <c r="G195" s="133" t="str">
        <f>IFERROR(VLOOKUP(BD_DETALLE!$B195,Tabla9[],6,0),"")</f>
        <v>REDUCCION EMT 1" A 1/2"</v>
      </c>
      <c r="H195" s="134">
        <f>IFERROR(VLOOKUP(BD_DETALLE!$B195,Tabla9[],4,0),0)</f>
        <v>30</v>
      </c>
      <c r="I195" s="135" t="s">
        <v>1218</v>
      </c>
      <c r="J195" s="136" t="s">
        <v>1547</v>
      </c>
      <c r="K195" s="137">
        <f>IFERROR(VLOOKUP(BD_DETALLE!$B195,Tabla9[],7,0),"")</f>
        <v>44285</v>
      </c>
      <c r="L195" s="138">
        <f>IFERROR(VLOOKUP(BD_DETALLE!$B195,Tabla9[],8,0),"")</f>
        <v>52301</v>
      </c>
      <c r="M195" s="139">
        <f ca="1">IFERROR(SUMIF(Tabla9[],BD_DETALLE!$B195,Tabla9[CANTIDAD2]),"")</f>
        <v>30</v>
      </c>
      <c r="N195" s="140">
        <f>IFERROR(IF(BD_DETALLE!$B195&gt;0,VLOOKUP(BD_DETALLE!$B195,Tabla9[],10,0),""),"")</f>
        <v>44294</v>
      </c>
      <c r="O195" s="141">
        <f>IFERROR(VLOOKUP(BD_DETALLE!$B195,Tabla9[],11,0),0)</f>
        <v>11740</v>
      </c>
      <c r="P195" s="142">
        <f ca="1">SUMIF(Tabla9[],BD_DETALLE!$B195,Tabla9[CANTIDAD3])</f>
        <v>30</v>
      </c>
      <c r="Q195" s="143">
        <f ca="1">IF(BD_DETALLE!$P195&lt;=0,0,IF(BD_DETALLE!$P195=BD_DETALLE!$H195,2,1))</f>
        <v>2</v>
      </c>
      <c r="R195" s="144">
        <f ca="1">IF(BD_DETALLE!$C195&gt;0,(IF(BD_DETALLE!$N195=0,TODAY()-BD_DETALLE!$C195,BD_DETALLE!$N195-BD_DETALLE!$C195)),"")</f>
        <v>70</v>
      </c>
    </row>
    <row r="196" spans="2:18" x14ac:dyDescent="0.25">
      <c r="B196" s="128" t="str">
        <f t="shared" si="23"/>
        <v>2101-228-204413</v>
      </c>
      <c r="C196" s="129">
        <v>44224</v>
      </c>
      <c r="D196" s="130" t="str">
        <f>IF(BD_DETALLE!$E196&gt;=1,CONCATENATE(TEXT(BD_DETALLE!$C196,"YY"),TEXT(BD_DETALLE!$C196,"MM"),"-",BD_DETALLE!$E196),"")</f>
        <v>2101-228</v>
      </c>
      <c r="E196" s="131">
        <v>228</v>
      </c>
      <c r="F196" s="132">
        <v>204413</v>
      </c>
      <c r="G196" s="133" t="str">
        <f>IFERROR(VLOOKUP(BD_DETALLE!$B196,Tabla9[],6,0),"")</f>
        <v>REDUCCION DE 1" A 3/4" EMT</v>
      </c>
      <c r="H196" s="134">
        <f>IFERROR(VLOOKUP(BD_DETALLE!$B196,Tabla9[],4,0),0)</f>
        <v>30</v>
      </c>
      <c r="I196" s="135" t="s">
        <v>1218</v>
      </c>
      <c r="J196" s="136" t="s">
        <v>1547</v>
      </c>
      <c r="K196" s="137">
        <f>IFERROR(VLOOKUP(BD_DETALLE!$B196,Tabla9[],7,0),"")</f>
        <v>44285</v>
      </c>
      <c r="L196" s="138">
        <f>IFERROR(VLOOKUP(BD_DETALLE!$B196,Tabla9[],8,0),"")</f>
        <v>52301</v>
      </c>
      <c r="M196" s="139">
        <f ca="1">IFERROR(SUMIF(Tabla9[],BD_DETALLE!$B196,Tabla9[CANTIDAD2]),"")</f>
        <v>30</v>
      </c>
      <c r="N196" s="140">
        <f>IFERROR(IF(BD_DETALLE!$B196&gt;0,VLOOKUP(BD_DETALLE!$B196,Tabla9[],10,0),""),"")</f>
        <v>44294</v>
      </c>
      <c r="O196" s="141">
        <f>IFERROR(VLOOKUP(BD_DETALLE!$B196,Tabla9[],11,0),0)</f>
        <v>11740</v>
      </c>
      <c r="P196" s="142">
        <f ca="1">SUMIF(Tabla9[],BD_DETALLE!$B196,Tabla9[CANTIDAD3])</f>
        <v>30</v>
      </c>
      <c r="Q196" s="143">
        <f ca="1">IF(BD_DETALLE!$P196&lt;=0,0,IF(BD_DETALLE!$P196=BD_DETALLE!$H196,2,1))</f>
        <v>2</v>
      </c>
      <c r="R196" s="144">
        <f ca="1">IF(BD_DETALLE!$C196&gt;0,(IF(BD_DETALLE!$N196=0,TODAY()-BD_DETALLE!$C196,BD_DETALLE!$N196-BD_DETALLE!$C196)),"")</f>
        <v>70</v>
      </c>
    </row>
    <row r="197" spans="2:18" x14ac:dyDescent="0.25">
      <c r="B197" s="128" t="str">
        <f t="shared" si="23"/>
        <v>2101-228-205181</v>
      </c>
      <c r="C197" s="129">
        <v>44224</v>
      </c>
      <c r="D197" s="130" t="str">
        <f>IF(BD_DETALLE!$E197&gt;=1,CONCATENATE(TEXT(BD_DETALLE!$C197,"YY"),TEXT(BD_DETALLE!$C197,"MM"),"-",BD_DETALLE!$E197),"")</f>
        <v>2101-228</v>
      </c>
      <c r="E197" s="131">
        <v>228</v>
      </c>
      <c r="F197" s="132">
        <v>205181</v>
      </c>
      <c r="G197" s="133" t="str">
        <f>IFERROR(VLOOKUP(BD_DETALLE!$B197,Tabla9[],6,0),"")</f>
        <v>REDUCCION EMT DE 3/4" A 1/2"</v>
      </c>
      <c r="H197" s="134">
        <f>IFERROR(VLOOKUP(BD_DETALLE!$B197,Tabla9[],4,0),0)</f>
        <v>30</v>
      </c>
      <c r="I197" s="135" t="s">
        <v>1218</v>
      </c>
      <c r="J197" s="136" t="s">
        <v>1547</v>
      </c>
      <c r="K197" s="137">
        <f>IFERROR(VLOOKUP(BD_DETALLE!$B197,Tabla9[],7,0),"")</f>
        <v>44285</v>
      </c>
      <c r="L197" s="138">
        <f>IFERROR(VLOOKUP(BD_DETALLE!$B197,Tabla9[],8,0),"")</f>
        <v>52301</v>
      </c>
      <c r="M197" s="139">
        <f ca="1">IFERROR(SUMIF(Tabla9[],BD_DETALLE!$B197,Tabla9[CANTIDAD2]),"")</f>
        <v>30</v>
      </c>
      <c r="N197" s="140">
        <f>IFERROR(IF(BD_DETALLE!$B197&gt;0,VLOOKUP(BD_DETALLE!$B197,Tabla9[],10,0),""),"")</f>
        <v>44294</v>
      </c>
      <c r="O197" s="141">
        <f>IFERROR(VLOOKUP(BD_DETALLE!$B197,Tabla9[],11,0),0)</f>
        <v>11740</v>
      </c>
      <c r="P197" s="142">
        <f ca="1">SUMIF(Tabla9[],BD_DETALLE!$B197,Tabla9[CANTIDAD3])</f>
        <v>30</v>
      </c>
      <c r="Q197" s="143">
        <f ca="1">IF(BD_DETALLE!$P197&lt;=0,0,IF(BD_DETALLE!$P197=BD_DETALLE!$H197,2,1))</f>
        <v>2</v>
      </c>
      <c r="R197" s="144">
        <f ca="1">IF(BD_DETALLE!$C197&gt;0,(IF(BD_DETALLE!$N197=0,TODAY()-BD_DETALLE!$C197,BD_DETALLE!$N197-BD_DETALLE!$C197)),"")</f>
        <v>70</v>
      </c>
    </row>
    <row r="198" spans="2:18" x14ac:dyDescent="0.25">
      <c r="B198" s="128" t="str">
        <f t="shared" si="23"/>
        <v>2101-228-201027</v>
      </c>
      <c r="C198" s="129">
        <v>44224</v>
      </c>
      <c r="D198" s="130" t="str">
        <f>IF(BD_DETALLE!$E198&gt;=1,CONCATENATE(TEXT(BD_DETALLE!$C198,"YY"),TEXT(BD_DETALLE!$C198,"MM"),"-",BD_DETALLE!$E198),"")</f>
        <v>2101-228</v>
      </c>
      <c r="E198" s="131">
        <v>228</v>
      </c>
      <c r="F198" s="132">
        <v>201027</v>
      </c>
      <c r="G198" s="133" t="str">
        <f>IFERROR(VLOOKUP(BD_DETALLE!$B198,Tabla9[],6,0),"")</f>
        <v>UNION EMT DE 1/2"</v>
      </c>
      <c r="H198" s="134">
        <f>IFERROR(VLOOKUP(BD_DETALLE!$B198,Tabla9[],4,0),0)</f>
        <v>20</v>
      </c>
      <c r="I198" s="135" t="s">
        <v>1218</v>
      </c>
      <c r="J198" s="136" t="s">
        <v>1547</v>
      </c>
      <c r="K198" s="137">
        <f>IFERROR(VLOOKUP(BD_DETALLE!$B198,Tabla9[],7,0),"")</f>
        <v>44285</v>
      </c>
      <c r="L198" s="138">
        <f>IFERROR(VLOOKUP(BD_DETALLE!$B198,Tabla9[],8,0),"")</f>
        <v>52301</v>
      </c>
      <c r="M198" s="139">
        <f ca="1">IFERROR(SUMIF(Tabla9[],BD_DETALLE!$B198,Tabla9[CANTIDAD2]),"")</f>
        <v>20</v>
      </c>
      <c r="N198" s="140">
        <f>IFERROR(IF(BD_DETALLE!$B198&gt;0,VLOOKUP(BD_DETALLE!$B198,Tabla9[],10,0),""),"")</f>
        <v>44294</v>
      </c>
      <c r="O198" s="141">
        <f>IFERROR(VLOOKUP(BD_DETALLE!$B198,Tabla9[],11,0),0)</f>
        <v>11740</v>
      </c>
      <c r="P198" s="142">
        <f ca="1">SUMIF(Tabla9[],BD_DETALLE!$B198,Tabla9[CANTIDAD3])</f>
        <v>20</v>
      </c>
      <c r="Q198" s="143">
        <f ca="1">IF(BD_DETALLE!$P198&lt;=0,0,IF(BD_DETALLE!$P198=BD_DETALLE!$H198,2,1))</f>
        <v>2</v>
      </c>
      <c r="R198" s="144">
        <f ca="1">IF(BD_DETALLE!$C198&gt;0,(IF(BD_DETALLE!$N198=0,TODAY()-BD_DETALLE!$C198,BD_DETALLE!$N198-BD_DETALLE!$C198)),"")</f>
        <v>70</v>
      </c>
    </row>
    <row r="199" spans="2:18" x14ac:dyDescent="0.25">
      <c r="B199" s="128" t="str">
        <f t="shared" si="23"/>
        <v>2101-228-203229</v>
      </c>
      <c r="C199" s="129">
        <v>44224</v>
      </c>
      <c r="D199" s="130" t="str">
        <f>IF(BD_DETALLE!$E199&gt;=1,CONCATENATE(TEXT(BD_DETALLE!$C199,"YY"),TEXT(BD_DETALLE!$C199,"MM"),"-",BD_DETALLE!$E199),"")</f>
        <v>2101-228</v>
      </c>
      <c r="E199" s="131">
        <v>228</v>
      </c>
      <c r="F199" s="132">
        <v>203229</v>
      </c>
      <c r="G199" s="133" t="str">
        <f>IFERROR(VLOOKUP(BD_DETALLE!$B199,Tabla9[],6,0),"")</f>
        <v>UNION EMT DE 3/4"</v>
      </c>
      <c r="H199" s="134">
        <f>IFERROR(VLOOKUP(BD_DETALLE!$B199,Tabla9[],4,0),0)</f>
        <v>30</v>
      </c>
      <c r="I199" s="135" t="s">
        <v>1218</v>
      </c>
      <c r="J199" s="136" t="s">
        <v>1547</v>
      </c>
      <c r="K199" s="137">
        <f>IFERROR(VLOOKUP(BD_DETALLE!$B199,Tabla9[],7,0),"")</f>
        <v>44285</v>
      </c>
      <c r="L199" s="138">
        <f>IFERROR(VLOOKUP(BD_DETALLE!$B199,Tabla9[],8,0),"")</f>
        <v>52301</v>
      </c>
      <c r="M199" s="139">
        <f ca="1">IFERROR(SUMIF(Tabla9[],BD_DETALLE!$B199,Tabla9[CANTIDAD2]),"")</f>
        <v>30</v>
      </c>
      <c r="N199" s="140">
        <f>IFERROR(IF(BD_DETALLE!$B199&gt;0,VLOOKUP(BD_DETALLE!$B199,Tabla9[],10,0),""),"")</f>
        <v>44294</v>
      </c>
      <c r="O199" s="141">
        <f>IFERROR(VLOOKUP(BD_DETALLE!$B199,Tabla9[],11,0),0)</f>
        <v>11740</v>
      </c>
      <c r="P199" s="142">
        <f ca="1">SUMIF(Tabla9[],BD_DETALLE!$B199,Tabla9[CANTIDAD3])</f>
        <v>30</v>
      </c>
      <c r="Q199" s="143">
        <f ca="1">IF(BD_DETALLE!$P199&lt;=0,0,IF(BD_DETALLE!$P199=BD_DETALLE!$H199,2,1))</f>
        <v>2</v>
      </c>
      <c r="R199" s="144">
        <f ca="1">IF(BD_DETALLE!$C199&gt;0,(IF(BD_DETALLE!$N199=0,TODAY()-BD_DETALLE!$C199,BD_DETALLE!$N199-BD_DETALLE!$C199)),"")</f>
        <v>70</v>
      </c>
    </row>
    <row r="200" spans="2:18" x14ac:dyDescent="0.25">
      <c r="B200" s="128" t="str">
        <f t="shared" si="23"/>
        <v>2101-228-203230</v>
      </c>
      <c r="C200" s="129">
        <v>44224</v>
      </c>
      <c r="D200" s="130" t="str">
        <f>IF(BD_DETALLE!$E200&gt;=1,CONCATENATE(TEXT(BD_DETALLE!$C200,"YY"),TEXT(BD_DETALLE!$C200,"MM"),"-",BD_DETALLE!$E200),"")</f>
        <v>2101-228</v>
      </c>
      <c r="E200" s="131">
        <v>228</v>
      </c>
      <c r="F200" s="132">
        <v>203230</v>
      </c>
      <c r="G200" s="133" t="str">
        <f>IFERROR(VLOOKUP(BD_DETALLE!$B200,Tabla9[],6,0),"")</f>
        <v>UNION EMT DE 1"</v>
      </c>
      <c r="H200" s="134">
        <f>IFERROR(VLOOKUP(BD_DETALLE!$B200,Tabla9[],4,0),0)</f>
        <v>30</v>
      </c>
      <c r="I200" s="135" t="s">
        <v>1218</v>
      </c>
      <c r="J200" s="136" t="s">
        <v>1547</v>
      </c>
      <c r="K200" s="137">
        <f>IFERROR(VLOOKUP(BD_DETALLE!$B200,Tabla9[],7,0),"")</f>
        <v>44285</v>
      </c>
      <c r="L200" s="138">
        <f>IFERROR(VLOOKUP(BD_DETALLE!$B200,Tabla9[],8,0),"")</f>
        <v>52301</v>
      </c>
      <c r="M200" s="139">
        <f ca="1">IFERROR(SUMIF(Tabla9[],BD_DETALLE!$B200,Tabla9[CANTIDAD2]),"")</f>
        <v>30</v>
      </c>
      <c r="N200" s="140">
        <f>IFERROR(IF(BD_DETALLE!$B200&gt;0,VLOOKUP(BD_DETALLE!$B200,Tabla9[],10,0),""),"")</f>
        <v>44294</v>
      </c>
      <c r="O200" s="141">
        <f>IFERROR(VLOOKUP(BD_DETALLE!$B200,Tabla9[],11,0),0)</f>
        <v>11740</v>
      </c>
      <c r="P200" s="142">
        <f ca="1">SUMIF(Tabla9[],BD_DETALLE!$B200,Tabla9[CANTIDAD3])</f>
        <v>30</v>
      </c>
      <c r="Q200" s="143">
        <f ca="1">IF(BD_DETALLE!$P200&lt;=0,0,IF(BD_DETALLE!$P200=BD_DETALLE!$H200,2,1))</f>
        <v>2</v>
      </c>
      <c r="R200" s="144">
        <f ca="1">IF(BD_DETALLE!$C200&gt;0,(IF(BD_DETALLE!$N200=0,TODAY()-BD_DETALLE!$C200,BD_DETALLE!$N200-BD_DETALLE!$C200)),"")</f>
        <v>70</v>
      </c>
    </row>
    <row r="201" spans="2:18" x14ac:dyDescent="0.25">
      <c r="B201" s="128" t="str">
        <f t="shared" si="23"/>
        <v>2101-228-203982</v>
      </c>
      <c r="C201" s="129">
        <v>44224</v>
      </c>
      <c r="D201" s="130" t="str">
        <f>IF(BD_DETALLE!$E201&gt;=1,CONCATENATE(TEXT(BD_DETALLE!$C201,"YY"),TEXT(BD_DETALLE!$C201,"MM"),"-",BD_DETALLE!$E201),"")</f>
        <v>2101-228</v>
      </c>
      <c r="E201" s="131">
        <v>228</v>
      </c>
      <c r="F201" s="132">
        <v>203982</v>
      </c>
      <c r="G201" s="133" t="str">
        <f>IFERROR(VLOOKUP(BD_DETALLE!$B201,Tabla9[],6,0),"")</f>
        <v>CONDULECT  TIPO "T"  DE 1 1/2"</v>
      </c>
      <c r="H201" s="134">
        <f>IFERROR(VLOOKUP(BD_DETALLE!$B201,Tabla9[],4,0),0)</f>
        <v>10</v>
      </c>
      <c r="I201" s="135" t="s">
        <v>1218</v>
      </c>
      <c r="J201" s="136" t="s">
        <v>1547</v>
      </c>
      <c r="K201" s="137">
        <f>IFERROR(VLOOKUP(BD_DETALLE!$B201,Tabla9[],7,0),"")</f>
        <v>44285</v>
      </c>
      <c r="L201" s="138">
        <f>IFERROR(VLOOKUP(BD_DETALLE!$B201,Tabla9[],8,0),"")</f>
        <v>52301</v>
      </c>
      <c r="M201" s="139">
        <f ca="1">IFERROR(SUMIF(Tabla9[],BD_DETALLE!$B201,Tabla9[CANTIDAD2]),"")</f>
        <v>10</v>
      </c>
      <c r="N201" s="140">
        <f>IFERROR(IF(BD_DETALLE!$B201&gt;0,VLOOKUP(BD_DETALLE!$B201,Tabla9[],10,0),""),"")</f>
        <v>44294</v>
      </c>
      <c r="O201" s="141">
        <f>IFERROR(VLOOKUP(BD_DETALLE!$B201,Tabla9[],11,0),0)</f>
        <v>11740</v>
      </c>
      <c r="P201" s="142">
        <f ca="1">SUMIF(Tabla9[],BD_DETALLE!$B201,Tabla9[CANTIDAD3])</f>
        <v>10</v>
      </c>
      <c r="Q201" s="143">
        <f ca="1">IF(BD_DETALLE!$P201&lt;=0,0,IF(BD_DETALLE!$P201=BD_DETALLE!$H201,2,1))</f>
        <v>2</v>
      </c>
      <c r="R201" s="144">
        <f ca="1">IF(BD_DETALLE!$C201&gt;0,(IF(BD_DETALLE!$N201=0,TODAY()-BD_DETALLE!$C201,BD_DETALLE!$N201-BD_DETALLE!$C201)),"")</f>
        <v>70</v>
      </c>
    </row>
    <row r="202" spans="2:18" x14ac:dyDescent="0.25">
      <c r="B202" s="128" t="str">
        <f t="shared" si="23"/>
        <v>2101-228-301985</v>
      </c>
      <c r="C202" s="129">
        <v>44224</v>
      </c>
      <c r="D202" s="130" t="str">
        <f>IF(BD_DETALLE!$E202&gt;=1,CONCATENATE(TEXT(BD_DETALLE!$C202,"YY"),TEXT(BD_DETALLE!$C202,"MM"),"-",BD_DETALLE!$E202),"")</f>
        <v>2101-228</v>
      </c>
      <c r="E202" s="131">
        <v>228</v>
      </c>
      <c r="F202" s="132">
        <v>301985</v>
      </c>
      <c r="G202" s="133" t="str">
        <f>IFERROR(VLOOKUP(BD_DETALLE!$B202,Tabla9[],6,0),"")</f>
        <v>CONDULEC TIPO "I" DE 3/4</v>
      </c>
      <c r="H202" s="134">
        <f>IFERROR(VLOOKUP(BD_DETALLE!$B202,Tabla9[],4,0),0)</f>
        <v>20</v>
      </c>
      <c r="I202" s="135" t="s">
        <v>1218</v>
      </c>
      <c r="J202" s="136" t="s">
        <v>1547</v>
      </c>
      <c r="K202" s="137">
        <f>IFERROR(VLOOKUP(BD_DETALLE!$B202,Tabla9[],7,0),"")</f>
        <v>44285</v>
      </c>
      <c r="L202" s="138">
        <f>IFERROR(VLOOKUP(BD_DETALLE!$B202,Tabla9[],8,0),"")</f>
        <v>52301</v>
      </c>
      <c r="M202" s="139">
        <f ca="1">IFERROR(SUMIF(Tabla9[],BD_DETALLE!$B202,Tabla9[CANTIDAD2]),"")</f>
        <v>20</v>
      </c>
      <c r="N202" s="140">
        <f>IFERROR(IF(BD_DETALLE!$B202&gt;0,VLOOKUP(BD_DETALLE!$B202,Tabla9[],10,0),""),"")</f>
        <v>44294</v>
      </c>
      <c r="O202" s="141">
        <f>IFERROR(VLOOKUP(BD_DETALLE!$B202,Tabla9[],11,0),0)</f>
        <v>11742</v>
      </c>
      <c r="P202" s="142">
        <f ca="1">SUMIF(Tabla9[],BD_DETALLE!$B202,Tabla9[CANTIDAD3])</f>
        <v>20</v>
      </c>
      <c r="Q202" s="143">
        <f ca="1">IF(BD_DETALLE!$P202&lt;=0,0,IF(BD_DETALLE!$P202=BD_DETALLE!$H202,2,1))</f>
        <v>2</v>
      </c>
      <c r="R202" s="144">
        <f ca="1">IF(BD_DETALLE!$C202&gt;0,(IF(BD_DETALLE!$N202=0,TODAY()-BD_DETALLE!$C202,BD_DETALLE!$N202-BD_DETALLE!$C202)),"")</f>
        <v>70</v>
      </c>
    </row>
    <row r="203" spans="2:18" x14ac:dyDescent="0.25">
      <c r="B203" s="128" t="str">
        <f t="shared" si="23"/>
        <v>2101-228-302524</v>
      </c>
      <c r="C203" s="129">
        <v>44224</v>
      </c>
      <c r="D203" s="130" t="str">
        <f>IF(BD_DETALLE!$E203&gt;=1,CONCATENATE(TEXT(BD_DETALLE!$C203,"YY"),TEXT(BD_DETALLE!$C203,"MM"),"-",BD_DETALLE!$E203),"")</f>
        <v>2101-228</v>
      </c>
      <c r="E203" s="131">
        <v>228</v>
      </c>
      <c r="F203" s="132">
        <v>302524</v>
      </c>
      <c r="G203" s="133" t="str">
        <f>IFERROR(VLOOKUP(BD_DETALLE!$B203,Tabla9[],6,0),"")</f>
        <v>CONDULEC TIPO I DE 1/2"</v>
      </c>
      <c r="H203" s="134">
        <f>IFERROR(VLOOKUP(BD_DETALLE!$B203,Tabla9[],4,0),0)</f>
        <v>20</v>
      </c>
      <c r="I203" s="135" t="s">
        <v>1218</v>
      </c>
      <c r="J203" s="136" t="s">
        <v>1547</v>
      </c>
      <c r="K203" s="137">
        <f>IFERROR(VLOOKUP(BD_DETALLE!$B203,Tabla9[],7,0),"")</f>
        <v>44285</v>
      </c>
      <c r="L203" s="138">
        <f>IFERROR(VLOOKUP(BD_DETALLE!$B203,Tabla9[],8,0),"")</f>
        <v>52301</v>
      </c>
      <c r="M203" s="139">
        <f ca="1">IFERROR(SUMIF(Tabla9[],BD_DETALLE!$B203,Tabla9[CANTIDAD2]),"")</f>
        <v>20</v>
      </c>
      <c r="N203" s="140">
        <f>IFERROR(IF(BD_DETALLE!$B203&gt;0,VLOOKUP(BD_DETALLE!$B203,Tabla9[],10,0),""),"")</f>
        <v>44294</v>
      </c>
      <c r="O203" s="141">
        <f>IFERROR(VLOOKUP(BD_DETALLE!$B203,Tabla9[],11,0),0)</f>
        <v>11742</v>
      </c>
      <c r="P203" s="142">
        <f ca="1">SUMIF(Tabla9[],BD_DETALLE!$B203,Tabla9[CANTIDAD3])</f>
        <v>20</v>
      </c>
      <c r="Q203" s="143">
        <f ca="1">IF(BD_DETALLE!$P203&lt;=0,0,IF(BD_DETALLE!$P203=BD_DETALLE!$H203,2,1))</f>
        <v>2</v>
      </c>
      <c r="R203" s="144">
        <f ca="1">IF(BD_DETALLE!$C203&gt;0,(IF(BD_DETALLE!$N203=0,TODAY()-BD_DETALLE!$C203,BD_DETALLE!$N203-BD_DETALLE!$C203)),"")</f>
        <v>70</v>
      </c>
    </row>
    <row r="204" spans="2:18" x14ac:dyDescent="0.25">
      <c r="B204" s="128" t="str">
        <f t="shared" si="23"/>
        <v>2101-228-300406</v>
      </c>
      <c r="C204" s="129">
        <v>44224</v>
      </c>
      <c r="D204" s="130" t="str">
        <f>IF(BD_DETALLE!$E204&gt;=1,CONCATENATE(TEXT(BD_DETALLE!$C204,"YY"),TEXT(BD_DETALLE!$C204,"MM"),"-",BD_DETALLE!$E204),"")</f>
        <v>2101-228</v>
      </c>
      <c r="E204" s="131">
        <v>228</v>
      </c>
      <c r="F204" s="132">
        <v>300406</v>
      </c>
      <c r="G204" s="133" t="str">
        <f>IFERROR(VLOOKUP(BD_DETALLE!$B204,Tabla9[],6,0),"")</f>
        <v>CONECTOR EMT DE 1-1/2"</v>
      </c>
      <c r="H204" s="134">
        <f>IFERROR(VLOOKUP(BD_DETALLE!$B204,Tabla9[],4,0),0)</f>
        <v>15</v>
      </c>
      <c r="I204" s="135" t="s">
        <v>1218</v>
      </c>
      <c r="J204" s="136" t="s">
        <v>1547</v>
      </c>
      <c r="K204" s="137">
        <f>IFERROR(VLOOKUP(BD_DETALLE!$B204,Tabla9[],7,0),"")</f>
        <v>44285</v>
      </c>
      <c r="L204" s="138">
        <f>IFERROR(VLOOKUP(BD_DETALLE!$B204,Tabla9[],8,0),"")</f>
        <v>52301</v>
      </c>
      <c r="M204" s="139">
        <f ca="1">IFERROR(SUMIF(Tabla9[],BD_DETALLE!$B204,Tabla9[CANTIDAD2]),"")</f>
        <v>15</v>
      </c>
      <c r="N204" s="140">
        <f>IFERROR(IF(BD_DETALLE!$B204&gt;0,VLOOKUP(BD_DETALLE!$B204,Tabla9[],10,0),""),"")</f>
        <v>44294</v>
      </c>
      <c r="O204" s="141">
        <f>IFERROR(VLOOKUP(BD_DETALLE!$B204,Tabla9[],11,0),0)</f>
        <v>11740</v>
      </c>
      <c r="P204" s="142">
        <f ca="1">SUMIF(Tabla9[],BD_DETALLE!$B204,Tabla9[CANTIDAD3])</f>
        <v>15</v>
      </c>
      <c r="Q204" s="143">
        <f ca="1">IF(BD_DETALLE!$P204&lt;=0,0,IF(BD_DETALLE!$P204=BD_DETALLE!$H204,2,1))</f>
        <v>2</v>
      </c>
      <c r="R204" s="144">
        <f ca="1">IF(BD_DETALLE!$C204&gt;0,(IF(BD_DETALLE!$N204=0,TODAY()-BD_DETALLE!$C204,BD_DETALLE!$N204-BD_DETALLE!$C204)),"")</f>
        <v>70</v>
      </c>
    </row>
    <row r="205" spans="2:18" x14ac:dyDescent="0.25">
      <c r="B205" s="128" t="str">
        <f t="shared" si="23"/>
        <v>2101-228-301393</v>
      </c>
      <c r="C205" s="129">
        <v>44224</v>
      </c>
      <c r="D205" s="130" t="str">
        <f>IF(BD_DETALLE!$E205&gt;=1,CONCATENATE(TEXT(BD_DETALLE!$C205,"YY"),TEXT(BD_DETALLE!$C205,"MM"),"-",BD_DETALLE!$E205),"")</f>
        <v>2101-228</v>
      </c>
      <c r="E205" s="131">
        <v>228</v>
      </c>
      <c r="F205" s="132">
        <v>301393</v>
      </c>
      <c r="G205" s="133" t="str">
        <f>IFERROR(VLOOKUP(BD_DETALLE!$B205,Tabla9[],6,0),"")</f>
        <v>CONECTOR EMT DE 1"</v>
      </c>
      <c r="H205" s="134">
        <f>IFERROR(VLOOKUP(BD_DETALLE!$B205,Tabla9[],4,0),0)</f>
        <v>15</v>
      </c>
      <c r="I205" s="135" t="s">
        <v>1218</v>
      </c>
      <c r="J205" s="136" t="s">
        <v>1547</v>
      </c>
      <c r="K205" s="137">
        <f>IFERROR(VLOOKUP(BD_DETALLE!$B205,Tabla9[],7,0),"")</f>
        <v>44285</v>
      </c>
      <c r="L205" s="138">
        <f>IFERROR(VLOOKUP(BD_DETALLE!$B205,Tabla9[],8,0),"")</f>
        <v>52301</v>
      </c>
      <c r="M205" s="139">
        <f ca="1">IFERROR(SUMIF(Tabla9[],BD_DETALLE!$B205,Tabla9[CANTIDAD2]),"")</f>
        <v>15</v>
      </c>
      <c r="N205" s="140">
        <f>IFERROR(IF(BD_DETALLE!$B205&gt;0,VLOOKUP(BD_DETALLE!$B205,Tabla9[],10,0),""),"")</f>
        <v>44294</v>
      </c>
      <c r="O205" s="141">
        <f>IFERROR(VLOOKUP(BD_DETALLE!$B205,Tabla9[],11,0),0)</f>
        <v>11740</v>
      </c>
      <c r="P205" s="142">
        <f ca="1">SUMIF(Tabla9[],BD_DETALLE!$B205,Tabla9[CANTIDAD3])</f>
        <v>15</v>
      </c>
      <c r="Q205" s="143">
        <f ca="1">IF(BD_DETALLE!$P205&lt;=0,0,IF(BD_DETALLE!$P205=BD_DETALLE!$H205,2,1))</f>
        <v>2</v>
      </c>
      <c r="R205" s="144">
        <f ca="1">IF(BD_DETALLE!$C205&gt;0,(IF(BD_DETALLE!$N205=0,TODAY()-BD_DETALLE!$C205,BD_DETALLE!$N205-BD_DETALLE!$C205)),"")</f>
        <v>70</v>
      </c>
    </row>
    <row r="206" spans="2:18" x14ac:dyDescent="0.25">
      <c r="B206" s="128" t="str">
        <f t="shared" si="23"/>
        <v>2101-228-202691</v>
      </c>
      <c r="C206" s="129">
        <v>44224</v>
      </c>
      <c r="D206" s="130" t="str">
        <f>IF(BD_DETALLE!$E206&gt;=1,CONCATENATE(TEXT(BD_DETALLE!$C206,"YY"),TEXT(BD_DETALLE!$C206,"MM"),"-",BD_DETALLE!$E206),"")</f>
        <v>2101-228</v>
      </c>
      <c r="E206" s="131">
        <v>228</v>
      </c>
      <c r="F206" s="132">
        <v>202691</v>
      </c>
      <c r="G206" s="133" t="str">
        <f>IFERROR(VLOOKUP(BD_DETALLE!$B206,Tabla9[],6,0),"")</f>
        <v>CONECTOR  EMT  3/4"</v>
      </c>
      <c r="H206" s="134">
        <f>IFERROR(VLOOKUP(BD_DETALLE!$B206,Tabla9[],4,0),0)</f>
        <v>40</v>
      </c>
      <c r="I206" s="135" t="s">
        <v>1218</v>
      </c>
      <c r="J206" s="136" t="s">
        <v>1547</v>
      </c>
      <c r="K206" s="137">
        <f>IFERROR(VLOOKUP(BD_DETALLE!$B206,Tabla9[],7,0),"")</f>
        <v>44285</v>
      </c>
      <c r="L206" s="138">
        <f>IFERROR(VLOOKUP(BD_DETALLE!$B206,Tabla9[],8,0),"")</f>
        <v>52301</v>
      </c>
      <c r="M206" s="139">
        <f ca="1">IFERROR(SUMIF(Tabla9[],BD_DETALLE!$B206,Tabla9[CANTIDAD2]),"")</f>
        <v>40</v>
      </c>
      <c r="N206" s="140">
        <f>IFERROR(IF(BD_DETALLE!$B206&gt;0,VLOOKUP(BD_DETALLE!$B206,Tabla9[],10,0),""),"")</f>
        <v>44294</v>
      </c>
      <c r="O206" s="141">
        <f>IFERROR(VLOOKUP(BD_DETALLE!$B206,Tabla9[],11,0),0)</f>
        <v>11740</v>
      </c>
      <c r="P206" s="142">
        <f ca="1">SUMIF(Tabla9[],BD_DETALLE!$B206,Tabla9[CANTIDAD3])</f>
        <v>40</v>
      </c>
      <c r="Q206" s="143">
        <f ca="1">IF(BD_DETALLE!$P206&lt;=0,0,IF(BD_DETALLE!$P206=BD_DETALLE!$H206,2,1))</f>
        <v>2</v>
      </c>
      <c r="R206" s="144">
        <f ca="1">IF(BD_DETALLE!$C206&gt;0,(IF(BD_DETALLE!$N206=0,TODAY()-BD_DETALLE!$C206,BD_DETALLE!$N206-BD_DETALLE!$C206)),"")</f>
        <v>70</v>
      </c>
    </row>
    <row r="207" spans="2:18" x14ac:dyDescent="0.25">
      <c r="B207" s="128" t="str">
        <f t="shared" si="23"/>
        <v>2101-228-202692</v>
      </c>
      <c r="C207" s="129">
        <v>44224</v>
      </c>
      <c r="D207" s="130" t="str">
        <f>IF(BD_DETALLE!$E207&gt;=1,CONCATENATE(TEXT(BD_DETALLE!$C207,"YY"),TEXT(BD_DETALLE!$C207,"MM"),"-",BD_DETALLE!$E207),"")</f>
        <v>2101-228</v>
      </c>
      <c r="E207" s="131">
        <v>228</v>
      </c>
      <c r="F207" s="132">
        <v>202692</v>
      </c>
      <c r="G207" s="133" t="str">
        <f>IFERROR(VLOOKUP(BD_DETALLE!$B207,Tabla9[],6,0),"")</f>
        <v>CONECTOR  EMT  1/2"</v>
      </c>
      <c r="H207" s="134">
        <f>IFERROR(VLOOKUP(BD_DETALLE!$B207,Tabla9[],4,0),0)</f>
        <v>30</v>
      </c>
      <c r="I207" s="135" t="s">
        <v>1218</v>
      </c>
      <c r="J207" s="136" t="s">
        <v>1547</v>
      </c>
      <c r="K207" s="137">
        <f>IFERROR(VLOOKUP(BD_DETALLE!$B207,Tabla9[],7,0),"")</f>
        <v>44285</v>
      </c>
      <c r="L207" s="138">
        <f>IFERROR(VLOOKUP(BD_DETALLE!$B207,Tabla9[],8,0),"")</f>
        <v>52301</v>
      </c>
      <c r="M207" s="139">
        <f ca="1">IFERROR(SUMIF(Tabla9[],BD_DETALLE!$B207,Tabla9[CANTIDAD2]),"")</f>
        <v>30</v>
      </c>
      <c r="N207" s="140">
        <f>IFERROR(IF(BD_DETALLE!$B207&gt;0,VLOOKUP(BD_DETALLE!$B207,Tabla9[],10,0),""),"")</f>
        <v>44294</v>
      </c>
      <c r="O207" s="141">
        <f>IFERROR(VLOOKUP(BD_DETALLE!$B207,Tabla9[],11,0),0)</f>
        <v>11740</v>
      </c>
      <c r="P207" s="142">
        <f ca="1">SUMIF(Tabla9[],BD_DETALLE!$B207,Tabla9[CANTIDAD3])</f>
        <v>30</v>
      </c>
      <c r="Q207" s="143">
        <f ca="1">IF(BD_DETALLE!$P207&lt;=0,0,IF(BD_DETALLE!$P207=BD_DETALLE!$H207,2,1))</f>
        <v>2</v>
      </c>
      <c r="R207" s="144">
        <f ca="1">IF(BD_DETALLE!$C207&gt;0,(IF(BD_DETALLE!$N207=0,TODAY()-BD_DETALLE!$C207,BD_DETALLE!$N207-BD_DETALLE!$C207)),"")</f>
        <v>70</v>
      </c>
    </row>
    <row r="208" spans="2:18" x14ac:dyDescent="0.25">
      <c r="B208" s="128" t="str">
        <f t="shared" ref="B208:B239" si="24">IFERROR(TEXT(C208,"yy") &amp; TEXT(C208,"mm") &amp;"-"&amp;(E208) &amp;"-"&amp;(F208),"")</f>
        <v>2101-228-315745</v>
      </c>
      <c r="C208" s="129">
        <v>44224</v>
      </c>
      <c r="D208" s="130" t="str">
        <f>IF(BD_DETALLE!$E208&gt;=1,CONCATENATE(TEXT(BD_DETALLE!$C208,"YY"),TEXT(BD_DETALLE!$C208,"MM"),"-",BD_DETALLE!$E208),"")</f>
        <v>2101-228</v>
      </c>
      <c r="E208" s="131">
        <v>228</v>
      </c>
      <c r="F208" s="132">
        <v>315745</v>
      </c>
      <c r="G208" s="133" t="str">
        <f>IFERROR(VLOOKUP(BD_DETALLE!$B208,Tabla9[],6,0),"")</f>
        <v>RIEL CHANEL</v>
      </c>
      <c r="H208" s="134">
        <f>IFERROR(VLOOKUP(BD_DETALLE!$B208,Tabla9[],4,0),0)</f>
        <v>8</v>
      </c>
      <c r="I208" s="135" t="s">
        <v>1218</v>
      </c>
      <c r="J208" s="136" t="s">
        <v>1547</v>
      </c>
      <c r="K208" s="137">
        <f>IFERROR(VLOOKUP(BD_DETALLE!$B208,Tabla9[],7,0),"")</f>
        <v>44285</v>
      </c>
      <c r="L208" s="138">
        <f>IFERROR(VLOOKUP(BD_DETALLE!$B208,Tabla9[],8,0),"")</f>
        <v>52301</v>
      </c>
      <c r="M208" s="139">
        <f ca="1">IFERROR(SUMIF(Tabla9[],BD_DETALLE!$B208,Tabla9[CANTIDAD2]),"")</f>
        <v>8</v>
      </c>
      <c r="N208" s="140">
        <f>IFERROR(IF(BD_DETALLE!$B208&gt;0,VLOOKUP(BD_DETALLE!$B208,Tabla9[],10,0),""),"")</f>
        <v>44294</v>
      </c>
      <c r="O208" s="141">
        <f>IFERROR(VLOOKUP(BD_DETALLE!$B208,Tabla9[],11,0),0)</f>
        <v>11740</v>
      </c>
      <c r="P208" s="142">
        <f ca="1">SUMIF(Tabla9[],BD_DETALLE!$B208,Tabla9[CANTIDAD3])</f>
        <v>8</v>
      </c>
      <c r="Q208" s="143">
        <f ca="1">IF(BD_DETALLE!$P208&lt;=0,0,IF(BD_DETALLE!$P208=BD_DETALLE!$H208,2,1))</f>
        <v>2</v>
      </c>
      <c r="R208" s="144">
        <f ca="1">IF(BD_DETALLE!$C208&gt;0,(IF(BD_DETALLE!$N208=0,TODAY()-BD_DETALLE!$C208,BD_DETALLE!$N208-BD_DETALLE!$C208)),"")</f>
        <v>70</v>
      </c>
    </row>
    <row r="209" spans="2:18" x14ac:dyDescent="0.25">
      <c r="B209" s="128" t="str">
        <f t="shared" si="24"/>
        <v>2101-228-304264</v>
      </c>
      <c r="C209" s="129">
        <v>44224</v>
      </c>
      <c r="D209" s="130" t="str">
        <f>IF(BD_DETALLE!$E209&gt;=1,CONCATENATE(TEXT(BD_DETALLE!$C209,"YY"),TEXT(BD_DETALLE!$C209,"MM"),"-",BD_DETALLE!$E209),"")</f>
        <v>2101-228</v>
      </c>
      <c r="E209" s="131">
        <v>228</v>
      </c>
      <c r="F209" s="132">
        <v>304264</v>
      </c>
      <c r="G209" s="133" t="str">
        <f>IFERROR(VLOOKUP(BD_DETALLE!$B209,Tabla9[],6,0),"")</f>
        <v>RIEL DIN</v>
      </c>
      <c r="H209" s="134">
        <f>IFERROR(VLOOKUP(BD_DETALLE!$B209,Tabla9[],4,0),0)</f>
        <v>8</v>
      </c>
      <c r="I209" s="135" t="s">
        <v>1218</v>
      </c>
      <c r="J209" s="136" t="s">
        <v>1547</v>
      </c>
      <c r="K209" s="137">
        <f>IFERROR(VLOOKUP(BD_DETALLE!$B209,Tabla9[],7,0),"")</f>
        <v>44285</v>
      </c>
      <c r="L209" s="138">
        <f>IFERROR(VLOOKUP(BD_DETALLE!$B209,Tabla9[],8,0),"")</f>
        <v>52301</v>
      </c>
      <c r="M209" s="139">
        <f ca="1">IFERROR(SUMIF(Tabla9[],BD_DETALLE!$B209,Tabla9[CANTIDAD2]),"")</f>
        <v>8</v>
      </c>
      <c r="N209" s="140">
        <f>IFERROR(IF(BD_DETALLE!$B209&gt;0,VLOOKUP(BD_DETALLE!$B209,Tabla9[],10,0),""),"")</f>
        <v>44294</v>
      </c>
      <c r="O209" s="141">
        <f>IFERROR(VLOOKUP(BD_DETALLE!$B209,Tabla9[],11,0),0)</f>
        <v>11740</v>
      </c>
      <c r="P209" s="142">
        <f ca="1">SUMIF(Tabla9[],BD_DETALLE!$B209,Tabla9[CANTIDAD3])</f>
        <v>8</v>
      </c>
      <c r="Q209" s="143">
        <f ca="1">IF(BD_DETALLE!$P209&lt;=0,0,IF(BD_DETALLE!$P209=BD_DETALLE!$H209,2,1))</f>
        <v>2</v>
      </c>
      <c r="R209" s="144">
        <f ca="1">IF(BD_DETALLE!$C209&gt;0,(IF(BD_DETALLE!$N209=0,TODAY()-BD_DETALLE!$C209,BD_DETALLE!$N209-BD_DETALLE!$C209)),"")</f>
        <v>70</v>
      </c>
    </row>
    <row r="210" spans="2:18" x14ac:dyDescent="0.25">
      <c r="B210" s="128" t="str">
        <f t="shared" si="24"/>
        <v>2101-228-316037</v>
      </c>
      <c r="C210" s="129">
        <v>44224</v>
      </c>
      <c r="D210" s="130" t="str">
        <f>IF(BD_DETALLE!$E210&gt;=1,CONCATENATE(TEXT(BD_DETALLE!$C210,"YY"),TEXT(BD_DETALLE!$C210,"MM"),"-",BD_DETALLE!$E210),"")</f>
        <v>2101-228</v>
      </c>
      <c r="E210" s="131">
        <v>228</v>
      </c>
      <c r="F210" s="132">
        <v>316037</v>
      </c>
      <c r="G210" s="133" t="str">
        <f>IFERROR(VLOOKUP(BD_DETALLE!$B210,Tabla9[],6,0),"")</f>
        <v>CABLE CONCENTRICO 24 x 18</v>
      </c>
      <c r="H210" s="134">
        <f>IFERROR(VLOOKUP(BD_DETALLE!$B210,Tabla9[],4,0),0)</f>
        <v>150</v>
      </c>
      <c r="I210" s="135" t="s">
        <v>1218</v>
      </c>
      <c r="J210" s="136" t="s">
        <v>1547</v>
      </c>
      <c r="K210" s="137">
        <f>IFERROR(VLOOKUP(BD_DETALLE!$B210,Tabla9[],7,0),"")</f>
        <v>44284</v>
      </c>
      <c r="L210" s="138">
        <f>IFERROR(VLOOKUP(BD_DETALLE!$B210,Tabla9[],8,0),"")</f>
        <v>52298</v>
      </c>
      <c r="M210" s="139">
        <f ca="1">IFERROR(SUMIF(Tabla9[],BD_DETALLE!$B210,Tabla9[CANTIDAD2]),"")</f>
        <v>150</v>
      </c>
      <c r="N210" s="140">
        <f>IFERROR(IF(BD_DETALLE!$B210&gt;0,VLOOKUP(BD_DETALLE!$B210,Tabla9[],10,0),""),"")</f>
        <v>0</v>
      </c>
      <c r="O210" s="141">
        <f>IFERROR(VLOOKUP(BD_DETALLE!$B210,Tabla9[],11,0),0)</f>
        <v>0</v>
      </c>
      <c r="P210" s="142">
        <f ca="1">SUMIF(Tabla9[],BD_DETALLE!$B210,Tabla9[CANTIDAD3])</f>
        <v>0</v>
      </c>
      <c r="Q210" s="143">
        <f ca="1">IF(BD_DETALLE!$P210&lt;=0,0,IF(BD_DETALLE!$P210=BD_DETALLE!$H210,2,1))</f>
        <v>0</v>
      </c>
      <c r="R210" s="144">
        <f ca="1">IF(BD_DETALLE!$C210&gt;0,(IF(BD_DETALLE!$N210=0,TODAY()-BD_DETALLE!$C210,BD_DETALLE!$N210-BD_DETALLE!$C210)),"")</f>
        <v>81</v>
      </c>
    </row>
    <row r="211" spans="2:18" x14ac:dyDescent="0.25">
      <c r="B211" s="128" t="str">
        <f t="shared" si="24"/>
        <v>2101-228-300804</v>
      </c>
      <c r="C211" s="129">
        <v>44224</v>
      </c>
      <c r="D211" s="130" t="str">
        <f>IF(BD_DETALLE!$E211&gt;=1,CONCATENATE(TEXT(BD_DETALLE!$C211,"YY"),TEXT(BD_DETALLE!$C211,"MM"),"-",BD_DETALLE!$E211),"")</f>
        <v>2101-228</v>
      </c>
      <c r="E211" s="131">
        <v>228</v>
      </c>
      <c r="F211" s="132">
        <v>300804</v>
      </c>
      <c r="G211" s="133" t="str">
        <f>IFERROR(VLOOKUP(BD_DETALLE!$B211,Tabla9[],6,0),"")</f>
        <v>CABLE CONCENTRICO 4 x 18 AWG</v>
      </c>
      <c r="H211" s="134">
        <f>IFERROR(VLOOKUP(BD_DETALLE!$B211,Tabla9[],4,0),0)</f>
        <v>120</v>
      </c>
      <c r="I211" s="135" t="s">
        <v>1218</v>
      </c>
      <c r="J211" s="136" t="s">
        <v>1547</v>
      </c>
      <c r="K211" s="137">
        <f>IFERROR(VLOOKUP(BD_DETALLE!$B211,Tabla9[],7,0),"")</f>
        <v>44285</v>
      </c>
      <c r="L211" s="138">
        <f>IFERROR(VLOOKUP(BD_DETALLE!$B211,Tabla9[],8,0),"")</f>
        <v>52301</v>
      </c>
      <c r="M211" s="139">
        <f ca="1">IFERROR(SUMIF(Tabla9[],BD_DETALLE!$B211,Tabla9[CANTIDAD2]),"")</f>
        <v>120</v>
      </c>
      <c r="N211" s="140">
        <f>IFERROR(IF(BD_DETALLE!$B211&gt;0,VLOOKUP(BD_DETALLE!$B211,Tabla9[],10,0),""),"")</f>
        <v>44294</v>
      </c>
      <c r="O211" s="141">
        <f>IFERROR(VLOOKUP(BD_DETALLE!$B211,Tabla9[],11,0),0)</f>
        <v>11740</v>
      </c>
      <c r="P211" s="142">
        <f ca="1">SUMIF(Tabla9[],BD_DETALLE!$B211,Tabla9[CANTIDAD3])</f>
        <v>120</v>
      </c>
      <c r="Q211" s="143">
        <f ca="1">IF(BD_DETALLE!$P211&lt;=0,0,IF(BD_DETALLE!$P211=BD_DETALLE!$H211,2,1))</f>
        <v>2</v>
      </c>
      <c r="R211" s="144">
        <f ca="1">IF(BD_DETALLE!$C211&gt;0,(IF(BD_DETALLE!$N211=0,TODAY()-BD_DETALLE!$C211,BD_DETALLE!$N211-BD_DETALLE!$C211)),"")</f>
        <v>70</v>
      </c>
    </row>
    <row r="212" spans="2:18" x14ac:dyDescent="0.25">
      <c r="B212" s="128" t="str">
        <f t="shared" si="24"/>
        <v>2101-228-319489</v>
      </c>
      <c r="C212" s="129">
        <v>44224</v>
      </c>
      <c r="D212" s="130" t="str">
        <f>IF(BD_DETALLE!$E212&gt;=1,CONCATENATE(TEXT(BD_DETALLE!$C212,"YY"),TEXT(BD_DETALLE!$C212,"MM"),"-",BD_DETALLE!$E212),"")</f>
        <v>2101-228</v>
      </c>
      <c r="E212" s="131">
        <v>228</v>
      </c>
      <c r="F212" s="132">
        <v>319489</v>
      </c>
      <c r="G212" s="133" t="str">
        <f>IFERROR(VLOOKUP(BD_DETALLE!$B212,Tabla9[],6,0),"")</f>
        <v>CABLE APANTALLADO 12 x 18</v>
      </c>
      <c r="H212" s="134">
        <f>IFERROR(VLOOKUP(BD_DETALLE!$B212,Tabla9[],4,0),0)</f>
        <v>100</v>
      </c>
      <c r="I212" s="135" t="s">
        <v>1218</v>
      </c>
      <c r="J212" s="136" t="s">
        <v>1547</v>
      </c>
      <c r="K212" s="137">
        <f>IFERROR(VLOOKUP(BD_DETALLE!$B212,Tabla9[],7,0),"")</f>
        <v>44285</v>
      </c>
      <c r="L212" s="138">
        <f>IFERROR(VLOOKUP(BD_DETALLE!$B212,Tabla9[],8,0),"")</f>
        <v>52301</v>
      </c>
      <c r="M212" s="139">
        <f ca="1">IFERROR(SUMIF(Tabla9[],BD_DETALLE!$B212,Tabla9[CANTIDAD2]),"")</f>
        <v>100</v>
      </c>
      <c r="N212" s="140">
        <f>IFERROR(IF(BD_DETALLE!$B212&gt;0,VLOOKUP(BD_DETALLE!$B212,Tabla9[],10,0),""),"")</f>
        <v>44294</v>
      </c>
      <c r="O212" s="141">
        <f>IFERROR(VLOOKUP(BD_DETALLE!$B212,Tabla9[],11,0),0)</f>
        <v>11742</v>
      </c>
      <c r="P212" s="142">
        <f ca="1">SUMIF(Tabla9[],BD_DETALLE!$B212,Tabla9[CANTIDAD3])</f>
        <v>100</v>
      </c>
      <c r="Q212" s="143">
        <f ca="1">IF(BD_DETALLE!$P212&lt;=0,0,IF(BD_DETALLE!$P212=BD_DETALLE!$H212,2,1))</f>
        <v>2</v>
      </c>
      <c r="R212" s="144">
        <f ca="1">IF(BD_DETALLE!$C212&gt;0,(IF(BD_DETALLE!$N212=0,TODAY()-BD_DETALLE!$C212,BD_DETALLE!$N212-BD_DETALLE!$C212)),"")</f>
        <v>70</v>
      </c>
    </row>
    <row r="213" spans="2:18" x14ac:dyDescent="0.25">
      <c r="B213" s="128" t="str">
        <f t="shared" si="24"/>
        <v>2101-228-303904</v>
      </c>
      <c r="C213" s="129">
        <v>44224</v>
      </c>
      <c r="D213" s="130" t="str">
        <f>IF(BD_DETALLE!$E213&gt;=1,CONCATENATE(TEXT(BD_DETALLE!$C213,"YY"),TEXT(BD_DETALLE!$C213,"MM"),"-",BD_DETALLE!$E213),"")</f>
        <v>2101-228</v>
      </c>
      <c r="E213" s="131">
        <v>228</v>
      </c>
      <c r="F213" s="132">
        <v>303904</v>
      </c>
      <c r="G213" s="133" t="str">
        <f>IFERROR(VLOOKUP(BD_DETALLE!$B213,Tabla9[],6,0),"")</f>
        <v>CABLE APANTALLADO 3 X 20</v>
      </c>
      <c r="H213" s="134">
        <f>IFERROR(VLOOKUP(BD_DETALLE!$B213,Tabla9[],4,0),0)</f>
        <v>150</v>
      </c>
      <c r="I213" s="135" t="s">
        <v>1218</v>
      </c>
      <c r="J213" s="136" t="s">
        <v>1547</v>
      </c>
      <c r="K213" s="137">
        <f>IFERROR(VLOOKUP(BD_DETALLE!$B213,Tabla9[],7,0),"")</f>
        <v>44284</v>
      </c>
      <c r="L213" s="138">
        <f>IFERROR(VLOOKUP(BD_DETALLE!$B213,Tabla9[],8,0),"")</f>
        <v>52298</v>
      </c>
      <c r="M213" s="139">
        <f ca="1">IFERROR(SUMIF(Tabla9[],BD_DETALLE!$B213,Tabla9[CANTIDAD2]),"")</f>
        <v>150</v>
      </c>
      <c r="N213" s="140">
        <f>IFERROR(IF(BD_DETALLE!$B213&gt;0,VLOOKUP(BD_DETALLE!$B213,Tabla9[],10,0),""),"")</f>
        <v>0</v>
      </c>
      <c r="O213" s="141">
        <f>IFERROR(VLOOKUP(BD_DETALLE!$B213,Tabla9[],11,0),0)</f>
        <v>0</v>
      </c>
      <c r="P213" s="142">
        <f ca="1">SUMIF(Tabla9[],BD_DETALLE!$B213,Tabla9[CANTIDAD3])</f>
        <v>0</v>
      </c>
      <c r="Q213" s="143">
        <f ca="1">IF(BD_DETALLE!$P213&lt;=0,0,IF(BD_DETALLE!$P213=BD_DETALLE!$H213,2,1))</f>
        <v>0</v>
      </c>
      <c r="R213" s="144">
        <f ca="1">IF(BD_DETALLE!$C213&gt;0,(IF(BD_DETALLE!$N213=0,TODAY()-BD_DETALLE!$C213,BD_DETALLE!$N213-BD_DETALLE!$C213)),"")</f>
        <v>81</v>
      </c>
    </row>
    <row r="214" spans="2:18" x14ac:dyDescent="0.25">
      <c r="B214" s="128" t="str">
        <f t="shared" si="24"/>
        <v>2101-228-314260</v>
      </c>
      <c r="C214" s="129">
        <v>44224</v>
      </c>
      <c r="D214" s="130" t="str">
        <f>IF(BD_DETALLE!$E214&gt;=1,CONCATENATE(TEXT(BD_DETALLE!$C214,"YY"),TEXT(BD_DETALLE!$C214,"MM"),"-",BD_DETALLE!$E214),"")</f>
        <v>2101-228</v>
      </c>
      <c r="E214" s="131">
        <v>228</v>
      </c>
      <c r="F214" s="132">
        <v>314260</v>
      </c>
      <c r="G214" s="133" t="str">
        <f>IFERROR(VLOOKUP(BD_DETALLE!$B214,Tabla9[],6,0),"")</f>
        <v>CARTUCHO M21-750-595-WT 19.5MM</v>
      </c>
      <c r="H214" s="134">
        <f>IFERROR(VLOOKUP(BD_DETALLE!$B214,Tabla9[],4,0),0)</f>
        <v>10</v>
      </c>
      <c r="I214" s="135" t="s">
        <v>1218</v>
      </c>
      <c r="J214" s="136" t="s">
        <v>1547</v>
      </c>
      <c r="K214" s="137">
        <f>IFERROR(VLOOKUP(BD_DETALLE!$B214,Tabla9[],7,0),"")</f>
        <v>44284</v>
      </c>
      <c r="L214" s="138">
        <f>IFERROR(VLOOKUP(BD_DETALLE!$B214,Tabla9[],8,0),"")</f>
        <v>52300</v>
      </c>
      <c r="M214" s="139">
        <f ca="1">IFERROR(SUMIF(Tabla9[],BD_DETALLE!$B214,Tabla9[CANTIDAD2]),"")</f>
        <v>10</v>
      </c>
      <c r="N214" s="140">
        <f>IFERROR(IF(BD_DETALLE!$B214&gt;0,VLOOKUP(BD_DETALLE!$B214,Tabla9[],10,0),""),"")</f>
        <v>44292</v>
      </c>
      <c r="O214" s="141">
        <f>IFERROR(VLOOKUP(BD_DETALLE!$B214,Tabla9[],11,0),0)</f>
        <v>11713</v>
      </c>
      <c r="P214" s="142">
        <f ca="1">SUMIF(Tabla9[],BD_DETALLE!$B214,Tabla9[CANTIDAD3])</f>
        <v>10</v>
      </c>
      <c r="Q214" s="143">
        <f ca="1">IF(BD_DETALLE!$P214&lt;=0,0,IF(BD_DETALLE!$P214=BD_DETALLE!$H214,2,1))</f>
        <v>2</v>
      </c>
      <c r="R214" s="144">
        <f ca="1">IF(BD_DETALLE!$C214&gt;0,(IF(BD_DETALLE!$N214=0,TODAY()-BD_DETALLE!$C214,BD_DETALLE!$N214-BD_DETALLE!$C214)),"")</f>
        <v>68</v>
      </c>
    </row>
    <row r="215" spans="2:18" x14ac:dyDescent="0.25">
      <c r="B215" s="128" t="str">
        <f t="shared" si="24"/>
        <v>2101-228-320630</v>
      </c>
      <c r="C215" s="129">
        <v>44224</v>
      </c>
      <c r="D215" s="130" t="str">
        <f>IF(BD_DETALLE!$E215&gt;=1,CONCATENATE(TEXT(BD_DETALLE!$C215,"YY"),TEXT(BD_DETALLE!$C215,"MM"),"-",BD_DETALLE!$E215),"")</f>
        <v>2101-228</v>
      </c>
      <c r="E215" s="131">
        <v>228</v>
      </c>
      <c r="F215" s="132">
        <v>320630</v>
      </c>
      <c r="G215" s="133" t="str">
        <f>IFERROR(VLOOKUP(BD_DETALLE!$B215,Tabla9[],6,0),"")</f>
        <v>CARTUCHO M21-750-595-YL 19.5MM</v>
      </c>
      <c r="H215" s="134">
        <f>IFERROR(VLOOKUP(BD_DETALLE!$B215,Tabla9[],4,0),0)</f>
        <v>8</v>
      </c>
      <c r="I215" s="135" t="s">
        <v>1218</v>
      </c>
      <c r="J215" s="136" t="s">
        <v>1547</v>
      </c>
      <c r="K215" s="137">
        <f>IFERROR(VLOOKUP(BD_DETALLE!$B215,Tabla9[],7,0),"")</f>
        <v>44284</v>
      </c>
      <c r="L215" s="138">
        <f>IFERROR(VLOOKUP(BD_DETALLE!$B215,Tabla9[],8,0),"")</f>
        <v>52300</v>
      </c>
      <c r="M215" s="139">
        <f ca="1">IFERROR(SUMIF(Tabla9[],BD_DETALLE!$B215,Tabla9[CANTIDAD2]),"")</f>
        <v>8</v>
      </c>
      <c r="N215" s="140">
        <f>IFERROR(IF(BD_DETALLE!$B215&gt;0,VLOOKUP(BD_DETALLE!$B215,Tabla9[],10,0),""),"")</f>
        <v>44292</v>
      </c>
      <c r="O215" s="141">
        <f>IFERROR(VLOOKUP(BD_DETALLE!$B215,Tabla9[],11,0),0)</f>
        <v>11713</v>
      </c>
      <c r="P215" s="142">
        <f ca="1">SUMIF(Tabla9[],BD_DETALLE!$B215,Tabla9[CANTIDAD3])</f>
        <v>8</v>
      </c>
      <c r="Q215" s="143">
        <f ca="1">IF(BD_DETALLE!$P215&lt;=0,0,IF(BD_DETALLE!$P215=BD_DETALLE!$H215,2,1))</f>
        <v>2</v>
      </c>
      <c r="R215" s="144">
        <f ca="1">IF(BD_DETALLE!$C215&gt;0,(IF(BD_DETALLE!$N215=0,TODAY()-BD_DETALLE!$C215,BD_DETALLE!$N215-BD_DETALLE!$C215)),"")</f>
        <v>68</v>
      </c>
    </row>
    <row r="216" spans="2:18" x14ac:dyDescent="0.25">
      <c r="B216" s="128" t="str">
        <f t="shared" si="24"/>
        <v>2101-228-320631</v>
      </c>
      <c r="C216" s="129">
        <v>44224</v>
      </c>
      <c r="D216" s="130" t="str">
        <f>IF(BD_DETALLE!$E216&gt;=1,CONCATENATE(TEXT(BD_DETALLE!$C216,"YY"),TEXT(BD_DETALLE!$C216,"MM"),"-",BD_DETALLE!$E216),"")</f>
        <v>2101-228</v>
      </c>
      <c r="E216" s="131">
        <v>228</v>
      </c>
      <c r="F216" s="132">
        <v>320631</v>
      </c>
      <c r="G216" s="133" t="str">
        <f>IFERROR(VLOOKUP(BD_DETALLE!$B216,Tabla9[],6,0),"")</f>
        <v>TENAZA DE CRIMPADO DE 0,25mm 4mm</v>
      </c>
      <c r="H216" s="134">
        <f>IFERROR(VLOOKUP(BD_DETALLE!$B216,Tabla9[],4,0),0)</f>
        <v>1</v>
      </c>
      <c r="I216" s="135" t="s">
        <v>1218</v>
      </c>
      <c r="J216" s="136" t="s">
        <v>1547</v>
      </c>
      <c r="K216" s="137">
        <f>IFERROR(VLOOKUP(BD_DETALLE!$B216,Tabla9[],7,0),"")</f>
        <v>44284</v>
      </c>
      <c r="L216" s="138">
        <f>IFERROR(VLOOKUP(BD_DETALLE!$B216,Tabla9[],8,0),"")</f>
        <v>52298</v>
      </c>
      <c r="M216" s="139">
        <f ca="1">IFERROR(SUMIF(Tabla9[],BD_DETALLE!$B216,Tabla9[CANTIDAD2]),"")</f>
        <v>1</v>
      </c>
      <c r="N216" s="140">
        <f>IFERROR(IF(BD_DETALLE!$B216&gt;0,VLOOKUP(BD_DETALLE!$B216,Tabla9[],10,0),""),"")</f>
        <v>0</v>
      </c>
      <c r="O216" s="141">
        <f>IFERROR(VLOOKUP(BD_DETALLE!$B216,Tabla9[],11,0),0)</f>
        <v>0</v>
      </c>
      <c r="P216" s="142">
        <f ca="1">SUMIF(Tabla9[],BD_DETALLE!$B216,Tabla9[CANTIDAD3])</f>
        <v>0</v>
      </c>
      <c r="Q216" s="143">
        <f ca="1">IF(BD_DETALLE!$P216&lt;=0,0,IF(BD_DETALLE!$P216=BD_DETALLE!$H216,2,1))</f>
        <v>0</v>
      </c>
      <c r="R216" s="144">
        <f ca="1">IF(BD_DETALLE!$C216&gt;0,(IF(BD_DETALLE!$N216=0,TODAY()-BD_DETALLE!$C216,BD_DETALLE!$N216-BD_DETALLE!$C216)),"")</f>
        <v>81</v>
      </c>
    </row>
    <row r="217" spans="2:18" x14ac:dyDescent="0.25">
      <c r="B217" s="128" t="str">
        <f t="shared" si="24"/>
        <v>2101-228-320632</v>
      </c>
      <c r="C217" s="129">
        <v>44224</v>
      </c>
      <c r="D217" s="130" t="str">
        <f>IF(BD_DETALLE!$E217&gt;=1,CONCATENATE(TEXT(BD_DETALLE!$C217,"YY"),TEXT(BD_DETALLE!$C217,"MM"),"-",BD_DETALLE!$E217),"")</f>
        <v>2101-228</v>
      </c>
      <c r="E217" s="131">
        <v>228</v>
      </c>
      <c r="F217" s="132">
        <v>320632</v>
      </c>
      <c r="G217" s="133" t="str">
        <f>IFERROR(VLOOKUP(BD_DETALLE!$B217,Tabla9[],6,0),"")</f>
        <v>TENAZA CORTA HILO / CABLE DE COBRE / ALUMINIO  DE 35mm</v>
      </c>
      <c r="H217" s="134">
        <f>IFERROR(VLOOKUP(BD_DETALLE!$B217,Tabla9[],4,0),0)</f>
        <v>1</v>
      </c>
      <c r="I217" s="135" t="s">
        <v>1218</v>
      </c>
      <c r="J217" s="136" t="s">
        <v>1547</v>
      </c>
      <c r="K217" s="137">
        <f>IFERROR(VLOOKUP(BD_DETALLE!$B217,Tabla9[],7,0),"")</f>
        <v>44284</v>
      </c>
      <c r="L217" s="138">
        <f>IFERROR(VLOOKUP(BD_DETALLE!$B217,Tabla9[],8,0),"")</f>
        <v>52298</v>
      </c>
      <c r="M217" s="139">
        <f ca="1">IFERROR(SUMIF(Tabla9[],BD_DETALLE!$B217,Tabla9[CANTIDAD2]),"")</f>
        <v>1</v>
      </c>
      <c r="N217" s="140">
        <f>IFERROR(IF(BD_DETALLE!$B217&gt;0,VLOOKUP(BD_DETALLE!$B217,Tabla9[],10,0),""),"")</f>
        <v>0</v>
      </c>
      <c r="O217" s="141">
        <f>IFERROR(VLOOKUP(BD_DETALLE!$B217,Tabla9[],11,0),0)</f>
        <v>0</v>
      </c>
      <c r="P217" s="142">
        <f ca="1">SUMIF(Tabla9[],BD_DETALLE!$B217,Tabla9[CANTIDAD3])</f>
        <v>0</v>
      </c>
      <c r="Q217" s="143">
        <f ca="1">IF(BD_DETALLE!$P217&lt;=0,0,IF(BD_DETALLE!$P217=BD_DETALLE!$H217,2,1))</f>
        <v>0</v>
      </c>
      <c r="R217" s="144">
        <f ca="1">IF(BD_DETALLE!$C217&gt;0,(IF(BD_DETALLE!$N217=0,TODAY()-BD_DETALLE!$C217,BD_DETALLE!$N217-BD_DETALLE!$C217)),"")</f>
        <v>81</v>
      </c>
    </row>
    <row r="218" spans="2:18" x14ac:dyDescent="0.25">
      <c r="B218" s="128" t="str">
        <f t="shared" si="24"/>
        <v>2101-228-320633</v>
      </c>
      <c r="C218" s="129">
        <v>44224</v>
      </c>
      <c r="D218" s="130" t="str">
        <f>IF(BD_DETALLE!$E218&gt;=1,CONCATENATE(TEXT(BD_DETALLE!$C218,"YY"),TEXT(BD_DETALLE!$C218,"MM"),"-",BD_DETALLE!$E218),"")</f>
        <v>2101-228</v>
      </c>
      <c r="E218" s="131">
        <v>228</v>
      </c>
      <c r="F218" s="132">
        <v>320633</v>
      </c>
      <c r="G218" s="133" t="str">
        <f>IFERROR(VLOOKUP(BD_DETALLE!$B218,Tabla9[],6,0),"")</f>
        <v>TENAZA QUICKTRIP 10; 0,02mm - 10mm</v>
      </c>
      <c r="H218" s="134">
        <f>IFERROR(VLOOKUP(BD_DETALLE!$B218,Tabla9[],4,0),0)</f>
        <v>1</v>
      </c>
      <c r="I218" s="135" t="s">
        <v>1218</v>
      </c>
      <c r="J218" s="136" t="s">
        <v>1547</v>
      </c>
      <c r="K218" s="137">
        <f>IFERROR(VLOOKUP(BD_DETALLE!$B218,Tabla9[],7,0),"")</f>
        <v>44284</v>
      </c>
      <c r="L218" s="138">
        <f>IFERROR(VLOOKUP(BD_DETALLE!$B218,Tabla9[],8,0),"")</f>
        <v>52298</v>
      </c>
      <c r="M218" s="139">
        <f ca="1">IFERROR(SUMIF(Tabla9[],BD_DETALLE!$B218,Tabla9[CANTIDAD2]),"")</f>
        <v>1</v>
      </c>
      <c r="N218" s="140">
        <f>IFERROR(IF(BD_DETALLE!$B218&gt;0,VLOOKUP(BD_DETALLE!$B218,Tabla9[],10,0),""),"")</f>
        <v>0</v>
      </c>
      <c r="O218" s="141">
        <f>IFERROR(VLOOKUP(BD_DETALLE!$B218,Tabla9[],11,0),0)</f>
        <v>0</v>
      </c>
      <c r="P218" s="142">
        <f ca="1">SUMIF(Tabla9[],BD_DETALLE!$B218,Tabla9[CANTIDAD3])</f>
        <v>0</v>
      </c>
      <c r="Q218" s="143">
        <f ca="1">IF(BD_DETALLE!$P218&lt;=0,0,IF(BD_DETALLE!$P218=BD_DETALLE!$H218,2,1))</f>
        <v>0</v>
      </c>
      <c r="R218" s="144">
        <f ca="1">IF(BD_DETALLE!$C218&gt;0,(IF(BD_DETALLE!$N218=0,TODAY()-BD_DETALLE!$C218,BD_DETALLE!$N218-BD_DETALLE!$C218)),"")</f>
        <v>81</v>
      </c>
    </row>
    <row r="219" spans="2:18" x14ac:dyDescent="0.25">
      <c r="B219" s="128" t="str">
        <f t="shared" si="24"/>
        <v>2101-228-320634</v>
      </c>
      <c r="C219" s="129">
        <v>44224</v>
      </c>
      <c r="D219" s="130" t="str">
        <f>IF(BD_DETALLE!$E219&gt;=1,CONCATENATE(TEXT(BD_DETALLE!$C219,"YY"),TEXT(BD_DETALLE!$C219,"MM"),"-",BD_DETALLE!$E219),"")</f>
        <v>2101-228</v>
      </c>
      <c r="E219" s="131">
        <v>228</v>
      </c>
      <c r="F219" s="132">
        <v>320634</v>
      </c>
      <c r="G219" s="133" t="str">
        <f>IFERROR(VLOOKUP(BD_DETALLE!$B219,Tabla9[],6,0),"")</f>
        <v>RACOR FESTO QSL 3/8 - 12mm</v>
      </c>
      <c r="H219" s="134">
        <f>IFERROR(VLOOKUP(BD_DETALLE!$B219,Tabla9[],4,0),0)</f>
        <v>15</v>
      </c>
      <c r="I219" s="135" t="s">
        <v>1218</v>
      </c>
      <c r="J219" s="136" t="s">
        <v>1547</v>
      </c>
      <c r="K219" s="137">
        <f>IFERROR(VLOOKUP(BD_DETALLE!$B219,Tabla9[],7,0),"")</f>
        <v>44284</v>
      </c>
      <c r="L219" s="138">
        <f>IFERROR(VLOOKUP(BD_DETALLE!$B219,Tabla9[],8,0),"")</f>
        <v>52298</v>
      </c>
      <c r="M219" s="139">
        <f ca="1">IFERROR(SUMIF(Tabla9[],BD_DETALLE!$B219,Tabla9[CANTIDAD2]),"")</f>
        <v>15</v>
      </c>
      <c r="N219" s="140">
        <f>IFERROR(IF(BD_DETALLE!$B219&gt;0,VLOOKUP(BD_DETALLE!$B219,Tabla9[],10,0),""),"")</f>
        <v>0</v>
      </c>
      <c r="O219" s="141">
        <f>IFERROR(VLOOKUP(BD_DETALLE!$B219,Tabla9[],11,0),0)</f>
        <v>0</v>
      </c>
      <c r="P219" s="142">
        <f ca="1">SUMIF(Tabla9[],BD_DETALLE!$B219,Tabla9[CANTIDAD3])</f>
        <v>0</v>
      </c>
      <c r="Q219" s="143">
        <f ca="1">IF(BD_DETALLE!$P219&lt;=0,0,IF(BD_DETALLE!$P219=BD_DETALLE!$H219,2,1))</f>
        <v>0</v>
      </c>
      <c r="R219" s="144">
        <f ca="1">IF(BD_DETALLE!$C219&gt;0,(IF(BD_DETALLE!$N219=0,TODAY()-BD_DETALLE!$C219,BD_DETALLE!$N219-BD_DETALLE!$C219)),"")</f>
        <v>81</v>
      </c>
    </row>
    <row r="220" spans="2:18" x14ac:dyDescent="0.25">
      <c r="B220" s="128" t="str">
        <f t="shared" si="24"/>
        <v>2101-228-320635</v>
      </c>
      <c r="C220" s="129">
        <v>44224</v>
      </c>
      <c r="D220" s="130" t="str">
        <f>IF(BD_DETALLE!$E220&gt;=1,CONCATENATE(TEXT(BD_DETALLE!$C220,"YY"),TEXT(BD_DETALLE!$C220,"MM"),"-",BD_DETALLE!$E220),"")</f>
        <v>2101-228</v>
      </c>
      <c r="E220" s="131">
        <v>228</v>
      </c>
      <c r="F220" s="132">
        <v>320635</v>
      </c>
      <c r="G220" s="133" t="str">
        <f>IFERROR(VLOOKUP(BD_DETALLE!$B220,Tabla9[],6,0),"")</f>
        <v>SOPORTE BARRA COLECTORA Cu 10mm X 3mm/ ACODADO - ENCLAVABLE SOBRE DIN 35</v>
      </c>
      <c r="H220" s="134">
        <f>IFERROR(VLOOKUP(BD_DETALLE!$B220,Tabla9[],4,0),0)</f>
        <v>15</v>
      </c>
      <c r="I220" s="135" t="s">
        <v>1218</v>
      </c>
      <c r="J220" s="136" t="s">
        <v>1547</v>
      </c>
      <c r="K220" s="137">
        <f>IFERROR(VLOOKUP(BD_DETALLE!$B220,Tabla9[],7,0),"")</f>
        <v>44284</v>
      </c>
      <c r="L220" s="138">
        <f>IFERROR(VLOOKUP(BD_DETALLE!$B220,Tabla9[],8,0),"")</f>
        <v>52298</v>
      </c>
      <c r="M220" s="139">
        <f ca="1">IFERROR(SUMIF(Tabla9[],BD_DETALLE!$B220,Tabla9[CANTIDAD2]),"")</f>
        <v>15</v>
      </c>
      <c r="N220" s="140">
        <f>IFERROR(IF(BD_DETALLE!$B220&gt;0,VLOOKUP(BD_DETALLE!$B220,Tabla9[],10,0),""),"")</f>
        <v>0</v>
      </c>
      <c r="O220" s="141">
        <f>IFERROR(VLOOKUP(BD_DETALLE!$B220,Tabla9[],11,0),0)</f>
        <v>0</v>
      </c>
      <c r="P220" s="142">
        <f ca="1">SUMIF(Tabla9[],BD_DETALLE!$B220,Tabla9[CANTIDAD3])</f>
        <v>0</v>
      </c>
      <c r="Q220" s="143">
        <f ca="1">IF(BD_DETALLE!$P220&lt;=0,0,IF(BD_DETALLE!$P220=BD_DETALLE!$H220,2,1))</f>
        <v>0</v>
      </c>
      <c r="R220" s="144">
        <f ca="1">IF(BD_DETALLE!$C220&gt;0,(IF(BD_DETALLE!$N220=0,TODAY()-BD_DETALLE!$C220,BD_DETALLE!$N220-BD_DETALLE!$C220)),"")</f>
        <v>81</v>
      </c>
    </row>
    <row r="221" spans="2:18" x14ac:dyDescent="0.25">
      <c r="B221" s="128" t="str">
        <f t="shared" si="24"/>
        <v>2101-228-320627</v>
      </c>
      <c r="C221" s="129">
        <v>44224</v>
      </c>
      <c r="D221" s="130" t="str">
        <f>IF(BD_DETALLE!$E221&gt;=1,CONCATENATE(TEXT(BD_DETALLE!$C221,"YY"),TEXT(BD_DETALLE!$C221,"MM"),"-",BD_DETALLE!$E221),"")</f>
        <v>2101-228</v>
      </c>
      <c r="E221" s="131">
        <v>228</v>
      </c>
      <c r="F221" s="132">
        <v>320627</v>
      </c>
      <c r="G221" s="133" t="str">
        <f>IFERROR(VLOOKUP(BD_DETALLE!$B221,Tabla9[],6,0),"")</f>
        <v>CANALETA GALV. TIPO ESCALERA DE 15cmt - 10cmt</v>
      </c>
      <c r="H221" s="134">
        <f>IFERROR(VLOOKUP(BD_DETALLE!$B221,Tabla9[],4,0),0)</f>
        <v>20</v>
      </c>
      <c r="I221" s="135" t="s">
        <v>1218</v>
      </c>
      <c r="J221" s="136" t="s">
        <v>1547</v>
      </c>
      <c r="K221" s="137">
        <f>IFERROR(VLOOKUP(BD_DETALLE!$B221,Tabla9[],7,0),"")</f>
        <v>44285</v>
      </c>
      <c r="L221" s="138">
        <f>IFERROR(VLOOKUP(BD_DETALLE!$B221,Tabla9[],8,0),"")</f>
        <v>52301</v>
      </c>
      <c r="M221" s="139">
        <f ca="1">IFERROR(SUMIF(Tabla9[],BD_DETALLE!$B221,Tabla9[CANTIDAD2]),"")</f>
        <v>20</v>
      </c>
      <c r="N221" s="140">
        <f>IFERROR(IF(BD_DETALLE!$B221&gt;0,VLOOKUP(BD_DETALLE!$B221,Tabla9[],10,0),""),"")</f>
        <v>44294</v>
      </c>
      <c r="O221" s="141">
        <f>IFERROR(VLOOKUP(BD_DETALLE!$B221,Tabla9[],11,0),0)</f>
        <v>11740</v>
      </c>
      <c r="P221" s="142">
        <f ca="1">SUMIF(Tabla9[],BD_DETALLE!$B221,Tabla9[CANTIDAD3])</f>
        <v>20</v>
      </c>
      <c r="Q221" s="143">
        <f ca="1">IF(BD_DETALLE!$P221&lt;=0,0,IF(BD_DETALLE!$P221=BD_DETALLE!$H221,2,1))</f>
        <v>2</v>
      </c>
      <c r="R221" s="144">
        <f ca="1">IF(BD_DETALLE!$C221&gt;0,(IF(BD_DETALLE!$N221=0,TODAY()-BD_DETALLE!$C221,BD_DETALLE!$N221-BD_DETALLE!$C221)),"")</f>
        <v>70</v>
      </c>
    </row>
    <row r="222" spans="2:18" x14ac:dyDescent="0.25">
      <c r="B222" s="128" t="str">
        <f t="shared" si="24"/>
        <v>2101-228-320628</v>
      </c>
      <c r="C222" s="129">
        <v>44224</v>
      </c>
      <c r="D222" s="130" t="str">
        <f>IF(BD_DETALLE!$E222&gt;=1,CONCATENATE(TEXT(BD_DETALLE!$C222,"YY"),TEXT(BD_DETALLE!$C222,"MM"),"-",BD_DETALLE!$E222),"")</f>
        <v>2101-228</v>
      </c>
      <c r="E222" s="131">
        <v>228</v>
      </c>
      <c r="F222" s="132">
        <v>320628</v>
      </c>
      <c r="G222" s="133" t="str">
        <f>IFERROR(VLOOKUP(BD_DETALLE!$B222,Tabla9[],6,0),"")</f>
        <v>UPS  5KVA IN-220 VAC  OUT-220/110VAC</v>
      </c>
      <c r="H222" s="134">
        <f>IFERROR(VLOOKUP(BD_DETALLE!$B222,Tabla9[],4,0),0)</f>
        <v>1</v>
      </c>
      <c r="I222" s="135" t="s">
        <v>1218</v>
      </c>
      <c r="J222" s="136" t="s">
        <v>1547</v>
      </c>
      <c r="K222" s="137">
        <f>IFERROR(VLOOKUP(BD_DETALLE!$B222,Tabla9[],7,0),"")</f>
        <v>44284</v>
      </c>
      <c r="L222" s="138">
        <f>IFERROR(VLOOKUP(BD_DETALLE!$B222,Tabla9[],8,0),"")</f>
        <v>52299</v>
      </c>
      <c r="M222" s="139">
        <f ca="1">IFERROR(SUMIF(Tabla9[],BD_DETALLE!$B222,Tabla9[CANTIDAD2]),"")</f>
        <v>1</v>
      </c>
      <c r="N222" s="140">
        <f>IFERROR(IF(BD_DETALLE!$B222&gt;0,VLOOKUP(BD_DETALLE!$B222,Tabla9[],10,0),""),"")</f>
        <v>44292</v>
      </c>
      <c r="O222" s="141">
        <f>IFERROR(VLOOKUP(BD_DETALLE!$B222,Tabla9[],11,0),0)</f>
        <v>11722</v>
      </c>
      <c r="P222" s="142">
        <f ca="1">SUMIF(Tabla9[],BD_DETALLE!$B222,Tabla9[CANTIDAD3])</f>
        <v>1</v>
      </c>
      <c r="Q222" s="143">
        <f ca="1">IF(BD_DETALLE!$P222&lt;=0,0,IF(BD_DETALLE!$P222=BD_DETALLE!$H222,2,1))</f>
        <v>2</v>
      </c>
      <c r="R222" s="144">
        <f ca="1">IF(BD_DETALLE!$C222&gt;0,(IF(BD_DETALLE!$N222=0,TODAY()-BD_DETALLE!$C222,BD_DETALLE!$N222-BD_DETALLE!$C222)),"")</f>
        <v>68</v>
      </c>
    </row>
    <row r="223" spans="2:18" x14ac:dyDescent="0.25">
      <c r="B223" s="128" t="str">
        <f t="shared" si="24"/>
        <v>2101-228-320629</v>
      </c>
      <c r="C223" s="129">
        <v>44224</v>
      </c>
      <c r="D223" s="130" t="str">
        <f>IF(BD_DETALLE!$E223&gt;=1,CONCATENATE(TEXT(BD_DETALLE!$C223,"YY"),TEXT(BD_DETALLE!$C223,"MM"),"-",BD_DETALLE!$E223),"")</f>
        <v>2101-228</v>
      </c>
      <c r="E223" s="131">
        <v>228</v>
      </c>
      <c r="F223" s="132">
        <v>320629</v>
      </c>
      <c r="G223" s="133" t="str">
        <f>IFERROR(VLOOKUP(BD_DETALLE!$B223,Tabla9[],6,0),"")</f>
        <v>RELE SUPERVISOR DE VOLTAJE 3UG4615-1CR29</v>
      </c>
      <c r="H223" s="134">
        <f>IFERROR(VLOOKUP(BD_DETALLE!$B223,Tabla9[],4,0),0)</f>
        <v>3</v>
      </c>
      <c r="I223" s="135" t="s">
        <v>1218</v>
      </c>
      <c r="J223" s="136" t="s">
        <v>1547</v>
      </c>
      <c r="K223" s="137">
        <f>IFERROR(VLOOKUP(BD_DETALLE!$B223,Tabla9[],7,0),"")</f>
        <v>44284</v>
      </c>
      <c r="L223" s="138">
        <f>IFERROR(VLOOKUP(BD_DETALLE!$B223,Tabla9[],8,0),"")</f>
        <v>52300</v>
      </c>
      <c r="M223" s="139">
        <f ca="1">IFERROR(SUMIF(Tabla9[],BD_DETALLE!$B223,Tabla9[CANTIDAD2]),"")</f>
        <v>3</v>
      </c>
      <c r="N223" s="140">
        <f>IFERROR(IF(BD_DETALLE!$B223&gt;0,VLOOKUP(BD_DETALLE!$B223,Tabla9[],10,0),""),"")</f>
        <v>44292</v>
      </c>
      <c r="O223" s="141">
        <f>IFERROR(VLOOKUP(BD_DETALLE!$B223,Tabla9[],11,0),0)</f>
        <v>11713</v>
      </c>
      <c r="P223" s="142">
        <f ca="1">SUMIF(Tabla9[],BD_DETALLE!$B223,Tabla9[CANTIDAD3])</f>
        <v>3</v>
      </c>
      <c r="Q223" s="143">
        <f ca="1">IF(BD_DETALLE!$P223&lt;=0,0,IF(BD_DETALLE!$P223=BD_DETALLE!$H223,2,1))</f>
        <v>2</v>
      </c>
      <c r="R223" s="144">
        <f ca="1">IF(BD_DETALLE!$C223&gt;0,(IF(BD_DETALLE!$N223=0,TODAY()-BD_DETALLE!$C223,BD_DETALLE!$N223-BD_DETALLE!$C223)),"")</f>
        <v>68</v>
      </c>
    </row>
    <row r="224" spans="2:18" x14ac:dyDescent="0.25">
      <c r="B224" s="128" t="str">
        <f t="shared" si="24"/>
        <v>2101-228-106047</v>
      </c>
      <c r="C224" s="129">
        <v>44224</v>
      </c>
      <c r="D224" s="130" t="str">
        <f>IF(BD_DETALLE!$E224&gt;=1,CONCATENATE(TEXT(BD_DETALLE!$C224,"YY"),TEXT(BD_DETALLE!$C224,"MM"),"-",BD_DETALLE!$E224),"")</f>
        <v>2101-228</v>
      </c>
      <c r="E224" s="131">
        <v>228</v>
      </c>
      <c r="F224" s="132">
        <v>106047</v>
      </c>
      <c r="G224" s="133" t="str">
        <f>IFERROR(VLOOKUP(BD_DETALLE!$B224,Tabla9[],6,0),"")</f>
        <v>AMARRA PLASTICA DE 300MM</v>
      </c>
      <c r="H224" s="134">
        <f>IFERROR(VLOOKUP(BD_DETALLE!$B224,Tabla9[],4,0),0)</f>
        <v>200</v>
      </c>
      <c r="I224" s="135" t="s">
        <v>1218</v>
      </c>
      <c r="J224" s="136" t="s">
        <v>1547</v>
      </c>
      <c r="K224" s="137">
        <f>IFERROR(VLOOKUP(BD_DETALLE!$B224,Tabla9[],7,0),"")</f>
        <v>44285</v>
      </c>
      <c r="L224" s="138">
        <f>IFERROR(VLOOKUP(BD_DETALLE!$B224,Tabla9[],8,0),"")</f>
        <v>52301</v>
      </c>
      <c r="M224" s="139">
        <f ca="1">IFERROR(SUMIF(Tabla9[],BD_DETALLE!$B224,Tabla9[CANTIDAD2]),"")</f>
        <v>200</v>
      </c>
      <c r="N224" s="140">
        <f>IFERROR(IF(BD_DETALLE!$B224&gt;0,VLOOKUP(BD_DETALLE!$B224,Tabla9[],10,0),""),"")</f>
        <v>44294</v>
      </c>
      <c r="O224" s="141">
        <f>IFERROR(VLOOKUP(BD_DETALLE!$B224,Tabla9[],11,0),0)</f>
        <v>11740</v>
      </c>
      <c r="P224" s="142">
        <f ca="1">SUMIF(Tabla9[],BD_DETALLE!$B224,Tabla9[CANTIDAD3])</f>
        <v>200</v>
      </c>
      <c r="Q224" s="143">
        <f ca="1">IF(BD_DETALLE!$P224&lt;=0,0,IF(BD_DETALLE!$P224=BD_DETALLE!$H224,2,1))</f>
        <v>2</v>
      </c>
      <c r="R224" s="144">
        <f ca="1">IF(BD_DETALLE!$C224&gt;0,(IF(BD_DETALLE!$N224=0,TODAY()-BD_DETALLE!$C224,BD_DETALLE!$N224-BD_DETALLE!$C224)),"")</f>
        <v>70</v>
      </c>
    </row>
    <row r="225" spans="2:18" x14ac:dyDescent="0.25">
      <c r="B225" s="128" t="str">
        <f t="shared" si="24"/>
        <v>2101-228-307014</v>
      </c>
      <c r="C225" s="129">
        <v>44224</v>
      </c>
      <c r="D225" s="130" t="str">
        <f>IF(BD_DETALLE!$E225&gt;=1,CONCATENATE(TEXT(BD_DETALLE!$C225,"YY"),TEXT(BD_DETALLE!$C225,"MM"),"-",BD_DETALLE!$E225),"")</f>
        <v>2101-228</v>
      </c>
      <c r="E225" s="131">
        <v>228</v>
      </c>
      <c r="F225" s="132">
        <v>307014</v>
      </c>
      <c r="G225" s="133" t="str">
        <f>IFERROR(VLOOKUP(BD_DETALLE!$B225,Tabla9[],6,0),"")</f>
        <v>BASES ADHESIVAS DE 2CM</v>
      </c>
      <c r="H225" s="134">
        <f>IFERROR(VLOOKUP(BD_DETALLE!$B225,Tabla9[],4,0),0)</f>
        <v>300</v>
      </c>
      <c r="I225" s="135" t="s">
        <v>1218</v>
      </c>
      <c r="J225" s="136" t="s">
        <v>1547</v>
      </c>
      <c r="K225" s="137">
        <f>IFERROR(VLOOKUP(BD_DETALLE!$B225,Tabla9[],7,0),"")</f>
        <v>44285</v>
      </c>
      <c r="L225" s="138">
        <f>IFERROR(VLOOKUP(BD_DETALLE!$B225,Tabla9[],8,0),"")</f>
        <v>52301</v>
      </c>
      <c r="M225" s="139">
        <f ca="1">IFERROR(SUMIF(Tabla9[],BD_DETALLE!$B225,Tabla9[CANTIDAD2]),"")</f>
        <v>300</v>
      </c>
      <c r="N225" s="140">
        <f>IFERROR(IF(BD_DETALLE!$B225&gt;0,VLOOKUP(BD_DETALLE!$B225,Tabla9[],10,0),""),"")</f>
        <v>44294</v>
      </c>
      <c r="O225" s="141">
        <f>IFERROR(VLOOKUP(BD_DETALLE!$B225,Tabla9[],11,0),0)</f>
        <v>11740</v>
      </c>
      <c r="P225" s="142">
        <f ca="1">SUMIF(Tabla9[],BD_DETALLE!$B225,Tabla9[CANTIDAD3])</f>
        <v>300</v>
      </c>
      <c r="Q225" s="143">
        <f ca="1">IF(BD_DETALLE!$P225&lt;=0,0,IF(BD_DETALLE!$P225=BD_DETALLE!$H225,2,1))</f>
        <v>2</v>
      </c>
      <c r="R225" s="144">
        <f ca="1">IF(BD_DETALLE!$C225&gt;0,(IF(BD_DETALLE!$N225=0,TODAY()-BD_DETALLE!$C225,BD_DETALLE!$N225-BD_DETALLE!$C225)),"")</f>
        <v>70</v>
      </c>
    </row>
    <row r="226" spans="2:18" x14ac:dyDescent="0.25">
      <c r="B226" s="128" t="str">
        <f t="shared" si="24"/>
        <v>2101-228-320650</v>
      </c>
      <c r="C226" s="129">
        <v>44224</v>
      </c>
      <c r="D226" s="130" t="str">
        <f>IF(BD_DETALLE!$E226&gt;=1,CONCATENATE(TEXT(BD_DETALLE!$C226,"YY"),TEXT(BD_DETALLE!$C226,"MM"),"-",BD_DETALLE!$E226),"")</f>
        <v>2101-228</v>
      </c>
      <c r="E226" s="131">
        <v>228</v>
      </c>
      <c r="F226" s="132">
        <v>320650</v>
      </c>
      <c r="G226" s="133" t="str">
        <f>IFERROR(VLOOKUP(BD_DETALLE!$B226,Tabla9[],6,0),"")</f>
        <v>PONCHADOR HIDRAULICO P/PERFORAR METAL</v>
      </c>
      <c r="H226" s="134">
        <f>IFERROR(VLOOKUP(BD_DETALLE!$B226,Tabla9[],4,0),0)</f>
        <v>1</v>
      </c>
      <c r="I226" s="135" t="s">
        <v>1218</v>
      </c>
      <c r="J226" s="136" t="s">
        <v>1547</v>
      </c>
      <c r="K226" s="137">
        <f>IFERROR(VLOOKUP(BD_DETALLE!$B226,Tabla9[],7,0),"")</f>
        <v>44285</v>
      </c>
      <c r="L226" s="138">
        <f>IFERROR(VLOOKUP(BD_DETALLE!$B226,Tabla9[],8,0),"")</f>
        <v>52301</v>
      </c>
      <c r="M226" s="139">
        <f ca="1">IFERROR(SUMIF(Tabla9[],BD_DETALLE!$B226,Tabla9[CANTIDAD2]),"")</f>
        <v>1</v>
      </c>
      <c r="N226" s="140">
        <f>IFERROR(IF(BD_DETALLE!$B226&gt;0,VLOOKUP(BD_DETALLE!$B226,Tabla9[],10,0),""),"")</f>
        <v>0</v>
      </c>
      <c r="O226" s="141">
        <f>IFERROR(VLOOKUP(BD_DETALLE!$B226,Tabla9[],11,0),0)</f>
        <v>0</v>
      </c>
      <c r="P226" s="142">
        <f ca="1">SUMIF(Tabla9[],BD_DETALLE!$B226,Tabla9[CANTIDAD3])</f>
        <v>0</v>
      </c>
      <c r="Q226" s="143">
        <f ca="1">IF(BD_DETALLE!$P226&lt;=0,0,IF(BD_DETALLE!$P226=BD_DETALLE!$H226,2,1))</f>
        <v>0</v>
      </c>
      <c r="R226" s="144">
        <f ca="1">IF(BD_DETALLE!$C226&gt;0,(IF(BD_DETALLE!$N226=0,TODAY()-BD_DETALLE!$C226,BD_DETALLE!$N226-BD_DETALLE!$C226)),"")</f>
        <v>81</v>
      </c>
    </row>
    <row r="227" spans="2:18" x14ac:dyDescent="0.25">
      <c r="B227" s="128" t="str">
        <f t="shared" si="24"/>
        <v>2101-228-307401</v>
      </c>
      <c r="C227" s="129">
        <v>44224</v>
      </c>
      <c r="D227" s="130" t="str">
        <f>IF(BD_DETALLE!$E227&gt;=1,CONCATENATE(TEXT(BD_DETALLE!$C227,"YY"),TEXT(BD_DETALLE!$C227,"MM"),"-",BD_DETALLE!$E227),"")</f>
        <v>2101-228</v>
      </c>
      <c r="E227" s="131">
        <v>228</v>
      </c>
      <c r="F227" s="132">
        <v>307401</v>
      </c>
      <c r="G227" s="133" t="str">
        <f>IFERROR(VLOOKUP(BD_DETALLE!$B227,Tabla9[],6,0),"")</f>
        <v>RACOR RECTO QS-3/8-12</v>
      </c>
      <c r="H227" s="134">
        <f>IFERROR(VLOOKUP(BD_DETALLE!$B227,Tabla9[],4,0),0)</f>
        <v>15</v>
      </c>
      <c r="I227" s="135" t="s">
        <v>1218</v>
      </c>
      <c r="J227" s="136" t="s">
        <v>1547</v>
      </c>
      <c r="K227" s="137">
        <f>IFERROR(VLOOKUP(BD_DETALLE!$B227,Tabla9[],7,0),"")</f>
        <v>44284</v>
      </c>
      <c r="L227" s="138">
        <f>IFERROR(VLOOKUP(BD_DETALLE!$B227,Tabla9[],8,0),"")</f>
        <v>52298</v>
      </c>
      <c r="M227" s="139">
        <f ca="1">IFERROR(SUMIF(Tabla9[],BD_DETALLE!$B227,Tabla9[CANTIDAD2]),"")</f>
        <v>15</v>
      </c>
      <c r="N227" s="140">
        <f>IFERROR(IF(BD_DETALLE!$B227&gt;0,VLOOKUP(BD_DETALLE!$B227,Tabla9[],10,0),""),"")</f>
        <v>0</v>
      </c>
      <c r="O227" s="141">
        <f>IFERROR(VLOOKUP(BD_DETALLE!$B227,Tabla9[],11,0),0)</f>
        <v>0</v>
      </c>
      <c r="P227" s="142">
        <f ca="1">SUMIF(Tabla9[],BD_DETALLE!$B227,Tabla9[CANTIDAD3])</f>
        <v>0</v>
      </c>
      <c r="Q227" s="143">
        <f ca="1">IF(BD_DETALLE!$P227&lt;=0,0,IF(BD_DETALLE!$P227=BD_DETALLE!$H227,2,1))</f>
        <v>0</v>
      </c>
      <c r="R227" s="144">
        <f ca="1">IF(BD_DETALLE!$C227&gt;0,(IF(BD_DETALLE!$N227=0,TODAY()-BD_DETALLE!$C227,BD_DETALLE!$N227-BD_DETALLE!$C227)),"")</f>
        <v>81</v>
      </c>
    </row>
    <row r="228" spans="2:18" x14ac:dyDescent="0.25">
      <c r="B228" s="128" t="str">
        <f t="shared" si="24"/>
        <v>2101-228-308111</v>
      </c>
      <c r="C228" s="129">
        <v>44224</v>
      </c>
      <c r="D228" s="130" t="str">
        <f>IF(BD_DETALLE!$E228&gt;=1,CONCATENATE(TEXT(BD_DETALLE!$C228,"YY"),TEXT(BD_DETALLE!$C228,"MM"),"-",BD_DETALLE!$E228),"")</f>
        <v>2101-228</v>
      </c>
      <c r="E228" s="131">
        <v>228</v>
      </c>
      <c r="F228" s="132">
        <v>308111</v>
      </c>
      <c r="G228" s="133" t="str">
        <f>IFERROR(VLOOKUP(BD_DETALLE!$B228,Tabla9[],6,0),"")</f>
        <v>RACOR L ORIENTABLE QSL-1/4"-6</v>
      </c>
      <c r="H228" s="134">
        <f>IFERROR(VLOOKUP(BD_DETALLE!$B228,Tabla9[],4,0),0)</f>
        <v>100</v>
      </c>
      <c r="I228" s="135" t="s">
        <v>1218</v>
      </c>
      <c r="J228" s="136" t="s">
        <v>1547</v>
      </c>
      <c r="K228" s="137">
        <f>IFERROR(VLOOKUP(BD_DETALLE!$B228,Tabla9[],7,0),"")</f>
        <v>44284</v>
      </c>
      <c r="L228" s="138">
        <f>IFERROR(VLOOKUP(BD_DETALLE!$B228,Tabla9[],8,0),"")</f>
        <v>52298</v>
      </c>
      <c r="M228" s="139">
        <f ca="1">IFERROR(SUMIF(Tabla9[],BD_DETALLE!$B228,Tabla9[CANTIDAD2]),"")</f>
        <v>100</v>
      </c>
      <c r="N228" s="140">
        <f>IFERROR(IF(BD_DETALLE!$B228&gt;0,VLOOKUP(BD_DETALLE!$B228,Tabla9[],10,0),""),"")</f>
        <v>0</v>
      </c>
      <c r="O228" s="141">
        <f>IFERROR(VLOOKUP(BD_DETALLE!$B228,Tabla9[],11,0),0)</f>
        <v>0</v>
      </c>
      <c r="P228" s="142">
        <f ca="1">SUMIF(Tabla9[],BD_DETALLE!$B228,Tabla9[CANTIDAD3])</f>
        <v>0</v>
      </c>
      <c r="Q228" s="143">
        <f ca="1">IF(BD_DETALLE!$P228&lt;=0,0,IF(BD_DETALLE!$P228=BD_DETALLE!$H228,2,1))</f>
        <v>0</v>
      </c>
      <c r="R228" s="144">
        <f ca="1">IF(BD_DETALLE!$C228&gt;0,(IF(BD_DETALLE!$N228=0,TODAY()-BD_DETALLE!$C228,BD_DETALLE!$N228-BD_DETALLE!$C228)),"")</f>
        <v>81</v>
      </c>
    </row>
    <row r="229" spans="2:18" x14ac:dyDescent="0.25">
      <c r="B229" s="128" t="str">
        <f t="shared" si="24"/>
        <v>2101-228-305148</v>
      </c>
      <c r="C229" s="129">
        <v>44224</v>
      </c>
      <c r="D229" s="130" t="str">
        <f>IF(BD_DETALLE!$E229&gt;=1,CONCATENATE(TEXT(BD_DETALLE!$C229,"YY"),TEXT(BD_DETALLE!$C229,"MM"),"-",BD_DETALLE!$E229),"")</f>
        <v>2101-228</v>
      </c>
      <c r="E229" s="131">
        <v>228</v>
      </c>
      <c r="F229" s="132">
        <v>305148</v>
      </c>
      <c r="G229" s="133" t="str">
        <f>IFERROR(VLOOKUP(BD_DETALLE!$B229,Tabla9[],6,0),"")</f>
        <v>RACOR RECTO DE 1/4" x 6MM</v>
      </c>
      <c r="H229" s="134">
        <f>IFERROR(VLOOKUP(BD_DETALLE!$B229,Tabla9[],4,0),0)</f>
        <v>100</v>
      </c>
      <c r="I229" s="135" t="s">
        <v>1218</v>
      </c>
      <c r="J229" s="136" t="s">
        <v>1547</v>
      </c>
      <c r="K229" s="137">
        <f>IFERROR(VLOOKUP(BD_DETALLE!$B229,Tabla9[],7,0),"")</f>
        <v>44284</v>
      </c>
      <c r="L229" s="138">
        <f>IFERROR(VLOOKUP(BD_DETALLE!$B229,Tabla9[],8,0),"")</f>
        <v>52298</v>
      </c>
      <c r="M229" s="139">
        <f ca="1">IFERROR(SUMIF(Tabla9[],BD_DETALLE!$B229,Tabla9[CANTIDAD2]),"")</f>
        <v>100</v>
      </c>
      <c r="N229" s="140">
        <f>IFERROR(IF(BD_DETALLE!$B229&gt;0,VLOOKUP(BD_DETALLE!$B229,Tabla9[],10,0),""),"")</f>
        <v>0</v>
      </c>
      <c r="O229" s="141">
        <f>IFERROR(VLOOKUP(BD_DETALLE!$B229,Tabla9[],11,0),0)</f>
        <v>0</v>
      </c>
      <c r="P229" s="142">
        <f ca="1">SUMIF(Tabla9[],BD_DETALLE!$B229,Tabla9[CANTIDAD3])</f>
        <v>0</v>
      </c>
      <c r="Q229" s="143">
        <f ca="1">IF(BD_DETALLE!$P229&lt;=0,0,IF(BD_DETALLE!$P229=BD_DETALLE!$H229,2,1))</f>
        <v>0</v>
      </c>
      <c r="R229" s="144">
        <f ca="1">IF(BD_DETALLE!$C229&gt;0,(IF(BD_DETALLE!$N229=0,TODAY()-BD_DETALLE!$C229,BD_DETALLE!$N229-BD_DETALLE!$C229)),"")</f>
        <v>81</v>
      </c>
    </row>
    <row r="230" spans="2:18" x14ac:dyDescent="0.25">
      <c r="B230" s="128" t="str">
        <f t="shared" si="24"/>
        <v>2101-228-320384</v>
      </c>
      <c r="C230" s="129">
        <v>44224</v>
      </c>
      <c r="D230" s="130" t="str">
        <f>IF(BD_DETALLE!$E230&gt;=1,CONCATENATE(TEXT(BD_DETALLE!$C230,"YY"),TEXT(BD_DETALLE!$C230,"MM"),"-",BD_DETALLE!$E230),"")</f>
        <v>2101-228</v>
      </c>
      <c r="E230" s="131">
        <v>228</v>
      </c>
      <c r="F230" s="132">
        <v>320384</v>
      </c>
      <c r="G230" s="133" t="str">
        <f>IFERROR(VLOOKUP(BD_DETALLE!$B230,Tabla9[],6,0),"")</f>
        <v>TUBO POLIURETANO TRASLUCIDO P/CLAVIJA DIAM. EXT. 6mm RESISTENTE HIDROLI.</v>
      </c>
      <c r="H230" s="134">
        <f>IFERROR(VLOOKUP(BD_DETALLE!$B230,Tabla9[],4,0),0)</f>
        <v>600</v>
      </c>
      <c r="I230" s="135" t="s">
        <v>1218</v>
      </c>
      <c r="J230" s="136" t="s">
        <v>1547</v>
      </c>
      <c r="K230" s="137">
        <f>IFERROR(VLOOKUP(BD_DETALLE!$B230,Tabla9[],7,0),"")</f>
        <v>44284</v>
      </c>
      <c r="L230" s="138">
        <f>IFERROR(VLOOKUP(BD_DETALLE!$B230,Tabla9[],8,0),"")</f>
        <v>52298</v>
      </c>
      <c r="M230" s="139">
        <f ca="1">IFERROR(SUMIF(Tabla9[],BD_DETALLE!$B230,Tabla9[CANTIDAD2]),"")</f>
        <v>600</v>
      </c>
      <c r="N230" s="140">
        <f>IFERROR(IF(BD_DETALLE!$B230&gt;0,VLOOKUP(BD_DETALLE!$B230,Tabla9[],10,0),""),"")</f>
        <v>0</v>
      </c>
      <c r="O230" s="141">
        <f>IFERROR(VLOOKUP(BD_DETALLE!$B230,Tabla9[],11,0),0)</f>
        <v>0</v>
      </c>
      <c r="P230" s="142">
        <f ca="1">SUMIF(Tabla9[],BD_DETALLE!$B230,Tabla9[CANTIDAD3])</f>
        <v>0</v>
      </c>
      <c r="Q230" s="143">
        <f ca="1">IF(BD_DETALLE!$P230&lt;=0,0,IF(BD_DETALLE!$P230=BD_DETALLE!$H230,2,1))</f>
        <v>0</v>
      </c>
      <c r="R230" s="144">
        <f ca="1">IF(BD_DETALLE!$C230&gt;0,(IF(BD_DETALLE!$N230=0,TODAY()-BD_DETALLE!$C230,BD_DETALLE!$N230-BD_DETALLE!$C230)),"")</f>
        <v>81</v>
      </c>
    </row>
    <row r="231" spans="2:18" x14ac:dyDescent="0.25">
      <c r="B231" s="128" t="str">
        <f t="shared" si="24"/>
        <v>2101-228-320636</v>
      </c>
      <c r="C231" s="129">
        <v>44224</v>
      </c>
      <c r="D231" s="130" t="str">
        <f>IF(BD_DETALLE!$E231&gt;=1,CONCATENATE(TEXT(BD_DETALLE!$C231,"YY"),TEXT(BD_DETALLE!$C231,"MM"),"-",BD_DETALLE!$E231),"")</f>
        <v>2101-228</v>
      </c>
      <c r="E231" s="131">
        <v>228</v>
      </c>
      <c r="F231" s="132">
        <v>320636</v>
      </c>
      <c r="G231" s="133" t="str">
        <f>IFERROR(VLOOKUP(BD_DETALLE!$B231,Tabla9[],6,0),"")</f>
        <v>SOPORTE FIJACION APANTALLAMIENTO 27mm(ANCHO) 6mm A 24mm</v>
      </c>
      <c r="H231" s="134">
        <f>IFERROR(VLOOKUP(BD_DETALLE!$B231,Tabla9[],4,0),0)</f>
        <v>15</v>
      </c>
      <c r="I231" s="135" t="s">
        <v>1218</v>
      </c>
      <c r="J231" s="136" t="s">
        <v>1547</v>
      </c>
      <c r="K231" s="137">
        <f>IFERROR(VLOOKUP(BD_DETALLE!$B231,Tabla9[],7,0),"")</f>
        <v>44284</v>
      </c>
      <c r="L231" s="138">
        <f>IFERROR(VLOOKUP(BD_DETALLE!$B231,Tabla9[],8,0),"")</f>
        <v>52298</v>
      </c>
      <c r="M231" s="139">
        <f ca="1">IFERROR(SUMIF(Tabla9[],BD_DETALLE!$B231,Tabla9[CANTIDAD2]),"")</f>
        <v>15</v>
      </c>
      <c r="N231" s="140">
        <f>IFERROR(IF(BD_DETALLE!$B231&gt;0,VLOOKUP(BD_DETALLE!$B231,Tabla9[],10,0),""),"")</f>
        <v>0</v>
      </c>
      <c r="O231" s="141">
        <f>IFERROR(VLOOKUP(BD_DETALLE!$B231,Tabla9[],11,0),0)</f>
        <v>0</v>
      </c>
      <c r="P231" s="142">
        <f ca="1">SUMIF(Tabla9[],BD_DETALLE!$B231,Tabla9[CANTIDAD3])</f>
        <v>0</v>
      </c>
      <c r="Q231" s="143">
        <f ca="1">IF(BD_DETALLE!$P231&lt;=0,0,IF(BD_DETALLE!$P231=BD_DETALLE!$H231,2,1))</f>
        <v>0</v>
      </c>
      <c r="R231" s="144">
        <f ca="1">IF(BD_DETALLE!$C231&gt;0,(IF(BD_DETALLE!$N231=0,TODAY()-BD_DETALLE!$C231,BD_DETALLE!$N231-BD_DETALLE!$C231)),"")</f>
        <v>81</v>
      </c>
    </row>
    <row r="232" spans="2:18" x14ac:dyDescent="0.25">
      <c r="B232" s="128" t="str">
        <f t="shared" si="24"/>
        <v>2101-228-320637</v>
      </c>
      <c r="C232" s="129">
        <v>44224</v>
      </c>
      <c r="D232" s="130" t="str">
        <f>IF(BD_DETALLE!$E232&gt;=1,CONCATENATE(TEXT(BD_DETALLE!$C232,"YY"),TEXT(BD_DETALLE!$C232,"MM"),"-",BD_DETALLE!$E232),"")</f>
        <v>2101-228</v>
      </c>
      <c r="E232" s="131">
        <v>228</v>
      </c>
      <c r="F232" s="132">
        <v>320637</v>
      </c>
      <c r="G232" s="133" t="str">
        <f>IFERROR(VLOOKUP(BD_DETALLE!$B232,Tabla9[],6,0),"")</f>
        <v>TAPON CIEGO CASQUILLO ENCHUFABLE QS-6  FESTO</v>
      </c>
      <c r="H232" s="134">
        <f>IFERROR(VLOOKUP(BD_DETALLE!$B232,Tabla9[],4,0),0)</f>
        <v>40</v>
      </c>
      <c r="I232" s="135" t="s">
        <v>1218</v>
      </c>
      <c r="J232" s="136" t="s">
        <v>1547</v>
      </c>
      <c r="K232" s="137">
        <f>IFERROR(VLOOKUP(BD_DETALLE!$B232,Tabla9[],7,0),"")</f>
        <v>44284</v>
      </c>
      <c r="L232" s="138">
        <f>IFERROR(VLOOKUP(BD_DETALLE!$B232,Tabla9[],8,0),"")</f>
        <v>52298</v>
      </c>
      <c r="M232" s="139">
        <f ca="1">IFERROR(SUMIF(Tabla9[],BD_DETALLE!$B232,Tabla9[CANTIDAD2]),"")</f>
        <v>40</v>
      </c>
      <c r="N232" s="140">
        <f>IFERROR(IF(BD_DETALLE!$B232&gt;0,VLOOKUP(BD_DETALLE!$B232,Tabla9[],10,0),""),"")</f>
        <v>0</v>
      </c>
      <c r="O232" s="141">
        <f>IFERROR(VLOOKUP(BD_DETALLE!$B232,Tabla9[],11,0),0)</f>
        <v>0</v>
      </c>
      <c r="P232" s="142">
        <f ca="1">SUMIF(Tabla9[],BD_DETALLE!$B232,Tabla9[CANTIDAD3])</f>
        <v>0</v>
      </c>
      <c r="Q232" s="143">
        <f ca="1">IF(BD_DETALLE!$P232&lt;=0,0,IF(BD_DETALLE!$P232=BD_DETALLE!$H232,2,1))</f>
        <v>0</v>
      </c>
      <c r="R232" s="144">
        <f ca="1">IF(BD_DETALLE!$C232&gt;0,(IF(BD_DETALLE!$N232=0,TODAY()-BD_DETALLE!$C232,BD_DETALLE!$N232-BD_DETALLE!$C232)),"")</f>
        <v>81</v>
      </c>
    </row>
    <row r="233" spans="2:18" x14ac:dyDescent="0.25">
      <c r="B233" s="128" t="str">
        <f t="shared" si="24"/>
        <v>2101-228-320639</v>
      </c>
      <c r="C233" s="129">
        <v>44224</v>
      </c>
      <c r="D233" s="130" t="str">
        <f>IF(BD_DETALLE!$E233&gt;=1,CONCATENATE(TEXT(BD_DETALLE!$C233,"YY"),TEXT(BD_DETALLE!$C233,"MM"),"-",BD_DETALLE!$E233),"")</f>
        <v>2101-228</v>
      </c>
      <c r="E233" s="131">
        <v>228</v>
      </c>
      <c r="F233" s="132">
        <v>320639</v>
      </c>
      <c r="G233" s="133" t="str">
        <f>IFERROR(VLOOKUP(BD_DETALLE!$B233,Tabla9[],6,0),"")</f>
        <v>VALVULA DE BOLA A/INOX. DE 3/4" C/INDICADOR DE POSICION</v>
      </c>
      <c r="H233" s="134">
        <f>IFERROR(VLOOKUP(BD_DETALLE!$B233,Tabla9[],4,0),0)</f>
        <v>2</v>
      </c>
      <c r="I233" s="135" t="s">
        <v>1218</v>
      </c>
      <c r="J233" s="136" t="s">
        <v>1547</v>
      </c>
      <c r="K233" s="137">
        <f>IFERROR(VLOOKUP(BD_DETALLE!$B233,Tabla9[],7,0),"")</f>
        <v>44284</v>
      </c>
      <c r="L233" s="138">
        <f>IFERROR(VLOOKUP(BD_DETALLE!$B233,Tabla9[],8,0),"")</f>
        <v>52298</v>
      </c>
      <c r="M233" s="139">
        <f ca="1">IFERROR(SUMIF(Tabla9[],BD_DETALLE!$B233,Tabla9[CANTIDAD2]),"")</f>
        <v>2</v>
      </c>
      <c r="N233" s="140">
        <f>IFERROR(IF(BD_DETALLE!$B233&gt;0,VLOOKUP(BD_DETALLE!$B233,Tabla9[],10,0),""),"")</f>
        <v>0</v>
      </c>
      <c r="O233" s="141">
        <f>IFERROR(VLOOKUP(BD_DETALLE!$B233,Tabla9[],11,0),0)</f>
        <v>0</v>
      </c>
      <c r="P233" s="142">
        <f ca="1">SUMIF(Tabla9[],BD_DETALLE!$B233,Tabla9[CANTIDAD3])</f>
        <v>0</v>
      </c>
      <c r="Q233" s="143">
        <f ca="1">IF(BD_DETALLE!$P233&lt;=0,0,IF(BD_DETALLE!$P233=BD_DETALLE!$H233,2,1))</f>
        <v>0</v>
      </c>
      <c r="R233" s="144">
        <f ca="1">IF(BD_DETALLE!$C233&gt;0,(IF(BD_DETALLE!$N233=0,TODAY()-BD_DETALLE!$C233,BD_DETALLE!$N233-BD_DETALLE!$C233)),"")</f>
        <v>81</v>
      </c>
    </row>
    <row r="234" spans="2:18" x14ac:dyDescent="0.25">
      <c r="B234" s="128" t="str">
        <f t="shared" si="24"/>
        <v>2101-228-320640</v>
      </c>
      <c r="C234" s="129">
        <v>44224</v>
      </c>
      <c r="D234" s="130" t="str">
        <f>IF(BD_DETALLE!$E234&gt;=1,CONCATENATE(TEXT(BD_DETALLE!$C234,"YY"),TEXT(BD_DETALLE!$C234,"MM"),"-",BD_DETALLE!$E234),"")</f>
        <v>2101-228</v>
      </c>
      <c r="E234" s="131">
        <v>228</v>
      </c>
      <c r="F234" s="132">
        <v>320640</v>
      </c>
      <c r="G234" s="133" t="str">
        <f>IFERROR(VLOOKUP(BD_DETALLE!$B234,Tabla9[],6,0),"")</f>
        <v>VALVULA P/VAPOR  ASIENTO INCLINADO DE 1,1/2"  FESTO</v>
      </c>
      <c r="H234" s="134">
        <f>IFERROR(VLOOKUP(BD_DETALLE!$B234,Tabla9[],4,0),0)</f>
        <v>12</v>
      </c>
      <c r="I234" s="135" t="s">
        <v>1218</v>
      </c>
      <c r="J234" s="136" t="s">
        <v>1547</v>
      </c>
      <c r="K234" s="137">
        <f>IFERROR(VLOOKUP(BD_DETALLE!$B234,Tabla9[],7,0),"")</f>
        <v>0</v>
      </c>
      <c r="L234" s="138">
        <f>IFERROR(VLOOKUP(BD_DETALLE!$B234,Tabla9[],8,0),"")</f>
        <v>0</v>
      </c>
      <c r="M234" s="139">
        <f ca="1">IFERROR(SUMIF(Tabla9[],BD_DETALLE!$B234,Tabla9[CANTIDAD2]),"")</f>
        <v>0</v>
      </c>
      <c r="N234" s="140">
        <f>IFERROR(IF(BD_DETALLE!$B234&gt;0,VLOOKUP(BD_DETALLE!$B234,Tabla9[],10,0),""),"")</f>
        <v>0</v>
      </c>
      <c r="O234" s="141">
        <f>IFERROR(VLOOKUP(BD_DETALLE!$B234,Tabla9[],11,0),0)</f>
        <v>0</v>
      </c>
      <c r="P234" s="142">
        <f ca="1">SUMIF(Tabla9[],BD_DETALLE!$B234,Tabla9[CANTIDAD3])</f>
        <v>0</v>
      </c>
      <c r="Q234" s="143">
        <f ca="1">IF(BD_DETALLE!$P234&lt;=0,0,IF(BD_DETALLE!$P234=BD_DETALLE!$H234,2,1))</f>
        <v>0</v>
      </c>
      <c r="R234" s="144">
        <f ca="1">IF(BD_DETALLE!$C234&gt;0,(IF(BD_DETALLE!$N234=0,TODAY()-BD_DETALLE!$C234,BD_DETALLE!$N234-BD_DETALLE!$C234)),"")</f>
        <v>81</v>
      </c>
    </row>
    <row r="235" spans="2:18" x14ac:dyDescent="0.25">
      <c r="B235" s="128" t="str">
        <f t="shared" si="24"/>
        <v>2101-228-320641</v>
      </c>
      <c r="C235" s="129">
        <v>44224</v>
      </c>
      <c r="D235" s="130" t="str">
        <f>IF(BD_DETALLE!$E235&gt;=1,CONCATENATE(TEXT(BD_DETALLE!$C235,"YY"),TEXT(BD_DETALLE!$C235,"MM"),"-",BD_DETALLE!$E235),"")</f>
        <v>2101-228</v>
      </c>
      <c r="E235" s="131">
        <v>228</v>
      </c>
      <c r="F235" s="132">
        <v>320641</v>
      </c>
      <c r="G235" s="133" t="str">
        <f>IFERROR(VLOOKUP(BD_DETALLE!$B235,Tabla9[],6,0),"")</f>
        <v>VALVULA NEUMATICA TIPO CUCHILLA DE 6" C/INDICADOR DE POSICION - FESTO</v>
      </c>
      <c r="H235" s="134">
        <f>IFERROR(VLOOKUP(BD_DETALLE!$B235,Tabla9[],4,0),0)</f>
        <v>3</v>
      </c>
      <c r="I235" s="135" t="s">
        <v>1218</v>
      </c>
      <c r="J235" s="136" t="s">
        <v>1547</v>
      </c>
      <c r="K235" s="137">
        <f>IFERROR(VLOOKUP(BD_DETALLE!$B235,Tabla9[],7,0),"")</f>
        <v>0</v>
      </c>
      <c r="L235" s="138">
        <f>IFERROR(VLOOKUP(BD_DETALLE!$B235,Tabla9[],8,0),"")</f>
        <v>0</v>
      </c>
      <c r="M235" s="139">
        <f ca="1">IFERROR(SUMIF(Tabla9[],BD_DETALLE!$B235,Tabla9[CANTIDAD2]),"")</f>
        <v>0</v>
      </c>
      <c r="N235" s="140">
        <f>IFERROR(IF(BD_DETALLE!$B235&gt;0,VLOOKUP(BD_DETALLE!$B235,Tabla9[],10,0),""),"")</f>
        <v>0</v>
      </c>
      <c r="O235" s="141">
        <f>IFERROR(VLOOKUP(BD_DETALLE!$B235,Tabla9[],11,0),0)</f>
        <v>0</v>
      </c>
      <c r="P235" s="142">
        <f ca="1">SUMIF(Tabla9[],BD_DETALLE!$B235,Tabla9[CANTIDAD3])</f>
        <v>0</v>
      </c>
      <c r="Q235" s="143">
        <f ca="1">IF(BD_DETALLE!$P235&lt;=0,0,IF(BD_DETALLE!$P235=BD_DETALLE!$H235,2,1))</f>
        <v>0</v>
      </c>
      <c r="R235" s="144">
        <f ca="1">IF(BD_DETALLE!$C235&gt;0,(IF(BD_DETALLE!$N235=0,TODAY()-BD_DETALLE!$C235,BD_DETALLE!$N235-BD_DETALLE!$C235)),"")</f>
        <v>81</v>
      </c>
    </row>
    <row r="236" spans="2:18" x14ac:dyDescent="0.25">
      <c r="B236" s="128" t="str">
        <f t="shared" si="24"/>
        <v>2101-228-320644</v>
      </c>
      <c r="C236" s="129">
        <v>44224</v>
      </c>
      <c r="D236" s="130" t="str">
        <f>IF(BD_DETALLE!$E236&gt;=1,CONCATENATE(TEXT(BD_DETALLE!$C236,"YY"),TEXT(BD_DETALLE!$C236,"MM"),"-",BD_DETALLE!$E236),"")</f>
        <v>2101-228</v>
      </c>
      <c r="E236" s="131">
        <v>228</v>
      </c>
      <c r="F236" s="132">
        <v>320644</v>
      </c>
      <c r="G236" s="133" t="str">
        <f>IFERROR(VLOOKUP(BD_DETALLE!$B236,Tabla9[],6,0),"")</f>
        <v>PERNO A/INOX DE 1/2 x 2,3/4 COMPLETO</v>
      </c>
      <c r="H236" s="134">
        <f>IFERROR(VLOOKUP(BD_DETALLE!$B236,Tabla9[],4,0),0)</f>
        <v>100</v>
      </c>
      <c r="I236" s="135" t="s">
        <v>1218</v>
      </c>
      <c r="J236" s="136" t="s">
        <v>1547</v>
      </c>
      <c r="K236" s="137">
        <f>IFERROR(VLOOKUP(BD_DETALLE!$B236,Tabla9[],7,0),"")</f>
        <v>0</v>
      </c>
      <c r="L236" s="138">
        <f>IFERROR(VLOOKUP(BD_DETALLE!$B236,Tabla9[],8,0),"")</f>
        <v>0</v>
      </c>
      <c r="M236" s="139">
        <f ca="1">IFERROR(SUMIF(Tabla9[],BD_DETALLE!$B236,Tabla9[CANTIDAD2]),"")</f>
        <v>0</v>
      </c>
      <c r="N236" s="140">
        <f>IFERROR(IF(BD_DETALLE!$B236&gt;0,VLOOKUP(BD_DETALLE!$B236,Tabla9[],10,0),""),"")</f>
        <v>0</v>
      </c>
      <c r="O236" s="141">
        <f>IFERROR(VLOOKUP(BD_DETALLE!$B236,Tabla9[],11,0),0)</f>
        <v>0</v>
      </c>
      <c r="P236" s="142">
        <f ca="1">SUMIF(Tabla9[],BD_DETALLE!$B236,Tabla9[CANTIDAD3])</f>
        <v>0</v>
      </c>
      <c r="Q236" s="143">
        <f ca="1">IF(BD_DETALLE!$P236&lt;=0,0,IF(BD_DETALLE!$P236=BD_DETALLE!$H236,2,1))</f>
        <v>0</v>
      </c>
      <c r="R236" s="144">
        <f ca="1">IF(BD_DETALLE!$C236&gt;0,(IF(BD_DETALLE!$N236=0,TODAY()-BD_DETALLE!$C236,BD_DETALLE!$N236-BD_DETALLE!$C236)),"")</f>
        <v>81</v>
      </c>
    </row>
    <row r="237" spans="2:18" x14ac:dyDescent="0.25">
      <c r="B237" s="128" t="str">
        <f t="shared" si="24"/>
        <v>2101-228-320645</v>
      </c>
      <c r="C237" s="129">
        <v>44224</v>
      </c>
      <c r="D237" s="130" t="str">
        <f>IF(BD_DETALLE!$E237&gt;=1,CONCATENATE(TEXT(BD_DETALLE!$C237,"YY"),TEXT(BD_DETALLE!$C237,"MM"),"-",BD_DETALLE!$E237),"")</f>
        <v>2101-228</v>
      </c>
      <c r="E237" s="131">
        <v>228</v>
      </c>
      <c r="F237" s="132">
        <v>320645</v>
      </c>
      <c r="G237" s="133" t="str">
        <f>IFERROR(VLOOKUP(BD_DETALLE!$B237,Tabla9[],6,0),"")</f>
        <v>PERNO A/INOX DE 3/4 x 3,3/4 COMPLETO</v>
      </c>
      <c r="H237" s="134">
        <f>IFERROR(VLOOKUP(BD_DETALLE!$B237,Tabla9[],4,0),0)</f>
        <v>50</v>
      </c>
      <c r="I237" s="135" t="s">
        <v>1218</v>
      </c>
      <c r="J237" s="136" t="s">
        <v>1547</v>
      </c>
      <c r="K237" s="137">
        <f>IFERROR(VLOOKUP(BD_DETALLE!$B237,Tabla9[],7,0),"")</f>
        <v>0</v>
      </c>
      <c r="L237" s="138">
        <f>IFERROR(VLOOKUP(BD_DETALLE!$B237,Tabla9[],8,0),"")</f>
        <v>0</v>
      </c>
      <c r="M237" s="139">
        <f ca="1">IFERROR(SUMIF(Tabla9[],BD_DETALLE!$B237,Tabla9[CANTIDAD2]),"")</f>
        <v>0</v>
      </c>
      <c r="N237" s="140">
        <f>IFERROR(IF(BD_DETALLE!$B237&gt;0,VLOOKUP(BD_DETALLE!$B237,Tabla9[],10,0),""),"")</f>
        <v>0</v>
      </c>
      <c r="O237" s="141">
        <f>IFERROR(VLOOKUP(BD_DETALLE!$B237,Tabla9[],11,0),0)</f>
        <v>0</v>
      </c>
      <c r="P237" s="142">
        <f ca="1">SUMIF(Tabla9[],BD_DETALLE!$B237,Tabla9[CANTIDAD3])</f>
        <v>0</v>
      </c>
      <c r="Q237" s="143">
        <f ca="1">IF(BD_DETALLE!$P237&lt;=0,0,IF(BD_DETALLE!$P237=BD_DETALLE!$H237,2,1))</f>
        <v>0</v>
      </c>
      <c r="R237" s="144">
        <f ca="1">IF(BD_DETALLE!$C237&gt;0,(IF(BD_DETALLE!$N237=0,TODAY()-BD_DETALLE!$C237,BD_DETALLE!$N237-BD_DETALLE!$C237)),"")</f>
        <v>81</v>
      </c>
    </row>
    <row r="238" spans="2:18" x14ac:dyDescent="0.25">
      <c r="B238" s="128" t="str">
        <f t="shared" si="24"/>
        <v>2101-228-315961</v>
      </c>
      <c r="C238" s="129">
        <v>44224</v>
      </c>
      <c r="D238" s="130" t="str">
        <f>IF(BD_DETALLE!$E238&gt;=1,CONCATENATE(TEXT(BD_DETALLE!$C238,"YY"),TEXT(BD_DETALLE!$C238,"MM"),"-",BD_DETALLE!$E238),"")</f>
        <v>2101-228</v>
      </c>
      <c r="E238" s="131">
        <v>228</v>
      </c>
      <c r="F238" s="132">
        <v>315961</v>
      </c>
      <c r="G238" s="133" t="str">
        <f>IFERROR(VLOOKUP(BD_DETALLE!$B238,Tabla9[],6,0),"")</f>
        <v>BRIDA A/INOX DE 1-1/2"</v>
      </c>
      <c r="H238" s="134">
        <f>IFERROR(VLOOKUP(BD_DETALLE!$B238,Tabla9[],4,0),0)</f>
        <v>24</v>
      </c>
      <c r="I238" s="135" t="s">
        <v>1218</v>
      </c>
      <c r="J238" s="136" t="s">
        <v>1547</v>
      </c>
      <c r="K238" s="137">
        <f>IFERROR(VLOOKUP(BD_DETALLE!$B238,Tabla9[],7,0),"")</f>
        <v>0</v>
      </c>
      <c r="L238" s="138">
        <f>IFERROR(VLOOKUP(BD_DETALLE!$B238,Tabla9[],8,0),"")</f>
        <v>0</v>
      </c>
      <c r="M238" s="139">
        <f ca="1">IFERROR(SUMIF(Tabla9[],BD_DETALLE!$B238,Tabla9[CANTIDAD2]),"")</f>
        <v>0</v>
      </c>
      <c r="N238" s="140">
        <f>IFERROR(IF(BD_DETALLE!$B238&gt;0,VLOOKUP(BD_DETALLE!$B238,Tabla9[],10,0),""),"")</f>
        <v>0</v>
      </c>
      <c r="O238" s="141">
        <f>IFERROR(VLOOKUP(BD_DETALLE!$B238,Tabla9[],11,0),0)</f>
        <v>0</v>
      </c>
      <c r="P238" s="142">
        <f ca="1">SUMIF(Tabla9[],BD_DETALLE!$B238,Tabla9[CANTIDAD3])</f>
        <v>0</v>
      </c>
      <c r="Q238" s="143">
        <f ca="1">IF(BD_DETALLE!$P238&lt;=0,0,IF(BD_DETALLE!$P238=BD_DETALLE!$H238,2,1))</f>
        <v>0</v>
      </c>
      <c r="R238" s="144">
        <f ca="1">IF(BD_DETALLE!$C238&gt;0,(IF(BD_DETALLE!$N238=0,TODAY()-BD_DETALLE!$C238,BD_DETALLE!$N238-BD_DETALLE!$C238)),"")</f>
        <v>81</v>
      </c>
    </row>
    <row r="239" spans="2:18" x14ac:dyDescent="0.25">
      <c r="B239" s="128" t="str">
        <f t="shared" si="24"/>
        <v>2101-228-305480</v>
      </c>
      <c r="C239" s="129">
        <v>44224</v>
      </c>
      <c r="D239" s="130" t="str">
        <f>IF(BD_DETALLE!$E239&gt;=1,CONCATENATE(TEXT(BD_DETALLE!$C239,"YY"),TEXT(BD_DETALLE!$C239,"MM"),"-",BD_DETALLE!$E239),"")</f>
        <v>2101-228</v>
      </c>
      <c r="E239" s="131">
        <v>228</v>
      </c>
      <c r="F239" s="132">
        <v>305480</v>
      </c>
      <c r="G239" s="133" t="str">
        <f>IFERROR(VLOOKUP(BD_DETALLE!$B239,Tabla9[],6,0),"")</f>
        <v>BRIDA A/INOX DE 6"</v>
      </c>
      <c r="H239" s="134">
        <f>IFERROR(VLOOKUP(BD_DETALLE!$B239,Tabla9[],4,0),0)</f>
        <v>6</v>
      </c>
      <c r="I239" s="135" t="s">
        <v>1218</v>
      </c>
      <c r="J239" s="136" t="s">
        <v>1547</v>
      </c>
      <c r="K239" s="137">
        <f>IFERROR(VLOOKUP(BD_DETALLE!$B239,Tabla9[],7,0),"")</f>
        <v>0</v>
      </c>
      <c r="L239" s="138">
        <f>IFERROR(VLOOKUP(BD_DETALLE!$B239,Tabla9[],8,0),"")</f>
        <v>0</v>
      </c>
      <c r="M239" s="139">
        <f ca="1">IFERROR(SUMIF(Tabla9[],BD_DETALLE!$B239,Tabla9[CANTIDAD2]),"")</f>
        <v>0</v>
      </c>
      <c r="N239" s="140">
        <f>IFERROR(IF(BD_DETALLE!$B239&gt;0,VLOOKUP(BD_DETALLE!$B239,Tabla9[],10,0),""),"")</f>
        <v>0</v>
      </c>
      <c r="O239" s="141">
        <f>IFERROR(VLOOKUP(BD_DETALLE!$B239,Tabla9[],11,0),0)</f>
        <v>0</v>
      </c>
      <c r="P239" s="142">
        <f ca="1">SUMIF(Tabla9[],BD_DETALLE!$B239,Tabla9[CANTIDAD3])</f>
        <v>0</v>
      </c>
      <c r="Q239" s="143">
        <f ca="1">IF(BD_DETALLE!$P239&lt;=0,0,IF(BD_DETALLE!$P239=BD_DETALLE!$H239,2,1))</f>
        <v>0</v>
      </c>
      <c r="R239" s="144">
        <f ca="1">IF(BD_DETALLE!$C239&gt;0,(IF(BD_DETALLE!$N239=0,TODAY()-BD_DETALLE!$C239,BD_DETALLE!$N239-BD_DETALLE!$C239)),"")</f>
        <v>81</v>
      </c>
    </row>
    <row r="240" spans="2:18" x14ac:dyDescent="0.25">
      <c r="B240" s="128" t="str">
        <f t="shared" ref="B240:B246" si="25">IFERROR(TEXT(C240,"yy") &amp; TEXT(C240,"mm") &amp;"-"&amp;(E240) &amp;"-"&amp;(F240),"")</f>
        <v>2101-228-320646</v>
      </c>
      <c r="C240" s="129">
        <v>44224</v>
      </c>
      <c r="D240" s="130" t="str">
        <f>IF(BD_DETALLE!$E240&gt;=1,CONCATENATE(TEXT(BD_DETALLE!$C240,"YY"),TEXT(BD_DETALLE!$C240,"MM"),"-",BD_DETALLE!$E240),"")</f>
        <v>2101-228</v>
      </c>
      <c r="E240" s="131">
        <v>228</v>
      </c>
      <c r="F240" s="132">
        <v>320646</v>
      </c>
      <c r="G240" s="133" t="str">
        <f>IFERROR(VLOOKUP(BD_DETALLE!$B240,Tabla9[],6,0),"")</f>
        <v>VARIADOR DE VELOCIDADSINAMICS 10 HP PM/240/380-480VAC 6SL-3210-IPE21</v>
      </c>
      <c r="H240" s="134">
        <f>IFERROR(VLOOKUP(BD_DETALLE!$B240,Tabla9[],4,0),0)</f>
        <v>1</v>
      </c>
      <c r="I240" s="135" t="s">
        <v>1218</v>
      </c>
      <c r="J240" s="136" t="s">
        <v>1547</v>
      </c>
      <c r="K240" s="137">
        <f>IFERROR(VLOOKUP(BD_DETALLE!$B240,Tabla9[],7,0),"")</f>
        <v>44284</v>
      </c>
      <c r="L240" s="138">
        <f>IFERROR(VLOOKUP(BD_DETALLE!$B240,Tabla9[],8,0),"")</f>
        <v>52300</v>
      </c>
      <c r="M240" s="139">
        <f ca="1">IFERROR(SUMIF(Tabla9[],BD_DETALLE!$B240,Tabla9[CANTIDAD2]),"")</f>
        <v>1</v>
      </c>
      <c r="N240" s="140">
        <f>IFERROR(IF(BD_DETALLE!$B240&gt;0,VLOOKUP(BD_DETALLE!$B240,Tabla9[],10,0),""),"")</f>
        <v>44294</v>
      </c>
      <c r="O240" s="141">
        <f>IFERROR(VLOOKUP(BD_DETALLE!$B240,Tabla9[],11,0),0)</f>
        <v>11746</v>
      </c>
      <c r="P240" s="142">
        <f ca="1">SUMIF(Tabla9[],BD_DETALLE!$B240,Tabla9[CANTIDAD3])</f>
        <v>1</v>
      </c>
      <c r="Q240" s="143">
        <f ca="1">IF(BD_DETALLE!$P240&lt;=0,0,IF(BD_DETALLE!$P240=BD_DETALLE!$H240,2,1))</f>
        <v>2</v>
      </c>
      <c r="R240" s="144">
        <f ca="1">IF(BD_DETALLE!$C240&gt;0,(IF(BD_DETALLE!$N240=0,TODAY()-BD_DETALLE!$C240,BD_DETALLE!$N240-BD_DETALLE!$C240)),"")</f>
        <v>70</v>
      </c>
    </row>
    <row r="241" spans="2:18" x14ac:dyDescent="0.25">
      <c r="B241" s="128" t="str">
        <f t="shared" si="25"/>
        <v>2101-228-320647</v>
      </c>
      <c r="C241" s="129">
        <v>44224</v>
      </c>
      <c r="D241" s="130" t="str">
        <f>IF(BD_DETALLE!$E241&gt;=1,CONCATENATE(TEXT(BD_DETALLE!$C241,"YY"),TEXT(BD_DETALLE!$C241,"MM"),"-",BD_DETALLE!$E241),"")</f>
        <v>2101-228</v>
      </c>
      <c r="E241" s="131">
        <v>228</v>
      </c>
      <c r="F241" s="132">
        <v>320647</v>
      </c>
      <c r="G241" s="133" t="str">
        <f>IFERROR(VLOOKUP(BD_DETALLE!$B241,Tabla9[],6,0),"")</f>
        <v>UNIDAD DE CONTROL CU240 E-2 PROFINET/ETHERNET IP 6SL3244-0BB12-1FA0</v>
      </c>
      <c r="H241" s="134">
        <f>IFERROR(VLOOKUP(BD_DETALLE!$B241,Tabla9[],4,0),0)</f>
        <v>1</v>
      </c>
      <c r="I241" s="135" t="s">
        <v>1218</v>
      </c>
      <c r="J241" s="136" t="s">
        <v>1547</v>
      </c>
      <c r="K241" s="137">
        <f>IFERROR(VLOOKUP(BD_DETALLE!$B241,Tabla9[],7,0),"")</f>
        <v>44284</v>
      </c>
      <c r="L241" s="138">
        <f>IFERROR(VLOOKUP(BD_DETALLE!$B241,Tabla9[],8,0),"")</f>
        <v>52300</v>
      </c>
      <c r="M241" s="139">
        <f ca="1">IFERROR(SUMIF(Tabla9[],BD_DETALLE!$B241,Tabla9[CANTIDAD2]),"")</f>
        <v>1</v>
      </c>
      <c r="N241" s="140">
        <f>IFERROR(IF(BD_DETALLE!$B241&gt;0,VLOOKUP(BD_DETALLE!$B241,Tabla9[],10,0),""),"")</f>
        <v>44294</v>
      </c>
      <c r="O241" s="141">
        <f>IFERROR(VLOOKUP(BD_DETALLE!$B241,Tabla9[],11,0),0)</f>
        <v>11746</v>
      </c>
      <c r="P241" s="142">
        <f ca="1">SUMIF(Tabla9[],BD_DETALLE!$B241,Tabla9[CANTIDAD3])</f>
        <v>1</v>
      </c>
      <c r="Q241" s="143">
        <f ca="1">IF(BD_DETALLE!$P241&lt;=0,0,IF(BD_DETALLE!$P241=BD_DETALLE!$H241,2,1))</f>
        <v>2</v>
      </c>
      <c r="R241" s="144">
        <f ca="1">IF(BD_DETALLE!$C241&gt;0,(IF(BD_DETALLE!$N241=0,TODAY()-BD_DETALLE!$C241,BD_DETALLE!$N241-BD_DETALLE!$C241)),"")</f>
        <v>70</v>
      </c>
    </row>
    <row r="242" spans="2:18" x14ac:dyDescent="0.25">
      <c r="B242" s="128" t="str">
        <f t="shared" si="25"/>
        <v>2101-228-320648</v>
      </c>
      <c r="C242" s="129">
        <v>44224</v>
      </c>
      <c r="D242" s="130" t="str">
        <f>IF(BD_DETALLE!$E242&gt;=1,CONCATENATE(TEXT(BD_DETALLE!$C242,"YY"),TEXT(BD_DETALLE!$C242,"MM"),"-",BD_DETALLE!$E242),"")</f>
        <v>2101-228</v>
      </c>
      <c r="E242" s="131">
        <v>228</v>
      </c>
      <c r="F242" s="132">
        <v>320648</v>
      </c>
      <c r="G242" s="133" t="str">
        <f>IFERROR(VLOOKUP(BD_DETALLE!$B242,Tabla9[],6,0),"")</f>
        <v>PANEL OPERADOR IOP-2 P/SINAMIC G120C/G120 6SL3255-0AA00-4JA2</v>
      </c>
      <c r="H242" s="134">
        <f>IFERROR(VLOOKUP(BD_DETALLE!$B242,Tabla9[],4,0),0)</f>
        <v>1</v>
      </c>
      <c r="I242" s="135" t="s">
        <v>1218</v>
      </c>
      <c r="J242" s="136" t="s">
        <v>1547</v>
      </c>
      <c r="K242" s="137">
        <f>IFERROR(VLOOKUP(BD_DETALLE!$B242,Tabla9[],7,0),"")</f>
        <v>44284</v>
      </c>
      <c r="L242" s="138">
        <f>IFERROR(VLOOKUP(BD_DETALLE!$B242,Tabla9[],8,0),"")</f>
        <v>52300</v>
      </c>
      <c r="M242" s="139">
        <f ca="1">IFERROR(SUMIF(Tabla9[],BD_DETALLE!$B242,Tabla9[CANTIDAD2]),"")</f>
        <v>1</v>
      </c>
      <c r="N242" s="140">
        <f>IFERROR(IF(BD_DETALLE!$B242&gt;0,VLOOKUP(BD_DETALLE!$B242,Tabla9[],10,0),""),"")</f>
        <v>44292</v>
      </c>
      <c r="O242" s="141">
        <f>IFERROR(VLOOKUP(BD_DETALLE!$B242,Tabla9[],11,0),0)</f>
        <v>11713</v>
      </c>
      <c r="P242" s="142">
        <f ca="1">SUMIF(Tabla9[],BD_DETALLE!$B242,Tabla9[CANTIDAD3])</f>
        <v>1</v>
      </c>
      <c r="Q242" s="143">
        <f ca="1">IF(BD_DETALLE!$P242&lt;=0,0,IF(BD_DETALLE!$P242=BD_DETALLE!$H242,2,1))</f>
        <v>2</v>
      </c>
      <c r="R242" s="144">
        <f ca="1">IF(BD_DETALLE!$C242&gt;0,(IF(BD_DETALLE!$N242=0,TODAY()-BD_DETALLE!$C242,BD_DETALLE!$N242-BD_DETALLE!$C242)),"")</f>
        <v>68</v>
      </c>
    </row>
    <row r="243" spans="2:18" x14ac:dyDescent="0.25">
      <c r="B243" s="128" t="str">
        <f t="shared" si="25"/>
        <v>2101-228-320649</v>
      </c>
      <c r="C243" s="129">
        <v>44224</v>
      </c>
      <c r="D243" s="130" t="str">
        <f>IF(BD_DETALLE!$E243&gt;=1,CONCATENATE(TEXT(BD_DETALLE!$C243,"YY"),TEXT(BD_DETALLE!$C243,"MM"),"-",BD_DETALLE!$E243),"")</f>
        <v>2101-228</v>
      </c>
      <c r="E243" s="131">
        <v>228</v>
      </c>
      <c r="F243" s="132">
        <v>320649</v>
      </c>
      <c r="G243" s="133" t="str">
        <f>IFERROR(VLOOKUP(BD_DETALLE!$B243,Tabla9[],6,0),"")</f>
        <v>CABLE DE PROGRAMACION USB 6SL3255-0AA00-2CA0</v>
      </c>
      <c r="H243" s="134">
        <f>IFERROR(VLOOKUP(BD_DETALLE!$B243,Tabla9[],4,0),0)</f>
        <v>1</v>
      </c>
      <c r="I243" s="135" t="s">
        <v>1218</v>
      </c>
      <c r="J243" s="136" t="s">
        <v>1547</v>
      </c>
      <c r="K243" s="137">
        <f>IFERROR(VLOOKUP(BD_DETALLE!$B243,Tabla9[],7,0),"")</f>
        <v>44284</v>
      </c>
      <c r="L243" s="138">
        <f>IFERROR(VLOOKUP(BD_DETALLE!$B243,Tabla9[],8,0),"")</f>
        <v>52300</v>
      </c>
      <c r="M243" s="139">
        <f ca="1">IFERROR(SUMIF(Tabla9[],BD_DETALLE!$B243,Tabla9[CANTIDAD2]),"")</f>
        <v>1</v>
      </c>
      <c r="N243" s="140">
        <f>IFERROR(IF(BD_DETALLE!$B243&gt;0,VLOOKUP(BD_DETALLE!$B243,Tabla9[],10,0),""),"")</f>
        <v>44292</v>
      </c>
      <c r="O243" s="141">
        <f>IFERROR(VLOOKUP(BD_DETALLE!$B243,Tabla9[],11,0),0)</f>
        <v>11713</v>
      </c>
      <c r="P243" s="142">
        <f ca="1">SUMIF(Tabla9[],BD_DETALLE!$B243,Tabla9[CANTIDAD3])</f>
        <v>1</v>
      </c>
      <c r="Q243" s="143">
        <f ca="1">IF(BD_DETALLE!$P243&lt;=0,0,IF(BD_DETALLE!$P243=BD_DETALLE!$H243,2,1))</f>
        <v>2</v>
      </c>
      <c r="R243" s="144">
        <f ca="1">IF(BD_DETALLE!$C243&gt;0,(IF(BD_DETALLE!$N243=0,TODAY()-BD_DETALLE!$C243,BD_DETALLE!$N243-BD_DETALLE!$C243)),"")</f>
        <v>68</v>
      </c>
    </row>
    <row r="244" spans="2:18" x14ac:dyDescent="0.25">
      <c r="B244" s="128" t="str">
        <f t="shared" si="25"/>
        <v>2101-228-304917</v>
      </c>
      <c r="C244" s="129">
        <v>44224</v>
      </c>
      <c r="D244" s="130" t="str">
        <f>IF(BD_DETALLE!$E244&gt;=1,CONCATENATE(TEXT(BD_DETALLE!$C244,"YY"),TEXT(BD_DETALLE!$C244,"MM"),"-",BD_DETALLE!$E244),"")</f>
        <v>2101-228</v>
      </c>
      <c r="E244" s="131">
        <v>228</v>
      </c>
      <c r="F244" s="132">
        <v>304917</v>
      </c>
      <c r="G244" s="133" t="str">
        <f>IFERROR(VLOOKUP(BD_DETALLE!$B244,Tabla9[],6,0),"")</f>
        <v>TUBO A/INOX DE 1-1/2" x 6MTS - CED. 40</v>
      </c>
      <c r="H244" s="134">
        <f>IFERROR(VLOOKUP(BD_DETALLE!$B244,Tabla9[],4,0),0)</f>
        <v>2</v>
      </c>
      <c r="I244" s="135" t="s">
        <v>1218</v>
      </c>
      <c r="J244" s="136" t="s">
        <v>1547</v>
      </c>
      <c r="K244" s="137">
        <f>IFERROR(VLOOKUP(BD_DETALLE!$B244,Tabla9[],7,0),"")</f>
        <v>0</v>
      </c>
      <c r="L244" s="138">
        <f>IFERROR(VLOOKUP(BD_DETALLE!$B244,Tabla9[],8,0),"")</f>
        <v>0</v>
      </c>
      <c r="M244" s="139">
        <f ca="1">IFERROR(SUMIF(Tabla9[],BD_DETALLE!$B244,Tabla9[CANTIDAD2]),"")</f>
        <v>0</v>
      </c>
      <c r="N244" s="140">
        <f>IFERROR(IF(BD_DETALLE!$B244&gt;0,VLOOKUP(BD_DETALLE!$B244,Tabla9[],10,0),""),"")</f>
        <v>0</v>
      </c>
      <c r="O244" s="141">
        <f>IFERROR(VLOOKUP(BD_DETALLE!$B244,Tabla9[],11,0),0)</f>
        <v>0</v>
      </c>
      <c r="P244" s="142">
        <f ca="1">SUMIF(Tabla9[],BD_DETALLE!$B244,Tabla9[CANTIDAD3])</f>
        <v>0</v>
      </c>
      <c r="Q244" s="143">
        <f ca="1">IF(BD_DETALLE!$P244&lt;=0,0,IF(BD_DETALLE!$P244=BD_DETALLE!$H244,2,1))</f>
        <v>0</v>
      </c>
      <c r="R244" s="144">
        <f ca="1">IF(BD_DETALLE!$C244&gt;0,(IF(BD_DETALLE!$N244=0,TODAY()-BD_DETALLE!$C244,BD_DETALLE!$N244-BD_DETALLE!$C244)),"")</f>
        <v>81</v>
      </c>
    </row>
    <row r="245" spans="2:18" x14ac:dyDescent="0.25">
      <c r="B245" s="128" t="str">
        <f t="shared" si="25"/>
        <v>2101-228-320651</v>
      </c>
      <c r="C245" s="129">
        <v>44224</v>
      </c>
      <c r="D245" s="130" t="str">
        <f>IF(BD_DETALLE!$E245&gt;=1,CONCATENATE(TEXT(BD_DETALLE!$C245,"YY"),TEXT(BD_DETALLE!$C245,"MM"),"-",BD_DETALLE!$E245),"")</f>
        <v>2101-228</v>
      </c>
      <c r="E245" s="131">
        <v>228</v>
      </c>
      <c r="F245" s="132">
        <v>320651</v>
      </c>
      <c r="G245" s="133" t="str">
        <f>IFERROR(VLOOKUP(BD_DETALLE!$B245,Tabla9[],6,0),"")</f>
        <v>TABLERO A/INOX. 800mm(ALTO) X 600mm(ANCHO) X 300mm(FONDO)</v>
      </c>
      <c r="H245" s="134">
        <f>IFERROR(VLOOKUP(BD_DETALLE!$B245,Tabla9[],4,0),0)</f>
        <v>2</v>
      </c>
      <c r="I245" s="135" t="s">
        <v>1218</v>
      </c>
      <c r="J245" s="136" t="s">
        <v>1547</v>
      </c>
      <c r="K245" s="137">
        <f>IFERROR(VLOOKUP(BD_DETALLE!$B245,Tabla9[],7,0),"")</f>
        <v>44285</v>
      </c>
      <c r="L245" s="138">
        <f>IFERROR(VLOOKUP(BD_DETALLE!$B245,Tabla9[],8,0),"")</f>
        <v>52301</v>
      </c>
      <c r="M245" s="139">
        <f ca="1">IFERROR(SUMIF(Tabla9[],BD_DETALLE!$B245,Tabla9[CANTIDAD2]),"")</f>
        <v>2</v>
      </c>
      <c r="N245" s="140">
        <f>IFERROR(IF(BD_DETALLE!$B245&gt;0,VLOOKUP(BD_DETALLE!$B245,Tabla9[],10,0),""),"")</f>
        <v>44301</v>
      </c>
      <c r="O245" s="141">
        <f>IFERROR(VLOOKUP(BD_DETALLE!$B245,Tabla9[],11,0),0)</f>
        <v>11842</v>
      </c>
      <c r="P245" s="142">
        <f ca="1">SUMIF(Tabla9[],BD_DETALLE!$B245,Tabla9[CANTIDAD3])</f>
        <v>2</v>
      </c>
      <c r="Q245" s="143">
        <f ca="1">IF(BD_DETALLE!$P245&lt;=0,0,IF(BD_DETALLE!$P245=BD_DETALLE!$H245,2,1))</f>
        <v>2</v>
      </c>
      <c r="R245" s="144">
        <f ca="1">IF(BD_DETALLE!$C245&gt;0,(IF(BD_DETALLE!$N245=0,TODAY()-BD_DETALLE!$C245,BD_DETALLE!$N245-BD_DETALLE!$C245)),"")</f>
        <v>77</v>
      </c>
    </row>
    <row r="246" spans="2:18" x14ac:dyDescent="0.25">
      <c r="B246" s="128" t="str">
        <f t="shared" si="25"/>
        <v>2101-228-203235</v>
      </c>
      <c r="C246" s="129">
        <v>44224</v>
      </c>
      <c r="D246" s="130" t="str">
        <f>IF(BD_DETALLE!$E246&gt;=1,CONCATENATE(TEXT(BD_DETALLE!$C246,"YY"),TEXT(BD_DETALLE!$C246,"MM"),"-",BD_DETALLE!$E246),"")</f>
        <v>2101-228</v>
      </c>
      <c r="E246" s="131">
        <v>228</v>
      </c>
      <c r="F246" s="132">
        <v>203235</v>
      </c>
      <c r="G246" s="133" t="str">
        <f>IFERROR(VLOOKUP(BD_DETALLE!$B246,Tabla9[],6,0),"")</f>
        <v>CONDULECT TIPO "L"  DE 1 1/2"</v>
      </c>
      <c r="H246" s="134">
        <f>IFERROR(VLOOKUP(BD_DETALLE!$B246,Tabla9[],4,0),0)</f>
        <v>10</v>
      </c>
      <c r="I246" s="135" t="s">
        <v>1218</v>
      </c>
      <c r="J246" s="136" t="s">
        <v>1547</v>
      </c>
      <c r="K246" s="137">
        <f>IFERROR(VLOOKUP(BD_DETALLE!$B246,Tabla9[],7,0),"")</f>
        <v>44285</v>
      </c>
      <c r="L246" s="138">
        <f>IFERROR(VLOOKUP(BD_DETALLE!$B246,Tabla9[],8,0),"")</f>
        <v>52301</v>
      </c>
      <c r="M246" s="139">
        <f ca="1">IFERROR(SUMIF(Tabla9[],BD_DETALLE!$B246,Tabla9[CANTIDAD2]),"")</f>
        <v>10</v>
      </c>
      <c r="N246" s="140">
        <f>IFERROR(IF(BD_DETALLE!$B246&gt;0,VLOOKUP(BD_DETALLE!$B246,Tabla9[],10,0),""),"")</f>
        <v>44294</v>
      </c>
      <c r="O246" s="141">
        <f>IFERROR(VLOOKUP(BD_DETALLE!$B246,Tabla9[],11,0),0)</f>
        <v>11740</v>
      </c>
      <c r="P246" s="142">
        <f ca="1">SUMIF(Tabla9[],BD_DETALLE!$B246,Tabla9[CANTIDAD3])</f>
        <v>10</v>
      </c>
      <c r="Q246" s="143">
        <f ca="1">IF(BD_DETALLE!$P246&lt;=0,0,IF(BD_DETALLE!$P246=BD_DETALLE!$H246,2,1))</f>
        <v>2</v>
      </c>
      <c r="R246" s="144">
        <f ca="1">IF(BD_DETALLE!$C246&gt;0,(IF(BD_DETALLE!$N246=0,TODAY()-BD_DETALLE!$C246,BD_DETALLE!$N246-BD_DETALLE!$C246)),"")</f>
        <v>70</v>
      </c>
    </row>
    <row r="247" spans="2:18" x14ac:dyDescent="0.25">
      <c r="B247" s="128" t="str">
        <f t="shared" si="22"/>
        <v>2101-229-318082</v>
      </c>
      <c r="C247" s="129">
        <v>44224</v>
      </c>
      <c r="D247" s="130" t="str">
        <f>IF(BD_DETALLE!$E247&gt;=1,CONCATENATE(TEXT(BD_DETALLE!$C247,"YY"),TEXT(BD_DETALLE!$C247,"MM"),"-",BD_DETALLE!$E247),"")</f>
        <v>2101-229</v>
      </c>
      <c r="E247" s="131">
        <v>229</v>
      </c>
      <c r="F247" s="132">
        <v>318082</v>
      </c>
      <c r="G247" s="133" t="str">
        <f>IFERROR(VLOOKUP(BD_DETALLE!$B247,Tabla9[],6,0),"")</f>
        <v>LAMPARA TIPO LED DE 400W/220V</v>
      </c>
      <c r="H247" s="134">
        <f>IFERROR(VLOOKUP(BD_DETALLE!$B247,Tabla9[],4,0),0)</f>
        <v>2</v>
      </c>
      <c r="I247" s="135" t="s">
        <v>14</v>
      </c>
      <c r="J247" s="20" t="s">
        <v>1549</v>
      </c>
      <c r="K247" s="10">
        <f>IFERROR(VLOOKUP(BD_DETALLE!B247,Tabla9[],7,0),"")</f>
        <v>0</v>
      </c>
      <c r="L247" s="11">
        <f>IFERROR(VLOOKUP(BD_DETALLE!B247,Tabla9[],8,0),"")</f>
        <v>0</v>
      </c>
      <c r="M247" s="9">
        <f>IFERROR(SUMIFS(Tabla9[CANTIDAD2],Tabla9[BUSQUEDA],Tabla3[[#This Row],[BUSQUEDA]],Tabla9[CODIGO],Tabla3[[#This Row],[CODIGO]],Tabla9[ORDEN No.],Tabla3[[#This Row],[ORDEN de COMPRA]]),0)</f>
        <v>0</v>
      </c>
      <c r="N247" s="27">
        <f>IFERROR(IF(BD_DETALLE!B247&gt;0,VLOOKUP(BD_DETALLE!B247,Tabla9[],10,0),""),"")</f>
        <v>0</v>
      </c>
      <c r="O247" s="28">
        <f>IFERROR(VLOOKUP(BD_DETALLE!B247,Tabla9[],11,0),0)</f>
        <v>0</v>
      </c>
      <c r="P247" s="26">
        <f>IFERROR(SUMIFS(Tabla9[CANTIDAD3],Tabla9[BUSQUEDA],Tabla3[[#This Row],[BUSQUEDA]],Tabla9[CODIGO],Tabla3[[#This Row],[CODIGO]]),0)</f>
        <v>0</v>
      </c>
      <c r="Q247" s="25">
        <f>IF(BD_DETALLE!P247&lt;=0,0,IF(BD_DETALLE!P247=BD_DETALLE!H247,2,1))</f>
        <v>0</v>
      </c>
      <c r="R247" s="41">
        <f ca="1">IF(BD_DETALLE!$C247&gt;0,(IF(BD_DETALLE!$N247=0,TODAY()-BD_DETALLE!$C247,BD_DETALLE!$N247-BD_DETALLE!$C247)),"")</f>
        <v>81</v>
      </c>
    </row>
    <row r="248" spans="2:18" x14ac:dyDescent="0.25">
      <c r="B248" s="128" t="str">
        <f t="shared" si="22"/>
        <v>2101-229-307039</v>
      </c>
      <c r="C248" s="129">
        <v>44224</v>
      </c>
      <c r="D248" s="130" t="str">
        <f>IF(BD_DETALLE!$E248&gt;=1,CONCATENATE(TEXT(BD_DETALLE!$C248,"YY"),TEXT(BD_DETALLE!$C248,"MM"),"-",BD_DETALLE!$E248),"")</f>
        <v>2101-229</v>
      </c>
      <c r="E248" s="131">
        <v>229</v>
      </c>
      <c r="F248" s="132">
        <v>307039</v>
      </c>
      <c r="G248" s="133" t="str">
        <f>IFERROR(VLOOKUP(BD_DETALLE!$B248,Tabla9[],6,0),"")</f>
        <v>BALASTRO 2 x 32W DE 110/220V</v>
      </c>
      <c r="H248" s="134">
        <f>IFERROR(VLOOKUP(BD_DETALLE!$B248,Tabla9[],4,0),0)</f>
        <v>2</v>
      </c>
      <c r="I248" s="135" t="s">
        <v>14</v>
      </c>
      <c r="J248" s="20" t="s">
        <v>1549</v>
      </c>
      <c r="K248" s="10">
        <f>IFERROR(VLOOKUP(BD_DETALLE!B248,Tabla9[],7,0),"")</f>
        <v>0</v>
      </c>
      <c r="L248" s="11">
        <f>IFERROR(VLOOKUP(BD_DETALLE!B248,Tabla9[],8,0),"")</f>
        <v>0</v>
      </c>
      <c r="M248" s="9">
        <f>IFERROR(SUMIFS(Tabla9[CANTIDAD2],Tabla9[BUSQUEDA],Tabla3[[#This Row],[BUSQUEDA]],Tabla9[CODIGO],Tabla3[[#This Row],[CODIGO]],Tabla9[ORDEN No.],Tabla3[[#This Row],[ORDEN de COMPRA]]),0)</f>
        <v>0</v>
      </c>
      <c r="N248" s="27">
        <f>IFERROR(IF(BD_DETALLE!B248&gt;0,VLOOKUP(BD_DETALLE!B248,Tabla9[],10,0),""),"")</f>
        <v>0</v>
      </c>
      <c r="O248" s="28">
        <f>IFERROR(VLOOKUP(BD_DETALLE!B248,Tabla9[],11,0),0)</f>
        <v>0</v>
      </c>
      <c r="P248" s="26">
        <f>IFERROR(SUMIFS(Tabla9[CANTIDAD3],Tabla9[BUSQUEDA],Tabla3[[#This Row],[BUSQUEDA]],Tabla9[CODIGO],Tabla3[[#This Row],[CODIGO]]),0)</f>
        <v>0</v>
      </c>
      <c r="Q248" s="25">
        <f>IF(BD_DETALLE!P248&lt;=0,0,IF(BD_DETALLE!P248=BD_DETALLE!H248,2,1))</f>
        <v>0</v>
      </c>
      <c r="R248" s="41">
        <f ca="1">IF(BD_DETALLE!$C248&gt;0,(IF(BD_DETALLE!$N248=0,TODAY()-BD_DETALLE!$C248,BD_DETALLE!$N248-BD_DETALLE!$C248)),"")</f>
        <v>81</v>
      </c>
    </row>
    <row r="249" spans="2:18" x14ac:dyDescent="0.25">
      <c r="B249" s="128" t="str">
        <f t="shared" si="22"/>
        <v>2101-230-320592</v>
      </c>
      <c r="C249" s="129">
        <v>44224</v>
      </c>
      <c r="D249" s="130" t="str">
        <f>IF(BD_DETALLE!$E249&gt;=1,CONCATENATE(TEXT(BD_DETALLE!$C249,"YY"),TEXT(BD_DETALLE!$C249,"MM"),"-",BD_DETALLE!$E249),"")</f>
        <v>2101-230</v>
      </c>
      <c r="E249" s="131">
        <v>230</v>
      </c>
      <c r="F249" s="132">
        <v>320592</v>
      </c>
      <c r="G249" s="133" t="str">
        <f>IFERROR(VLOOKUP(BD_DETALLE!$B249,Tabla9[],6,0),"")</f>
        <v>KIT HUMEDO DE 3"/D/A/ZWS (15-9826-58-209)</v>
      </c>
      <c r="H249" s="134">
        <f>IFERROR(VLOOKUP(BD_DETALLE!$B249,Tabla9[],4,0),0)</f>
        <v>2</v>
      </c>
      <c r="I249" s="135" t="s">
        <v>15</v>
      </c>
      <c r="J249" s="136" t="s">
        <v>385</v>
      </c>
      <c r="K249" s="10">
        <f>IFERROR(VLOOKUP(BD_DETALLE!B249,Tabla9[],7,0),"")</f>
        <v>0</v>
      </c>
      <c r="L249" s="11">
        <f>IFERROR(VLOOKUP(BD_DETALLE!B249,Tabla9[],8,0),"")</f>
        <v>0</v>
      </c>
      <c r="M249" s="9">
        <f>IFERROR(SUMIFS(Tabla9[CANTIDAD2],Tabla9[BUSQUEDA],Tabla3[[#This Row],[BUSQUEDA]],Tabla9[CODIGO],Tabla3[[#This Row],[CODIGO]],Tabla9[ORDEN No.],Tabla3[[#This Row],[ORDEN de COMPRA]]),0)</f>
        <v>0</v>
      </c>
      <c r="N249" s="27">
        <f>IFERROR(IF(BD_DETALLE!B249&gt;0,VLOOKUP(BD_DETALLE!B249,Tabla9[],10,0),""),"")</f>
        <v>0</v>
      </c>
      <c r="O249" s="28">
        <f>IFERROR(VLOOKUP(BD_DETALLE!B249,Tabla9[],11,0),0)</f>
        <v>0</v>
      </c>
      <c r="P249" s="26">
        <f>IFERROR(SUMIFS(Tabla9[CANTIDAD3],Tabla9[BUSQUEDA],Tabla3[[#This Row],[BUSQUEDA]],Tabla9[CODIGO],Tabla3[[#This Row],[CODIGO]]),0)</f>
        <v>0</v>
      </c>
      <c r="Q249" s="25">
        <f>IF(BD_DETALLE!P249&lt;=0,0,IF(BD_DETALLE!P249=BD_DETALLE!H249,2,1))</f>
        <v>0</v>
      </c>
      <c r="R249" s="41">
        <f ca="1">IF(BD_DETALLE!$C249&gt;0,(IF(BD_DETALLE!$N249=0,TODAY()-BD_DETALLE!$C249,BD_DETALLE!$N249-BD_DETALLE!$C249)),"")</f>
        <v>81</v>
      </c>
    </row>
    <row r="250" spans="2:18" x14ac:dyDescent="0.25">
      <c r="B250" s="128" t="str">
        <f t="shared" si="22"/>
        <v>2101-230-318943</v>
      </c>
      <c r="C250" s="129">
        <v>44224</v>
      </c>
      <c r="D250" s="130" t="str">
        <f>IF(BD_DETALLE!$E250&gt;=1,CONCATENATE(TEXT(BD_DETALLE!$C250,"YY"),TEXT(BD_DETALLE!$C250,"MM"),"-",BD_DETALLE!$E250),"")</f>
        <v>2101-230</v>
      </c>
      <c r="E250" s="131">
        <v>230</v>
      </c>
      <c r="F250" s="132">
        <v>318943</v>
      </c>
      <c r="G250" s="133" t="str">
        <f>IFERROR(VLOOKUP(BD_DETALLE!$B250,Tabla9[],6,0),"")</f>
        <v>BOMBA DE DIAFRAGMA WILDER MOD.005160-20</v>
      </c>
      <c r="H250" s="134">
        <f>IFERROR(VLOOKUP(BD_DETALLE!$B250,Tabla9[],4,0),0)</f>
        <v>1</v>
      </c>
      <c r="I250" s="135" t="s">
        <v>15</v>
      </c>
      <c r="J250" s="136" t="s">
        <v>385</v>
      </c>
      <c r="K250" s="10">
        <f>IFERROR(VLOOKUP(BD_DETALLE!B250,Tabla9[],7,0),"")</f>
        <v>0</v>
      </c>
      <c r="L250" s="11">
        <f>IFERROR(VLOOKUP(BD_DETALLE!B250,Tabla9[],8,0),"")</f>
        <v>0</v>
      </c>
      <c r="M250" s="9">
        <f>IFERROR(SUMIFS(Tabla9[CANTIDAD2],Tabla9[BUSQUEDA],Tabla3[[#This Row],[BUSQUEDA]],Tabla9[CODIGO],Tabla3[[#This Row],[CODIGO]],Tabla9[ORDEN No.],Tabla3[[#This Row],[ORDEN de COMPRA]]),0)</f>
        <v>0</v>
      </c>
      <c r="N250" s="27">
        <f>IFERROR(IF(BD_DETALLE!B250&gt;0,VLOOKUP(BD_DETALLE!B250,Tabla9[],10,0),""),"")</f>
        <v>0</v>
      </c>
      <c r="O250" s="28">
        <f>IFERROR(VLOOKUP(BD_DETALLE!B250,Tabla9[],11,0),0)</f>
        <v>0</v>
      </c>
      <c r="P250" s="26">
        <f>IFERROR(SUMIFS(Tabla9[CANTIDAD3],Tabla9[BUSQUEDA],Tabla3[[#This Row],[BUSQUEDA]],Tabla9[CODIGO],Tabla3[[#This Row],[CODIGO]]),0)</f>
        <v>0</v>
      </c>
      <c r="Q250" s="25">
        <f>IF(BD_DETALLE!P250&lt;=0,0,IF(BD_DETALLE!P250=BD_DETALLE!H250,2,1))</f>
        <v>0</v>
      </c>
      <c r="R250" s="41">
        <f ca="1">IF(BD_DETALLE!$C250&gt;0,(IF(BD_DETALLE!$N250=0,TODAY()-BD_DETALLE!$C250,BD_DETALLE!$N250-BD_DETALLE!$C250)),"")</f>
        <v>81</v>
      </c>
    </row>
    <row r="251" spans="2:18" x14ac:dyDescent="0.25">
      <c r="B251" s="128" t="str">
        <f t="shared" si="22"/>
        <v>2101-230-316894</v>
      </c>
      <c r="C251" s="129">
        <v>44224</v>
      </c>
      <c r="D251" s="130" t="str">
        <f>IF(BD_DETALLE!$E251&gt;=1,CONCATENATE(TEXT(BD_DETALLE!$C251,"YY"),TEXT(BD_DETALLE!$C251,"MM"),"-",BD_DETALLE!$E251),"")</f>
        <v>2101-230</v>
      </c>
      <c r="E251" s="131">
        <v>230</v>
      </c>
      <c r="F251" s="132">
        <v>316894</v>
      </c>
      <c r="G251" s="133" t="str">
        <f>IFERROR(VLOOKUP(BD_DETALLE!$B251,Tabla9[],6,0),"")</f>
        <v>UNIDAD MANTENIMIENTO DE AIRE DE 1/4" (COMPLETO)</v>
      </c>
      <c r="H251" s="134">
        <f>IFERROR(VLOOKUP(BD_DETALLE!$B251,Tabla9[],4,0),0)</f>
        <v>1</v>
      </c>
      <c r="I251" s="135" t="s">
        <v>15</v>
      </c>
      <c r="J251" s="136" t="s">
        <v>385</v>
      </c>
      <c r="K251" s="10">
        <f>IFERROR(VLOOKUP(BD_DETALLE!B251,Tabla9[],7,0),"")</f>
        <v>0</v>
      </c>
      <c r="L251" s="11">
        <f>IFERROR(VLOOKUP(BD_DETALLE!B251,Tabla9[],8,0),"")</f>
        <v>0</v>
      </c>
      <c r="M251" s="9">
        <f>IFERROR(SUMIFS(Tabla9[CANTIDAD2],Tabla9[BUSQUEDA],Tabla3[[#This Row],[BUSQUEDA]],Tabla9[CODIGO],Tabla3[[#This Row],[CODIGO]],Tabla9[ORDEN No.],Tabla3[[#This Row],[ORDEN de COMPRA]]),0)</f>
        <v>0</v>
      </c>
      <c r="N251" s="27">
        <f>IFERROR(IF(BD_DETALLE!B251&gt;0,VLOOKUP(BD_DETALLE!B251,Tabla9[],10,0),""),"")</f>
        <v>0</v>
      </c>
      <c r="O251" s="28">
        <f>IFERROR(VLOOKUP(BD_DETALLE!B251,Tabla9[],11,0),0)</f>
        <v>0</v>
      </c>
      <c r="P251" s="26">
        <f>IFERROR(SUMIFS(Tabla9[CANTIDAD3],Tabla9[BUSQUEDA],Tabla3[[#This Row],[BUSQUEDA]],Tabla9[CODIGO],Tabla3[[#This Row],[CODIGO]]),0)</f>
        <v>0</v>
      </c>
      <c r="Q251" s="25">
        <f>IF(BD_DETALLE!P251&lt;=0,0,IF(BD_DETALLE!P251=BD_DETALLE!H251,2,1))</f>
        <v>0</v>
      </c>
      <c r="R251" s="41">
        <f ca="1">IF(BD_DETALLE!$C251&gt;0,(IF(BD_DETALLE!$N251=0,TODAY()-BD_DETALLE!$C251,BD_DETALLE!$N251-BD_DETALLE!$C251)),"")</f>
        <v>81</v>
      </c>
    </row>
    <row r="252" spans="2:18" x14ac:dyDescent="0.25">
      <c r="B252" s="128" t="str">
        <f t="shared" ref="B252:B259" si="26">IFERROR(TEXT(C252,"yy") &amp; TEXT(C252,"mm") &amp;"-"&amp;(E252) &amp;"-"&amp;(F252),"")</f>
        <v>2101-243-104070</v>
      </c>
      <c r="C252" s="129">
        <v>44225</v>
      </c>
      <c r="D252" s="130" t="str">
        <f>IF(BD_DETALLE!$E252&gt;=1,CONCATENATE(TEXT(BD_DETALLE!$C252,"YY"),TEXT(BD_DETALLE!$C252,"MM"),"-",BD_DETALLE!$E252),"")</f>
        <v>2101-243</v>
      </c>
      <c r="E252" s="131">
        <v>243</v>
      </c>
      <c r="F252" s="132">
        <v>104070</v>
      </c>
      <c r="G252" s="133" t="str">
        <f>IFERROR(VLOOKUP(BD_DETALLE!$B252,Tabla9[],6,0),"")</f>
        <v>RULIMAN 6210-2RS</v>
      </c>
      <c r="H252" s="134">
        <f>IFERROR(VLOOKUP(BD_DETALLE!$B252,Tabla9[],4,0),0)</f>
        <v>4</v>
      </c>
      <c r="I252" s="135" t="s">
        <v>15</v>
      </c>
      <c r="J252" s="136" t="s">
        <v>385</v>
      </c>
      <c r="K252" s="10">
        <f>IFERROR(VLOOKUP(BD_DETALLE!B252,Tabla9[],7,0),"")</f>
        <v>0</v>
      </c>
      <c r="L252" s="11">
        <f>IFERROR(VLOOKUP(BD_DETALLE!B252,Tabla9[],8,0),"")</f>
        <v>0</v>
      </c>
      <c r="M252" s="9">
        <f>IFERROR(SUMIFS(Tabla9[CANTIDAD2],Tabla9[BUSQUEDA],Tabla3[[#This Row],[BUSQUEDA]],Tabla9[CODIGO],Tabla3[[#This Row],[CODIGO]],Tabla9[ORDEN No.],Tabla3[[#This Row],[ORDEN de COMPRA]]),0)</f>
        <v>0</v>
      </c>
      <c r="N252" s="27">
        <f>IFERROR(IF(BD_DETALLE!B252&gt;0,VLOOKUP(BD_DETALLE!B252,Tabla9[],10,0),""),"")</f>
        <v>0</v>
      </c>
      <c r="O252" s="28">
        <f>IFERROR(VLOOKUP(BD_DETALLE!B252,Tabla9[],11,0),0)</f>
        <v>0</v>
      </c>
      <c r="P252" s="26">
        <f>IFERROR(SUMIFS(Tabla9[CANTIDAD3],Tabla9[BUSQUEDA],Tabla3[[#This Row],[BUSQUEDA]],Tabla9[CODIGO],Tabla3[[#This Row],[CODIGO]]),0)</f>
        <v>0</v>
      </c>
      <c r="Q252" s="25">
        <f>IF(BD_DETALLE!P252&lt;=0,0,IF(BD_DETALLE!P252=BD_DETALLE!H252,2,1))</f>
        <v>0</v>
      </c>
      <c r="R252" s="41">
        <f ca="1">IF(BD_DETALLE!$C252&gt;0,(IF(BD_DETALLE!$N252=0,TODAY()-BD_DETALLE!$C252,BD_DETALLE!$N252-BD_DETALLE!$C252)),"")</f>
        <v>80</v>
      </c>
    </row>
    <row r="253" spans="2:18" x14ac:dyDescent="0.25">
      <c r="B253" s="128" t="str">
        <f t="shared" si="26"/>
        <v>2101-243-104071</v>
      </c>
      <c r="C253" s="129">
        <v>44225</v>
      </c>
      <c r="D253" s="130" t="str">
        <f>IF(BD_DETALLE!$E253&gt;=1,CONCATENATE(TEXT(BD_DETALLE!$C253,"YY"),TEXT(BD_DETALLE!$C253,"MM"),"-",BD_DETALLE!$E253),"")</f>
        <v>2101-243</v>
      </c>
      <c r="E253" s="131">
        <v>243</v>
      </c>
      <c r="F253" s="132">
        <v>104071</v>
      </c>
      <c r="G253" s="133" t="str">
        <f>IFERROR(VLOOKUP(BD_DETALLE!$B253,Tabla9[],6,0),"")</f>
        <v>RULIMAN 6309-2RS</v>
      </c>
      <c r="H253" s="134">
        <f>IFERROR(VLOOKUP(BD_DETALLE!$B253,Tabla9[],4,0),0)</f>
        <v>6</v>
      </c>
      <c r="I253" s="135" t="s">
        <v>15</v>
      </c>
      <c r="J253" s="136" t="s">
        <v>385</v>
      </c>
      <c r="K253" s="10">
        <f>IFERROR(VLOOKUP(BD_DETALLE!B253,Tabla9[],7,0),"")</f>
        <v>0</v>
      </c>
      <c r="L253" s="11">
        <f>IFERROR(VLOOKUP(BD_DETALLE!B253,Tabla9[],8,0),"")</f>
        <v>0</v>
      </c>
      <c r="M253" s="9">
        <f>IFERROR(SUMIFS(Tabla9[CANTIDAD2],Tabla9[BUSQUEDA],Tabla3[[#This Row],[BUSQUEDA]],Tabla9[CODIGO],Tabla3[[#This Row],[CODIGO]],Tabla9[ORDEN No.],Tabla3[[#This Row],[ORDEN de COMPRA]]),0)</f>
        <v>0</v>
      </c>
      <c r="N253" s="27">
        <f>IFERROR(IF(BD_DETALLE!B253&gt;0,VLOOKUP(BD_DETALLE!B253,Tabla9[],10,0),""),"")</f>
        <v>0</v>
      </c>
      <c r="O253" s="28">
        <f>IFERROR(VLOOKUP(BD_DETALLE!B253,Tabla9[],11,0),0)</f>
        <v>0</v>
      </c>
      <c r="P253" s="26">
        <f>IFERROR(SUMIFS(Tabla9[CANTIDAD3],Tabla9[BUSQUEDA],Tabla3[[#This Row],[BUSQUEDA]],Tabla9[CODIGO],Tabla3[[#This Row],[CODIGO]]),0)</f>
        <v>0</v>
      </c>
      <c r="Q253" s="25">
        <f>IF(BD_DETALLE!P253&lt;=0,0,IF(BD_DETALLE!P253=BD_DETALLE!H253,2,1))</f>
        <v>0</v>
      </c>
      <c r="R253" s="41">
        <f ca="1">IF(BD_DETALLE!$C253&gt;0,(IF(BD_DETALLE!$N253=0,TODAY()-BD_DETALLE!$C253,BD_DETALLE!$N253-BD_DETALLE!$C253)),"")</f>
        <v>80</v>
      </c>
    </row>
    <row r="254" spans="2:18" x14ac:dyDescent="0.25">
      <c r="B254" s="128" t="str">
        <f t="shared" si="26"/>
        <v>2101-243-106163</v>
      </c>
      <c r="C254" s="129">
        <v>44225</v>
      </c>
      <c r="D254" s="130" t="str">
        <f>IF(BD_DETALLE!$E254&gt;=1,CONCATENATE(TEXT(BD_DETALLE!$C254,"YY"),TEXT(BD_DETALLE!$C254,"MM"),"-",BD_DETALLE!$E254),"")</f>
        <v>2101-243</v>
      </c>
      <c r="E254" s="131">
        <v>243</v>
      </c>
      <c r="F254" s="132">
        <v>106163</v>
      </c>
      <c r="G254" s="133" t="str">
        <f>IFERROR(VLOOKUP(BD_DETALLE!$B254,Tabla9[],6,0),"")</f>
        <v>RULIMAN 6202-2RS</v>
      </c>
      <c r="H254" s="134">
        <f>IFERROR(VLOOKUP(BD_DETALLE!$B254,Tabla9[],4,0),0)</f>
        <v>4</v>
      </c>
      <c r="I254" s="135" t="s">
        <v>15</v>
      </c>
      <c r="J254" s="136" t="s">
        <v>385</v>
      </c>
      <c r="K254" s="10">
        <f>IFERROR(VLOOKUP(BD_DETALLE!B254,Tabla9[],7,0),"")</f>
        <v>0</v>
      </c>
      <c r="L254" s="11">
        <f>IFERROR(VLOOKUP(BD_DETALLE!B254,Tabla9[],8,0),"")</f>
        <v>0</v>
      </c>
      <c r="M254" s="9">
        <f>IFERROR(SUMIFS(Tabla9[CANTIDAD2],Tabla9[BUSQUEDA],Tabla3[[#This Row],[BUSQUEDA]],Tabla9[CODIGO],Tabla3[[#This Row],[CODIGO]],Tabla9[ORDEN No.],Tabla3[[#This Row],[ORDEN de COMPRA]]),0)</f>
        <v>0</v>
      </c>
      <c r="N254" s="27">
        <f>IFERROR(IF(BD_DETALLE!B254&gt;0,VLOOKUP(BD_DETALLE!B254,Tabla9[],10,0),""),"")</f>
        <v>0</v>
      </c>
      <c r="O254" s="28">
        <f>IFERROR(VLOOKUP(BD_DETALLE!B254,Tabla9[],11,0),0)</f>
        <v>0</v>
      </c>
      <c r="P254" s="26">
        <f>IFERROR(SUMIFS(Tabla9[CANTIDAD3],Tabla9[BUSQUEDA],Tabla3[[#This Row],[BUSQUEDA]],Tabla9[CODIGO],Tabla3[[#This Row],[CODIGO]]),0)</f>
        <v>0</v>
      </c>
      <c r="Q254" s="25">
        <f>IF(BD_DETALLE!P254&lt;=0,0,IF(BD_DETALLE!P254=BD_DETALLE!H254,2,1))</f>
        <v>0</v>
      </c>
      <c r="R254" s="41">
        <f ca="1">IF(BD_DETALLE!$C254&gt;0,(IF(BD_DETALLE!$N254=0,TODAY()-BD_DETALLE!$C254,BD_DETALLE!$N254-BD_DETALLE!$C254)),"")</f>
        <v>80</v>
      </c>
    </row>
    <row r="255" spans="2:18" x14ac:dyDescent="0.25">
      <c r="B255" s="128" t="str">
        <f t="shared" si="26"/>
        <v>2101-243-106545</v>
      </c>
      <c r="C255" s="129">
        <v>44225</v>
      </c>
      <c r="D255" s="130" t="str">
        <f>IF(BD_DETALLE!$E255&gt;=1,CONCATENATE(TEXT(BD_DETALLE!$C255,"YY"),TEXT(BD_DETALLE!$C255,"MM"),"-",BD_DETALLE!$E255),"")</f>
        <v>2101-243</v>
      </c>
      <c r="E255" s="131">
        <v>243</v>
      </c>
      <c r="F255" s="132">
        <v>106545</v>
      </c>
      <c r="G255" s="133" t="str">
        <f>IFERROR(VLOOKUP(BD_DETALLE!$B255,Tabla9[],6,0),"")</f>
        <v>RULIMAN 22215 EK/C3 SKF</v>
      </c>
      <c r="H255" s="134">
        <f>IFERROR(VLOOKUP(BD_DETALLE!$B255,Tabla9[],4,0),0)</f>
        <v>2</v>
      </c>
      <c r="I255" s="135" t="s">
        <v>15</v>
      </c>
      <c r="J255" s="136" t="s">
        <v>385</v>
      </c>
      <c r="K255" s="10">
        <f>IFERROR(VLOOKUP(BD_DETALLE!B255,Tabla9[],7,0),"")</f>
        <v>0</v>
      </c>
      <c r="L255" s="11">
        <f>IFERROR(VLOOKUP(BD_DETALLE!B255,Tabla9[],8,0),"")</f>
        <v>0</v>
      </c>
      <c r="M255" s="9">
        <f>IFERROR(SUMIFS(Tabla9[CANTIDAD2],Tabla9[BUSQUEDA],Tabla3[[#This Row],[BUSQUEDA]],Tabla9[CODIGO],Tabla3[[#This Row],[CODIGO]],Tabla9[ORDEN No.],Tabla3[[#This Row],[ORDEN de COMPRA]]),0)</f>
        <v>0</v>
      </c>
      <c r="N255" s="27">
        <f>IFERROR(IF(BD_DETALLE!B255&gt;0,VLOOKUP(BD_DETALLE!B255,Tabla9[],10,0),""),"")</f>
        <v>0</v>
      </c>
      <c r="O255" s="28">
        <f>IFERROR(VLOOKUP(BD_DETALLE!B255,Tabla9[],11,0),0)</f>
        <v>0</v>
      </c>
      <c r="P255" s="26">
        <f>IFERROR(SUMIFS(Tabla9[CANTIDAD3],Tabla9[BUSQUEDA],Tabla3[[#This Row],[BUSQUEDA]],Tabla9[CODIGO],Tabla3[[#This Row],[CODIGO]]),0)</f>
        <v>0</v>
      </c>
      <c r="Q255" s="25">
        <f>IF(BD_DETALLE!P255&lt;=0,0,IF(BD_DETALLE!P255=BD_DETALLE!H255,2,1))</f>
        <v>0</v>
      </c>
      <c r="R255" s="41">
        <f ca="1">IF(BD_DETALLE!$C255&gt;0,(IF(BD_DETALLE!$N255=0,TODAY()-BD_DETALLE!$C255,BD_DETALLE!$N255-BD_DETALLE!$C255)),"")</f>
        <v>80</v>
      </c>
    </row>
    <row r="256" spans="2:18" x14ac:dyDescent="0.25">
      <c r="B256" s="128" t="str">
        <f t="shared" si="26"/>
        <v>2101-243-205039</v>
      </c>
      <c r="C256" s="129">
        <v>44225</v>
      </c>
      <c r="D256" s="130" t="str">
        <f>IF(BD_DETALLE!$E256&gt;=1,CONCATENATE(TEXT(BD_DETALLE!$C256,"YY"),TEXT(BD_DETALLE!$C256,"MM"),"-",BD_DETALLE!$E256),"")</f>
        <v>2101-243</v>
      </c>
      <c r="E256" s="131">
        <v>243</v>
      </c>
      <c r="F256" s="132">
        <v>205039</v>
      </c>
      <c r="G256" s="133" t="str">
        <f>IFERROR(VLOOKUP(BD_DETALLE!$B256,Tabla9[],6,0),"")</f>
        <v>CHUMACERA DE PIE DE 2-1/2" (P215)</v>
      </c>
      <c r="H256" s="134">
        <f>IFERROR(VLOOKUP(BD_DETALLE!$B256,Tabla9[],4,0),0)</f>
        <v>2</v>
      </c>
      <c r="I256" s="135" t="s">
        <v>15</v>
      </c>
      <c r="J256" s="136" t="s">
        <v>385</v>
      </c>
      <c r="K256" s="10">
        <f>IFERROR(VLOOKUP(BD_DETALLE!B256,Tabla9[],7,0),"")</f>
        <v>0</v>
      </c>
      <c r="L256" s="11">
        <f>IFERROR(VLOOKUP(BD_DETALLE!B256,Tabla9[],8,0),"")</f>
        <v>0</v>
      </c>
      <c r="M256" s="9">
        <f>IFERROR(SUMIFS(Tabla9[CANTIDAD2],Tabla9[BUSQUEDA],Tabla3[[#This Row],[BUSQUEDA]],Tabla9[CODIGO],Tabla3[[#This Row],[CODIGO]],Tabla9[ORDEN No.],Tabla3[[#This Row],[ORDEN de COMPRA]]),0)</f>
        <v>0</v>
      </c>
      <c r="N256" s="27">
        <f>IFERROR(IF(BD_DETALLE!B256&gt;0,VLOOKUP(BD_DETALLE!B256,Tabla9[],10,0),""),"")</f>
        <v>0</v>
      </c>
      <c r="O256" s="28">
        <f>IFERROR(VLOOKUP(BD_DETALLE!B256,Tabla9[],11,0),0)</f>
        <v>0</v>
      </c>
      <c r="P256" s="26">
        <f>IFERROR(SUMIFS(Tabla9[CANTIDAD3],Tabla9[BUSQUEDA],Tabla3[[#This Row],[BUSQUEDA]],Tabla9[CODIGO],Tabla3[[#This Row],[CODIGO]]),0)</f>
        <v>0</v>
      </c>
      <c r="Q256" s="25">
        <f>IF(BD_DETALLE!P256&lt;=0,0,IF(BD_DETALLE!P256=BD_DETALLE!H256,2,1))</f>
        <v>0</v>
      </c>
      <c r="R256" s="41">
        <f ca="1">IF(BD_DETALLE!$C256&gt;0,(IF(BD_DETALLE!$N256=0,TODAY()-BD_DETALLE!$C256,BD_DETALLE!$N256-BD_DETALLE!$C256)),"")</f>
        <v>80</v>
      </c>
    </row>
    <row r="257" spans="2:18" x14ac:dyDescent="0.25">
      <c r="B257" s="128" t="str">
        <f t="shared" si="26"/>
        <v>2101-243-306714</v>
      </c>
      <c r="C257" s="129">
        <v>44225</v>
      </c>
      <c r="D257" s="130" t="str">
        <f>IF(BD_DETALLE!$E257&gt;=1,CONCATENATE(TEXT(BD_DETALLE!$C257,"YY"),TEXT(BD_DETALLE!$C257,"MM"),"-",BD_DETALLE!$E257),"")</f>
        <v>2101-243</v>
      </c>
      <c r="E257" s="131">
        <v>243</v>
      </c>
      <c r="F257" s="132">
        <v>306714</v>
      </c>
      <c r="G257" s="133" t="str">
        <f>IFERROR(VLOOKUP(BD_DETALLE!$B257,Tabla9[],6,0),"")</f>
        <v>RULIMAN 22210 EK/C3</v>
      </c>
      <c r="H257" s="134">
        <f>IFERROR(VLOOKUP(BD_DETALLE!$B257,Tabla9[],4,0),0)</f>
        <v>2</v>
      </c>
      <c r="I257" s="135" t="s">
        <v>15</v>
      </c>
      <c r="J257" s="136" t="s">
        <v>385</v>
      </c>
      <c r="K257" s="10">
        <f>IFERROR(VLOOKUP(BD_DETALLE!B257,Tabla9[],7,0),"")</f>
        <v>0</v>
      </c>
      <c r="L257" s="11">
        <f>IFERROR(VLOOKUP(BD_DETALLE!B257,Tabla9[],8,0),"")</f>
        <v>0</v>
      </c>
      <c r="M257" s="9">
        <f>IFERROR(SUMIFS(Tabla9[CANTIDAD2],Tabla9[BUSQUEDA],Tabla3[[#This Row],[BUSQUEDA]],Tabla9[CODIGO],Tabla3[[#This Row],[CODIGO]],Tabla9[ORDEN No.],Tabla3[[#This Row],[ORDEN de COMPRA]]),0)</f>
        <v>0</v>
      </c>
      <c r="N257" s="27">
        <f>IFERROR(IF(BD_DETALLE!B257&gt;0,VLOOKUP(BD_DETALLE!B257,Tabla9[],10,0),""),"")</f>
        <v>0</v>
      </c>
      <c r="O257" s="28">
        <f>IFERROR(VLOOKUP(BD_DETALLE!B257,Tabla9[],11,0),0)</f>
        <v>0</v>
      </c>
      <c r="P257" s="26">
        <f>IFERROR(SUMIFS(Tabla9[CANTIDAD3],Tabla9[BUSQUEDA],Tabla3[[#This Row],[BUSQUEDA]],Tabla9[CODIGO],Tabla3[[#This Row],[CODIGO]]),0)</f>
        <v>0</v>
      </c>
      <c r="Q257" s="25">
        <f>IF(BD_DETALLE!P257&lt;=0,0,IF(BD_DETALLE!P257=BD_DETALLE!H257,2,1))</f>
        <v>0</v>
      </c>
      <c r="R257" s="41">
        <f ca="1">IF(BD_DETALLE!$C257&gt;0,(IF(BD_DETALLE!$N257=0,TODAY()-BD_DETALLE!$C257,BD_DETALLE!$N257-BD_DETALLE!$C257)),"")</f>
        <v>80</v>
      </c>
    </row>
    <row r="258" spans="2:18" x14ac:dyDescent="0.25">
      <c r="B258" s="128" t="str">
        <f t="shared" si="26"/>
        <v>2101-243-310873</v>
      </c>
      <c r="C258" s="129">
        <v>44225</v>
      </c>
      <c r="D258" s="130" t="str">
        <f>IF(BD_DETALLE!$E258&gt;=1,CONCATENATE(TEXT(BD_DETALLE!$C258,"YY"),TEXT(BD_DETALLE!$C258,"MM"),"-",BD_DETALLE!$E258),"")</f>
        <v>2101-243</v>
      </c>
      <c r="E258" s="131">
        <v>243</v>
      </c>
      <c r="F258" s="132">
        <v>310873</v>
      </c>
      <c r="G258" s="133" t="str">
        <f>IFERROR(VLOOKUP(BD_DETALLE!$B258,Tabla9[],6,0),"")</f>
        <v>RODAMIENTO 22218-EK</v>
      </c>
      <c r="H258" s="134">
        <f>IFERROR(VLOOKUP(BD_DETALLE!$B258,Tabla9[],4,0),0)</f>
        <v>2</v>
      </c>
      <c r="I258" s="135" t="s">
        <v>15</v>
      </c>
      <c r="J258" s="136" t="s">
        <v>385</v>
      </c>
      <c r="K258" s="10">
        <f>IFERROR(VLOOKUP(BD_DETALLE!B258,Tabla9[],7,0),"")</f>
        <v>0</v>
      </c>
      <c r="L258" s="11">
        <f>IFERROR(VLOOKUP(BD_DETALLE!B258,Tabla9[],8,0),"")</f>
        <v>0</v>
      </c>
      <c r="M258" s="9">
        <f>IFERROR(SUMIFS(Tabla9[CANTIDAD2],Tabla9[BUSQUEDA],Tabla3[[#This Row],[BUSQUEDA]],Tabla9[CODIGO],Tabla3[[#This Row],[CODIGO]],Tabla9[ORDEN No.],Tabla3[[#This Row],[ORDEN de COMPRA]]),0)</f>
        <v>0</v>
      </c>
      <c r="N258" s="27">
        <f>IFERROR(IF(BD_DETALLE!B258&gt;0,VLOOKUP(BD_DETALLE!B258,Tabla9[],10,0),""),"")</f>
        <v>0</v>
      </c>
      <c r="O258" s="28">
        <f>IFERROR(VLOOKUP(BD_DETALLE!B258,Tabla9[],11,0),0)</f>
        <v>0</v>
      </c>
      <c r="P258" s="26">
        <f>IFERROR(SUMIFS(Tabla9[CANTIDAD3],Tabla9[BUSQUEDA],Tabla3[[#This Row],[BUSQUEDA]],Tabla9[CODIGO],Tabla3[[#This Row],[CODIGO]]),0)</f>
        <v>0</v>
      </c>
      <c r="Q258" s="25">
        <f>IF(BD_DETALLE!P258&lt;=0,0,IF(BD_DETALLE!P258=BD_DETALLE!H258,2,1))</f>
        <v>0</v>
      </c>
      <c r="R258" s="41">
        <f ca="1">IF(BD_DETALLE!$C258&gt;0,(IF(BD_DETALLE!$N258=0,TODAY()-BD_DETALLE!$C258,BD_DETALLE!$N258-BD_DETALLE!$C258)),"")</f>
        <v>80</v>
      </c>
    </row>
    <row r="259" spans="2:18" x14ac:dyDescent="0.25">
      <c r="B259" s="128" t="str">
        <f t="shared" si="26"/>
        <v>2101-243-314431</v>
      </c>
      <c r="C259" s="129">
        <v>44225</v>
      </c>
      <c r="D259" s="130" t="str">
        <f>IF(BD_DETALLE!$E259&gt;=1,CONCATENATE(TEXT(BD_DETALLE!$C259,"YY"),TEXT(BD_DETALLE!$C259,"MM"),"-",BD_DETALLE!$E259),"")</f>
        <v>2101-243</v>
      </c>
      <c r="E259" s="131">
        <v>243</v>
      </c>
      <c r="F259" s="132">
        <v>314431</v>
      </c>
      <c r="G259" s="133" t="str">
        <f>IFERROR(VLOOKUP(BD_DETALLE!$B259,Tabla9[],6,0),"")</f>
        <v>RULIMAN 6009-2RS</v>
      </c>
      <c r="H259" s="134">
        <f>IFERROR(VLOOKUP(BD_DETALLE!$B259,Tabla9[],4,0),0)</f>
        <v>4</v>
      </c>
      <c r="I259" s="135" t="s">
        <v>15</v>
      </c>
      <c r="J259" s="136" t="s">
        <v>385</v>
      </c>
      <c r="K259" s="10">
        <f>IFERROR(VLOOKUP(BD_DETALLE!B259,Tabla9[],7,0),"")</f>
        <v>0</v>
      </c>
      <c r="L259" s="11">
        <f>IFERROR(VLOOKUP(BD_DETALLE!B259,Tabla9[],8,0),"")</f>
        <v>0</v>
      </c>
      <c r="M259" s="9">
        <f>IFERROR(SUMIFS(Tabla9[CANTIDAD2],Tabla9[BUSQUEDA],Tabla3[[#This Row],[BUSQUEDA]],Tabla9[CODIGO],Tabla3[[#This Row],[CODIGO]],Tabla9[ORDEN No.],Tabla3[[#This Row],[ORDEN de COMPRA]]),0)</f>
        <v>0</v>
      </c>
      <c r="N259" s="27">
        <f>IFERROR(IF(BD_DETALLE!B259&gt;0,VLOOKUP(BD_DETALLE!B259,Tabla9[],10,0),""),"")</f>
        <v>0</v>
      </c>
      <c r="O259" s="28">
        <f>IFERROR(VLOOKUP(BD_DETALLE!B259,Tabla9[],11,0),0)</f>
        <v>0</v>
      </c>
      <c r="P259" s="26">
        <f>IFERROR(SUMIFS(Tabla9[CANTIDAD3],Tabla9[BUSQUEDA],Tabla3[[#This Row],[BUSQUEDA]],Tabla9[CODIGO],Tabla3[[#This Row],[CODIGO]]),0)</f>
        <v>0</v>
      </c>
      <c r="Q259" s="25">
        <f>IF(BD_DETALLE!P259&lt;=0,0,IF(BD_DETALLE!P259=BD_DETALLE!H259,2,1))</f>
        <v>0</v>
      </c>
      <c r="R259" s="41">
        <f ca="1">IF(BD_DETALLE!$C259&gt;0,(IF(BD_DETALLE!$N259=0,TODAY()-BD_DETALLE!$C259,BD_DETALLE!$N259-BD_DETALLE!$C259)),"")</f>
        <v>80</v>
      </c>
    </row>
    <row r="260" spans="2:18" x14ac:dyDescent="0.25">
      <c r="B260" s="128" t="str">
        <f t="shared" ref="B260" si="27">IFERROR(TEXT(C260,"yy") &amp; TEXT(C260,"mm") &amp;"-"&amp;(E260) &amp;"-"&amp;(F260),"")</f>
        <v>2102-1-105870</v>
      </c>
      <c r="C260" s="129">
        <v>44228</v>
      </c>
      <c r="D260" s="130" t="str">
        <f>IF(BD_DETALLE!$E260&gt;=1,CONCATENATE(TEXT(BD_DETALLE!$C260,"YY"),TEXT(BD_DETALLE!$C260,"MM"),"-",BD_DETALLE!$E260),"")</f>
        <v>2102-1</v>
      </c>
      <c r="E260" s="131">
        <v>1</v>
      </c>
      <c r="F260" s="132">
        <v>105870</v>
      </c>
      <c r="G260" s="133" t="str">
        <f>IFERROR(VLOOKUP(BD_DETALLE!$B260,Tabla9[],6,0),"")</f>
        <v>TEE H/N SOLDABLE DE 1-1/4"</v>
      </c>
      <c r="H260" s="134">
        <f>IFERROR(VLOOKUP(BD_DETALLE!$B260,Tabla9[],4,0),0)</f>
        <v>2</v>
      </c>
      <c r="I260" s="135" t="s">
        <v>12</v>
      </c>
      <c r="J260" s="136" t="s">
        <v>1548</v>
      </c>
      <c r="K260" s="10">
        <f>IFERROR(VLOOKUP(BD_DETALLE!B260,Tabla9[],7,0),"")</f>
        <v>44238</v>
      </c>
      <c r="L260" s="11">
        <f>IFERROR(VLOOKUP(BD_DETALLE!B260,Tabla9[],8,0),"")</f>
        <v>51639</v>
      </c>
      <c r="M260" s="9">
        <f>IFERROR(SUMIFS(Tabla9[CANTIDAD2],Tabla9[BUSQUEDA],Tabla3[[#This Row],[BUSQUEDA]],Tabla9[CODIGO],Tabla3[[#This Row],[CODIGO]],Tabla9[ORDEN No.],Tabla3[[#This Row],[ORDEN de COMPRA]]),0)</f>
        <v>2</v>
      </c>
      <c r="N260" s="27">
        <f>IFERROR(IF(BD_DETALLE!B260&gt;0,VLOOKUP(BD_DETALLE!B260,Tabla9[],10,0),""),"")</f>
        <v>0</v>
      </c>
      <c r="O260" s="28">
        <f>IFERROR(VLOOKUP(BD_DETALLE!B260,Tabla9[],11,0),0)</f>
        <v>0</v>
      </c>
      <c r="P260" s="26">
        <f>IFERROR(SUMIFS(Tabla9[CANTIDAD3],Tabla9[BUSQUEDA],Tabla3[[#This Row],[BUSQUEDA]],Tabla9[CODIGO],Tabla3[[#This Row],[CODIGO]]),0)</f>
        <v>0</v>
      </c>
      <c r="Q260" s="25">
        <f>IF(BD_DETALLE!P260&lt;=0,0,IF(BD_DETALLE!P260=BD_DETALLE!H260,2,1))</f>
        <v>0</v>
      </c>
      <c r="R260" s="41">
        <f ca="1">IF(BD_DETALLE!$C260&gt;0,(IF(BD_DETALLE!$N260=0,TODAY()-BD_DETALLE!$C260,BD_DETALLE!$N260-BD_DETALLE!$C260)),"")</f>
        <v>77</v>
      </c>
    </row>
    <row r="261" spans="2:18" x14ac:dyDescent="0.25">
      <c r="B261" s="128" t="str">
        <f t="shared" ref="B261:B266" si="28">IFERROR(TEXT(C261,"yy") &amp; TEXT(C261,"mm") &amp;"-"&amp;(E261) &amp;"-"&amp;(F261),"")</f>
        <v>2102-3-105249</v>
      </c>
      <c r="C261" s="129">
        <v>44229</v>
      </c>
      <c r="D261" s="130" t="str">
        <f>IF(BD_DETALLE!$E261&gt;=1,CONCATENATE(TEXT(BD_DETALLE!$C261,"YY"),TEXT(BD_DETALLE!$C261,"MM"),"-",BD_DETALLE!$E261),"")</f>
        <v>2102-3</v>
      </c>
      <c r="E261" s="131">
        <v>3</v>
      </c>
      <c r="F261" s="132">
        <v>105249</v>
      </c>
      <c r="G261" s="133" t="str">
        <f>IFERROR(VLOOKUP(BD_DETALLE!$B261,Tabla9[],6,0),"")</f>
        <v>REMACHE/COBRE</v>
      </c>
      <c r="H261" s="134">
        <f>IFERROR(VLOOKUP(BD_DETALLE!$B261,Tabla9[],4,0),0)</f>
        <v>1400</v>
      </c>
      <c r="I261" s="135" t="s">
        <v>19</v>
      </c>
      <c r="J261" s="136" t="s">
        <v>960</v>
      </c>
      <c r="K261" s="10">
        <f>IFERROR(VLOOKUP(BD_DETALLE!B261,Tabla9[],7,0),"")</f>
        <v>44229</v>
      </c>
      <c r="L261" s="11">
        <f>IFERROR(VLOOKUP(BD_DETALLE!B261,Tabla9[],8,0),"")</f>
        <v>51443</v>
      </c>
      <c r="M261" s="9">
        <f>IFERROR(SUMIFS(Tabla9[CANTIDAD2],Tabla9[BUSQUEDA],Tabla3[[#This Row],[BUSQUEDA]],Tabla9[CODIGO],Tabla3[[#This Row],[CODIGO]],Tabla9[ORDEN No.],Tabla3[[#This Row],[ORDEN de COMPRA]]),0)</f>
        <v>1400</v>
      </c>
      <c r="N261" s="27">
        <f>IFERROR(IF(BD_DETALLE!B261&gt;0,VLOOKUP(BD_DETALLE!B261,Tabla9[],10,0),""),"")</f>
        <v>0</v>
      </c>
      <c r="O261" s="28">
        <f>IFERROR(VLOOKUP(BD_DETALLE!B261,Tabla9[],11,0),0)</f>
        <v>0</v>
      </c>
      <c r="P261" s="26">
        <f>IFERROR(SUMIFS(Tabla9[CANTIDAD3],Tabla9[BUSQUEDA],Tabla3[[#This Row],[BUSQUEDA]],Tabla9[CODIGO],Tabla3[[#This Row],[CODIGO]]),0)</f>
        <v>0</v>
      </c>
      <c r="Q261" s="25">
        <f>IF(BD_DETALLE!P261&lt;=0,0,IF(BD_DETALLE!P261=BD_DETALLE!H261,2,1))</f>
        <v>0</v>
      </c>
      <c r="R261" s="41">
        <f ca="1">IF(BD_DETALLE!$C261&gt;0,(IF(BD_DETALLE!$N261=0,TODAY()-BD_DETALLE!$C261,BD_DETALLE!$N261-BD_DETALLE!$C261)),"")</f>
        <v>76</v>
      </c>
    </row>
    <row r="262" spans="2:18" x14ac:dyDescent="0.25">
      <c r="B262" s="128" t="str">
        <f t="shared" si="28"/>
        <v>2102-6-310491</v>
      </c>
      <c r="C262" s="129">
        <v>44229</v>
      </c>
      <c r="D262" s="130" t="str">
        <f>IF(BD_DETALLE!$E262&gt;=1,CONCATENATE(TEXT(BD_DETALLE!$C262,"YY"),TEXT(BD_DETALLE!$C262,"MM"),"-",BD_DETALLE!$E262),"")</f>
        <v>2102-6</v>
      </c>
      <c r="E262" s="131">
        <v>6</v>
      </c>
      <c r="F262" s="132">
        <v>310491</v>
      </c>
      <c r="G262" s="133" t="str">
        <f>IFERROR(VLOOKUP(BD_DETALLE!$B262,Tabla9[],6,0),"")</f>
        <v>EMPAQUE DE CAUCHO PARA VIDRIO VISOR 5/8" (853-115)</v>
      </c>
      <c r="H262" s="134">
        <f>IFERROR(VLOOKUP(BD_DETALLE!$B262,Tabla9[],4,0),0)</f>
        <v>20</v>
      </c>
      <c r="I262" s="135" t="s">
        <v>15</v>
      </c>
      <c r="J262" s="136" t="s">
        <v>385</v>
      </c>
      <c r="K262" s="10">
        <f>IFERROR(VLOOKUP(BD_DETALLE!B262,Tabla9[],7,0),"")</f>
        <v>0</v>
      </c>
      <c r="L262" s="11">
        <f>IFERROR(VLOOKUP(BD_DETALLE!B262,Tabla9[],8,0),"")</f>
        <v>0</v>
      </c>
      <c r="M262" s="9">
        <f>IFERROR(SUMIFS(Tabla9[CANTIDAD2],Tabla9[BUSQUEDA],Tabla3[[#This Row],[BUSQUEDA]],Tabla9[CODIGO],Tabla3[[#This Row],[CODIGO]],Tabla9[ORDEN No.],Tabla3[[#This Row],[ORDEN de COMPRA]]),0)</f>
        <v>0</v>
      </c>
      <c r="N262" s="27">
        <f>IFERROR(IF(BD_DETALLE!B262&gt;0,VLOOKUP(BD_DETALLE!B262,Tabla9[],10,0),""),"")</f>
        <v>0</v>
      </c>
      <c r="O262" s="28">
        <f>IFERROR(VLOOKUP(BD_DETALLE!B262,Tabla9[],11,0),0)</f>
        <v>0</v>
      </c>
      <c r="P262" s="26">
        <f>IFERROR(SUMIFS(Tabla9[CANTIDAD3],Tabla9[BUSQUEDA],Tabla3[[#This Row],[BUSQUEDA]],Tabla9[CODIGO],Tabla3[[#This Row],[CODIGO]]),0)</f>
        <v>0</v>
      </c>
      <c r="Q262" s="25">
        <f>IF(BD_DETALLE!P262&lt;=0,0,IF(BD_DETALLE!P262=BD_DETALLE!H262,2,1))</f>
        <v>0</v>
      </c>
      <c r="R262" s="41">
        <f ca="1">IF(BD_DETALLE!$C262&gt;0,(IF(BD_DETALLE!$N262=0,TODAY()-BD_DETALLE!$C262,BD_DETALLE!$N262-BD_DETALLE!$C262)),"")</f>
        <v>76</v>
      </c>
    </row>
    <row r="263" spans="2:18" x14ac:dyDescent="0.25">
      <c r="B263" s="128" t="str">
        <f t="shared" si="28"/>
        <v>2102-6-312775</v>
      </c>
      <c r="C263" s="129">
        <v>44229</v>
      </c>
      <c r="D263" s="130" t="str">
        <f>IF(BD_DETALLE!$E263&gt;=1,CONCATENATE(TEXT(BD_DETALLE!$C263,"YY"),TEXT(BD_DETALLE!$C263,"MM"),"-",BD_DETALLE!$E263),"")</f>
        <v>2102-6</v>
      </c>
      <c r="E263" s="131">
        <v>6</v>
      </c>
      <c r="F263" s="132">
        <v>312775</v>
      </c>
      <c r="G263" s="133" t="str">
        <f>IFERROR(VLOOKUP(BD_DETALLE!$B263,Tabla9[],6,0),"")</f>
        <v>TUBO VISOR 5/8" X 265MM 250PSI (FRANJA ROJA)</v>
      </c>
      <c r="H263" s="134">
        <f>IFERROR(VLOOKUP(BD_DETALLE!$B263,Tabla9[],4,0),0)</f>
        <v>2</v>
      </c>
      <c r="I263" s="135" t="s">
        <v>15</v>
      </c>
      <c r="J263" s="136" t="s">
        <v>385</v>
      </c>
      <c r="K263" s="10">
        <f>IFERROR(VLOOKUP(BD_DETALLE!B263,Tabla9[],7,0),"")</f>
        <v>0</v>
      </c>
      <c r="L263" s="11">
        <f>IFERROR(VLOOKUP(BD_DETALLE!B263,Tabla9[],8,0),"")</f>
        <v>0</v>
      </c>
      <c r="M263" s="9">
        <f>IFERROR(SUMIFS(Tabla9[CANTIDAD2],Tabla9[BUSQUEDA],Tabla3[[#This Row],[BUSQUEDA]],Tabla9[CODIGO],Tabla3[[#This Row],[CODIGO]],Tabla9[ORDEN No.],Tabla3[[#This Row],[ORDEN de COMPRA]]),0)</f>
        <v>0</v>
      </c>
      <c r="N263" s="27">
        <f>IFERROR(IF(BD_DETALLE!B263&gt;0,VLOOKUP(BD_DETALLE!B263,Tabla9[],10,0),""),"")</f>
        <v>0</v>
      </c>
      <c r="O263" s="28">
        <f>IFERROR(VLOOKUP(BD_DETALLE!B263,Tabla9[],11,0),0)</f>
        <v>0</v>
      </c>
      <c r="P263" s="26">
        <f>IFERROR(SUMIFS(Tabla9[CANTIDAD3],Tabla9[BUSQUEDA],Tabla3[[#This Row],[BUSQUEDA]],Tabla9[CODIGO],Tabla3[[#This Row],[CODIGO]]),0)</f>
        <v>0</v>
      </c>
      <c r="Q263" s="25">
        <f>IF(BD_DETALLE!P263&lt;=0,0,IF(BD_DETALLE!P263=BD_DETALLE!H263,2,1))</f>
        <v>0</v>
      </c>
      <c r="R263" s="41">
        <f ca="1">IF(BD_DETALLE!$C263&gt;0,(IF(BD_DETALLE!$N263=0,TODAY()-BD_DETALLE!$C263,BD_DETALLE!$N263-BD_DETALLE!$C263)),"")</f>
        <v>76</v>
      </c>
    </row>
    <row r="264" spans="2:18" x14ac:dyDescent="0.25">
      <c r="B264" s="128" t="str">
        <f t="shared" si="28"/>
        <v>2102-6-312776</v>
      </c>
      <c r="C264" s="129">
        <v>44229</v>
      </c>
      <c r="D264" s="130" t="str">
        <f>IF(BD_DETALLE!$E264&gt;=1,CONCATENATE(TEXT(BD_DETALLE!$C264,"YY"),TEXT(BD_DETALLE!$C264,"MM"),"-",BD_DETALLE!$E264),"")</f>
        <v>2102-6</v>
      </c>
      <c r="E264" s="131">
        <v>6</v>
      </c>
      <c r="F264" s="132">
        <v>312776</v>
      </c>
      <c r="G264" s="133" t="str">
        <f>IFERROR(VLOOKUP(BD_DETALLE!$B264,Tabla9[],6,0),"")</f>
        <v>TUBO VISOR PYREX 5/8" X 305MM 250PSI (FRANJA ROJA)</v>
      </c>
      <c r="H264" s="134">
        <f>IFERROR(VLOOKUP(BD_DETALLE!$B264,Tabla9[],4,0),0)</f>
        <v>2</v>
      </c>
      <c r="I264" s="135" t="s">
        <v>15</v>
      </c>
      <c r="J264" s="136" t="s">
        <v>385</v>
      </c>
      <c r="K264" s="10">
        <f>IFERROR(VLOOKUP(BD_DETALLE!B264,Tabla9[],7,0),"")</f>
        <v>0</v>
      </c>
      <c r="L264" s="11">
        <f>IFERROR(VLOOKUP(BD_DETALLE!B264,Tabla9[],8,0),"")</f>
        <v>0</v>
      </c>
      <c r="M264" s="9">
        <f>IFERROR(SUMIFS(Tabla9[CANTIDAD2],Tabla9[BUSQUEDA],Tabla3[[#This Row],[BUSQUEDA]],Tabla9[CODIGO],Tabla3[[#This Row],[CODIGO]],Tabla9[ORDEN No.],Tabla3[[#This Row],[ORDEN de COMPRA]]),0)</f>
        <v>0</v>
      </c>
      <c r="N264" s="27">
        <f>IFERROR(IF(BD_DETALLE!B264&gt;0,VLOOKUP(BD_DETALLE!B264,Tabla9[],10,0),""),"")</f>
        <v>0</v>
      </c>
      <c r="O264" s="28">
        <f>IFERROR(VLOOKUP(BD_DETALLE!B264,Tabla9[],11,0),0)</f>
        <v>0</v>
      </c>
      <c r="P264" s="26">
        <f>IFERROR(SUMIFS(Tabla9[CANTIDAD3],Tabla9[BUSQUEDA],Tabla3[[#This Row],[BUSQUEDA]],Tabla9[CODIGO],Tabla3[[#This Row],[CODIGO]]),0)</f>
        <v>0</v>
      </c>
      <c r="Q264" s="25">
        <f>IF(BD_DETALLE!P264&lt;=0,0,IF(BD_DETALLE!P264=BD_DETALLE!H264,2,1))</f>
        <v>0</v>
      </c>
      <c r="R264" s="41">
        <f ca="1">IF(BD_DETALLE!$C264&gt;0,(IF(BD_DETALLE!$N264=0,TODAY()-BD_DETALLE!$C264,BD_DETALLE!$N264-BD_DETALLE!$C264)),"")</f>
        <v>76</v>
      </c>
    </row>
    <row r="265" spans="2:18" x14ac:dyDescent="0.25">
      <c r="B265" s="128" t="str">
        <f t="shared" si="28"/>
        <v>2102-10-200785</v>
      </c>
      <c r="C265" s="129">
        <v>44229</v>
      </c>
      <c r="D265" s="130" t="str">
        <f>IF(BD_DETALLE!$E265&gt;=1,CONCATENATE(TEXT(BD_DETALLE!$C265,"YY"),TEXT(BD_DETALLE!$C265,"MM"),"-",BD_DETALLE!$E265),"")</f>
        <v>2102-10</v>
      </c>
      <c r="E265" s="131">
        <v>10</v>
      </c>
      <c r="F265" s="132">
        <v>200785</v>
      </c>
      <c r="G265" s="133" t="str">
        <f>IFERROR(VLOOKUP(BD_DETALLE!$B265,Tabla9[],6,0),"")</f>
        <v>TUBO DE LLANTA 1100</v>
      </c>
      <c r="H265" s="134">
        <f>IFERROR(VLOOKUP(BD_DETALLE!$B265,Tabla9[],4,0),0)</f>
        <v>2</v>
      </c>
      <c r="I265" s="135" t="s">
        <v>5</v>
      </c>
      <c r="J265" s="136" t="s">
        <v>1566</v>
      </c>
      <c r="K265" s="10">
        <f>IFERROR(VLOOKUP(BD_DETALLE!B265,Tabla9[],7,0),"")</f>
        <v>0</v>
      </c>
      <c r="L265" s="11">
        <f>IFERROR(VLOOKUP(BD_DETALLE!B265,Tabla9[],8,0),"")</f>
        <v>0</v>
      </c>
      <c r="M265" s="9">
        <f>IFERROR(SUMIFS(Tabla9[CANTIDAD2],Tabla9[BUSQUEDA],Tabla3[[#This Row],[BUSQUEDA]],Tabla9[CODIGO],Tabla3[[#This Row],[CODIGO]],Tabla9[ORDEN No.],Tabla3[[#This Row],[ORDEN de COMPRA]]),0)</f>
        <v>0</v>
      </c>
      <c r="N265" s="27">
        <f>IFERROR(IF(BD_DETALLE!B265&gt;0,VLOOKUP(BD_DETALLE!B265,Tabla9[],10,0),""),"")</f>
        <v>0</v>
      </c>
      <c r="O265" s="28">
        <f>IFERROR(VLOOKUP(BD_DETALLE!B265,Tabla9[],11,0),0)</f>
        <v>0</v>
      </c>
      <c r="P265" s="26">
        <f>IFERROR(SUMIFS(Tabla9[CANTIDAD3],Tabla9[BUSQUEDA],Tabla3[[#This Row],[BUSQUEDA]],Tabla9[CODIGO],Tabla3[[#This Row],[CODIGO]]),0)</f>
        <v>0</v>
      </c>
      <c r="Q265" s="25">
        <f>IF(BD_DETALLE!P265&lt;=0,0,IF(BD_DETALLE!P265=BD_DETALLE!H265,2,1))</f>
        <v>0</v>
      </c>
      <c r="R265" s="41">
        <f ca="1">IF(BD_DETALLE!$C265&gt;0,(IF(BD_DETALLE!$N265=0,TODAY()-BD_DETALLE!$C265,BD_DETALLE!$N265-BD_DETALLE!$C265)),"")</f>
        <v>76</v>
      </c>
    </row>
    <row r="266" spans="2:18" x14ac:dyDescent="0.25">
      <c r="B266" s="128" t="str">
        <f t="shared" si="28"/>
        <v>2102-10-204178</v>
      </c>
      <c r="C266" s="129">
        <v>44229</v>
      </c>
      <c r="D266" s="130" t="str">
        <f>IF(BD_DETALLE!$E266&gt;=1,CONCATENATE(TEXT(BD_DETALLE!$C266,"YY"),TEXT(BD_DETALLE!$C266,"MM"),"-",BD_DETALLE!$E266),"")</f>
        <v>2102-10</v>
      </c>
      <c r="E266" s="131">
        <v>10</v>
      </c>
      <c r="F266" s="132">
        <v>204178</v>
      </c>
      <c r="G266" s="133" t="str">
        <f>IFERROR(VLOOKUP(BD_DETALLE!$B266,Tabla9[],6,0),"")</f>
        <v>DEFENSA DE LLANTA N║ 11.00</v>
      </c>
      <c r="H266" s="134">
        <f>IFERROR(VLOOKUP(BD_DETALLE!$B266,Tabla9[],4,0),0)</f>
        <v>2</v>
      </c>
      <c r="I266" s="135" t="s">
        <v>5</v>
      </c>
      <c r="J266" s="136" t="s">
        <v>1566</v>
      </c>
      <c r="K266" s="10">
        <f>IFERROR(VLOOKUP(BD_DETALLE!B266,Tabla9[],7,0),"")</f>
        <v>0</v>
      </c>
      <c r="L266" s="11">
        <f>IFERROR(VLOOKUP(BD_DETALLE!B266,Tabla9[],8,0),"")</f>
        <v>0</v>
      </c>
      <c r="M266" s="9">
        <f>IFERROR(SUMIFS(Tabla9[CANTIDAD2],Tabla9[BUSQUEDA],Tabla3[[#This Row],[BUSQUEDA]],Tabla9[CODIGO],Tabla3[[#This Row],[CODIGO]],Tabla9[ORDEN No.],Tabla3[[#This Row],[ORDEN de COMPRA]]),0)</f>
        <v>0</v>
      </c>
      <c r="N266" s="27">
        <f>IFERROR(IF(BD_DETALLE!B266&gt;0,VLOOKUP(BD_DETALLE!B266,Tabla9[],10,0),""),"")</f>
        <v>0</v>
      </c>
      <c r="O266" s="28">
        <f>IFERROR(VLOOKUP(BD_DETALLE!B266,Tabla9[],11,0),0)</f>
        <v>0</v>
      </c>
      <c r="P266" s="26">
        <f>IFERROR(SUMIFS(Tabla9[CANTIDAD3],Tabla9[BUSQUEDA],Tabla3[[#This Row],[BUSQUEDA]],Tabla9[CODIGO],Tabla3[[#This Row],[CODIGO]]),0)</f>
        <v>0</v>
      </c>
      <c r="Q266" s="25">
        <f>IF(BD_DETALLE!P266&lt;=0,0,IF(BD_DETALLE!P266=BD_DETALLE!H266,2,1))</f>
        <v>0</v>
      </c>
      <c r="R266" s="41">
        <f ca="1">IF(BD_DETALLE!$C266&gt;0,(IF(BD_DETALLE!$N266=0,TODAY()-BD_DETALLE!$C266,BD_DETALLE!$N266-BD_DETALLE!$C266)),"")</f>
        <v>76</v>
      </c>
    </row>
    <row r="267" spans="2:18" x14ac:dyDescent="0.25">
      <c r="B267" s="15" t="str">
        <f t="shared" ref="B267:B269" si="29">IFERROR(TEXT(C267,"yy") &amp; TEXT(C267,"mm") &amp;"-"&amp;(E267) &amp;"-"&amp;(F267),"")</f>
        <v>2102-15-320728</v>
      </c>
      <c r="C267" s="7">
        <v>44230</v>
      </c>
      <c r="D267" s="5" t="str">
        <f>IF(BD_DETALLE!$E267&gt;=1,CONCATENATE(TEXT(BD_DETALLE!$C267,"YY"),TEXT(BD_DETALLE!$C267,"MM"),"-",BD_DETALLE!$E267),"")</f>
        <v>2102-15</v>
      </c>
      <c r="E267" s="12">
        <v>15</v>
      </c>
      <c r="F267" s="21">
        <v>320728</v>
      </c>
      <c r="G267" s="4" t="str">
        <f>IFERROR(VLOOKUP(BD_DETALLE!$B267,Tabla9[],6,0),"")</f>
        <v>TRANSMISOR PRESION DIFERENCIAL  DELTABAR  S-FMD78</v>
      </c>
      <c r="H267" s="6">
        <f>IFERROR(VLOOKUP(BD_DETALLE!$B267,Tabla9[],4,0),0)</f>
        <v>1</v>
      </c>
      <c r="I267" s="19" t="s">
        <v>20</v>
      </c>
      <c r="J267" s="20" t="s">
        <v>1581</v>
      </c>
      <c r="K267" s="10">
        <f>IFERROR(VLOOKUP(BD_DETALLE!B267,Tabla9[],7,0),"")</f>
        <v>44232</v>
      </c>
      <c r="L267" s="11">
        <f>IFERROR(VLOOKUP(BD_DETALLE!B267,Tabla9[],8,0),"")</f>
        <v>51514</v>
      </c>
      <c r="M267" s="9">
        <f>IFERROR(SUMIFS(Tabla9[CANTIDAD2],Tabla9[BUSQUEDA],Tabla3[[#This Row],[BUSQUEDA]],Tabla9[CODIGO],Tabla3[[#This Row],[CODIGO]],Tabla9[ORDEN No.],Tabla3[[#This Row],[ORDEN de COMPRA]]),0)</f>
        <v>1</v>
      </c>
      <c r="N267" s="27">
        <f>IFERROR(IF(BD_DETALLE!B267&gt;0,VLOOKUP(BD_DETALLE!B267,Tabla9[],10,0),""),"")</f>
        <v>44285</v>
      </c>
      <c r="O267" s="28">
        <f>IFERROR(VLOOKUP(BD_DETALLE!B267,Tabla9[],11,0),0)</f>
        <v>11682</v>
      </c>
      <c r="P267" s="26">
        <f>IFERROR(SUMIFS(Tabla9[CANTIDAD3],Tabla9[BUSQUEDA],Tabla3[[#This Row],[BUSQUEDA]],Tabla9[CODIGO],Tabla3[[#This Row],[CODIGO]]),0)</f>
        <v>1</v>
      </c>
      <c r="Q267" s="25">
        <f>IF(BD_DETALLE!P267&lt;=0,0,IF(BD_DETALLE!P267=BD_DETALLE!H267,2,1))</f>
        <v>2</v>
      </c>
      <c r="R267" s="41">
        <f ca="1">IF(BD_DETALLE!$C267&gt;0,(IF(BD_DETALLE!$N267=0,TODAY()-BD_DETALLE!$C267,BD_DETALLE!$N267-BD_DETALLE!$C267)),"")</f>
        <v>55</v>
      </c>
    </row>
    <row r="268" spans="2:18" x14ac:dyDescent="0.25">
      <c r="B268" s="15" t="str">
        <f t="shared" si="29"/>
        <v>2102-16-320729</v>
      </c>
      <c r="C268" s="7">
        <v>44230</v>
      </c>
      <c r="D268" s="5" t="str">
        <f>IF(BD_DETALLE!$E268&gt;=1,CONCATENATE(TEXT(BD_DETALLE!$C268,"YY"),TEXT(BD_DETALLE!$C268,"MM"),"-",BD_DETALLE!$E268),"")</f>
        <v>2102-16</v>
      </c>
      <c r="E268" s="12">
        <v>16</v>
      </c>
      <c r="F268" s="21">
        <v>320729</v>
      </c>
      <c r="G268" s="4" t="str">
        <f>IFERROR(VLOOKUP(BD_DETALLE!$B268,Tabla9[],6,0),"")</f>
        <v>CAJA CHUMACERA DE PIE  SNL-522 TA</v>
      </c>
      <c r="H268" s="6">
        <f>IFERROR(VLOOKUP(BD_DETALLE!$B268,Tabla9[],4,0),0)</f>
        <v>1</v>
      </c>
      <c r="I268" s="19" t="s">
        <v>19</v>
      </c>
      <c r="J268" s="20" t="s">
        <v>945</v>
      </c>
      <c r="K268" s="10">
        <f>IFERROR(VLOOKUP(BD_DETALLE!B268,Tabla9[],7,0),"")</f>
        <v>0</v>
      </c>
      <c r="L268" s="11">
        <f>IFERROR(VLOOKUP(BD_DETALLE!B268,Tabla9[],8,0),"")</f>
        <v>0</v>
      </c>
      <c r="M268" s="9">
        <f>IFERROR(SUMIFS(Tabla9[CANTIDAD2],Tabla9[BUSQUEDA],Tabla3[[#This Row],[BUSQUEDA]],Tabla9[CODIGO],Tabla3[[#This Row],[CODIGO]],Tabla9[ORDEN No.],Tabla3[[#This Row],[ORDEN de COMPRA]]),0)</f>
        <v>0</v>
      </c>
      <c r="N268" s="27">
        <f>IFERROR(IF(BD_DETALLE!B268&gt;0,VLOOKUP(BD_DETALLE!B268,Tabla9[],10,0),""),"")</f>
        <v>0</v>
      </c>
      <c r="O268" s="28">
        <f>IFERROR(VLOOKUP(BD_DETALLE!B268,Tabla9[],11,0),0)</f>
        <v>0</v>
      </c>
      <c r="P268" s="26">
        <f>IFERROR(SUMIFS(Tabla9[CANTIDAD3],Tabla9[BUSQUEDA],Tabla3[[#This Row],[BUSQUEDA]],Tabla9[CODIGO],Tabla3[[#This Row],[CODIGO]]),0)</f>
        <v>0</v>
      </c>
      <c r="Q268" s="25">
        <f>IF(BD_DETALLE!P268&lt;=0,0,IF(BD_DETALLE!P268=BD_DETALLE!H268,2,1))</f>
        <v>0</v>
      </c>
      <c r="R268" s="41">
        <f ca="1">IF(BD_DETALLE!$C268&gt;0,(IF(BD_DETALLE!$N268=0,TODAY()-BD_DETALLE!$C268,BD_DETALLE!$N268-BD_DETALLE!$C268)),"")</f>
        <v>75</v>
      </c>
    </row>
    <row r="269" spans="2:18" x14ac:dyDescent="0.25">
      <c r="B269" s="15" t="str">
        <f t="shared" si="29"/>
        <v>2102-16-317207</v>
      </c>
      <c r="C269" s="7">
        <v>44230</v>
      </c>
      <c r="D269" s="5" t="str">
        <f>IF(BD_DETALLE!$E269&gt;=1,CONCATENATE(TEXT(BD_DETALLE!$C269,"YY"),TEXT(BD_DETALLE!$C269,"MM"),"-",BD_DETALLE!$E269),"")</f>
        <v>2102-16</v>
      </c>
      <c r="E269" s="12">
        <v>16</v>
      </c>
      <c r="F269" s="21">
        <v>317207</v>
      </c>
      <c r="G269" s="4" t="str">
        <f>IFERROR(VLOOKUP(BD_DETALLE!$B269,Tabla9[],6,0),"")</f>
        <v>SEGURO EXTERIOR</v>
      </c>
      <c r="H269" s="6">
        <f>IFERROR(VLOOKUP(BD_DETALLE!$B269,Tabla9[],4,0),0)</f>
        <v>8</v>
      </c>
      <c r="I269" s="19" t="s">
        <v>19</v>
      </c>
      <c r="J269" s="20" t="s">
        <v>945</v>
      </c>
      <c r="K269" s="10">
        <f>IFERROR(VLOOKUP(BD_DETALLE!B269,Tabla9[],7,0),"")</f>
        <v>0</v>
      </c>
      <c r="L269" s="11">
        <f>IFERROR(VLOOKUP(BD_DETALLE!B269,Tabla9[],8,0),"")</f>
        <v>0</v>
      </c>
      <c r="M269" s="9">
        <f>IFERROR(SUMIFS(Tabla9[CANTIDAD2],Tabla9[BUSQUEDA],Tabla3[[#This Row],[BUSQUEDA]],Tabla9[CODIGO],Tabla3[[#This Row],[CODIGO]],Tabla9[ORDEN No.],Tabla3[[#This Row],[ORDEN de COMPRA]]),0)</f>
        <v>0</v>
      </c>
      <c r="N269" s="27">
        <f>IFERROR(IF(BD_DETALLE!B269&gt;0,VLOOKUP(BD_DETALLE!B269,Tabla9[],10,0),""),"")</f>
        <v>0</v>
      </c>
      <c r="O269" s="28">
        <f>IFERROR(VLOOKUP(BD_DETALLE!B269,Tabla9[],11,0),0)</f>
        <v>0</v>
      </c>
      <c r="P269" s="26">
        <f>IFERROR(SUMIFS(Tabla9[CANTIDAD3],Tabla9[BUSQUEDA],Tabla3[[#This Row],[BUSQUEDA]],Tabla9[CODIGO],Tabla3[[#This Row],[CODIGO]]),0)</f>
        <v>0</v>
      </c>
      <c r="Q269" s="25">
        <f>IF(BD_DETALLE!P269&lt;=0,0,IF(BD_DETALLE!P269=BD_DETALLE!H269,2,1))</f>
        <v>0</v>
      </c>
      <c r="R269" s="41">
        <f ca="1">IF(BD_DETALLE!$C269&gt;0,(IF(BD_DETALLE!$N269=0,TODAY()-BD_DETALLE!$C269,BD_DETALLE!$N269-BD_DETALLE!$C269)),"")</f>
        <v>75</v>
      </c>
    </row>
    <row r="270" spans="2:18" x14ac:dyDescent="0.25">
      <c r="B270" s="145" t="str">
        <f t="shared" ref="B270:B271" si="30">IFERROR(TEXT(C270,"yy") &amp; TEXT(C270,"mm") &amp;"-"&amp;(E270) &amp;"-"&amp;(F270),"")</f>
        <v>2102-65-306195</v>
      </c>
      <c r="C270" s="146">
        <v>44235</v>
      </c>
      <c r="D270" s="147" t="str">
        <f>IF(BD_DETALLE!$E270&gt;=1,CONCATENATE(TEXT(BD_DETALLE!$C270,"YY"),TEXT(BD_DETALLE!$C270,"MM"),"-",BD_DETALLE!$E270),"")</f>
        <v>2102-65</v>
      </c>
      <c r="E270" s="148">
        <v>65</v>
      </c>
      <c r="F270" s="149">
        <v>306195</v>
      </c>
      <c r="G270" s="150" t="str">
        <f>IFERROR(VLOOKUP(BD_DETALLE!$B270,Tabla9[],6,0),"")</f>
        <v>RADIADOR</v>
      </c>
      <c r="H270" s="151">
        <f>IFERROR(VLOOKUP(BD_DETALLE!$B270,Tabla9[],4,0),0)</f>
        <v>1</v>
      </c>
      <c r="I270" s="152" t="s">
        <v>5</v>
      </c>
      <c r="J270" s="153" t="s">
        <v>386</v>
      </c>
      <c r="K270" s="10">
        <f>IFERROR(VLOOKUP(BD_DETALLE!B270,Tabla9[],7,0),"")</f>
        <v>44236</v>
      </c>
      <c r="L270" s="11">
        <f>IFERROR(VLOOKUP(BD_DETALLE!B270,Tabla9[],8,0),"")</f>
        <v>51592</v>
      </c>
      <c r="M270" s="9">
        <f>IFERROR(SUMIFS(Tabla9[CANTIDAD2],Tabla9[BUSQUEDA],Tabla3[[#This Row],[BUSQUEDA]],Tabla9[CODIGO],Tabla3[[#This Row],[CODIGO]],Tabla9[ORDEN No.],Tabla3[[#This Row],[ORDEN de COMPRA]]),0)</f>
        <v>1</v>
      </c>
      <c r="N270" s="27">
        <f>IFERROR(IF(BD_DETALLE!B270&gt;0,VLOOKUP(BD_DETALLE!B270,Tabla9[],10,0),""),"")</f>
        <v>0</v>
      </c>
      <c r="O270" s="28">
        <f>IFERROR(VLOOKUP(BD_DETALLE!B270,Tabla9[],11,0),0)</f>
        <v>0</v>
      </c>
      <c r="P270" s="26">
        <f>IFERROR(SUMIFS(Tabla9[CANTIDAD3],Tabla9[BUSQUEDA],Tabla3[[#This Row],[BUSQUEDA]],Tabla9[CODIGO],Tabla3[[#This Row],[CODIGO]]),0)</f>
        <v>0</v>
      </c>
      <c r="Q270" s="25">
        <f>IF(BD_DETALLE!P270&lt;=0,0,IF(BD_DETALLE!P270=BD_DETALLE!H270,2,1))</f>
        <v>0</v>
      </c>
      <c r="R270" s="41">
        <f ca="1">IF(BD_DETALLE!$C270&gt;0,(IF(BD_DETALLE!$N270=0,TODAY()-BD_DETALLE!$C270,BD_DETALLE!$N270-BD_DETALLE!$C270)),"")</f>
        <v>70</v>
      </c>
    </row>
    <row r="271" spans="2:18" x14ac:dyDescent="0.25">
      <c r="B271" s="145" t="str">
        <f t="shared" si="30"/>
        <v>2102-68-104070</v>
      </c>
      <c r="C271" s="146">
        <v>44235</v>
      </c>
      <c r="D271" s="147" t="str">
        <f>IF(BD_DETALLE!$E271&gt;=1,CONCATENATE(TEXT(BD_DETALLE!$C271,"YY"),TEXT(BD_DETALLE!$C271,"MM"),"-",BD_DETALLE!$E271),"")</f>
        <v>2102-68</v>
      </c>
      <c r="E271" s="148">
        <v>68</v>
      </c>
      <c r="F271" s="149">
        <v>104070</v>
      </c>
      <c r="G271" s="150" t="str">
        <f>IFERROR(VLOOKUP(BD_DETALLE!$B271,Tabla9[],6,0),"")</f>
        <v>RULIMAN 6210-2RS</v>
      </c>
      <c r="H271" s="151">
        <f>IFERROR(VLOOKUP(BD_DETALLE!$B271,Tabla9[],4,0),0)</f>
        <v>2</v>
      </c>
      <c r="I271" s="152" t="s">
        <v>14</v>
      </c>
      <c r="J271" s="153" t="s">
        <v>1663</v>
      </c>
      <c r="K271" s="10">
        <f>IFERROR(VLOOKUP(BD_DETALLE!B271,Tabla9[],7,0),"")</f>
        <v>0</v>
      </c>
      <c r="L271" s="11">
        <f>IFERROR(VLOOKUP(BD_DETALLE!B271,Tabla9[],8,0),"")</f>
        <v>0</v>
      </c>
      <c r="M271" s="9">
        <f>IFERROR(SUMIFS(Tabla9[CANTIDAD2],Tabla9[BUSQUEDA],Tabla3[[#This Row],[BUSQUEDA]],Tabla9[CODIGO],Tabla3[[#This Row],[CODIGO]],Tabla9[ORDEN No.],Tabla3[[#This Row],[ORDEN de COMPRA]]),0)</f>
        <v>0</v>
      </c>
      <c r="N271" s="27">
        <f>IFERROR(IF(BD_DETALLE!B271&gt;0,VLOOKUP(BD_DETALLE!B271,Tabla9[],10,0),""),"")</f>
        <v>0</v>
      </c>
      <c r="O271" s="28">
        <f>IFERROR(VLOOKUP(BD_DETALLE!B271,Tabla9[],11,0),0)</f>
        <v>0</v>
      </c>
      <c r="P271" s="26">
        <f>IFERROR(SUMIFS(Tabla9[CANTIDAD3],Tabla9[BUSQUEDA],Tabla3[[#This Row],[BUSQUEDA]],Tabla9[CODIGO],Tabla3[[#This Row],[CODIGO]]),0)</f>
        <v>0</v>
      </c>
      <c r="Q271" s="25">
        <f>IF(BD_DETALLE!P271&lt;=0,0,IF(BD_DETALLE!P271=BD_DETALLE!H271,2,1))</f>
        <v>0</v>
      </c>
      <c r="R271" s="41">
        <f ca="1">IF(BD_DETALLE!$C271&gt;0,(IF(BD_DETALLE!$N271=0,TODAY()-BD_DETALLE!$C271,BD_DETALLE!$N271-BD_DETALLE!$C271)),"")</f>
        <v>70</v>
      </c>
    </row>
    <row r="272" spans="2:18" x14ac:dyDescent="0.25">
      <c r="B272" s="145" t="str">
        <f t="shared" ref="B272:B273" si="31">IFERROR(TEXT(C272,"yy") &amp; TEXT(C272,"mm") &amp;"-"&amp;(E272) &amp;"-"&amp;(F272),"")</f>
        <v>2102-78-317241</v>
      </c>
      <c r="C272" s="146">
        <v>44236</v>
      </c>
      <c r="D272" s="147" t="str">
        <f>IF(BD_DETALLE!$E272&gt;=1,CONCATENATE(TEXT(BD_DETALLE!$C272,"YY"),TEXT(BD_DETALLE!$C272,"MM"),"-",BD_DETALLE!$E272),"")</f>
        <v>2102-78</v>
      </c>
      <c r="E272" s="148">
        <v>78</v>
      </c>
      <c r="F272" s="149">
        <v>317241</v>
      </c>
      <c r="G272" s="150" t="str">
        <f>IFERROR(VLOOKUP(BD_DETALLE!$B272,Tabla9[],6,0),"")</f>
        <v>BUJE H-320</v>
      </c>
      <c r="H272" s="151">
        <f>IFERROR(VLOOKUP(BD_DETALLE!$B272,Tabla9[],4,0),0)</f>
        <v>1</v>
      </c>
      <c r="I272" s="152" t="s">
        <v>12</v>
      </c>
      <c r="J272" s="153" t="s">
        <v>1664</v>
      </c>
      <c r="K272" s="10">
        <f>IFERROR(VLOOKUP(BD_DETALLE!B272,Tabla9[],7,0),"")</f>
        <v>44236</v>
      </c>
      <c r="L272" s="11">
        <f>IFERROR(VLOOKUP(BD_DETALLE!B272,Tabla9[],8,0),"")</f>
        <v>51583</v>
      </c>
      <c r="M272" s="9">
        <f>IFERROR(SUMIFS(Tabla9[CANTIDAD2],Tabla9[BUSQUEDA],Tabla3[[#This Row],[BUSQUEDA]],Tabla9[CODIGO],Tabla3[[#This Row],[CODIGO]],Tabla9[ORDEN No.],Tabla3[[#This Row],[ORDEN de COMPRA]]),0)</f>
        <v>1</v>
      </c>
      <c r="N272" s="27">
        <f>IFERROR(IF(BD_DETALLE!B272&gt;0,VLOOKUP(BD_DETALLE!B272,Tabla9[],10,0),""),"")</f>
        <v>0</v>
      </c>
      <c r="O272" s="28">
        <f>IFERROR(VLOOKUP(BD_DETALLE!B272,Tabla9[],11,0),0)</f>
        <v>0</v>
      </c>
      <c r="P272" s="26">
        <f>IFERROR(SUMIFS(Tabla9[CANTIDAD3],Tabla9[BUSQUEDA],Tabla3[[#This Row],[BUSQUEDA]],Tabla9[CODIGO],Tabla3[[#This Row],[CODIGO]]),0)</f>
        <v>0</v>
      </c>
      <c r="Q272" s="25">
        <f>IF(BD_DETALLE!P272&lt;=0,0,IF(BD_DETALLE!P272=BD_DETALLE!H272,2,1))</f>
        <v>0</v>
      </c>
      <c r="R272" s="41">
        <f ca="1">IF(BD_DETALLE!$C272&gt;0,(IF(BD_DETALLE!$N272=0,TODAY()-BD_DETALLE!$C272,BD_DETALLE!$N272-BD_DETALLE!$C272)),"")</f>
        <v>69</v>
      </c>
    </row>
    <row r="273" spans="2:18" x14ac:dyDescent="0.25">
      <c r="B273" s="145" t="str">
        <f t="shared" si="31"/>
        <v>2102-78-317242</v>
      </c>
      <c r="C273" s="146">
        <v>44236</v>
      </c>
      <c r="D273" s="147" t="str">
        <f>IF(BD_DETALLE!$E273&gt;=1,CONCATENATE(TEXT(BD_DETALLE!$C273,"YY"),TEXT(BD_DETALLE!$C273,"MM"),"-",BD_DETALLE!$E273),"")</f>
        <v>2102-78</v>
      </c>
      <c r="E273" s="148">
        <v>78</v>
      </c>
      <c r="F273" s="149">
        <v>317242</v>
      </c>
      <c r="G273" s="150" t="str">
        <f>IFERROR(VLOOKUP(BD_DETALLE!$B273,Tabla9[],6,0),"")</f>
        <v>ANILLO FIJACION FRB 12/180</v>
      </c>
      <c r="H273" s="151">
        <f>IFERROR(VLOOKUP(BD_DETALLE!$B273,Tabla9[],4,0),0)</f>
        <v>2</v>
      </c>
      <c r="I273" s="152" t="s">
        <v>12</v>
      </c>
      <c r="J273" s="153" t="s">
        <v>1664</v>
      </c>
      <c r="K273" s="10">
        <f>IFERROR(VLOOKUP(BD_DETALLE!B273,Tabla9[],7,0),"")</f>
        <v>44236</v>
      </c>
      <c r="L273" s="11">
        <f>IFERROR(VLOOKUP(BD_DETALLE!B273,Tabla9[],8,0),"")</f>
        <v>51583</v>
      </c>
      <c r="M273" s="9">
        <f>IFERROR(SUMIFS(Tabla9[CANTIDAD2],Tabla9[BUSQUEDA],Tabla3[[#This Row],[BUSQUEDA]],Tabla9[CODIGO],Tabla3[[#This Row],[CODIGO]],Tabla9[ORDEN No.],Tabla3[[#This Row],[ORDEN de COMPRA]]),0)</f>
        <v>2</v>
      </c>
      <c r="N273" s="27">
        <f>IFERROR(IF(BD_DETALLE!B273&gt;0,VLOOKUP(BD_DETALLE!B273,Tabla9[],10,0),""),"")</f>
        <v>44284</v>
      </c>
      <c r="O273" s="28">
        <f>IFERROR(VLOOKUP(BD_DETALLE!B273,Tabla9[],11,0),0)</f>
        <v>11674</v>
      </c>
      <c r="P273" s="26">
        <f>IFERROR(SUMIFS(Tabla9[CANTIDAD3],Tabla9[BUSQUEDA],Tabla3[[#This Row],[BUSQUEDA]],Tabla9[CODIGO],Tabla3[[#This Row],[CODIGO]]),0)</f>
        <v>2</v>
      </c>
      <c r="Q273" s="25">
        <f>IF(BD_DETALLE!P273&lt;=0,0,IF(BD_DETALLE!P273=BD_DETALLE!H273,2,1))</f>
        <v>2</v>
      </c>
      <c r="R273" s="41">
        <f ca="1">IF(BD_DETALLE!$C273&gt;0,(IF(BD_DETALLE!$N273=0,TODAY()-BD_DETALLE!$C273,BD_DETALLE!$N273-BD_DETALLE!$C273)),"")</f>
        <v>48</v>
      </c>
    </row>
    <row r="274" spans="2:18" x14ac:dyDescent="0.25">
      <c r="B274" s="145" t="str">
        <f t="shared" ref="B274:B276" si="32">IFERROR(TEXT(C274,"yy") &amp; TEXT(C274,"mm") &amp;"-"&amp;(E274) &amp;"-"&amp;(F274),"")</f>
        <v>2102-118-312189</v>
      </c>
      <c r="C274" s="146">
        <v>44244</v>
      </c>
      <c r="D274" s="147" t="str">
        <f>IF(BD_DETALLE!$E274&gt;=1,CONCATENATE(TEXT(BD_DETALLE!$C274,"YY"),TEXT(BD_DETALLE!$C274,"MM"),"-",BD_DETALLE!$E274),"")</f>
        <v>2102-118</v>
      </c>
      <c r="E274" s="148">
        <v>118</v>
      </c>
      <c r="F274" s="149">
        <v>312189</v>
      </c>
      <c r="G274" s="150" t="str">
        <f>IFERROR(VLOOKUP(BD_DETALLE!$B274,Tabla9[],6,0),"")</f>
        <v>ORING 71162</v>
      </c>
      <c r="H274" s="151">
        <f>IFERROR(VLOOKUP(BD_DETALLE!$B274,Tabla9[],4,0),0)</f>
        <v>6</v>
      </c>
      <c r="I274" s="152" t="s">
        <v>19</v>
      </c>
      <c r="J274" s="153" t="s">
        <v>1505</v>
      </c>
      <c r="K274" s="10">
        <f>IFERROR(VLOOKUP(BD_DETALLE!B274,Tabla9[],7,0),"")</f>
        <v>0</v>
      </c>
      <c r="L274" s="11">
        <f>IFERROR(VLOOKUP(BD_DETALLE!B274,Tabla9[],8,0),"")</f>
        <v>0</v>
      </c>
      <c r="M274" s="9">
        <f>IFERROR(SUMIFS(Tabla9[CANTIDAD2],Tabla9[BUSQUEDA],Tabla3[[#This Row],[BUSQUEDA]],Tabla9[CODIGO],Tabla3[[#This Row],[CODIGO]],Tabla9[ORDEN No.],Tabla3[[#This Row],[ORDEN de COMPRA]]),0)</f>
        <v>0</v>
      </c>
      <c r="N274" s="27">
        <f>IFERROR(IF(BD_DETALLE!B274&gt;0,VLOOKUP(BD_DETALLE!B274,Tabla9[],10,0),""),"")</f>
        <v>0</v>
      </c>
      <c r="O274" s="28">
        <f>IFERROR(VLOOKUP(BD_DETALLE!B274,Tabla9[],11,0),0)</f>
        <v>0</v>
      </c>
      <c r="P274" s="26">
        <f>IFERROR(SUMIFS(Tabla9[CANTIDAD3],Tabla9[BUSQUEDA],Tabla3[[#This Row],[BUSQUEDA]],Tabla9[CODIGO],Tabla3[[#This Row],[CODIGO]]),0)</f>
        <v>0</v>
      </c>
      <c r="Q274" s="25">
        <f>IF(BD_DETALLE!P274&lt;=0,0,IF(BD_DETALLE!P274=BD_DETALLE!H274,2,1))</f>
        <v>0</v>
      </c>
      <c r="R274" s="41">
        <f ca="1">IF(BD_DETALLE!$C274&gt;0,(IF(BD_DETALLE!$N274=0,TODAY()-BD_DETALLE!$C274,BD_DETALLE!$N274-BD_DETALLE!$C274)),"")</f>
        <v>61</v>
      </c>
    </row>
    <row r="275" spans="2:18" x14ac:dyDescent="0.25">
      <c r="B275" s="145" t="str">
        <f t="shared" si="32"/>
        <v>2102-118-202077</v>
      </c>
      <c r="C275" s="146">
        <v>44244</v>
      </c>
      <c r="D275" s="147" t="str">
        <f>IF(BD_DETALLE!$E275&gt;=1,CONCATENATE(TEXT(BD_DETALLE!$C275,"YY"),TEXT(BD_DETALLE!$C275,"MM"),"-",BD_DETALLE!$E275),"")</f>
        <v>2102-118</v>
      </c>
      <c r="E275" s="148">
        <v>118</v>
      </c>
      <c r="F275" s="149">
        <v>202077</v>
      </c>
      <c r="G275" s="150" t="str">
        <f>IFERROR(VLOOKUP(BD_DETALLE!$B275,Tabla9[],6,0),"")</f>
        <v>GASKET N║ PARTE 6958400</v>
      </c>
      <c r="H275" s="151">
        <f>IFERROR(VLOOKUP(BD_DETALLE!$B275,Tabla9[],4,0),0)</f>
        <v>6</v>
      </c>
      <c r="I275" s="152" t="s">
        <v>19</v>
      </c>
      <c r="J275" s="153" t="s">
        <v>1505</v>
      </c>
      <c r="K275" s="10">
        <f>IFERROR(VLOOKUP(BD_DETALLE!B275,Tabla9[],7,0),"")</f>
        <v>0</v>
      </c>
      <c r="L275" s="11">
        <f>IFERROR(VLOOKUP(BD_DETALLE!B275,Tabla9[],8,0),"")</f>
        <v>0</v>
      </c>
      <c r="M275" s="9">
        <f>IFERROR(SUMIFS(Tabla9[CANTIDAD2],Tabla9[BUSQUEDA],Tabla3[[#This Row],[BUSQUEDA]],Tabla9[CODIGO],Tabla3[[#This Row],[CODIGO]],Tabla9[ORDEN No.],Tabla3[[#This Row],[ORDEN de COMPRA]]),0)</f>
        <v>0</v>
      </c>
      <c r="N275" s="27">
        <f>IFERROR(IF(BD_DETALLE!B275&gt;0,VLOOKUP(BD_DETALLE!B275,Tabla9[],10,0),""),"")</f>
        <v>0</v>
      </c>
      <c r="O275" s="28">
        <f>IFERROR(VLOOKUP(BD_DETALLE!B275,Tabla9[],11,0),0)</f>
        <v>0</v>
      </c>
      <c r="P275" s="26">
        <f>IFERROR(SUMIFS(Tabla9[CANTIDAD3],Tabla9[BUSQUEDA],Tabla3[[#This Row],[BUSQUEDA]],Tabla9[CODIGO],Tabla3[[#This Row],[CODIGO]]),0)</f>
        <v>0</v>
      </c>
      <c r="Q275" s="25">
        <f>IF(BD_DETALLE!P275&lt;=0,0,IF(BD_DETALLE!P275=BD_DETALLE!H275,2,1))</f>
        <v>0</v>
      </c>
      <c r="R275" s="41">
        <f ca="1">IF(BD_DETALLE!$C275&gt;0,(IF(BD_DETALLE!$N275=0,TODAY()-BD_DETALLE!$C275,BD_DETALLE!$N275-BD_DETALLE!$C275)),"")</f>
        <v>61</v>
      </c>
    </row>
    <row r="276" spans="2:18" x14ac:dyDescent="0.25">
      <c r="B276" s="145" t="str">
        <f t="shared" si="32"/>
        <v>2102-120-319327</v>
      </c>
      <c r="C276" s="146">
        <v>44244</v>
      </c>
      <c r="D276" s="147" t="str">
        <f>IF(BD_DETALLE!$E276&gt;=1,CONCATENATE(TEXT(BD_DETALLE!$C276,"YY"),TEXT(BD_DETALLE!$C276,"MM"),"-",BD_DETALLE!$E276),"")</f>
        <v>2102-120</v>
      </c>
      <c r="E276" s="148">
        <v>120</v>
      </c>
      <c r="F276" s="149">
        <v>319327</v>
      </c>
      <c r="G276" s="150" t="str">
        <f>IFERROR(VLOOKUP(BD_DETALLE!$B276,Tabla9[],6,0),"")</f>
        <v>CHUMACERA DE PARED DE 3" UCF215-300D1</v>
      </c>
      <c r="H276" s="151">
        <f>IFERROR(VLOOKUP(BD_DETALLE!$B276,Tabla9[],4,0),0)</f>
        <v>2</v>
      </c>
      <c r="I276" s="152" t="s">
        <v>12</v>
      </c>
      <c r="J276" s="153" t="s">
        <v>1665</v>
      </c>
      <c r="K276" s="10">
        <f>IFERROR(VLOOKUP(BD_DETALLE!B276,Tabla9[],7,0),"")</f>
        <v>44246</v>
      </c>
      <c r="L276" s="11">
        <f>IFERROR(VLOOKUP(BD_DETALLE!B276,Tabla9[],8,0),"")</f>
        <v>51723</v>
      </c>
      <c r="M276" s="9">
        <f>IFERROR(SUMIFS(Tabla9[CANTIDAD2],Tabla9[BUSQUEDA],Tabla3[[#This Row],[BUSQUEDA]],Tabla9[CODIGO],Tabla3[[#This Row],[CODIGO]],Tabla9[ORDEN No.],Tabla3[[#This Row],[ORDEN de COMPRA]]),0)</f>
        <v>2</v>
      </c>
      <c r="N276" s="27">
        <f>IFERROR(IF(BD_DETALLE!B276&gt;0,VLOOKUP(BD_DETALLE!B276,Tabla9[],10,0),""),"")</f>
        <v>44298</v>
      </c>
      <c r="O276" s="28">
        <f>IFERROR(VLOOKUP(BD_DETALLE!B276,Tabla9[],11,0),0)</f>
        <v>11782</v>
      </c>
      <c r="P276" s="26">
        <f>IFERROR(SUMIFS(Tabla9[CANTIDAD3],Tabla9[BUSQUEDA],Tabla3[[#This Row],[BUSQUEDA]],Tabla9[CODIGO],Tabla3[[#This Row],[CODIGO]]),0)</f>
        <v>2</v>
      </c>
      <c r="Q276" s="25">
        <f>IF(BD_DETALLE!P276&lt;=0,0,IF(BD_DETALLE!P276=BD_DETALLE!H276,2,1))</f>
        <v>2</v>
      </c>
      <c r="R276" s="41">
        <f ca="1">IF(BD_DETALLE!$C276&gt;0,(IF(BD_DETALLE!$N276=0,TODAY()-BD_DETALLE!$C276,BD_DETALLE!$N276-BD_DETALLE!$C276)),"")</f>
        <v>54</v>
      </c>
    </row>
    <row r="277" spans="2:18" x14ac:dyDescent="0.25">
      <c r="B277" s="145" t="str">
        <f t="shared" ref="B277:B280" si="33">IFERROR(TEXT(C277,"yy") &amp; TEXT(C277,"mm") &amp;"-"&amp;(E277) &amp;"-"&amp;(F277),"")</f>
        <v>2102-165-314372</v>
      </c>
      <c r="C277" s="146">
        <v>44248</v>
      </c>
      <c r="D277" s="147" t="str">
        <f>IF(BD_DETALLE!$E277&gt;=1,CONCATENATE(TEXT(BD_DETALLE!$C277,"YY"),TEXT(BD_DETALLE!$C277,"MM"),"-",BD_DETALLE!$E277),"")</f>
        <v>2102-165</v>
      </c>
      <c r="E277" s="148">
        <v>165</v>
      </c>
      <c r="F277" s="149">
        <v>314372</v>
      </c>
      <c r="G277" s="150" t="str">
        <f>IFERROR(VLOOKUP(BD_DETALLE!$B277,Tabla9[],6,0),"")</f>
        <v>3RQ3065 - 1SM30 RELE DE SALIDA 1NA SIRIUS 24VDC</v>
      </c>
      <c r="H277" s="151">
        <f>IFERROR(VLOOKUP(BD_DETALLE!$B277,Tabla9[],4,0),0)</f>
        <v>60</v>
      </c>
      <c r="I277" s="152" t="s">
        <v>20</v>
      </c>
      <c r="J277" s="20" t="s">
        <v>1719</v>
      </c>
      <c r="K277" s="10">
        <f>IFERROR(VLOOKUP(BD_DETALLE!B277,Tabla9[],7,0),"")</f>
        <v>44250</v>
      </c>
      <c r="L277" s="11">
        <f>IFERROR(VLOOKUP(BD_DETALLE!B277,Tabla9[],8,0),"")</f>
        <v>51803</v>
      </c>
      <c r="M277" s="9">
        <f>IFERROR(SUMIFS(Tabla9[CANTIDAD2],Tabla9[BUSQUEDA],Tabla3[[#This Row],[BUSQUEDA]],Tabla9[CODIGO],Tabla3[[#This Row],[CODIGO]],Tabla9[ORDEN No.],Tabla3[[#This Row],[ORDEN de COMPRA]]),0)</f>
        <v>60</v>
      </c>
      <c r="N277" s="27">
        <f>IFERROR(IF(BD_DETALLE!B277&gt;0,VLOOKUP(BD_DETALLE!B277,Tabla9[],10,0),""),"")</f>
        <v>0</v>
      </c>
      <c r="O277" s="28">
        <f>IFERROR(VLOOKUP(BD_DETALLE!B277,Tabla9[],11,0),0)</f>
        <v>0</v>
      </c>
      <c r="P277" s="26">
        <f>IFERROR(SUMIFS(Tabla9[CANTIDAD3],Tabla9[BUSQUEDA],Tabla3[[#This Row],[BUSQUEDA]],Tabla9[CODIGO],Tabla3[[#This Row],[CODIGO]]),0)</f>
        <v>0</v>
      </c>
      <c r="Q277" s="25">
        <f>IF(BD_DETALLE!P277&lt;=0,0,IF(BD_DETALLE!P277=BD_DETALLE!H277,2,1))</f>
        <v>0</v>
      </c>
      <c r="R277" s="41">
        <f ca="1">IF(BD_DETALLE!$C277&gt;0,(IF(BD_DETALLE!$N277=0,TODAY()-BD_DETALLE!$C277,BD_DETALLE!$N277-BD_DETALLE!$C277)),"")</f>
        <v>57</v>
      </c>
    </row>
    <row r="278" spans="2:18" x14ac:dyDescent="0.25">
      <c r="B278" s="145" t="str">
        <f t="shared" si="33"/>
        <v>2102-167-203946</v>
      </c>
      <c r="C278" s="146">
        <v>44249</v>
      </c>
      <c r="D278" s="147" t="str">
        <f>IF(BD_DETALLE!$E278&gt;=1,CONCATENATE(TEXT(BD_DETALLE!$C278,"YY"),TEXT(BD_DETALLE!$C278,"MM"),"-",BD_DETALLE!$E278),"")</f>
        <v>2102-167</v>
      </c>
      <c r="E278" s="148">
        <v>167</v>
      </c>
      <c r="F278" s="149">
        <v>203946</v>
      </c>
      <c r="G278" s="150" t="str">
        <f>IFERROR(VLOOKUP(BD_DETALLE!$B278,Tabla9[],6,0),"")</f>
        <v>TARRAJA</v>
      </c>
      <c r="H278" s="151">
        <f>IFERROR(VLOOKUP(BD_DETALLE!$B278,Tabla9[],4,0),0)</f>
        <v>1</v>
      </c>
      <c r="I278" s="19" t="s">
        <v>12</v>
      </c>
      <c r="J278" s="20" t="s">
        <v>1720</v>
      </c>
      <c r="K278" s="10">
        <f>IFERROR(VLOOKUP(BD_DETALLE!B278,Tabla9[],7,0),"")</f>
        <v>0</v>
      </c>
      <c r="L278" s="11">
        <f>IFERROR(VLOOKUP(BD_DETALLE!B278,Tabla9[],8,0),"")</f>
        <v>0</v>
      </c>
      <c r="M278" s="9">
        <f>IFERROR(SUMIFS(Tabla9[CANTIDAD2],Tabla9[BUSQUEDA],Tabla3[[#This Row],[BUSQUEDA]],Tabla9[CODIGO],Tabla3[[#This Row],[CODIGO]],Tabla9[ORDEN No.],Tabla3[[#This Row],[ORDEN de COMPRA]]),0)</f>
        <v>0</v>
      </c>
      <c r="N278" s="27">
        <f>IFERROR(IF(BD_DETALLE!B278&gt;0,VLOOKUP(BD_DETALLE!B278,Tabla9[],10,0),""),"")</f>
        <v>0</v>
      </c>
      <c r="O278" s="28">
        <f>IFERROR(VLOOKUP(BD_DETALLE!B278,Tabla9[],11,0),0)</f>
        <v>0</v>
      </c>
      <c r="P278" s="26">
        <f>IFERROR(SUMIFS(Tabla9[CANTIDAD3],Tabla9[BUSQUEDA],Tabla3[[#This Row],[BUSQUEDA]],Tabla9[CODIGO],Tabla3[[#This Row],[CODIGO]]),0)</f>
        <v>0</v>
      </c>
      <c r="Q278" s="25">
        <f>IF(BD_DETALLE!P278&lt;=0,0,IF(BD_DETALLE!P278=BD_DETALLE!H278,2,1))</f>
        <v>0</v>
      </c>
      <c r="R278" s="41">
        <f ca="1">IF(BD_DETALLE!$C278&gt;0,(IF(BD_DETALLE!$N278=0,TODAY()-BD_DETALLE!$C278,BD_DETALLE!$N278-BD_DETALLE!$C278)),"")</f>
        <v>56</v>
      </c>
    </row>
    <row r="279" spans="2:18" x14ac:dyDescent="0.25">
      <c r="B279" s="145" t="str">
        <f t="shared" si="33"/>
        <v>2102-168-304114</v>
      </c>
      <c r="C279" s="146">
        <v>44249</v>
      </c>
      <c r="D279" s="147" t="str">
        <f>IF(BD_DETALLE!$E279&gt;=1,CONCATENATE(TEXT(BD_DETALLE!$C279,"YY"),TEXT(BD_DETALLE!$C279,"MM"),"-",BD_DETALLE!$E279),"")</f>
        <v>2102-168</v>
      </c>
      <c r="E279" s="148">
        <v>168</v>
      </c>
      <c r="F279" s="149">
        <v>304114</v>
      </c>
      <c r="G279" s="150" t="str">
        <f>IFERROR(VLOOKUP(BD_DETALLE!$B279,Tabla9[],6,0),"")</f>
        <v>RULIMAN SKF 6218 M C3</v>
      </c>
      <c r="H279" s="151">
        <f>IFERROR(VLOOKUP(BD_DETALLE!$B279,Tabla9[],4,0),0)</f>
        <v>2</v>
      </c>
      <c r="I279" s="152" t="s">
        <v>19</v>
      </c>
      <c r="J279" s="153" t="s">
        <v>1716</v>
      </c>
      <c r="K279" s="10">
        <f>IFERROR(VLOOKUP(BD_DETALLE!B279,Tabla9[],7,0),"")</f>
        <v>0</v>
      </c>
      <c r="L279" s="11">
        <f>IFERROR(VLOOKUP(BD_DETALLE!B279,Tabla9[],8,0),"")</f>
        <v>0</v>
      </c>
      <c r="M279" s="9">
        <f>IFERROR(SUMIFS(Tabla9[CANTIDAD2],Tabla9[BUSQUEDA],Tabla3[[#This Row],[BUSQUEDA]],Tabla9[CODIGO],Tabla3[[#This Row],[CODIGO]],Tabla9[ORDEN No.],Tabla3[[#This Row],[ORDEN de COMPRA]]),0)</f>
        <v>0</v>
      </c>
      <c r="N279" s="27">
        <f>IFERROR(IF(BD_DETALLE!B279&gt;0,VLOOKUP(BD_DETALLE!B279,Tabla9[],10,0),""),"")</f>
        <v>0</v>
      </c>
      <c r="O279" s="28">
        <f>IFERROR(VLOOKUP(BD_DETALLE!B279,Tabla9[],11,0),0)</f>
        <v>0</v>
      </c>
      <c r="P279" s="26">
        <f>IFERROR(SUMIFS(Tabla9[CANTIDAD3],Tabla9[BUSQUEDA],Tabla3[[#This Row],[BUSQUEDA]],Tabla9[CODIGO],Tabla3[[#This Row],[CODIGO]]),0)</f>
        <v>0</v>
      </c>
      <c r="Q279" s="25">
        <f>IF(BD_DETALLE!P279&lt;=0,0,IF(BD_DETALLE!P279=BD_DETALLE!H279,2,1))</f>
        <v>0</v>
      </c>
      <c r="R279" s="41">
        <f ca="1">IF(BD_DETALLE!$C279&gt;0,(IF(BD_DETALLE!$N279=0,TODAY()-BD_DETALLE!$C279,BD_DETALLE!$N279-BD_DETALLE!$C279)),"")</f>
        <v>56</v>
      </c>
    </row>
    <row r="280" spans="2:18" x14ac:dyDescent="0.25">
      <c r="B280" s="145" t="str">
        <f t="shared" si="33"/>
        <v>2102-168-107693</v>
      </c>
      <c r="C280" s="146">
        <v>44249</v>
      </c>
      <c r="D280" s="147" t="str">
        <f>IF(BD_DETALLE!$E280&gt;=1,CONCATENATE(TEXT(BD_DETALLE!$C280,"YY"),TEXT(BD_DETALLE!$C280,"MM"),"-",BD_DETALLE!$E280),"")</f>
        <v>2102-168</v>
      </c>
      <c r="E280" s="148">
        <v>168</v>
      </c>
      <c r="F280" s="149">
        <v>107693</v>
      </c>
      <c r="G280" s="150" t="str">
        <f>IFERROR(VLOOKUP(BD_DETALLE!$B280,Tabla9[],6,0),"")</f>
        <v>GRASERO RECTO DE 1/4"</v>
      </c>
      <c r="H280" s="151">
        <f>IFERROR(VLOOKUP(BD_DETALLE!$B280,Tabla9[],4,0),0)</f>
        <v>10</v>
      </c>
      <c r="I280" s="152" t="s">
        <v>19</v>
      </c>
      <c r="J280" s="153" t="s">
        <v>1716</v>
      </c>
      <c r="K280" s="10">
        <f>IFERROR(VLOOKUP(BD_DETALLE!B280,Tabla9[],7,0),"")</f>
        <v>0</v>
      </c>
      <c r="L280" s="11">
        <f>IFERROR(VLOOKUP(BD_DETALLE!B280,Tabla9[],8,0),"")</f>
        <v>0</v>
      </c>
      <c r="M280" s="9">
        <f>IFERROR(SUMIFS(Tabla9[CANTIDAD2],Tabla9[BUSQUEDA],Tabla3[[#This Row],[BUSQUEDA]],Tabla9[CODIGO],Tabla3[[#This Row],[CODIGO]],Tabla9[ORDEN No.],Tabla3[[#This Row],[ORDEN de COMPRA]]),0)</f>
        <v>0</v>
      </c>
      <c r="N280" s="27">
        <f>IFERROR(IF(BD_DETALLE!B280&gt;0,VLOOKUP(BD_DETALLE!B280,Tabla9[],10,0),""),"")</f>
        <v>0</v>
      </c>
      <c r="O280" s="28">
        <f>IFERROR(VLOOKUP(BD_DETALLE!B280,Tabla9[],11,0),0)</f>
        <v>0</v>
      </c>
      <c r="P280" s="26">
        <f>IFERROR(SUMIFS(Tabla9[CANTIDAD3],Tabla9[BUSQUEDA],Tabla3[[#This Row],[BUSQUEDA]],Tabla9[CODIGO],Tabla3[[#This Row],[CODIGO]]),0)</f>
        <v>0</v>
      </c>
      <c r="Q280" s="25">
        <f>IF(BD_DETALLE!P280&lt;=0,0,IF(BD_DETALLE!P280=BD_DETALLE!H280,2,1))</f>
        <v>0</v>
      </c>
      <c r="R280" s="41">
        <f ca="1">IF(BD_DETALLE!$C280&gt;0,(IF(BD_DETALLE!$N280=0,TODAY()-BD_DETALLE!$C280,BD_DETALLE!$N280-BD_DETALLE!$C280)),"")</f>
        <v>56</v>
      </c>
    </row>
    <row r="281" spans="2:18" x14ac:dyDescent="0.25">
      <c r="B281" s="145" t="str">
        <f t="shared" ref="B281:B289" si="34">IFERROR(TEXT(C281,"yy") &amp; TEXT(C281,"mm") &amp;"-"&amp;(E281) &amp;"-"&amp;(F281),"")</f>
        <v>2102-175-320828</v>
      </c>
      <c r="C281" s="146">
        <v>44249</v>
      </c>
      <c r="D281" s="147" t="str">
        <f>IF(BD_DETALLE!$E281&gt;=1,CONCATENATE(TEXT(BD_DETALLE!$C281,"YY"),TEXT(BD_DETALLE!$C281,"MM"),"-",BD_DETALLE!$E281),"")</f>
        <v>2102-175</v>
      </c>
      <c r="E281" s="148">
        <v>175</v>
      </c>
      <c r="F281" s="149">
        <v>320828</v>
      </c>
      <c r="G281" s="150" t="str">
        <f>IFERROR(VLOOKUP(BD_DETALLE!$B281,Tabla9[],6,0),"")</f>
        <v>CABLE CONECTOR APANTALLADO HEMBRA ANGULAR M12 5PIN 20M</v>
      </c>
      <c r="H281" s="151">
        <f>IFERROR(VLOOKUP(BD_DETALLE!$B281,Tabla9[],4,0),0)</f>
        <v>10</v>
      </c>
      <c r="I281" s="152" t="s">
        <v>20</v>
      </c>
      <c r="J281" s="20" t="s">
        <v>1721</v>
      </c>
      <c r="K281" s="10">
        <f>IFERROR(VLOOKUP(BD_DETALLE!B281,Tabla9[],7,0),"")</f>
        <v>44281</v>
      </c>
      <c r="L281" s="11">
        <f>IFERROR(VLOOKUP(BD_DETALLE!B281,Tabla9[],8,0),"")</f>
        <v>52288</v>
      </c>
      <c r="M281" s="9">
        <f>IFERROR(SUMIFS(Tabla9[CANTIDAD2],Tabla9[BUSQUEDA],Tabla3[[#This Row],[BUSQUEDA]],Tabla9[CODIGO],Tabla3[[#This Row],[CODIGO]],Tabla9[ORDEN No.],Tabla3[[#This Row],[ORDEN de COMPRA]]),0)</f>
        <v>10</v>
      </c>
      <c r="N281" s="27">
        <f>IFERROR(IF(BD_DETALLE!B281&gt;0,VLOOKUP(BD_DETALLE!B281,Tabla9[],10,0),""),"")</f>
        <v>0</v>
      </c>
      <c r="O281" s="28">
        <f>IFERROR(VLOOKUP(BD_DETALLE!B281,Tabla9[],11,0),0)</f>
        <v>0</v>
      </c>
      <c r="P281" s="26">
        <f>IFERROR(SUMIFS(Tabla9[CANTIDAD3],Tabla9[BUSQUEDA],Tabla3[[#This Row],[BUSQUEDA]],Tabla9[CODIGO],Tabla3[[#This Row],[CODIGO]]),0)</f>
        <v>0</v>
      </c>
      <c r="Q281" s="25">
        <f>IF(BD_DETALLE!P281&lt;=0,0,IF(BD_DETALLE!P281=BD_DETALLE!H281,2,1))</f>
        <v>0</v>
      </c>
      <c r="R281" s="41">
        <f ca="1">IF(BD_DETALLE!$C281&gt;0,(IF(BD_DETALLE!$N281=0,TODAY()-BD_DETALLE!$C281,BD_DETALLE!$N281-BD_DETALLE!$C281)),"")</f>
        <v>56</v>
      </c>
    </row>
    <row r="282" spans="2:18" x14ac:dyDescent="0.25">
      <c r="B282" s="145" t="str">
        <f t="shared" si="34"/>
        <v>2102-175-320829</v>
      </c>
      <c r="C282" s="146">
        <v>44249</v>
      </c>
      <c r="D282" s="147" t="str">
        <f>IF(BD_DETALLE!$E282&gt;=1,CONCATENATE(TEXT(BD_DETALLE!$C282,"YY"),TEXT(BD_DETALLE!$C282,"MM"),"-",BD_DETALLE!$E282),"")</f>
        <v>2102-175</v>
      </c>
      <c r="E282" s="148">
        <v>175</v>
      </c>
      <c r="F282" s="149">
        <v>320829</v>
      </c>
      <c r="G282" s="150" t="str">
        <f>IFERROR(VLOOKUP(BD_DETALLE!$B282,Tabla9[],6,0),"")</f>
        <v>CONECTOR MACHO RECTO M12 EXTERIOR 5 PIN</v>
      </c>
      <c r="H282" s="151">
        <f>IFERROR(VLOOKUP(BD_DETALLE!$B282,Tabla9[],4,0),0)</f>
        <v>10</v>
      </c>
      <c r="I282" s="152" t="s">
        <v>20</v>
      </c>
      <c r="J282" s="20" t="s">
        <v>1721</v>
      </c>
      <c r="K282" s="10">
        <f>IFERROR(VLOOKUP(BD_DETALLE!B282,Tabla9[],7,0),"")</f>
        <v>44281</v>
      </c>
      <c r="L282" s="11">
        <f>IFERROR(VLOOKUP(BD_DETALLE!B282,Tabla9[],8,0),"")</f>
        <v>52288</v>
      </c>
      <c r="M282" s="9">
        <f>IFERROR(SUMIFS(Tabla9[CANTIDAD2],Tabla9[BUSQUEDA],Tabla3[[#This Row],[BUSQUEDA]],Tabla9[CODIGO],Tabla3[[#This Row],[CODIGO]],Tabla9[ORDEN No.],Tabla3[[#This Row],[ORDEN de COMPRA]]),0)</f>
        <v>10</v>
      </c>
      <c r="N282" s="27">
        <f>IFERROR(IF(BD_DETALLE!B282&gt;0,VLOOKUP(BD_DETALLE!B282,Tabla9[],10,0),""),"")</f>
        <v>0</v>
      </c>
      <c r="O282" s="28">
        <f>IFERROR(VLOOKUP(BD_DETALLE!B282,Tabla9[],11,0),0)</f>
        <v>0</v>
      </c>
      <c r="P282" s="26">
        <f>IFERROR(SUMIFS(Tabla9[CANTIDAD3],Tabla9[BUSQUEDA],Tabla3[[#This Row],[BUSQUEDA]],Tabla9[CODIGO],Tabla3[[#This Row],[CODIGO]]),0)</f>
        <v>0</v>
      </c>
      <c r="Q282" s="25">
        <f>IF(BD_DETALLE!P282&lt;=0,0,IF(BD_DETALLE!P282=BD_DETALLE!H282,2,1))</f>
        <v>0</v>
      </c>
      <c r="R282" s="41">
        <f ca="1">IF(BD_DETALLE!$C282&gt;0,(IF(BD_DETALLE!$N282=0,TODAY()-BD_DETALLE!$C282,BD_DETALLE!$N282-BD_DETALLE!$C282)),"")</f>
        <v>56</v>
      </c>
    </row>
    <row r="283" spans="2:18" x14ac:dyDescent="0.25">
      <c r="B283" s="145" t="str">
        <f t="shared" si="34"/>
        <v>2102-175-320830</v>
      </c>
      <c r="C283" s="146">
        <v>44249</v>
      </c>
      <c r="D283" s="147" t="str">
        <f>IF(BD_DETALLE!$E283&gt;=1,CONCATENATE(TEXT(BD_DETALLE!$C283,"YY"),TEXT(BD_DETALLE!$C283,"MM"),"-",BD_DETALLE!$E283),"")</f>
        <v>2102-175</v>
      </c>
      <c r="E283" s="148">
        <v>175</v>
      </c>
      <c r="F283" s="149">
        <v>320830</v>
      </c>
      <c r="G283" s="150" t="str">
        <f>IFERROR(VLOOKUP(BD_DETALLE!$B283,Tabla9[],6,0),"")</f>
        <v>CABLE CONECTOR HEMBRA RECTO M12 5HILOS 2M</v>
      </c>
      <c r="H283" s="151">
        <f>IFERROR(VLOOKUP(BD_DETALLE!$B283,Tabla9[],4,0),0)</f>
        <v>2</v>
      </c>
      <c r="I283" s="152" t="s">
        <v>20</v>
      </c>
      <c r="J283" s="20" t="s">
        <v>1721</v>
      </c>
      <c r="K283" s="10">
        <f>IFERROR(VLOOKUP(BD_DETALLE!B283,Tabla9[],7,0),"")</f>
        <v>44281</v>
      </c>
      <c r="L283" s="11">
        <f>IFERROR(VLOOKUP(BD_DETALLE!B283,Tabla9[],8,0),"")</f>
        <v>52288</v>
      </c>
      <c r="M283" s="9">
        <f>IFERROR(SUMIFS(Tabla9[CANTIDAD2],Tabla9[BUSQUEDA],Tabla3[[#This Row],[BUSQUEDA]],Tabla9[CODIGO],Tabla3[[#This Row],[CODIGO]],Tabla9[ORDEN No.],Tabla3[[#This Row],[ORDEN de COMPRA]]),0)</f>
        <v>2</v>
      </c>
      <c r="N283" s="27">
        <f>IFERROR(IF(BD_DETALLE!B283&gt;0,VLOOKUP(BD_DETALLE!B283,Tabla9[],10,0),""),"")</f>
        <v>0</v>
      </c>
      <c r="O283" s="28">
        <f>IFERROR(VLOOKUP(BD_DETALLE!B283,Tabla9[],11,0),0)</f>
        <v>0</v>
      </c>
      <c r="P283" s="26">
        <f>IFERROR(SUMIFS(Tabla9[CANTIDAD3],Tabla9[BUSQUEDA],Tabla3[[#This Row],[BUSQUEDA]],Tabla9[CODIGO],Tabla3[[#This Row],[CODIGO]]),0)</f>
        <v>0</v>
      </c>
      <c r="Q283" s="25">
        <f>IF(BD_DETALLE!P283&lt;=0,0,IF(BD_DETALLE!P283=BD_DETALLE!H283,2,1))</f>
        <v>0</v>
      </c>
      <c r="R283" s="41">
        <f ca="1">IF(BD_DETALLE!$C283&gt;0,(IF(BD_DETALLE!$N283=0,TODAY()-BD_DETALLE!$C283,BD_DETALLE!$N283-BD_DETALLE!$C283)),"")</f>
        <v>56</v>
      </c>
    </row>
    <row r="284" spans="2:18" x14ac:dyDescent="0.25">
      <c r="B284" s="145" t="str">
        <f t="shared" si="34"/>
        <v>2102-175-320831</v>
      </c>
      <c r="C284" s="146">
        <v>44249</v>
      </c>
      <c r="D284" s="147" t="str">
        <f>IF(BD_DETALLE!$E284&gt;=1,CONCATENATE(TEXT(BD_DETALLE!$C284,"YY"),TEXT(BD_DETALLE!$C284,"MM"),"-",BD_DETALLE!$E284),"")</f>
        <v>2102-175</v>
      </c>
      <c r="E284" s="148">
        <v>175</v>
      </c>
      <c r="F284" s="149">
        <v>320831</v>
      </c>
      <c r="G284" s="150" t="str">
        <f>IFERROR(VLOOKUP(BD_DETALLE!$B284,Tabla9[],6,0),"")</f>
        <v>CONECTOR MACHO RECTO M12 4 POLOS D-CODE IP67</v>
      </c>
      <c r="H284" s="151">
        <f>IFERROR(VLOOKUP(BD_DETALLE!$B284,Tabla9[],4,0),0)</f>
        <v>5</v>
      </c>
      <c r="I284" s="152" t="s">
        <v>20</v>
      </c>
      <c r="J284" s="20" t="s">
        <v>1721</v>
      </c>
      <c r="K284" s="10">
        <f>IFERROR(VLOOKUP(BD_DETALLE!B284,Tabla9[],7,0),"")</f>
        <v>44281</v>
      </c>
      <c r="L284" s="11">
        <f>IFERROR(VLOOKUP(BD_DETALLE!B284,Tabla9[],8,0),"")</f>
        <v>52288</v>
      </c>
      <c r="M284" s="9">
        <f>IFERROR(SUMIFS(Tabla9[CANTIDAD2],Tabla9[BUSQUEDA],Tabla3[[#This Row],[BUSQUEDA]],Tabla9[CODIGO],Tabla3[[#This Row],[CODIGO]],Tabla9[ORDEN No.],Tabla3[[#This Row],[ORDEN de COMPRA]]),0)</f>
        <v>5</v>
      </c>
      <c r="N284" s="27">
        <f>IFERROR(IF(BD_DETALLE!B284&gt;0,VLOOKUP(BD_DETALLE!B284,Tabla9[],10,0),""),"")</f>
        <v>0</v>
      </c>
      <c r="O284" s="28">
        <f>IFERROR(VLOOKUP(BD_DETALLE!B284,Tabla9[],11,0),0)</f>
        <v>0</v>
      </c>
      <c r="P284" s="26">
        <f>IFERROR(SUMIFS(Tabla9[CANTIDAD3],Tabla9[BUSQUEDA],Tabla3[[#This Row],[BUSQUEDA]],Tabla9[CODIGO],Tabla3[[#This Row],[CODIGO]]),0)</f>
        <v>0</v>
      </c>
      <c r="Q284" s="25">
        <f>IF(BD_DETALLE!P284&lt;=0,0,IF(BD_DETALLE!P284=BD_DETALLE!H284,2,1))</f>
        <v>0</v>
      </c>
      <c r="R284" s="41">
        <f ca="1">IF(BD_DETALLE!$C284&gt;0,(IF(BD_DETALLE!$N284=0,TODAY()-BD_DETALLE!$C284,BD_DETALLE!$N284-BD_DETALLE!$C284)),"")</f>
        <v>56</v>
      </c>
    </row>
    <row r="285" spans="2:18" x14ac:dyDescent="0.25">
      <c r="B285" s="145" t="str">
        <f t="shared" si="34"/>
        <v>2102-175-320832</v>
      </c>
      <c r="C285" s="146">
        <v>44249</v>
      </c>
      <c r="D285" s="147" t="str">
        <f>IF(BD_DETALLE!$E285&gt;=1,CONCATENATE(TEXT(BD_DETALLE!$C285,"YY"),TEXT(BD_DETALLE!$C285,"MM"),"-",BD_DETALLE!$E285),"")</f>
        <v>2102-175</v>
      </c>
      <c r="E285" s="148">
        <v>175</v>
      </c>
      <c r="F285" s="149">
        <v>320832</v>
      </c>
      <c r="G285" s="150" t="str">
        <f>IFERROR(VLOOKUP(BD_DETALLE!$B285,Tabla9[],6,0),"")</f>
        <v>SENSOR DE PRESION DISPLAY 50-1000 MBAR G1A ASEPTOFLEXPNP/NPN 1XNA/NC + 1 ANALOGA CONEXIËN M12X4 PIN</v>
      </c>
      <c r="H285" s="151">
        <f>IFERROR(VLOOKUP(BD_DETALLE!$B285,Tabla9[],4,0),0)</f>
        <v>4</v>
      </c>
      <c r="I285" s="152" t="s">
        <v>20</v>
      </c>
      <c r="J285" s="20" t="s">
        <v>1721</v>
      </c>
      <c r="K285" s="10">
        <f>IFERROR(VLOOKUP(BD_DETALLE!B285,Tabla9[],7,0),"")</f>
        <v>44281</v>
      </c>
      <c r="L285" s="11">
        <f>IFERROR(VLOOKUP(BD_DETALLE!B285,Tabla9[],8,0),"")</f>
        <v>52288</v>
      </c>
      <c r="M285" s="9">
        <f>IFERROR(SUMIFS(Tabla9[CANTIDAD2],Tabla9[BUSQUEDA],Tabla3[[#This Row],[BUSQUEDA]],Tabla9[CODIGO],Tabla3[[#This Row],[CODIGO]],Tabla9[ORDEN No.],Tabla3[[#This Row],[ORDEN de COMPRA]]),0)</f>
        <v>4</v>
      </c>
      <c r="N285" s="27">
        <f>IFERROR(IF(BD_DETALLE!B285&gt;0,VLOOKUP(BD_DETALLE!B285,Tabla9[],10,0),""),"")</f>
        <v>0</v>
      </c>
      <c r="O285" s="28">
        <f>IFERROR(VLOOKUP(BD_DETALLE!B285,Tabla9[],11,0),0)</f>
        <v>0</v>
      </c>
      <c r="P285" s="26">
        <f>IFERROR(SUMIFS(Tabla9[CANTIDAD3],Tabla9[BUSQUEDA],Tabla3[[#This Row],[BUSQUEDA]],Tabla9[CODIGO],Tabla3[[#This Row],[CODIGO]]),0)</f>
        <v>0</v>
      </c>
      <c r="Q285" s="25">
        <f>IF(BD_DETALLE!P285&lt;=0,0,IF(BD_DETALLE!P285=BD_DETALLE!H285,2,1))</f>
        <v>0</v>
      </c>
      <c r="R285" s="41">
        <f ca="1">IF(BD_DETALLE!$C285&gt;0,(IF(BD_DETALLE!$N285=0,TODAY()-BD_DETALLE!$C285,BD_DETALLE!$N285-BD_DETALLE!$C285)),"")</f>
        <v>56</v>
      </c>
    </row>
    <row r="286" spans="2:18" x14ac:dyDescent="0.25">
      <c r="B286" s="145" t="str">
        <f t="shared" si="34"/>
        <v>2102-175-320833</v>
      </c>
      <c r="C286" s="146">
        <v>44249</v>
      </c>
      <c r="D286" s="147" t="str">
        <f>IF(BD_DETALLE!$E286&gt;=1,CONCATENATE(TEXT(BD_DETALLE!$C286,"YY"),TEXT(BD_DETALLE!$C286,"MM"),"-",BD_DETALLE!$E286),"")</f>
        <v>2102-175</v>
      </c>
      <c r="E286" s="148">
        <v>175</v>
      </c>
      <c r="F286" s="149">
        <v>320833</v>
      </c>
      <c r="G286" s="150" t="str">
        <f>IFERROR(VLOOKUP(BD_DETALLE!$B286,Tabla9[],6,0),"")</f>
        <v>ADAPTADOR PARA SOLDAR INOX. D60/G1</v>
      </c>
      <c r="H286" s="151">
        <f>IFERROR(VLOOKUP(BD_DETALLE!$B286,Tabla9[],4,0),0)</f>
        <v>4</v>
      </c>
      <c r="I286" s="152" t="s">
        <v>20</v>
      </c>
      <c r="J286" s="20" t="s">
        <v>1721</v>
      </c>
      <c r="K286" s="10">
        <f>IFERROR(VLOOKUP(BD_DETALLE!B286,Tabla9[],7,0),"")</f>
        <v>44281</v>
      </c>
      <c r="L286" s="11">
        <f>IFERROR(VLOOKUP(BD_DETALLE!B286,Tabla9[],8,0),"")</f>
        <v>52288</v>
      </c>
      <c r="M286" s="9">
        <f>IFERROR(SUMIFS(Tabla9[CANTIDAD2],Tabla9[BUSQUEDA],Tabla3[[#This Row],[BUSQUEDA]],Tabla9[CODIGO],Tabla3[[#This Row],[CODIGO]],Tabla9[ORDEN No.],Tabla3[[#This Row],[ORDEN de COMPRA]]),0)</f>
        <v>4</v>
      </c>
      <c r="N286" s="27">
        <f>IFERROR(IF(BD_DETALLE!B286&gt;0,VLOOKUP(BD_DETALLE!B286,Tabla9[],10,0),""),"")</f>
        <v>0</v>
      </c>
      <c r="O286" s="28">
        <f>IFERROR(VLOOKUP(BD_DETALLE!B286,Tabla9[],11,0),0)</f>
        <v>0</v>
      </c>
      <c r="P286" s="26">
        <f>IFERROR(SUMIFS(Tabla9[CANTIDAD3],Tabla9[BUSQUEDA],Tabla3[[#This Row],[BUSQUEDA]],Tabla9[CODIGO],Tabla3[[#This Row],[CODIGO]]),0)</f>
        <v>0</v>
      </c>
      <c r="Q286" s="25">
        <f>IF(BD_DETALLE!P286&lt;=0,0,IF(BD_DETALLE!P286=BD_DETALLE!H286,2,1))</f>
        <v>0</v>
      </c>
      <c r="R286" s="41">
        <f ca="1">IF(BD_DETALLE!$C286&gt;0,(IF(BD_DETALLE!$N286=0,TODAY()-BD_DETALLE!$C286,BD_DETALLE!$N286-BD_DETALLE!$C286)),"")</f>
        <v>56</v>
      </c>
    </row>
    <row r="287" spans="2:18" x14ac:dyDescent="0.25">
      <c r="B287" s="145" t="str">
        <f t="shared" si="34"/>
        <v>2102-175-320834</v>
      </c>
      <c r="C287" s="146">
        <v>44249</v>
      </c>
      <c r="D287" s="147" t="str">
        <f>IF(BD_DETALLE!$E287&gt;=1,CONCATENATE(TEXT(BD_DETALLE!$C287,"YY"),TEXT(BD_DETALLE!$C287,"MM"),"-",BD_DETALLE!$E287),"")</f>
        <v>2102-175</v>
      </c>
      <c r="E287" s="148">
        <v>175</v>
      </c>
      <c r="F287" s="149">
        <v>320834</v>
      </c>
      <c r="G287" s="150" t="str">
        <f>IFERROR(VLOOKUP(BD_DETALLE!$B287,Tabla9[],6,0),"")</f>
        <v>MODULO DE ENTRADA Y SALIDA DIGITAL 6ES7223 1PL32 OXBO</v>
      </c>
      <c r="H287" s="151">
        <f>IFERROR(VLOOKUP(BD_DETALLE!$B287,Tabla9[],4,0),0)</f>
        <v>2</v>
      </c>
      <c r="I287" s="152" t="s">
        <v>20</v>
      </c>
      <c r="J287" s="20" t="s">
        <v>1721</v>
      </c>
      <c r="K287" s="10">
        <f>IFERROR(VLOOKUP(BD_DETALLE!B287,Tabla9[],7,0),"")</f>
        <v>44281</v>
      </c>
      <c r="L287" s="11">
        <f>IFERROR(VLOOKUP(BD_DETALLE!B287,Tabla9[],8,0),"")</f>
        <v>52289</v>
      </c>
      <c r="M287" s="9">
        <f>IFERROR(SUMIFS(Tabla9[CANTIDAD2],Tabla9[BUSQUEDA],Tabla3[[#This Row],[BUSQUEDA]],Tabla9[CODIGO],Tabla3[[#This Row],[CODIGO]],Tabla9[ORDEN No.],Tabla3[[#This Row],[ORDEN de COMPRA]]),0)</f>
        <v>2</v>
      </c>
      <c r="N287" s="27">
        <f>IFERROR(IF(BD_DETALLE!B287&gt;0,VLOOKUP(BD_DETALLE!B287,Tabla9[],10,0),""),"")</f>
        <v>44292</v>
      </c>
      <c r="O287" s="28">
        <f>IFERROR(VLOOKUP(BD_DETALLE!B287,Tabla9[],11,0),0)</f>
        <v>11712</v>
      </c>
      <c r="P287" s="26">
        <f>IFERROR(SUMIFS(Tabla9[CANTIDAD3],Tabla9[BUSQUEDA],Tabla3[[#This Row],[BUSQUEDA]],Tabla9[CODIGO],Tabla3[[#This Row],[CODIGO]]),0)</f>
        <v>2</v>
      </c>
      <c r="Q287" s="25">
        <f>IF(BD_DETALLE!P287&lt;=0,0,IF(BD_DETALLE!P287=BD_DETALLE!H287,2,1))</f>
        <v>2</v>
      </c>
      <c r="R287" s="41">
        <f ca="1">IF(BD_DETALLE!$C287&gt;0,(IF(BD_DETALLE!$N287=0,TODAY()-BD_DETALLE!$C287,BD_DETALLE!$N287-BD_DETALLE!$C287)),"")</f>
        <v>43</v>
      </c>
    </row>
    <row r="288" spans="2:18" x14ac:dyDescent="0.25">
      <c r="B288" s="145" t="str">
        <f t="shared" si="34"/>
        <v>2102-175-314116</v>
      </c>
      <c r="C288" s="146">
        <v>44249</v>
      </c>
      <c r="D288" s="147" t="str">
        <f>IF(BD_DETALLE!$E288&gt;=1,CONCATENATE(TEXT(BD_DETALLE!$C288,"YY"),TEXT(BD_DETALLE!$C288,"MM"),"-",BD_DETALLE!$E288),"")</f>
        <v>2102-175</v>
      </c>
      <c r="E288" s="148">
        <v>175</v>
      </c>
      <c r="F288" s="149">
        <v>314116</v>
      </c>
      <c r="G288" s="150" t="str">
        <f>IFERROR(VLOOKUP(BD_DETALLE!$B288,Tabla9[],6,0),"")</f>
        <v>MODULO SEÐAL ENTRADA 6ES7231-4HF32-OXBO ANALOGICO</v>
      </c>
      <c r="H288" s="151">
        <f>IFERROR(VLOOKUP(BD_DETALLE!$B288,Tabla9[],4,0),0)</f>
        <v>2</v>
      </c>
      <c r="I288" s="152" t="s">
        <v>20</v>
      </c>
      <c r="J288" s="20" t="s">
        <v>1721</v>
      </c>
      <c r="K288" s="10">
        <f>IFERROR(VLOOKUP(BD_DETALLE!B288,Tabla9[],7,0),"")</f>
        <v>44281</v>
      </c>
      <c r="L288" s="11">
        <f>IFERROR(VLOOKUP(BD_DETALLE!B288,Tabla9[],8,0),"")</f>
        <v>52289</v>
      </c>
      <c r="M288" s="9">
        <f>IFERROR(SUMIFS(Tabla9[CANTIDAD2],Tabla9[BUSQUEDA],Tabla3[[#This Row],[BUSQUEDA]],Tabla9[CODIGO],Tabla3[[#This Row],[CODIGO]],Tabla9[ORDEN No.],Tabla3[[#This Row],[ORDEN de COMPRA]]),0)</f>
        <v>2</v>
      </c>
      <c r="N288" s="27">
        <f>IFERROR(IF(BD_DETALLE!B288&gt;0,VLOOKUP(BD_DETALLE!B288,Tabla9[],10,0),""),"")</f>
        <v>44292</v>
      </c>
      <c r="O288" s="28">
        <f>IFERROR(VLOOKUP(BD_DETALLE!B288,Tabla9[],11,0),0)</f>
        <v>11712</v>
      </c>
      <c r="P288" s="26">
        <f>IFERROR(SUMIFS(Tabla9[CANTIDAD3],Tabla9[BUSQUEDA],Tabla3[[#This Row],[BUSQUEDA]],Tabla9[CODIGO],Tabla3[[#This Row],[CODIGO]]),0)</f>
        <v>2</v>
      </c>
      <c r="Q288" s="25">
        <f>IF(BD_DETALLE!P288&lt;=0,0,IF(BD_DETALLE!P288=BD_DETALLE!H288,2,1))</f>
        <v>2</v>
      </c>
      <c r="R288" s="41">
        <f ca="1">IF(BD_DETALLE!$C288&gt;0,(IF(BD_DETALLE!$N288=0,TODAY()-BD_DETALLE!$C288,BD_DETALLE!$N288-BD_DETALLE!$C288)),"")</f>
        <v>43</v>
      </c>
    </row>
    <row r="289" spans="2:18" x14ac:dyDescent="0.25">
      <c r="B289" s="154" t="str">
        <f t="shared" si="34"/>
        <v>2102-175-314082</v>
      </c>
      <c r="C289" s="155">
        <v>44249</v>
      </c>
      <c r="D289" s="156" t="str">
        <f>IF(BD_DETALLE!$E289&gt;=1,CONCATENATE(TEXT(BD_DETALLE!$C289,"YY"),TEXT(BD_DETALLE!$C289,"MM"),"-",BD_DETALLE!$E289),"")</f>
        <v>2102-175</v>
      </c>
      <c r="E289" s="157">
        <v>175</v>
      </c>
      <c r="F289" s="158">
        <v>314082</v>
      </c>
      <c r="G289" s="159" t="str">
        <f>IFERROR(VLOOKUP(BD_DETALLE!$B289,Tabla9[],6,0),"")</f>
        <v>RELE ENTRADA  3RQ3038-1AF01</v>
      </c>
      <c r="H289" s="160">
        <f>IFERROR(VLOOKUP(BD_DETALLE!$B289,Tabla9[],4,0),0)</f>
        <v>80</v>
      </c>
      <c r="I289" s="152" t="s">
        <v>20</v>
      </c>
      <c r="J289" s="20" t="s">
        <v>1721</v>
      </c>
      <c r="K289" s="10">
        <f>IFERROR(VLOOKUP(BD_DETALLE!B289,Tabla9[],7,0),"")</f>
        <v>44281</v>
      </c>
      <c r="L289" s="11">
        <f>IFERROR(VLOOKUP(BD_DETALLE!B289,Tabla9[],8,0),"")</f>
        <v>52289</v>
      </c>
      <c r="M289" s="9">
        <f>IFERROR(SUMIFS(Tabla9[CANTIDAD2],Tabla9[BUSQUEDA],Tabla3[[#This Row],[BUSQUEDA]],Tabla9[CODIGO],Tabla3[[#This Row],[CODIGO]],Tabla9[ORDEN No.],Tabla3[[#This Row],[ORDEN de COMPRA]]),0)</f>
        <v>80</v>
      </c>
      <c r="N289" s="27">
        <f>IFERROR(IF(BD_DETALLE!B289&gt;0,VLOOKUP(BD_DETALLE!B289,Tabla9[],10,0),""),"")</f>
        <v>44292</v>
      </c>
      <c r="O289" s="28">
        <f>IFERROR(VLOOKUP(BD_DETALLE!B289,Tabla9[],11,0),0)</f>
        <v>11712</v>
      </c>
      <c r="P289" s="26">
        <f>IFERROR(SUMIFS(Tabla9[CANTIDAD3],Tabla9[BUSQUEDA],Tabla3[[#This Row],[BUSQUEDA]],Tabla9[CODIGO],Tabla3[[#This Row],[CODIGO]]),0)</f>
        <v>75</v>
      </c>
      <c r="Q289" s="25">
        <f>IF(BD_DETALLE!P289&lt;=0,0,IF(BD_DETALLE!P289=BD_DETALLE!H289,2,1))</f>
        <v>1</v>
      </c>
      <c r="R289" s="41">
        <f ca="1">IF(BD_DETALLE!$C289&gt;0,(IF(BD_DETALLE!$N289=0,TODAY()-BD_DETALLE!$C289,BD_DETALLE!$N289-BD_DETALLE!$C289)),"")</f>
        <v>43</v>
      </c>
    </row>
    <row r="290" spans="2:18" x14ac:dyDescent="0.25">
      <c r="B290" s="15" t="str">
        <f t="shared" ref="B290:B291" si="35">IFERROR(TEXT(C290,"yy") &amp; TEXT(C290,"mm") &amp;"-"&amp;(E290) &amp;"-"&amp;(F290),"")</f>
        <v>2102-187-309654</v>
      </c>
      <c r="C290" s="7">
        <v>44250</v>
      </c>
      <c r="D290" s="5" t="str">
        <f>IF(BD_DETALLE!$E290&gt;=1,CONCATENATE(TEXT(BD_DETALLE!$C290,"YY"),TEXT(BD_DETALLE!$C290,"MM"),"-",BD_DETALLE!$E290),"")</f>
        <v>2102-187</v>
      </c>
      <c r="E290" s="12">
        <v>187</v>
      </c>
      <c r="F290" s="21">
        <v>309654</v>
      </c>
      <c r="G290" s="4" t="str">
        <f>IFERROR(VLOOKUP(BD_DETALLE!$B290,Tabla9[],6,0),"")</f>
        <v>CARBONES DE JUNTAS JONSON</v>
      </c>
      <c r="H290" s="6">
        <f>IFERROR(VLOOKUP(BD_DETALLE!$B290,Tabla9[],4,0),0)</f>
        <v>12</v>
      </c>
      <c r="I290" s="19" t="s">
        <v>19</v>
      </c>
      <c r="J290" s="20" t="s">
        <v>1715</v>
      </c>
      <c r="K290" s="10">
        <f>IFERROR(VLOOKUP(BD_DETALLE!B290,Tabla9[],7,0),"")</f>
        <v>0</v>
      </c>
      <c r="L290" s="11">
        <f>IFERROR(VLOOKUP(BD_DETALLE!B290,Tabla9[],8,0),"")</f>
        <v>0</v>
      </c>
      <c r="M290" s="9">
        <f>IFERROR(SUMIFS(Tabla9[CANTIDAD2],Tabla9[BUSQUEDA],Tabla3[[#This Row],[BUSQUEDA]],Tabla9[CODIGO],Tabla3[[#This Row],[CODIGO]],Tabla9[ORDEN No.],Tabla3[[#This Row],[ORDEN de COMPRA]]),0)</f>
        <v>0</v>
      </c>
      <c r="N290" s="27">
        <f>IFERROR(IF(BD_DETALLE!B290&gt;0,VLOOKUP(BD_DETALLE!B290,Tabla9[],10,0),""),"")</f>
        <v>0</v>
      </c>
      <c r="O290" s="28">
        <f>IFERROR(VLOOKUP(BD_DETALLE!B290,Tabla9[],11,0),0)</f>
        <v>0</v>
      </c>
      <c r="P290" s="26">
        <f>IFERROR(SUMIFS(Tabla9[CANTIDAD3],Tabla9[BUSQUEDA],Tabla3[[#This Row],[BUSQUEDA]],Tabla9[CODIGO],Tabla3[[#This Row],[CODIGO]]),0)</f>
        <v>0</v>
      </c>
      <c r="Q290" s="25">
        <f>IF(BD_DETALLE!P290&lt;=0,0,IF(BD_DETALLE!P290=BD_DETALLE!H290,2,1))</f>
        <v>0</v>
      </c>
      <c r="R290" s="41">
        <f ca="1">IF(BD_DETALLE!$C290&gt;0,(IF(BD_DETALLE!$N290=0,TODAY()-BD_DETALLE!$C290,BD_DETALLE!$N290-BD_DETALLE!$C290)),"")</f>
        <v>55</v>
      </c>
    </row>
    <row r="291" spans="2:18" x14ac:dyDescent="0.25">
      <c r="B291" s="15" t="str">
        <f t="shared" si="35"/>
        <v>2102-188-305064</v>
      </c>
      <c r="C291" s="7">
        <v>44250</v>
      </c>
      <c r="D291" s="5" t="str">
        <f>IF(BD_DETALLE!$E291&gt;=1,CONCATENATE(TEXT(BD_DETALLE!$C291,"YY"),TEXT(BD_DETALLE!$C291,"MM"),"-",BD_DETALLE!$E291),"")</f>
        <v>2102-188</v>
      </c>
      <c r="E291" s="12">
        <v>188</v>
      </c>
      <c r="F291" s="21">
        <v>305064</v>
      </c>
      <c r="G291" s="4" t="str">
        <f>IFERROR(VLOOKUP(BD_DETALLE!$B291,Tabla9[],6,0),"")</f>
        <v>VALVULA BRONCE A/RAPIDA DE 3"</v>
      </c>
      <c r="H291" s="6">
        <f>IFERROR(VLOOKUP(BD_DETALLE!$B291,Tabla9[],4,0),0)</f>
        <v>3</v>
      </c>
      <c r="I291" s="19" t="s">
        <v>1</v>
      </c>
      <c r="J291" s="20" t="s">
        <v>1753</v>
      </c>
      <c r="K291" s="10">
        <f>IFERROR(VLOOKUP(BD_DETALLE!B291,Tabla9[],7,0),"")</f>
        <v>0</v>
      </c>
      <c r="L291" s="11">
        <f>IFERROR(VLOOKUP(BD_DETALLE!B291,Tabla9[],8,0),"")</f>
        <v>0</v>
      </c>
      <c r="M291" s="9">
        <f>IFERROR(SUMIFS(Tabla9[CANTIDAD2],Tabla9[BUSQUEDA],Tabla3[[#This Row],[BUSQUEDA]],Tabla9[CODIGO],Tabla3[[#This Row],[CODIGO]],Tabla9[ORDEN No.],Tabla3[[#This Row],[ORDEN de COMPRA]]),0)</f>
        <v>0</v>
      </c>
      <c r="N291" s="27">
        <f>IFERROR(IF(BD_DETALLE!B291&gt;0,VLOOKUP(BD_DETALLE!B291,Tabla9[],10,0),""),"")</f>
        <v>0</v>
      </c>
      <c r="O291" s="28">
        <f>IFERROR(VLOOKUP(BD_DETALLE!B291,Tabla9[],11,0),0)</f>
        <v>0</v>
      </c>
      <c r="P291" s="26">
        <f>IFERROR(SUMIFS(Tabla9[CANTIDAD3],Tabla9[BUSQUEDA],Tabla3[[#This Row],[BUSQUEDA]],Tabla9[CODIGO],Tabla3[[#This Row],[CODIGO]]),0)</f>
        <v>0</v>
      </c>
      <c r="Q291" s="25">
        <f>IF(BD_DETALLE!P291&lt;=0,0,IF(BD_DETALLE!P291=BD_DETALLE!H291,2,1))</f>
        <v>0</v>
      </c>
      <c r="R291" s="41">
        <f ca="1">IF(BD_DETALLE!$C291&gt;0,(IF(BD_DETALLE!$N291=0,TODAY()-BD_DETALLE!$C291,BD_DETALLE!$N291-BD_DETALLE!$C291)),"")</f>
        <v>55</v>
      </c>
    </row>
    <row r="292" spans="2:18" x14ac:dyDescent="0.25">
      <c r="B292" s="17" t="str">
        <f t="shared" ref="B292" si="36">IFERROR(TEXT(C292,"yy") &amp; TEXT(C292,"mm") &amp;"-"&amp;(E292) &amp;"-"&amp;(F292),"")</f>
        <v>2102-206-304492</v>
      </c>
      <c r="C292" s="8">
        <v>44250</v>
      </c>
      <c r="D292" s="37" t="str">
        <f>IF(BD_DETALLE!$E292&gt;=1,CONCATENATE(TEXT(BD_DETALLE!$C292,"YY"),TEXT(BD_DETALLE!$C292,"MM"),"-",BD_DETALLE!$E292),"")</f>
        <v>2102-206</v>
      </c>
      <c r="E292" s="22">
        <v>206</v>
      </c>
      <c r="F292" s="23">
        <v>304492</v>
      </c>
      <c r="G292" s="38" t="str">
        <f>IFERROR(VLOOKUP(BD_DETALLE!$B292,Tabla9[],6,0),"")</f>
        <v>BANDA 3VX 560 LISA</v>
      </c>
      <c r="H292" s="39">
        <f>IFERROR(VLOOKUP(BD_DETALLE!$B292,Tabla9[],4,0),0)</f>
        <v>6</v>
      </c>
      <c r="I292" s="196" t="s">
        <v>15</v>
      </c>
      <c r="J292" s="197" t="s">
        <v>385</v>
      </c>
      <c r="K292" s="10">
        <f>IFERROR(VLOOKUP(BD_DETALLE!B292,Tabla9[],7,0),"")</f>
        <v>0</v>
      </c>
      <c r="L292" s="11">
        <f>IFERROR(VLOOKUP(BD_DETALLE!B292,Tabla9[],8,0),"")</f>
        <v>0</v>
      </c>
      <c r="M292" s="9">
        <f>IFERROR(SUMIFS(Tabla9[CANTIDAD2],Tabla9[BUSQUEDA],Tabla3[[#This Row],[BUSQUEDA]],Tabla9[CODIGO],Tabla3[[#This Row],[CODIGO]],Tabla9[ORDEN No.],Tabla3[[#This Row],[ORDEN de COMPRA]]),0)</f>
        <v>0</v>
      </c>
      <c r="N292" s="27">
        <f>IFERROR(IF(BD_DETALLE!B292&gt;0,VLOOKUP(BD_DETALLE!B292,Tabla9[],10,0),""),"")</f>
        <v>0</v>
      </c>
      <c r="O292" s="28">
        <f>IFERROR(VLOOKUP(BD_DETALLE!B292,Tabla9[],11,0),0)</f>
        <v>0</v>
      </c>
      <c r="P292" s="26">
        <f>IFERROR(SUMIFS(Tabla9[CANTIDAD3],Tabla9[BUSQUEDA],Tabla3[[#This Row],[BUSQUEDA]],Tabla9[CODIGO],Tabla3[[#This Row],[CODIGO]]),0)</f>
        <v>0</v>
      </c>
      <c r="Q292" s="25">
        <f>IF(BD_DETALLE!P292&lt;=0,0,IF(BD_DETALLE!P292=BD_DETALLE!H292,2,1))</f>
        <v>0</v>
      </c>
      <c r="R292" s="41">
        <f ca="1">IF(BD_DETALLE!$C292&gt;0,(IF(BD_DETALLE!$N292=0,TODAY()-BD_DETALLE!$C292,BD_DETALLE!$N292-BD_DETALLE!$C292)),"")</f>
        <v>55</v>
      </c>
    </row>
    <row r="293" spans="2:18" x14ac:dyDescent="0.25">
      <c r="B293" s="15" t="str">
        <f t="shared" ref="B293:B306" si="37">IFERROR(TEXT(C293,"yy") &amp; TEXT(C293,"mm") &amp;"-"&amp;(E293) &amp;"-"&amp;(F293),"")</f>
        <v>2102-209-320072</v>
      </c>
      <c r="C293" s="7">
        <v>44250</v>
      </c>
      <c r="D293" s="5" t="str">
        <f>IF(BD_DETALLE!$E293&gt;=1,CONCATENATE(TEXT(BD_DETALLE!$C293,"YY"),TEXT(BD_DETALLE!$C293,"MM"),"-",BD_DETALLE!$E293),"")</f>
        <v>2102-209</v>
      </c>
      <c r="E293" s="12">
        <v>209</v>
      </c>
      <c r="F293" s="21">
        <v>320072</v>
      </c>
      <c r="G293" s="4" t="str">
        <f>IFERROR(VLOOKUP(BD_DETALLE!$B293,Tabla9[],6,0),"")</f>
        <v>MASCARILLA REUTILIZABLE (AZUL)</v>
      </c>
      <c r="H293" s="6">
        <f>IFERROR(VLOOKUP(BD_DETALLE!$B293,Tabla9[],4,0),0)</f>
        <v>200</v>
      </c>
      <c r="I293" s="196" t="s">
        <v>15</v>
      </c>
      <c r="J293" s="197" t="s">
        <v>385</v>
      </c>
      <c r="K293" s="10">
        <f>IFERROR(VLOOKUP(BD_DETALLE!B293,Tabla9[],7,0),"")</f>
        <v>44257</v>
      </c>
      <c r="L293" s="11">
        <f>IFERROR(VLOOKUP(BD_DETALLE!B293,Tabla9[],8,0),"")</f>
        <v>51917</v>
      </c>
      <c r="M293" s="9">
        <f>IFERROR(SUMIFS(Tabla9[CANTIDAD2],Tabla9[BUSQUEDA],Tabla3[[#This Row],[BUSQUEDA]],Tabla9[CODIGO],Tabla3[[#This Row],[CODIGO]],Tabla9[ORDEN No.],Tabla3[[#This Row],[ORDEN de COMPRA]]),0)</f>
        <v>200</v>
      </c>
      <c r="N293" s="27">
        <f>IFERROR(IF(BD_DETALLE!B293&gt;0,VLOOKUP(BD_DETALLE!B293,Tabla9[],10,0),""),"")</f>
        <v>44301</v>
      </c>
      <c r="O293" s="28">
        <f>IFERROR(VLOOKUP(BD_DETALLE!B293,Tabla9[],11,0),0)</f>
        <v>11843</v>
      </c>
      <c r="P293" s="26">
        <f>IFERROR(SUMIFS(Tabla9[CANTIDAD3],Tabla9[BUSQUEDA],Tabla3[[#This Row],[BUSQUEDA]],Tabla9[CODIGO],Tabla3[[#This Row],[CODIGO]]),0)</f>
        <v>200</v>
      </c>
      <c r="Q293" s="25">
        <f>IF(BD_DETALLE!P293&lt;=0,0,IF(BD_DETALLE!P293=BD_DETALLE!H293,2,1))</f>
        <v>2</v>
      </c>
      <c r="R293" s="41">
        <f ca="1">IF(BD_DETALLE!$C293&gt;0,(IF(BD_DETALLE!$N293=0,TODAY()-BD_DETALLE!$C293,BD_DETALLE!$N293-BD_DETALLE!$C293)),"")</f>
        <v>51</v>
      </c>
    </row>
    <row r="294" spans="2:18" x14ac:dyDescent="0.25">
      <c r="B294" s="15" t="str">
        <f t="shared" si="37"/>
        <v>2102-214-103063</v>
      </c>
      <c r="C294" s="7">
        <v>44251</v>
      </c>
      <c r="D294" s="5" t="str">
        <f>IF(BD_DETALLE!$E294&gt;=1,CONCATENATE(TEXT(BD_DETALLE!$C294,"YY"),TEXT(BD_DETALLE!$C294,"MM"),"-",BD_DETALLE!$E294),"")</f>
        <v>2102-214</v>
      </c>
      <c r="E294" s="12">
        <v>214</v>
      </c>
      <c r="F294" s="21">
        <v>103063</v>
      </c>
      <c r="G294" s="4" t="str">
        <f>IFERROR(VLOOKUP(BD_DETALLE!$B294,Tabla9[],6,0),"")</f>
        <v>TERMINAL DE OJO 5/16" (VF-5.5-8)</v>
      </c>
      <c r="H294" s="6">
        <f>IFERROR(VLOOKUP(BD_DETALLE!$B294,Tabla9[],4,0),0)</f>
        <v>100</v>
      </c>
      <c r="I294" s="196" t="s">
        <v>15</v>
      </c>
      <c r="J294" s="197" t="s">
        <v>385</v>
      </c>
      <c r="K294" s="10">
        <f>IFERROR(VLOOKUP(BD_DETALLE!B294,Tabla9[],7,0),"")</f>
        <v>0</v>
      </c>
      <c r="L294" s="11">
        <f>IFERROR(VLOOKUP(BD_DETALLE!B294,Tabla9[],8,0),"")</f>
        <v>0</v>
      </c>
      <c r="M294" s="9">
        <f>IFERROR(SUMIFS(Tabla9[CANTIDAD2],Tabla9[BUSQUEDA],Tabla3[[#This Row],[BUSQUEDA]],Tabla9[CODIGO],Tabla3[[#This Row],[CODIGO]],Tabla9[ORDEN No.],Tabla3[[#This Row],[ORDEN de COMPRA]]),0)</f>
        <v>0</v>
      </c>
      <c r="N294" s="27">
        <f>IFERROR(IF(BD_DETALLE!B294&gt;0,VLOOKUP(BD_DETALLE!B294,Tabla9[],10,0),""),"")</f>
        <v>0</v>
      </c>
      <c r="O294" s="28">
        <f>IFERROR(VLOOKUP(BD_DETALLE!B294,Tabla9[],11,0),0)</f>
        <v>0</v>
      </c>
      <c r="P294" s="26">
        <f>IFERROR(SUMIFS(Tabla9[CANTIDAD3],Tabla9[BUSQUEDA],Tabla3[[#This Row],[BUSQUEDA]],Tabla9[CODIGO],Tabla3[[#This Row],[CODIGO]]),0)</f>
        <v>0</v>
      </c>
      <c r="Q294" s="25">
        <f>IF(BD_DETALLE!P294&lt;=0,0,IF(BD_DETALLE!P294=BD_DETALLE!H294,2,1))</f>
        <v>0</v>
      </c>
      <c r="R294" s="41">
        <f ca="1">IF(BD_DETALLE!$C294&gt;0,(IF(BD_DETALLE!$N294=0,TODAY()-BD_DETALLE!$C294,BD_DETALLE!$N294-BD_DETALLE!$C294)),"")</f>
        <v>54</v>
      </c>
    </row>
    <row r="295" spans="2:18" x14ac:dyDescent="0.25">
      <c r="B295" s="15" t="str">
        <f t="shared" si="37"/>
        <v>2102-214-204862</v>
      </c>
      <c r="C295" s="7">
        <v>44251</v>
      </c>
      <c r="D295" s="5" t="str">
        <f>IF(BD_DETALLE!$E295&gt;=1,CONCATENATE(TEXT(BD_DETALLE!$C295,"YY"),TEXT(BD_DETALLE!$C295,"MM"),"-",BD_DETALLE!$E295),"")</f>
        <v>2102-214</v>
      </c>
      <c r="E295" s="12">
        <v>214</v>
      </c>
      <c r="F295" s="21">
        <v>204862</v>
      </c>
      <c r="G295" s="4" t="str">
        <f>IFERROR(VLOOKUP(BD_DETALLE!$B295,Tabla9[],6,0),"")</f>
        <v>TERMINAL DE OJO 3/16" (VF-5.5-5)</v>
      </c>
      <c r="H295" s="6">
        <f>IFERROR(VLOOKUP(BD_DETALLE!$B295,Tabla9[],4,0),0)</f>
        <v>100</v>
      </c>
      <c r="I295" s="196" t="s">
        <v>15</v>
      </c>
      <c r="J295" s="197" t="s">
        <v>385</v>
      </c>
      <c r="K295" s="10">
        <f>IFERROR(VLOOKUP(BD_DETALLE!B295,Tabla9[],7,0),"")</f>
        <v>0</v>
      </c>
      <c r="L295" s="11">
        <f>IFERROR(VLOOKUP(BD_DETALLE!B295,Tabla9[],8,0),"")</f>
        <v>0</v>
      </c>
      <c r="M295" s="9">
        <f>IFERROR(SUMIFS(Tabla9[CANTIDAD2],Tabla9[BUSQUEDA],Tabla3[[#This Row],[BUSQUEDA]],Tabla9[CODIGO],Tabla3[[#This Row],[CODIGO]],Tabla9[ORDEN No.],Tabla3[[#This Row],[ORDEN de COMPRA]]),0)</f>
        <v>0</v>
      </c>
      <c r="N295" s="27">
        <f>IFERROR(IF(BD_DETALLE!B295&gt;0,VLOOKUP(BD_DETALLE!B295,Tabla9[],10,0),""),"")</f>
        <v>0</v>
      </c>
      <c r="O295" s="28">
        <f>IFERROR(VLOOKUP(BD_DETALLE!B295,Tabla9[],11,0),0)</f>
        <v>0</v>
      </c>
      <c r="P295" s="26">
        <f>IFERROR(SUMIFS(Tabla9[CANTIDAD3],Tabla9[BUSQUEDA],Tabla3[[#This Row],[BUSQUEDA]],Tabla9[CODIGO],Tabla3[[#This Row],[CODIGO]]),0)</f>
        <v>0</v>
      </c>
      <c r="Q295" s="25">
        <f>IF(BD_DETALLE!P295&lt;=0,0,IF(BD_DETALLE!P295=BD_DETALLE!H295,2,1))</f>
        <v>0</v>
      </c>
      <c r="R295" s="41">
        <f ca="1">IF(BD_DETALLE!$C295&gt;0,(IF(BD_DETALLE!$N295=0,TODAY()-BD_DETALLE!$C295,BD_DETALLE!$N295-BD_DETALLE!$C295)),"")</f>
        <v>54</v>
      </c>
    </row>
    <row r="296" spans="2:18" x14ac:dyDescent="0.25">
      <c r="B296" s="15" t="str">
        <f t="shared" si="37"/>
        <v>2102-214-312847</v>
      </c>
      <c r="C296" s="7">
        <v>44251</v>
      </c>
      <c r="D296" s="5" t="str">
        <f>IF(BD_DETALLE!$E296&gt;=1,CONCATENATE(TEXT(BD_DETALLE!$C296,"YY"),TEXT(BD_DETALLE!$C296,"MM"),"-",BD_DETALLE!$E296),"")</f>
        <v>2102-214</v>
      </c>
      <c r="E296" s="12">
        <v>214</v>
      </c>
      <c r="F296" s="21">
        <v>312847</v>
      </c>
      <c r="G296" s="4" t="str">
        <f>IFERROR(VLOOKUP(BD_DETALLE!$B296,Tabla9[],6,0),"")</f>
        <v>TERMINAL AISLADO / ENCHUFE # 14</v>
      </c>
      <c r="H296" s="6">
        <f>IFERROR(VLOOKUP(BD_DETALLE!$B296,Tabla9[],4,0),0)</f>
        <v>100</v>
      </c>
      <c r="I296" s="196" t="s">
        <v>15</v>
      </c>
      <c r="J296" s="197" t="s">
        <v>385</v>
      </c>
      <c r="K296" s="10">
        <f>IFERROR(VLOOKUP(BD_DETALLE!B296,Tabla9[],7,0),"")</f>
        <v>0</v>
      </c>
      <c r="L296" s="11">
        <f>IFERROR(VLOOKUP(BD_DETALLE!B296,Tabla9[],8,0),"")</f>
        <v>0</v>
      </c>
      <c r="M296" s="9">
        <f>IFERROR(SUMIFS(Tabla9[CANTIDAD2],Tabla9[BUSQUEDA],Tabla3[[#This Row],[BUSQUEDA]],Tabla9[CODIGO],Tabla3[[#This Row],[CODIGO]],Tabla9[ORDEN No.],Tabla3[[#This Row],[ORDEN de COMPRA]]),0)</f>
        <v>0</v>
      </c>
      <c r="N296" s="27">
        <f>IFERROR(IF(BD_DETALLE!B296&gt;0,VLOOKUP(BD_DETALLE!B296,Tabla9[],10,0),""),"")</f>
        <v>0</v>
      </c>
      <c r="O296" s="28">
        <f>IFERROR(VLOOKUP(BD_DETALLE!B296,Tabla9[],11,0),0)</f>
        <v>0</v>
      </c>
      <c r="P296" s="26">
        <f>IFERROR(SUMIFS(Tabla9[CANTIDAD3],Tabla9[BUSQUEDA],Tabla3[[#This Row],[BUSQUEDA]],Tabla9[CODIGO],Tabla3[[#This Row],[CODIGO]]),0)</f>
        <v>0</v>
      </c>
      <c r="Q296" s="25">
        <f>IF(BD_DETALLE!P296&lt;=0,0,IF(BD_DETALLE!P296=BD_DETALLE!H296,2,1))</f>
        <v>0</v>
      </c>
      <c r="R296" s="41">
        <f ca="1">IF(BD_DETALLE!$C296&gt;0,(IF(BD_DETALLE!$N296=0,TODAY()-BD_DETALLE!$C296,BD_DETALLE!$N296-BD_DETALLE!$C296)),"")</f>
        <v>54</v>
      </c>
    </row>
    <row r="297" spans="2:18" x14ac:dyDescent="0.25">
      <c r="B297" s="15" t="str">
        <f t="shared" si="37"/>
        <v>2102-216-304103</v>
      </c>
      <c r="C297" s="7">
        <v>44251</v>
      </c>
      <c r="D297" s="5" t="str">
        <f>IF(BD_DETALLE!$E297&gt;=1,CONCATENATE(TEXT(BD_DETALLE!$C297,"YY"),TEXT(BD_DETALLE!$C297,"MM"),"-",BD_DETALLE!$E297),"")</f>
        <v>2102-216</v>
      </c>
      <c r="E297" s="12">
        <v>216</v>
      </c>
      <c r="F297" s="21">
        <v>304103</v>
      </c>
      <c r="G297" s="4" t="str">
        <f>IFERROR(VLOOKUP(BD_DETALLE!$B297,Tabla9[],6,0),"")</f>
        <v>PINTURA ANTICORROSIVO BLANCO HUESO</v>
      </c>
      <c r="H297" s="6">
        <f>IFERROR(VLOOKUP(BD_DETALLE!$B297,Tabla9[],4,0),0)</f>
        <v>2</v>
      </c>
      <c r="I297" s="19" t="s">
        <v>14</v>
      </c>
      <c r="J297" s="20" t="s">
        <v>1781</v>
      </c>
      <c r="K297" s="10">
        <f>IFERROR(VLOOKUP(BD_DETALLE!B297,Tabla9[],7,0),"")</f>
        <v>0</v>
      </c>
      <c r="L297" s="11">
        <f>IFERROR(VLOOKUP(BD_DETALLE!B297,Tabla9[],8,0),"")</f>
        <v>0</v>
      </c>
      <c r="M297" s="9">
        <f>IFERROR(SUMIFS(Tabla9[CANTIDAD2],Tabla9[BUSQUEDA],Tabla3[[#This Row],[BUSQUEDA]],Tabla9[CODIGO],Tabla3[[#This Row],[CODIGO]],Tabla9[ORDEN No.],Tabla3[[#This Row],[ORDEN de COMPRA]]),0)</f>
        <v>0</v>
      </c>
      <c r="N297" s="27">
        <f>IFERROR(IF(BD_DETALLE!B297&gt;0,VLOOKUP(BD_DETALLE!B297,Tabla9[],10,0),""),"")</f>
        <v>0</v>
      </c>
      <c r="O297" s="28">
        <f>IFERROR(VLOOKUP(BD_DETALLE!B297,Tabla9[],11,0),0)</f>
        <v>0</v>
      </c>
      <c r="P297" s="26">
        <f>IFERROR(SUMIFS(Tabla9[CANTIDAD3],Tabla9[BUSQUEDA],Tabla3[[#This Row],[BUSQUEDA]],Tabla9[CODIGO],Tabla3[[#This Row],[CODIGO]]),0)</f>
        <v>0</v>
      </c>
      <c r="Q297" s="25">
        <f>IF(BD_DETALLE!P297&lt;=0,0,IF(BD_DETALLE!P297=BD_DETALLE!H297,2,1))</f>
        <v>0</v>
      </c>
      <c r="R297" s="41">
        <f ca="1">IF(BD_DETALLE!$C297&gt;0,(IF(BD_DETALLE!$N297=0,TODAY()-BD_DETALLE!$C297,BD_DETALLE!$N297-BD_DETALLE!$C297)),"")</f>
        <v>54</v>
      </c>
    </row>
    <row r="298" spans="2:18" x14ac:dyDescent="0.25">
      <c r="B298" s="15" t="str">
        <f t="shared" si="37"/>
        <v>2102-216-106405</v>
      </c>
      <c r="C298" s="7">
        <v>44251</v>
      </c>
      <c r="D298" s="5" t="str">
        <f>IF(BD_DETALLE!$E298&gt;=1,CONCATENATE(TEXT(BD_DETALLE!$C298,"YY"),TEXT(BD_DETALLE!$C298,"MM"),"-",BD_DETALLE!$E298),"")</f>
        <v>2102-216</v>
      </c>
      <c r="E298" s="12">
        <v>216</v>
      </c>
      <c r="F298" s="21">
        <v>106405</v>
      </c>
      <c r="G298" s="4" t="str">
        <f>IFERROR(VLOOKUP(BD_DETALLE!$B298,Tabla9[],6,0),"")</f>
        <v>PINTURA ANTICORROSIVO AZUL FRANCES</v>
      </c>
      <c r="H298" s="6">
        <f>IFERROR(VLOOKUP(BD_DETALLE!$B298,Tabla9[],4,0),0)</f>
        <v>2</v>
      </c>
      <c r="I298" s="19" t="s">
        <v>14</v>
      </c>
      <c r="J298" s="20" t="s">
        <v>1781</v>
      </c>
      <c r="K298" s="10">
        <f>IFERROR(VLOOKUP(BD_DETALLE!B298,Tabla9[],7,0),"")</f>
        <v>0</v>
      </c>
      <c r="L298" s="11">
        <f>IFERROR(VLOOKUP(BD_DETALLE!B298,Tabla9[],8,0),"")</f>
        <v>0</v>
      </c>
      <c r="M298" s="9">
        <f>IFERROR(SUMIFS(Tabla9[CANTIDAD2],Tabla9[BUSQUEDA],Tabla3[[#This Row],[BUSQUEDA]],Tabla9[CODIGO],Tabla3[[#This Row],[CODIGO]],Tabla9[ORDEN No.],Tabla3[[#This Row],[ORDEN de COMPRA]]),0)</f>
        <v>0</v>
      </c>
      <c r="N298" s="27">
        <f>IFERROR(IF(BD_DETALLE!B298&gt;0,VLOOKUP(BD_DETALLE!B298,Tabla9[],10,0),""),"")</f>
        <v>0</v>
      </c>
      <c r="O298" s="28">
        <f>IFERROR(VLOOKUP(BD_DETALLE!B298,Tabla9[],11,0),0)</f>
        <v>0</v>
      </c>
      <c r="P298" s="26">
        <f>IFERROR(SUMIFS(Tabla9[CANTIDAD3],Tabla9[BUSQUEDA],Tabla3[[#This Row],[BUSQUEDA]],Tabla9[CODIGO],Tabla3[[#This Row],[CODIGO]]),0)</f>
        <v>0</v>
      </c>
      <c r="Q298" s="25">
        <f>IF(BD_DETALLE!P298&lt;=0,0,IF(BD_DETALLE!P298=BD_DETALLE!H298,2,1))</f>
        <v>0</v>
      </c>
      <c r="R298" s="41">
        <f ca="1">IF(BD_DETALLE!$C298&gt;0,(IF(BD_DETALLE!$N298=0,TODAY()-BD_DETALLE!$C298,BD_DETALLE!$N298-BD_DETALLE!$C298)),"")</f>
        <v>54</v>
      </c>
    </row>
    <row r="299" spans="2:18" x14ac:dyDescent="0.25">
      <c r="B299" s="15" t="str">
        <f t="shared" si="37"/>
        <v>2102-216-316879</v>
      </c>
      <c r="C299" s="7">
        <v>44251</v>
      </c>
      <c r="D299" s="5" t="str">
        <f>IF(BD_DETALLE!$E299&gt;=1,CONCATENATE(TEXT(BD_DETALLE!$C299,"YY"),TEXT(BD_DETALLE!$C299,"MM"),"-",BD_DETALLE!$E299),"")</f>
        <v>2102-216</v>
      </c>
      <c r="E299" s="12">
        <v>216</v>
      </c>
      <c r="F299" s="21">
        <v>316879</v>
      </c>
      <c r="G299" s="4" t="str">
        <f>IFERROR(VLOOKUP(BD_DETALLE!$B299,Tabla9[],6,0),"")</f>
        <v>BARNIZ EN SPRAY ROJO  DOLPHY ER-41</v>
      </c>
      <c r="H299" s="6">
        <f>IFERROR(VLOOKUP(BD_DETALLE!$B299,Tabla9[],4,0),0)</f>
        <v>12</v>
      </c>
      <c r="I299" s="19" t="s">
        <v>14</v>
      </c>
      <c r="J299" s="20" t="s">
        <v>1781</v>
      </c>
      <c r="K299" s="10">
        <f>IFERROR(VLOOKUP(BD_DETALLE!B299,Tabla9[],7,0),"")</f>
        <v>44278</v>
      </c>
      <c r="L299" s="11">
        <f>IFERROR(VLOOKUP(BD_DETALLE!B299,Tabla9[],8,0),"")</f>
        <v>52238</v>
      </c>
      <c r="M299" s="9">
        <f>IFERROR(SUMIFS(Tabla9[CANTIDAD2],Tabla9[BUSQUEDA],Tabla3[[#This Row],[BUSQUEDA]],Tabla9[CODIGO],Tabla3[[#This Row],[CODIGO]],Tabla9[ORDEN No.],Tabla3[[#This Row],[ORDEN de COMPRA]]),0)</f>
        <v>24</v>
      </c>
      <c r="N299" s="27">
        <f>IFERROR(IF(BD_DETALLE!B299&gt;0,VLOOKUP(BD_DETALLE!B299,Tabla9[],10,0),""),"")</f>
        <v>44285</v>
      </c>
      <c r="O299" s="28">
        <f>IFERROR(VLOOKUP(BD_DETALLE!B299,Tabla9[],11,0),0)</f>
        <v>11678</v>
      </c>
      <c r="P299" s="26">
        <f>IFERROR(SUMIFS(Tabla9[CANTIDAD3],Tabla9[BUSQUEDA],Tabla3[[#This Row],[BUSQUEDA]],Tabla9[CODIGO],Tabla3[[#This Row],[CODIGO]]),0)</f>
        <v>12</v>
      </c>
      <c r="Q299" s="25">
        <f>IF(BD_DETALLE!P299&lt;=0,0,IF(BD_DETALLE!P299=BD_DETALLE!H299,2,1))</f>
        <v>2</v>
      </c>
      <c r="R299" s="41">
        <f ca="1">IF(BD_DETALLE!$C299&gt;0,(IF(BD_DETALLE!$N299=0,TODAY()-BD_DETALLE!$C299,BD_DETALLE!$N299-BD_DETALLE!$C299)),"")</f>
        <v>34</v>
      </c>
    </row>
    <row r="300" spans="2:18" x14ac:dyDescent="0.25">
      <c r="B300" s="15" t="str">
        <f t="shared" si="37"/>
        <v>2102-216-304938</v>
      </c>
      <c r="C300" s="7">
        <v>44251</v>
      </c>
      <c r="D300" s="5" t="str">
        <f>IF(BD_DETALLE!$E300&gt;=1,CONCATENATE(TEXT(BD_DETALLE!$C300,"YY"),TEXT(BD_DETALLE!$C300,"MM"),"-",BD_DETALLE!$E300),"")</f>
        <v>2102-216</v>
      </c>
      <c r="E300" s="12">
        <v>216</v>
      </c>
      <c r="F300" s="21">
        <v>304938</v>
      </c>
      <c r="G300" s="4" t="str">
        <f>IFERROR(VLOOKUP(BD_DETALLE!$B300,Tabla9[],6,0),"")</f>
        <v>TERMINAL DE OJO P/CABLE #4</v>
      </c>
      <c r="H300" s="6">
        <f>IFERROR(VLOOKUP(BD_DETALLE!$B300,Tabla9[],4,0),0)</f>
        <v>50</v>
      </c>
      <c r="I300" s="19" t="s">
        <v>14</v>
      </c>
      <c r="J300" s="20" t="s">
        <v>1781</v>
      </c>
      <c r="K300" s="10">
        <f>IFERROR(VLOOKUP(BD_DETALLE!B300,Tabla9[],7,0),"")</f>
        <v>44278</v>
      </c>
      <c r="L300" s="11">
        <f>IFERROR(VLOOKUP(BD_DETALLE!B300,Tabla9[],8,0),"")</f>
        <v>52238</v>
      </c>
      <c r="M300" s="9">
        <f>IFERROR(SUMIFS(Tabla9[CANTIDAD2],Tabla9[BUSQUEDA],Tabla3[[#This Row],[BUSQUEDA]],Tabla9[CODIGO],Tabla3[[#This Row],[CODIGO]],Tabla9[ORDEN No.],Tabla3[[#This Row],[ORDEN de COMPRA]]),0)</f>
        <v>50</v>
      </c>
      <c r="N300" s="27">
        <f>IFERROR(IF(BD_DETALLE!B300&gt;0,VLOOKUP(BD_DETALLE!B300,Tabla9[],10,0),""),"")</f>
        <v>44285</v>
      </c>
      <c r="O300" s="28">
        <f>IFERROR(VLOOKUP(BD_DETALLE!B300,Tabla9[],11,0),0)</f>
        <v>11678</v>
      </c>
      <c r="P300" s="26">
        <f>IFERROR(SUMIFS(Tabla9[CANTIDAD3],Tabla9[BUSQUEDA],Tabla3[[#This Row],[BUSQUEDA]],Tabla9[CODIGO],Tabla3[[#This Row],[CODIGO]]),0)</f>
        <v>50</v>
      </c>
      <c r="Q300" s="25">
        <f>IF(BD_DETALLE!P300&lt;=0,0,IF(BD_DETALLE!P300=BD_DETALLE!H300,2,1))</f>
        <v>2</v>
      </c>
      <c r="R300" s="41">
        <f ca="1">IF(BD_DETALLE!$C300&gt;0,(IF(BD_DETALLE!$N300=0,TODAY()-BD_DETALLE!$C300,BD_DETALLE!$N300-BD_DETALLE!$C300)),"")</f>
        <v>34</v>
      </c>
    </row>
    <row r="301" spans="2:18" x14ac:dyDescent="0.25">
      <c r="B301" s="15" t="str">
        <f t="shared" si="37"/>
        <v>2102-216-304396</v>
      </c>
      <c r="C301" s="7">
        <v>44251</v>
      </c>
      <c r="D301" s="5" t="str">
        <f>IF(BD_DETALLE!$E301&gt;=1,CONCATENATE(TEXT(BD_DETALLE!$C301,"YY"),TEXT(BD_DETALLE!$C301,"MM"),"-",BD_DETALLE!$E301),"")</f>
        <v>2102-216</v>
      </c>
      <c r="E301" s="12">
        <v>216</v>
      </c>
      <c r="F301" s="21">
        <v>304396</v>
      </c>
      <c r="G301" s="4" t="str">
        <f>IFERROR(VLOOKUP(BD_DETALLE!$B301,Tabla9[],6,0),"")</f>
        <v>TERMINAL DE OJO P/CABLE # 2</v>
      </c>
      <c r="H301" s="6">
        <f>IFERROR(VLOOKUP(BD_DETALLE!$B301,Tabla9[],4,0),0)</f>
        <v>24</v>
      </c>
      <c r="I301" s="19" t="s">
        <v>14</v>
      </c>
      <c r="J301" s="20" t="s">
        <v>1781</v>
      </c>
      <c r="K301" s="10">
        <f>IFERROR(VLOOKUP(BD_DETALLE!B301,Tabla9[],7,0),"")</f>
        <v>44278</v>
      </c>
      <c r="L301" s="11">
        <f>IFERROR(VLOOKUP(BD_DETALLE!B301,Tabla9[],8,0),"")</f>
        <v>52238</v>
      </c>
      <c r="M301" s="9">
        <f>IFERROR(SUMIFS(Tabla9[CANTIDAD2],Tabla9[BUSQUEDA],Tabla3[[#This Row],[BUSQUEDA]],Tabla9[CODIGO],Tabla3[[#This Row],[CODIGO]],Tabla9[ORDEN No.],Tabla3[[#This Row],[ORDEN de COMPRA]]),0)</f>
        <v>24</v>
      </c>
      <c r="N301" s="27">
        <f>IFERROR(IF(BD_DETALLE!B301&gt;0,VLOOKUP(BD_DETALLE!B301,Tabla9[],10,0),""),"")</f>
        <v>44285</v>
      </c>
      <c r="O301" s="28">
        <f>IFERROR(VLOOKUP(BD_DETALLE!B301,Tabla9[],11,0),0)</f>
        <v>11678</v>
      </c>
      <c r="P301" s="26">
        <f>IFERROR(SUMIFS(Tabla9[CANTIDAD3],Tabla9[BUSQUEDA],Tabla3[[#This Row],[BUSQUEDA]],Tabla9[CODIGO],Tabla3[[#This Row],[CODIGO]]),0)</f>
        <v>24</v>
      </c>
      <c r="Q301" s="25">
        <f>IF(BD_DETALLE!P301&lt;=0,0,IF(BD_DETALLE!P301=BD_DETALLE!H301,2,1))</f>
        <v>2</v>
      </c>
      <c r="R301" s="41">
        <f ca="1">IF(BD_DETALLE!$C301&gt;0,(IF(BD_DETALLE!$N301=0,TODAY()-BD_DETALLE!$C301,BD_DETALLE!$N301-BD_DETALLE!$C301)),"")</f>
        <v>34</v>
      </c>
    </row>
    <row r="302" spans="2:18" x14ac:dyDescent="0.25">
      <c r="B302" s="15" t="str">
        <f t="shared" si="37"/>
        <v>2102-216-304779</v>
      </c>
      <c r="C302" s="7">
        <v>44251</v>
      </c>
      <c r="D302" s="5" t="str">
        <f>IF(BD_DETALLE!$E302&gt;=1,CONCATENATE(TEXT(BD_DETALLE!$C302,"YY"),TEXT(BD_DETALLE!$C302,"MM"),"-",BD_DETALLE!$E302),"")</f>
        <v>2102-216</v>
      </c>
      <c r="E302" s="12">
        <v>216</v>
      </c>
      <c r="F302" s="21">
        <v>304779</v>
      </c>
      <c r="G302" s="4" t="str">
        <f>IFERROR(VLOOKUP(BD_DETALLE!$B302,Tabla9[],6,0),"")</f>
        <v>TERMINALES TIPO OJO PARA CABLE 1/0</v>
      </c>
      <c r="H302" s="6">
        <f>IFERROR(VLOOKUP(BD_DETALLE!$B302,Tabla9[],4,0),0)</f>
        <v>24</v>
      </c>
      <c r="I302" s="19" t="s">
        <v>14</v>
      </c>
      <c r="J302" s="20" t="s">
        <v>1781</v>
      </c>
      <c r="K302" s="10">
        <f>IFERROR(VLOOKUP(BD_DETALLE!B302,Tabla9[],7,0),"")</f>
        <v>44278</v>
      </c>
      <c r="L302" s="11">
        <f>IFERROR(VLOOKUP(BD_DETALLE!B302,Tabla9[],8,0),"")</f>
        <v>52238</v>
      </c>
      <c r="M302" s="9">
        <f>IFERROR(SUMIFS(Tabla9[CANTIDAD2],Tabla9[BUSQUEDA],Tabla3[[#This Row],[BUSQUEDA]],Tabla9[CODIGO],Tabla3[[#This Row],[CODIGO]],Tabla9[ORDEN No.],Tabla3[[#This Row],[ORDEN de COMPRA]]),0)</f>
        <v>24</v>
      </c>
      <c r="N302" s="27">
        <f>IFERROR(IF(BD_DETALLE!B302&gt;0,VLOOKUP(BD_DETALLE!B302,Tabla9[],10,0),""),"")</f>
        <v>44285</v>
      </c>
      <c r="O302" s="28">
        <f>IFERROR(VLOOKUP(BD_DETALLE!B302,Tabla9[],11,0),0)</f>
        <v>11678</v>
      </c>
      <c r="P302" s="26">
        <f>IFERROR(SUMIFS(Tabla9[CANTIDAD3],Tabla9[BUSQUEDA],Tabla3[[#This Row],[BUSQUEDA]],Tabla9[CODIGO],Tabla3[[#This Row],[CODIGO]]),0)</f>
        <v>24</v>
      </c>
      <c r="Q302" s="25">
        <f>IF(BD_DETALLE!P302&lt;=0,0,IF(BD_DETALLE!P302=BD_DETALLE!H302,2,1))</f>
        <v>2</v>
      </c>
      <c r="R302" s="41">
        <f ca="1">IF(BD_DETALLE!$C302&gt;0,(IF(BD_DETALLE!$N302=0,TODAY()-BD_DETALLE!$C302,BD_DETALLE!$N302-BD_DETALLE!$C302)),"")</f>
        <v>34</v>
      </c>
    </row>
    <row r="303" spans="2:18" x14ac:dyDescent="0.25">
      <c r="B303" s="15" t="str">
        <f t="shared" si="37"/>
        <v>2102-216-105887</v>
      </c>
      <c r="C303" s="7">
        <v>44251</v>
      </c>
      <c r="D303" s="5" t="str">
        <f>IF(BD_DETALLE!$E303&gt;=1,CONCATENATE(TEXT(BD_DETALLE!$C303,"YY"),TEXT(BD_DETALLE!$C303,"MM"),"-",BD_DETALLE!$E303),"")</f>
        <v>2102-216</v>
      </c>
      <c r="E303" s="12">
        <v>216</v>
      </c>
      <c r="F303" s="21">
        <v>105887</v>
      </c>
      <c r="G303" s="4" t="str">
        <f>IFERROR(VLOOKUP(BD_DETALLE!$B303,Tabla9[],6,0),"")</f>
        <v>TERMINAL TIPO OJO PARA CABLE # 4/0</v>
      </c>
      <c r="H303" s="6">
        <f>IFERROR(VLOOKUP(BD_DETALLE!$B303,Tabla9[],4,0),0)</f>
        <v>24</v>
      </c>
      <c r="I303" s="19" t="s">
        <v>14</v>
      </c>
      <c r="J303" s="20" t="s">
        <v>1781</v>
      </c>
      <c r="K303" s="10">
        <f>IFERROR(VLOOKUP(BD_DETALLE!B303,Tabla9[],7,0),"")</f>
        <v>44278</v>
      </c>
      <c r="L303" s="11">
        <f>IFERROR(VLOOKUP(BD_DETALLE!B303,Tabla9[],8,0),"")</f>
        <v>52238</v>
      </c>
      <c r="M303" s="9">
        <f>IFERROR(SUMIFS(Tabla9[CANTIDAD2],Tabla9[BUSQUEDA],Tabla3[[#This Row],[BUSQUEDA]],Tabla9[CODIGO],Tabla3[[#This Row],[CODIGO]],Tabla9[ORDEN No.],Tabla3[[#This Row],[ORDEN de COMPRA]]),0)</f>
        <v>24</v>
      </c>
      <c r="N303" s="27">
        <f>IFERROR(IF(BD_DETALLE!B303&gt;0,VLOOKUP(BD_DETALLE!B303,Tabla9[],10,0),""),"")</f>
        <v>44285</v>
      </c>
      <c r="O303" s="28">
        <f>IFERROR(VLOOKUP(BD_DETALLE!B303,Tabla9[],11,0),0)</f>
        <v>11678</v>
      </c>
      <c r="P303" s="26">
        <f>IFERROR(SUMIFS(Tabla9[CANTIDAD3],Tabla9[BUSQUEDA],Tabla3[[#This Row],[BUSQUEDA]],Tabla9[CODIGO],Tabla3[[#This Row],[CODIGO]]),0)</f>
        <v>24</v>
      </c>
      <c r="Q303" s="25">
        <f>IF(BD_DETALLE!P303&lt;=0,0,IF(BD_DETALLE!P303=BD_DETALLE!H303,2,1))</f>
        <v>2</v>
      </c>
      <c r="R303" s="41">
        <f ca="1">IF(BD_DETALLE!$C303&gt;0,(IF(BD_DETALLE!$N303=0,TODAY()-BD_DETALLE!$C303,BD_DETALLE!$N303-BD_DETALLE!$C303)),"")</f>
        <v>34</v>
      </c>
    </row>
    <row r="304" spans="2:18" x14ac:dyDescent="0.25">
      <c r="B304" s="15" t="str">
        <f t="shared" si="37"/>
        <v>2102-216-304502</v>
      </c>
      <c r="C304" s="7">
        <v>44251</v>
      </c>
      <c r="D304" s="5" t="str">
        <f>IF(BD_DETALLE!$E304&gt;=1,CONCATENATE(TEXT(BD_DETALLE!$C304,"YY"),TEXT(BD_DETALLE!$C304,"MM"),"-",BD_DETALLE!$E304),"")</f>
        <v>2102-216</v>
      </c>
      <c r="E304" s="12">
        <v>216</v>
      </c>
      <c r="F304" s="21">
        <v>304502</v>
      </c>
      <c r="G304" s="4" t="str">
        <f>IFERROR(VLOOKUP(BD_DETALLE!$B304,Tabla9[],6,0),"")</f>
        <v>TERMINAL DE OJO P/CABLE 500MCM (SC240-16L)</v>
      </c>
      <c r="H304" s="6">
        <f>IFERROR(VLOOKUP(BD_DETALLE!$B304,Tabla9[],4,0),0)</f>
        <v>24</v>
      </c>
      <c r="I304" s="19" t="s">
        <v>14</v>
      </c>
      <c r="J304" s="20" t="s">
        <v>1781</v>
      </c>
      <c r="K304" s="10">
        <f>IFERROR(VLOOKUP(BD_DETALLE!B304,Tabla9[],7,0),"")</f>
        <v>44278</v>
      </c>
      <c r="L304" s="11">
        <f>IFERROR(VLOOKUP(BD_DETALLE!B304,Tabla9[],8,0),"")</f>
        <v>52238</v>
      </c>
      <c r="M304" s="9">
        <f>IFERROR(SUMIFS(Tabla9[CANTIDAD2],Tabla9[BUSQUEDA],Tabla3[[#This Row],[BUSQUEDA]],Tabla9[CODIGO],Tabla3[[#This Row],[CODIGO]],Tabla9[ORDEN No.],Tabla3[[#This Row],[ORDEN de COMPRA]]),0)</f>
        <v>24</v>
      </c>
      <c r="N304" s="27">
        <f>IFERROR(IF(BD_DETALLE!B304&gt;0,VLOOKUP(BD_DETALLE!B304,Tabla9[],10,0),""),"")</f>
        <v>44285</v>
      </c>
      <c r="O304" s="28">
        <f>IFERROR(VLOOKUP(BD_DETALLE!B304,Tabla9[],11,0),0)</f>
        <v>11678</v>
      </c>
      <c r="P304" s="26">
        <f>IFERROR(SUMIFS(Tabla9[CANTIDAD3],Tabla9[BUSQUEDA],Tabla3[[#This Row],[BUSQUEDA]],Tabla9[CODIGO],Tabla3[[#This Row],[CODIGO]]),0)</f>
        <v>24</v>
      </c>
      <c r="Q304" s="25">
        <f>IF(BD_DETALLE!P304&lt;=0,0,IF(BD_DETALLE!P304=BD_DETALLE!H304,2,1))</f>
        <v>2</v>
      </c>
      <c r="R304" s="41">
        <f ca="1">IF(BD_DETALLE!$C304&gt;0,(IF(BD_DETALLE!$N304=0,TODAY()-BD_DETALLE!$C304,BD_DETALLE!$N304-BD_DETALLE!$C304)),"")</f>
        <v>34</v>
      </c>
    </row>
    <row r="305" spans="2:18" x14ac:dyDescent="0.25">
      <c r="B305" s="15" t="str">
        <f t="shared" si="37"/>
        <v>2102-216-301674</v>
      </c>
      <c r="C305" s="7">
        <v>44251</v>
      </c>
      <c r="D305" s="5" t="str">
        <f>IF(BD_DETALLE!$E305&gt;=1,CONCATENATE(TEXT(BD_DETALLE!$C305,"YY"),TEXT(BD_DETALLE!$C305,"MM"),"-",BD_DETALLE!$E305),"")</f>
        <v>2102-216</v>
      </c>
      <c r="E305" s="12">
        <v>216</v>
      </c>
      <c r="F305" s="21">
        <v>301674</v>
      </c>
      <c r="G305" s="4" t="str">
        <f>IFERROR(VLOOKUP(BD_DETALLE!$B305,Tabla9[],6,0),"")</f>
        <v>PERNO A/INOX DE 1/4" x 1-1/2" COMPLETO</v>
      </c>
      <c r="H305" s="6">
        <f>IFERROR(VLOOKUP(BD_DETALLE!$B305,Tabla9[],4,0),0)</f>
        <v>100</v>
      </c>
      <c r="I305" s="19" t="s">
        <v>14</v>
      </c>
      <c r="J305" s="20" t="s">
        <v>1781</v>
      </c>
      <c r="K305" s="10">
        <f>IFERROR(VLOOKUP(BD_DETALLE!B305,Tabla9[],7,0),"")</f>
        <v>0</v>
      </c>
      <c r="L305" s="11">
        <f>IFERROR(VLOOKUP(BD_DETALLE!B305,Tabla9[],8,0),"")</f>
        <v>0</v>
      </c>
      <c r="M305" s="9">
        <f>IFERROR(SUMIFS(Tabla9[CANTIDAD2],Tabla9[BUSQUEDA],Tabla3[[#This Row],[BUSQUEDA]],Tabla9[CODIGO],Tabla3[[#This Row],[CODIGO]],Tabla9[ORDEN No.],Tabla3[[#This Row],[ORDEN de COMPRA]]),0)</f>
        <v>0</v>
      </c>
      <c r="N305" s="27">
        <f>IFERROR(IF(BD_DETALLE!B305&gt;0,VLOOKUP(BD_DETALLE!B305,Tabla9[],10,0),""),"")</f>
        <v>0</v>
      </c>
      <c r="O305" s="28">
        <f>IFERROR(VLOOKUP(BD_DETALLE!B305,Tabla9[],11,0),0)</f>
        <v>0</v>
      </c>
      <c r="P305" s="26">
        <f>IFERROR(SUMIFS(Tabla9[CANTIDAD3],Tabla9[BUSQUEDA],Tabla3[[#This Row],[BUSQUEDA]],Tabla9[CODIGO],Tabla3[[#This Row],[CODIGO]]),0)</f>
        <v>0</v>
      </c>
      <c r="Q305" s="25">
        <f>IF(BD_DETALLE!P305&lt;=0,0,IF(BD_DETALLE!P305=BD_DETALLE!H305,2,1))</f>
        <v>0</v>
      </c>
      <c r="R305" s="41">
        <f ca="1">IF(BD_DETALLE!$C305&gt;0,(IF(BD_DETALLE!$N305=0,TODAY()-BD_DETALLE!$C305,BD_DETALLE!$N305-BD_DETALLE!$C305)),"")</f>
        <v>54</v>
      </c>
    </row>
    <row r="306" spans="2:18" x14ac:dyDescent="0.25">
      <c r="B306" s="15" t="str">
        <f t="shared" si="37"/>
        <v>2102-216-300774</v>
      </c>
      <c r="C306" s="7">
        <v>44251</v>
      </c>
      <c r="D306" s="5" t="str">
        <f>IF(BD_DETALLE!$E306&gt;=1,CONCATENATE(TEXT(BD_DETALLE!$C306,"YY"),TEXT(BD_DETALLE!$C306,"MM"),"-",BD_DETALLE!$E306),"")</f>
        <v>2102-216</v>
      </c>
      <c r="E306" s="12">
        <v>216</v>
      </c>
      <c r="F306" s="21">
        <v>300774</v>
      </c>
      <c r="G306" s="4" t="str">
        <f>IFERROR(VLOOKUP(BD_DETALLE!$B306,Tabla9[],6,0),"")</f>
        <v>PERNO A/INOX DE 5/16" x 1-1/2" COMPLETO</v>
      </c>
      <c r="H306" s="6">
        <f>IFERROR(VLOOKUP(BD_DETALLE!$B306,Tabla9[],4,0),0)</f>
        <v>24</v>
      </c>
      <c r="I306" s="19" t="s">
        <v>14</v>
      </c>
      <c r="J306" s="20" t="s">
        <v>1781</v>
      </c>
      <c r="K306" s="10">
        <f>IFERROR(VLOOKUP(BD_DETALLE!B306,Tabla9[],7,0),"")</f>
        <v>0</v>
      </c>
      <c r="L306" s="11">
        <f>IFERROR(VLOOKUP(BD_DETALLE!B306,Tabla9[],8,0),"")</f>
        <v>0</v>
      </c>
      <c r="M306" s="9">
        <f>IFERROR(SUMIFS(Tabla9[CANTIDAD2],Tabla9[BUSQUEDA],Tabla3[[#This Row],[BUSQUEDA]],Tabla9[CODIGO],Tabla3[[#This Row],[CODIGO]],Tabla9[ORDEN No.],Tabla3[[#This Row],[ORDEN de COMPRA]]),0)</f>
        <v>0</v>
      </c>
      <c r="N306" s="27">
        <f>IFERROR(IF(BD_DETALLE!B306&gt;0,VLOOKUP(BD_DETALLE!B306,Tabla9[],10,0),""),"")</f>
        <v>0</v>
      </c>
      <c r="O306" s="28">
        <f>IFERROR(VLOOKUP(BD_DETALLE!B306,Tabla9[],11,0),0)</f>
        <v>0</v>
      </c>
      <c r="P306" s="26">
        <f>IFERROR(SUMIFS(Tabla9[CANTIDAD3],Tabla9[BUSQUEDA],Tabla3[[#This Row],[BUSQUEDA]],Tabla9[CODIGO],Tabla3[[#This Row],[CODIGO]]),0)</f>
        <v>0</v>
      </c>
      <c r="Q306" s="25">
        <f>IF(BD_DETALLE!P306&lt;=0,0,IF(BD_DETALLE!P306=BD_DETALLE!H306,2,1))</f>
        <v>0</v>
      </c>
      <c r="R306" s="41">
        <f ca="1">IF(BD_DETALLE!$C306&gt;0,(IF(BD_DETALLE!$N306=0,TODAY()-BD_DETALLE!$C306,BD_DETALLE!$N306-BD_DETALLE!$C306)),"")</f>
        <v>54</v>
      </c>
    </row>
    <row r="307" spans="2:18" x14ac:dyDescent="0.25">
      <c r="B307" s="15" t="str">
        <f t="shared" ref="B307:B336" si="38">IFERROR(TEXT(C307,"yy") &amp; TEXT(C307,"mm") &amp;"-"&amp;(E307) &amp;"-"&amp;(F307),"")</f>
        <v>2102-216-106644</v>
      </c>
      <c r="C307" s="7">
        <v>44251</v>
      </c>
      <c r="D307" s="5" t="str">
        <f>IF(BD_DETALLE!$E307&gt;=1,CONCATENATE(TEXT(BD_DETALLE!$C307,"YY"),TEXT(BD_DETALLE!$C307,"MM"),"-",BD_DETALLE!$E307),"")</f>
        <v>2102-216</v>
      </c>
      <c r="E307" s="12">
        <v>216</v>
      </c>
      <c r="F307" s="21">
        <v>106644</v>
      </c>
      <c r="G307" s="4" t="str">
        <f>IFERROR(VLOOKUP(BD_DETALLE!$B307,Tabla9[],6,0),"")</f>
        <v>PERNO A/INOX DE 3/8" x 1-1/2" COMPLETO</v>
      </c>
      <c r="H307" s="6">
        <f>IFERROR(VLOOKUP(BD_DETALLE!$B307,Tabla9[],4,0),0)</f>
        <v>24</v>
      </c>
      <c r="I307" s="19" t="s">
        <v>14</v>
      </c>
      <c r="J307" s="20" t="s">
        <v>1781</v>
      </c>
      <c r="K307" s="10">
        <f>IFERROR(VLOOKUP(BD_DETALLE!B307,Tabla9[],7,0),"")</f>
        <v>0</v>
      </c>
      <c r="L307" s="11">
        <f>IFERROR(VLOOKUP(BD_DETALLE!B307,Tabla9[],8,0),"")</f>
        <v>0</v>
      </c>
      <c r="M307" s="9">
        <f>IFERROR(SUMIFS(Tabla9[CANTIDAD2],Tabla9[BUSQUEDA],Tabla3[[#This Row],[BUSQUEDA]],Tabla9[CODIGO],Tabla3[[#This Row],[CODIGO]],Tabla9[ORDEN No.],Tabla3[[#This Row],[ORDEN de COMPRA]]),0)</f>
        <v>0</v>
      </c>
      <c r="N307" s="27">
        <f>IFERROR(IF(BD_DETALLE!B307&gt;0,VLOOKUP(BD_DETALLE!B307,Tabla9[],10,0),""),"")</f>
        <v>0</v>
      </c>
      <c r="O307" s="28">
        <f>IFERROR(VLOOKUP(BD_DETALLE!B307,Tabla9[],11,0),0)</f>
        <v>0</v>
      </c>
      <c r="P307" s="26">
        <f>IFERROR(SUMIFS(Tabla9[CANTIDAD3],Tabla9[BUSQUEDA],Tabla3[[#This Row],[BUSQUEDA]],Tabla9[CODIGO],Tabla3[[#This Row],[CODIGO]]),0)</f>
        <v>0</v>
      </c>
      <c r="Q307" s="25">
        <f>IF(BD_DETALLE!P307&lt;=0,0,IF(BD_DETALLE!P307=BD_DETALLE!H307,2,1))</f>
        <v>0</v>
      </c>
      <c r="R307" s="41">
        <f ca="1">IF(BD_DETALLE!$C307&gt;0,(IF(BD_DETALLE!$N307=0,TODAY()-BD_DETALLE!$C307,BD_DETALLE!$N307-BD_DETALLE!$C307)),"")</f>
        <v>54</v>
      </c>
    </row>
    <row r="308" spans="2:18" x14ac:dyDescent="0.25">
      <c r="B308" s="15" t="str">
        <f t="shared" si="38"/>
        <v>2102-216-318414</v>
      </c>
      <c r="C308" s="7">
        <v>44251</v>
      </c>
      <c r="D308" s="5" t="str">
        <f>IF(BD_DETALLE!$E308&gt;=1,CONCATENATE(TEXT(BD_DETALLE!$C308,"YY"),TEXT(BD_DETALLE!$C308,"MM"),"-",BD_DETALLE!$E308),"")</f>
        <v>2102-216</v>
      </c>
      <c r="E308" s="12">
        <v>216</v>
      </c>
      <c r="F308" s="21">
        <v>318414</v>
      </c>
      <c r="G308" s="4" t="str">
        <f>IFERROR(VLOOKUP(BD_DETALLE!$B308,Tabla9[],6,0),"")</f>
        <v>ASPIRADORA DE MANO</v>
      </c>
      <c r="H308" s="6">
        <f>IFERROR(VLOOKUP(BD_DETALLE!$B308,Tabla9[],4,0),0)</f>
        <v>2</v>
      </c>
      <c r="I308" s="19" t="s">
        <v>14</v>
      </c>
      <c r="J308" s="20" t="s">
        <v>1781</v>
      </c>
      <c r="K308" s="10">
        <f>IFERROR(VLOOKUP(BD_DETALLE!B308,Tabla9[],7,0),"")</f>
        <v>0</v>
      </c>
      <c r="L308" s="11">
        <f>IFERROR(VLOOKUP(BD_DETALLE!B308,Tabla9[],8,0),"")</f>
        <v>0</v>
      </c>
      <c r="M308" s="9">
        <f>IFERROR(SUMIFS(Tabla9[CANTIDAD2],Tabla9[BUSQUEDA],Tabla3[[#This Row],[BUSQUEDA]],Tabla9[CODIGO],Tabla3[[#This Row],[CODIGO]],Tabla9[ORDEN No.],Tabla3[[#This Row],[ORDEN de COMPRA]]),0)</f>
        <v>0</v>
      </c>
      <c r="N308" s="27">
        <f>IFERROR(IF(BD_DETALLE!B308&gt;0,VLOOKUP(BD_DETALLE!B308,Tabla9[],10,0),""),"")</f>
        <v>0</v>
      </c>
      <c r="O308" s="28">
        <f>IFERROR(VLOOKUP(BD_DETALLE!B308,Tabla9[],11,0),0)</f>
        <v>0</v>
      </c>
      <c r="P308" s="26">
        <f>IFERROR(SUMIFS(Tabla9[CANTIDAD3],Tabla9[BUSQUEDA],Tabla3[[#This Row],[BUSQUEDA]],Tabla9[CODIGO],Tabla3[[#This Row],[CODIGO]]),0)</f>
        <v>0</v>
      </c>
      <c r="Q308" s="25">
        <f>IF(BD_DETALLE!P308&lt;=0,0,IF(BD_DETALLE!P308=BD_DETALLE!H308,2,1))</f>
        <v>0</v>
      </c>
      <c r="R308" s="41">
        <f ca="1">IF(BD_DETALLE!$C308&gt;0,(IF(BD_DETALLE!$N308=0,TODAY()-BD_DETALLE!$C308,BD_DETALLE!$N308-BD_DETALLE!$C308)),"")</f>
        <v>54</v>
      </c>
    </row>
    <row r="309" spans="2:18" x14ac:dyDescent="0.25">
      <c r="B309" s="15" t="str">
        <f t="shared" si="38"/>
        <v>2102-216-301649</v>
      </c>
      <c r="C309" s="7">
        <v>44251</v>
      </c>
      <c r="D309" s="5" t="str">
        <f>IF(BD_DETALLE!$E309&gt;=1,CONCATENATE(TEXT(BD_DETALLE!$C309,"YY"),TEXT(BD_DETALLE!$C309,"MM"),"-",BD_DETALLE!$E309),"")</f>
        <v>2102-216</v>
      </c>
      <c r="E309" s="12">
        <v>216</v>
      </c>
      <c r="F309" s="21">
        <v>301649</v>
      </c>
      <c r="G309" s="4" t="str">
        <f>IFERROR(VLOOKUP(BD_DETALLE!$B309,Tabla9[],6,0),"")</f>
        <v>BREAKER TRIFASICO 150 AMP CAJA MOLDEADA</v>
      </c>
      <c r="H309" s="6">
        <f>IFERROR(VLOOKUP(BD_DETALLE!$B309,Tabla9[],4,0),0)</f>
        <v>1</v>
      </c>
      <c r="I309" s="19" t="s">
        <v>14</v>
      </c>
      <c r="J309" s="20" t="s">
        <v>1781</v>
      </c>
      <c r="K309" s="10">
        <f>IFERROR(VLOOKUP(BD_DETALLE!B309,Tabla9[],7,0),"")</f>
        <v>44278</v>
      </c>
      <c r="L309" s="11">
        <f>IFERROR(VLOOKUP(BD_DETALLE!B309,Tabla9[],8,0),"")</f>
        <v>52238</v>
      </c>
      <c r="M309" s="9">
        <f>IFERROR(SUMIFS(Tabla9[CANTIDAD2],Tabla9[BUSQUEDA],Tabla3[[#This Row],[BUSQUEDA]],Tabla9[CODIGO],Tabla3[[#This Row],[CODIGO]],Tabla9[ORDEN No.],Tabla3[[#This Row],[ORDEN de COMPRA]]),0)</f>
        <v>1</v>
      </c>
      <c r="N309" s="27">
        <f>IFERROR(IF(BD_DETALLE!B309&gt;0,VLOOKUP(BD_DETALLE!B309,Tabla9[],10,0),""),"")</f>
        <v>44293</v>
      </c>
      <c r="O309" s="28">
        <f>IFERROR(VLOOKUP(BD_DETALLE!B309,Tabla9[],11,0),0)</f>
        <v>11739</v>
      </c>
      <c r="P309" s="26">
        <f>IFERROR(SUMIFS(Tabla9[CANTIDAD3],Tabla9[BUSQUEDA],Tabla3[[#This Row],[BUSQUEDA]],Tabla9[CODIGO],Tabla3[[#This Row],[CODIGO]]),0)</f>
        <v>1</v>
      </c>
      <c r="Q309" s="25">
        <f>IF(BD_DETALLE!P309&lt;=0,0,IF(BD_DETALLE!P309=BD_DETALLE!H309,2,1))</f>
        <v>2</v>
      </c>
      <c r="R309" s="41">
        <f ca="1">IF(BD_DETALLE!$C309&gt;0,(IF(BD_DETALLE!$N309=0,TODAY()-BD_DETALLE!$C309,BD_DETALLE!$N309-BD_DETALLE!$C309)),"")</f>
        <v>42</v>
      </c>
    </row>
    <row r="310" spans="2:18" x14ac:dyDescent="0.25">
      <c r="B310" s="15" t="str">
        <f t="shared" si="38"/>
        <v>2102-216-301264</v>
      </c>
      <c r="C310" s="7">
        <v>44251</v>
      </c>
      <c r="D310" s="5" t="str">
        <f>IF(BD_DETALLE!$E310&gt;=1,CONCATENATE(TEXT(BD_DETALLE!$C310,"YY"),TEXT(BD_DETALLE!$C310,"MM"),"-",BD_DETALLE!$E310),"")</f>
        <v>2102-216</v>
      </c>
      <c r="E310" s="12">
        <v>216</v>
      </c>
      <c r="F310" s="21">
        <v>301264</v>
      </c>
      <c r="G310" s="4" t="str">
        <f>IFERROR(VLOOKUP(BD_DETALLE!$B310,Tabla9[],6,0),"")</f>
        <v>BREAKER TRIFASICO 200 AMP CAJA MOLDEADA</v>
      </c>
      <c r="H310" s="6">
        <f>IFERROR(VLOOKUP(BD_DETALLE!$B310,Tabla9[],4,0),0)</f>
        <v>1</v>
      </c>
      <c r="I310" s="19" t="s">
        <v>14</v>
      </c>
      <c r="J310" s="20" t="s">
        <v>1781</v>
      </c>
      <c r="K310" s="10">
        <f>IFERROR(VLOOKUP(BD_DETALLE!B310,Tabla9[],7,0),"")</f>
        <v>44278</v>
      </c>
      <c r="L310" s="11">
        <f>IFERROR(VLOOKUP(BD_DETALLE!B310,Tabla9[],8,0),"")</f>
        <v>52238</v>
      </c>
      <c r="M310" s="9">
        <f>IFERROR(SUMIFS(Tabla9[CANTIDAD2],Tabla9[BUSQUEDA],Tabla3[[#This Row],[BUSQUEDA]],Tabla9[CODIGO],Tabla3[[#This Row],[CODIGO]],Tabla9[ORDEN No.],Tabla3[[#This Row],[ORDEN de COMPRA]]),0)</f>
        <v>1</v>
      </c>
      <c r="N310" s="27">
        <f>IFERROR(IF(BD_DETALLE!B310&gt;0,VLOOKUP(BD_DETALLE!B310,Tabla9[],10,0),""),"")</f>
        <v>44291</v>
      </c>
      <c r="O310" s="28">
        <f>IFERROR(VLOOKUP(BD_DETALLE!B310,Tabla9[],11,0),0)</f>
        <v>11693</v>
      </c>
      <c r="P310" s="26">
        <f>IFERROR(SUMIFS(Tabla9[CANTIDAD3],Tabla9[BUSQUEDA],Tabla3[[#This Row],[BUSQUEDA]],Tabla9[CODIGO],Tabla3[[#This Row],[CODIGO]]),0)</f>
        <v>1</v>
      </c>
      <c r="Q310" s="25">
        <f>IF(BD_DETALLE!P310&lt;=0,0,IF(BD_DETALLE!P310=BD_DETALLE!H310,2,1))</f>
        <v>2</v>
      </c>
      <c r="R310" s="41">
        <f ca="1">IF(BD_DETALLE!$C310&gt;0,(IF(BD_DETALLE!$N310=0,TODAY()-BD_DETALLE!$C310,BD_DETALLE!$N310-BD_DETALLE!$C310)),"")</f>
        <v>40</v>
      </c>
    </row>
    <row r="311" spans="2:18" x14ac:dyDescent="0.25">
      <c r="B311" s="15" t="str">
        <f t="shared" si="38"/>
        <v>2102-216-316747</v>
      </c>
      <c r="C311" s="7">
        <v>44251</v>
      </c>
      <c r="D311" s="5" t="str">
        <f>IF(BD_DETALLE!$E311&gt;=1,CONCATENATE(TEXT(BD_DETALLE!$C311,"YY"),TEXT(BD_DETALLE!$C311,"MM"),"-",BD_DETALLE!$E311),"")</f>
        <v>2102-216</v>
      </c>
      <c r="E311" s="12">
        <v>216</v>
      </c>
      <c r="F311" s="21">
        <v>316747</v>
      </c>
      <c r="G311" s="4" t="str">
        <f>IFERROR(VLOOKUP(BD_DETALLE!$B311,Tabla9[],6,0),"")</f>
        <v>BREAKER TRIFASICO DE 250AMP CAJA MOLDEADA</v>
      </c>
      <c r="H311" s="6">
        <f>IFERROR(VLOOKUP(BD_DETALLE!$B311,Tabla9[],4,0),0)</f>
        <v>1</v>
      </c>
      <c r="I311" s="19" t="s">
        <v>14</v>
      </c>
      <c r="J311" s="20" t="s">
        <v>1781</v>
      </c>
      <c r="K311" s="10">
        <f>IFERROR(VLOOKUP(BD_DETALLE!B311,Tabla9[],7,0),"")</f>
        <v>44278</v>
      </c>
      <c r="L311" s="11">
        <f>IFERROR(VLOOKUP(BD_DETALLE!B311,Tabla9[],8,0),"")</f>
        <v>52238</v>
      </c>
      <c r="M311" s="9">
        <f>IFERROR(SUMIFS(Tabla9[CANTIDAD2],Tabla9[BUSQUEDA],Tabla3[[#This Row],[BUSQUEDA]],Tabla9[CODIGO],Tabla3[[#This Row],[CODIGO]],Tabla9[ORDEN No.],Tabla3[[#This Row],[ORDEN de COMPRA]]),0)</f>
        <v>1</v>
      </c>
      <c r="N311" s="27">
        <f>IFERROR(IF(BD_DETALLE!B311&gt;0,VLOOKUP(BD_DETALLE!B311,Tabla9[],10,0),""),"")</f>
        <v>44291</v>
      </c>
      <c r="O311" s="28">
        <f>IFERROR(VLOOKUP(BD_DETALLE!B311,Tabla9[],11,0),0)</f>
        <v>11693</v>
      </c>
      <c r="P311" s="26">
        <f>IFERROR(SUMIFS(Tabla9[CANTIDAD3],Tabla9[BUSQUEDA],Tabla3[[#This Row],[BUSQUEDA]],Tabla9[CODIGO],Tabla3[[#This Row],[CODIGO]]),0)</f>
        <v>1</v>
      </c>
      <c r="Q311" s="25">
        <f>IF(BD_DETALLE!P311&lt;=0,0,IF(BD_DETALLE!P311=BD_DETALLE!H311,2,1))</f>
        <v>2</v>
      </c>
      <c r="R311" s="41">
        <f ca="1">IF(BD_DETALLE!$C311&gt;0,(IF(BD_DETALLE!$N311=0,TODAY()-BD_DETALLE!$C311,BD_DETALLE!$N311-BD_DETALLE!$C311)),"")</f>
        <v>40</v>
      </c>
    </row>
    <row r="312" spans="2:18" x14ac:dyDescent="0.25">
      <c r="B312" s="15" t="str">
        <f t="shared" si="38"/>
        <v>2102-216-302827</v>
      </c>
      <c r="C312" s="7">
        <v>44251</v>
      </c>
      <c r="D312" s="5" t="str">
        <f>IF(BD_DETALLE!$E312&gt;=1,CONCATENATE(TEXT(BD_DETALLE!$C312,"YY"),TEXT(BD_DETALLE!$C312,"MM"),"-",BD_DETALLE!$E312),"")</f>
        <v>2102-216</v>
      </c>
      <c r="E312" s="12">
        <v>216</v>
      </c>
      <c r="F312" s="21">
        <v>302827</v>
      </c>
      <c r="G312" s="4" t="str">
        <f>IFERROR(VLOOKUP(BD_DETALLE!$B312,Tabla9[],6,0),"")</f>
        <v>BREAKER TRIFASICO PARA RIEL DE 125 AMP</v>
      </c>
      <c r="H312" s="6">
        <f>IFERROR(VLOOKUP(BD_DETALLE!$B312,Tabla9[],4,0),0)</f>
        <v>1</v>
      </c>
      <c r="I312" s="19" t="s">
        <v>14</v>
      </c>
      <c r="J312" s="20" t="s">
        <v>1781</v>
      </c>
      <c r="K312" s="10">
        <f>IFERROR(VLOOKUP(BD_DETALLE!B312,Tabla9[],7,0),"")</f>
        <v>44278</v>
      </c>
      <c r="L312" s="11">
        <f>IFERROR(VLOOKUP(BD_DETALLE!B312,Tabla9[],8,0),"")</f>
        <v>52238</v>
      </c>
      <c r="M312" s="9">
        <f>IFERROR(SUMIFS(Tabla9[CANTIDAD2],Tabla9[BUSQUEDA],Tabla3[[#This Row],[BUSQUEDA]],Tabla9[CODIGO],Tabla3[[#This Row],[CODIGO]],Tabla9[ORDEN No.],Tabla3[[#This Row],[ORDEN de COMPRA]]),0)</f>
        <v>1</v>
      </c>
      <c r="N312" s="27">
        <f>IFERROR(IF(BD_DETALLE!B312&gt;0,VLOOKUP(BD_DETALLE!B312,Tabla9[],10,0),""),"")</f>
        <v>44291</v>
      </c>
      <c r="O312" s="28">
        <f>IFERROR(VLOOKUP(BD_DETALLE!B312,Tabla9[],11,0),0)</f>
        <v>11693</v>
      </c>
      <c r="P312" s="26">
        <f>IFERROR(SUMIFS(Tabla9[CANTIDAD3],Tabla9[BUSQUEDA],Tabla3[[#This Row],[BUSQUEDA]],Tabla9[CODIGO],Tabla3[[#This Row],[CODIGO]]),0)</f>
        <v>1</v>
      </c>
      <c r="Q312" s="25">
        <f>IF(BD_DETALLE!P312&lt;=0,0,IF(BD_DETALLE!P312=BD_DETALLE!H312,2,1))</f>
        <v>2</v>
      </c>
      <c r="R312" s="41">
        <f ca="1">IF(BD_DETALLE!$C312&gt;0,(IF(BD_DETALLE!$N312=0,TODAY()-BD_DETALLE!$C312,BD_DETALLE!$N312-BD_DETALLE!$C312)),"")</f>
        <v>40</v>
      </c>
    </row>
    <row r="313" spans="2:18" x14ac:dyDescent="0.25">
      <c r="B313" s="15" t="str">
        <f t="shared" si="38"/>
        <v>2102-216-304251</v>
      </c>
      <c r="C313" s="7">
        <v>44251</v>
      </c>
      <c r="D313" s="5" t="str">
        <f>IF(BD_DETALLE!$E313&gt;=1,CONCATENATE(TEXT(BD_DETALLE!$C313,"YY"),TEXT(BD_DETALLE!$C313,"MM"),"-",BD_DETALLE!$E313),"")</f>
        <v>2102-216</v>
      </c>
      <c r="E313" s="12">
        <v>216</v>
      </c>
      <c r="F313" s="21">
        <v>304251</v>
      </c>
      <c r="G313" s="4" t="str">
        <f>IFERROR(VLOOKUP(BD_DETALLE!$B313,Tabla9[],6,0),"")</f>
        <v>BREAKER DE 180 A 3P TIPO CAJA MOLDEADA</v>
      </c>
      <c r="H313" s="6">
        <f>IFERROR(VLOOKUP(BD_DETALLE!$B313,Tabla9[],4,0),0)</f>
        <v>1</v>
      </c>
      <c r="I313" s="19" t="s">
        <v>14</v>
      </c>
      <c r="J313" s="20" t="s">
        <v>1781</v>
      </c>
      <c r="K313" s="10">
        <f>IFERROR(VLOOKUP(BD_DETALLE!B313,Tabla9[],7,0),"")</f>
        <v>44278</v>
      </c>
      <c r="L313" s="11">
        <f>IFERROR(VLOOKUP(BD_DETALLE!B313,Tabla9[],8,0),"")</f>
        <v>52238</v>
      </c>
      <c r="M313" s="9">
        <f>IFERROR(SUMIFS(Tabla9[CANTIDAD2],Tabla9[BUSQUEDA],Tabla3[[#This Row],[BUSQUEDA]],Tabla9[CODIGO],Tabla3[[#This Row],[CODIGO]],Tabla9[ORDEN No.],Tabla3[[#This Row],[ORDEN de COMPRA]]),0)</f>
        <v>1</v>
      </c>
      <c r="N313" s="27">
        <f>IFERROR(IF(BD_DETALLE!B313&gt;0,VLOOKUP(BD_DETALLE!B313,Tabla9[],10,0),""),"")</f>
        <v>44293</v>
      </c>
      <c r="O313" s="28">
        <f>IFERROR(VLOOKUP(BD_DETALLE!B313,Tabla9[],11,0),0)</f>
        <v>11739</v>
      </c>
      <c r="P313" s="26">
        <f>IFERROR(SUMIFS(Tabla9[CANTIDAD3],Tabla9[BUSQUEDA],Tabla3[[#This Row],[BUSQUEDA]],Tabla9[CODIGO],Tabla3[[#This Row],[CODIGO]]),0)</f>
        <v>1</v>
      </c>
      <c r="Q313" s="25">
        <f>IF(BD_DETALLE!P313&lt;=0,0,IF(BD_DETALLE!P313=BD_DETALLE!H313,2,1))</f>
        <v>2</v>
      </c>
      <c r="R313" s="41">
        <f ca="1">IF(BD_DETALLE!$C313&gt;0,(IF(BD_DETALLE!$N313=0,TODAY()-BD_DETALLE!$C313,BD_DETALLE!$N313-BD_DETALLE!$C313)),"")</f>
        <v>42</v>
      </c>
    </row>
    <row r="314" spans="2:18" x14ac:dyDescent="0.25">
      <c r="B314" s="15" t="str">
        <f t="shared" si="38"/>
        <v>2102-216-203372</v>
      </c>
      <c r="C314" s="7">
        <v>44251</v>
      </c>
      <c r="D314" s="5" t="str">
        <f>IF(BD_DETALLE!$E314&gt;=1,CONCATENATE(TEXT(BD_DETALLE!$C314,"YY"),TEXT(BD_DETALLE!$C314,"MM"),"-",BD_DETALLE!$E314),"")</f>
        <v>2102-216</v>
      </c>
      <c r="E314" s="12">
        <v>216</v>
      </c>
      <c r="F314" s="21">
        <v>203372</v>
      </c>
      <c r="G314" s="4" t="str">
        <f>IFERROR(VLOOKUP(BD_DETALLE!$B314,Tabla9[],6,0),"")</f>
        <v>CABLE CONCENTRICO 4 x 10</v>
      </c>
      <c r="H314" s="6">
        <f>IFERROR(VLOOKUP(BD_DETALLE!$B314,Tabla9[],4,0),0)</f>
        <v>100</v>
      </c>
      <c r="I314" s="19" t="s">
        <v>14</v>
      </c>
      <c r="J314" s="20" t="s">
        <v>1781</v>
      </c>
      <c r="K314" s="10">
        <f>IFERROR(VLOOKUP(BD_DETALLE!B314,Tabla9[],7,0),"")</f>
        <v>44278</v>
      </c>
      <c r="L314" s="11">
        <f>IFERROR(VLOOKUP(BD_DETALLE!B314,Tabla9[],8,0),"")</f>
        <v>52238</v>
      </c>
      <c r="M314" s="9">
        <f>IFERROR(SUMIFS(Tabla9[CANTIDAD2],Tabla9[BUSQUEDA],Tabla3[[#This Row],[BUSQUEDA]],Tabla9[CODIGO],Tabla3[[#This Row],[CODIGO]],Tabla9[ORDEN No.],Tabla3[[#This Row],[ORDEN de COMPRA]]),0)</f>
        <v>100</v>
      </c>
      <c r="N314" s="27">
        <f>IFERROR(IF(BD_DETALLE!B314&gt;0,VLOOKUP(BD_DETALLE!B314,Tabla9[],10,0),""),"")</f>
        <v>44286</v>
      </c>
      <c r="O314" s="28">
        <f>IFERROR(VLOOKUP(BD_DETALLE!B314,Tabla9[],11,0),0)</f>
        <v>11687</v>
      </c>
      <c r="P314" s="26">
        <f>IFERROR(SUMIFS(Tabla9[CANTIDAD3],Tabla9[BUSQUEDA],Tabla3[[#This Row],[BUSQUEDA]],Tabla9[CODIGO],Tabla3[[#This Row],[CODIGO]]),0)</f>
        <v>100</v>
      </c>
      <c r="Q314" s="25">
        <f>IF(BD_DETALLE!P314&lt;=0,0,IF(BD_DETALLE!P314=BD_DETALLE!H314,2,1))</f>
        <v>2</v>
      </c>
      <c r="R314" s="41">
        <f ca="1">IF(BD_DETALLE!$C314&gt;0,(IF(BD_DETALLE!$N314=0,TODAY()-BD_DETALLE!$C314,BD_DETALLE!$N314-BD_DETALLE!$C314)),"")</f>
        <v>35</v>
      </c>
    </row>
    <row r="315" spans="2:18" x14ac:dyDescent="0.25">
      <c r="B315" s="15" t="str">
        <f t="shared" si="38"/>
        <v>2102-216-203970</v>
      </c>
      <c r="C315" s="7">
        <v>44251</v>
      </c>
      <c r="D315" s="5" t="str">
        <f>IF(BD_DETALLE!$E315&gt;=1,CONCATENATE(TEXT(BD_DETALLE!$C315,"YY"),TEXT(BD_DETALLE!$C315,"MM"),"-",BD_DETALLE!$E315),"")</f>
        <v>2102-216</v>
      </c>
      <c r="E315" s="12">
        <v>216</v>
      </c>
      <c r="F315" s="21">
        <v>203970</v>
      </c>
      <c r="G315" s="4" t="str">
        <f>IFERROR(VLOOKUP(BD_DETALLE!$B315,Tabla9[],6,0),"")</f>
        <v>CABLE CONCENTRICO 4 x 8</v>
      </c>
      <c r="H315" s="6">
        <f>IFERROR(VLOOKUP(BD_DETALLE!$B315,Tabla9[],4,0),0)</f>
        <v>50</v>
      </c>
      <c r="I315" s="19" t="s">
        <v>14</v>
      </c>
      <c r="J315" s="20" t="s">
        <v>1781</v>
      </c>
      <c r="K315" s="10">
        <f>IFERROR(VLOOKUP(BD_DETALLE!B315,Tabla9[],7,0),"")</f>
        <v>44278</v>
      </c>
      <c r="L315" s="11">
        <f>IFERROR(VLOOKUP(BD_DETALLE!B315,Tabla9[],8,0),"")</f>
        <v>52238</v>
      </c>
      <c r="M315" s="9">
        <f>IFERROR(SUMIFS(Tabla9[CANTIDAD2],Tabla9[BUSQUEDA],Tabla3[[#This Row],[BUSQUEDA]],Tabla9[CODIGO],Tabla3[[#This Row],[CODIGO]],Tabla9[ORDEN No.],Tabla3[[#This Row],[ORDEN de COMPRA]]),0)</f>
        <v>50</v>
      </c>
      <c r="N315" s="27">
        <f>IFERROR(IF(BD_DETALLE!B315&gt;0,VLOOKUP(BD_DETALLE!B315,Tabla9[],10,0),""),"")</f>
        <v>44284</v>
      </c>
      <c r="O315" s="28">
        <f>IFERROR(VLOOKUP(BD_DETALLE!B315,Tabla9[],11,0),0)</f>
        <v>11677</v>
      </c>
      <c r="P315" s="26">
        <f>IFERROR(SUMIFS(Tabla9[CANTIDAD3],Tabla9[BUSQUEDA],Tabla3[[#This Row],[BUSQUEDA]],Tabla9[CODIGO],Tabla3[[#This Row],[CODIGO]]),0)</f>
        <v>50</v>
      </c>
      <c r="Q315" s="25">
        <f>IF(BD_DETALLE!P315&lt;=0,0,IF(BD_DETALLE!P315=BD_DETALLE!H315,2,1))</f>
        <v>2</v>
      </c>
      <c r="R315" s="41">
        <f ca="1">IF(BD_DETALLE!$C315&gt;0,(IF(BD_DETALLE!$N315=0,TODAY()-BD_DETALLE!$C315,BD_DETALLE!$N315-BD_DETALLE!$C315)),"")</f>
        <v>33</v>
      </c>
    </row>
    <row r="316" spans="2:18" x14ac:dyDescent="0.25">
      <c r="B316" s="15" t="str">
        <f t="shared" si="38"/>
        <v>2102-216-305046</v>
      </c>
      <c r="C316" s="7">
        <v>44251</v>
      </c>
      <c r="D316" s="5" t="str">
        <f>IF(BD_DETALLE!$E316&gt;=1,CONCATENATE(TEXT(BD_DETALLE!$C316,"YY"),TEXT(BD_DETALLE!$C316,"MM"),"-",BD_DETALLE!$E316),"")</f>
        <v>2102-216</v>
      </c>
      <c r="E316" s="12">
        <v>216</v>
      </c>
      <c r="F316" s="21">
        <v>305046</v>
      </c>
      <c r="G316" s="4" t="str">
        <f>IFERROR(VLOOKUP(BD_DETALLE!$B316,Tabla9[],6,0),"")</f>
        <v>TUBO DE EMT 1/2"</v>
      </c>
      <c r="H316" s="6">
        <f>IFERROR(VLOOKUP(BD_DETALLE!$B316,Tabla9[],4,0),0)</f>
        <v>10</v>
      </c>
      <c r="I316" s="19" t="s">
        <v>14</v>
      </c>
      <c r="J316" s="20" t="s">
        <v>1781</v>
      </c>
      <c r="K316" s="10">
        <f>IFERROR(VLOOKUP(BD_DETALLE!B316,Tabla9[],7,0),"")</f>
        <v>44278</v>
      </c>
      <c r="L316" s="11">
        <f>IFERROR(VLOOKUP(BD_DETALLE!B316,Tabla9[],8,0),"")</f>
        <v>52238</v>
      </c>
      <c r="M316" s="9">
        <f>IFERROR(SUMIFS(Tabla9[CANTIDAD2],Tabla9[BUSQUEDA],Tabla3[[#This Row],[BUSQUEDA]],Tabla9[CODIGO],Tabla3[[#This Row],[CODIGO]],Tabla9[ORDEN No.],Tabla3[[#This Row],[ORDEN de COMPRA]]),0)</f>
        <v>10</v>
      </c>
      <c r="N316" s="27">
        <f>IFERROR(IF(BD_DETALLE!B316&gt;0,VLOOKUP(BD_DETALLE!B316,Tabla9[],10,0),""),"")</f>
        <v>44284</v>
      </c>
      <c r="O316" s="28">
        <f>IFERROR(VLOOKUP(BD_DETALLE!B316,Tabla9[],11,0),0)</f>
        <v>11677</v>
      </c>
      <c r="P316" s="26">
        <f>IFERROR(SUMIFS(Tabla9[CANTIDAD3],Tabla9[BUSQUEDA],Tabla3[[#This Row],[BUSQUEDA]],Tabla9[CODIGO],Tabla3[[#This Row],[CODIGO]]),0)</f>
        <v>10</v>
      </c>
      <c r="Q316" s="25">
        <f>IF(BD_DETALLE!P316&lt;=0,0,IF(BD_DETALLE!P316=BD_DETALLE!H316,2,1))</f>
        <v>2</v>
      </c>
      <c r="R316" s="41">
        <f ca="1">IF(BD_DETALLE!$C316&gt;0,(IF(BD_DETALLE!$N316=0,TODAY()-BD_DETALLE!$C316,BD_DETALLE!$N316-BD_DETALLE!$C316)),"")</f>
        <v>33</v>
      </c>
    </row>
    <row r="317" spans="2:18" x14ac:dyDescent="0.25">
      <c r="B317" s="15" t="str">
        <f t="shared" si="38"/>
        <v>2102-216-204410</v>
      </c>
      <c r="C317" s="7">
        <v>44251</v>
      </c>
      <c r="D317" s="5" t="str">
        <f>IF(BD_DETALLE!$E317&gt;=1,CONCATENATE(TEXT(BD_DETALLE!$C317,"YY"),TEXT(BD_DETALLE!$C317,"MM"),"-",BD_DETALLE!$E317),"")</f>
        <v>2102-216</v>
      </c>
      <c r="E317" s="12">
        <v>216</v>
      </c>
      <c r="F317" s="21">
        <v>204410</v>
      </c>
      <c r="G317" s="4" t="str">
        <f>IFERROR(VLOOKUP(BD_DETALLE!$B317,Tabla9[],6,0),"")</f>
        <v>TUBO EMT DE 3/4" x 3MTS</v>
      </c>
      <c r="H317" s="6">
        <f>IFERROR(VLOOKUP(BD_DETALLE!$B317,Tabla9[],4,0),0)</f>
        <v>10</v>
      </c>
      <c r="I317" s="19" t="s">
        <v>14</v>
      </c>
      <c r="J317" s="20" t="s">
        <v>1781</v>
      </c>
      <c r="K317" s="10">
        <f>IFERROR(VLOOKUP(BD_DETALLE!B317,Tabla9[],7,0),"")</f>
        <v>44278</v>
      </c>
      <c r="L317" s="11">
        <f>IFERROR(VLOOKUP(BD_DETALLE!B317,Tabla9[],8,0),"")</f>
        <v>52238</v>
      </c>
      <c r="M317" s="9">
        <f>IFERROR(SUMIFS(Tabla9[CANTIDAD2],Tabla9[BUSQUEDA],Tabla3[[#This Row],[BUSQUEDA]],Tabla9[CODIGO],Tabla3[[#This Row],[CODIGO]],Tabla9[ORDEN No.],Tabla3[[#This Row],[ORDEN de COMPRA]]),0)</f>
        <v>10</v>
      </c>
      <c r="N317" s="27">
        <f>IFERROR(IF(BD_DETALLE!B317&gt;0,VLOOKUP(BD_DETALLE!B317,Tabla9[],10,0),""),"")</f>
        <v>44284</v>
      </c>
      <c r="O317" s="28">
        <f>IFERROR(VLOOKUP(BD_DETALLE!B317,Tabla9[],11,0),0)</f>
        <v>11677</v>
      </c>
      <c r="P317" s="26">
        <f>IFERROR(SUMIFS(Tabla9[CANTIDAD3],Tabla9[BUSQUEDA],Tabla3[[#This Row],[BUSQUEDA]],Tabla9[CODIGO],Tabla3[[#This Row],[CODIGO]]),0)</f>
        <v>10</v>
      </c>
      <c r="Q317" s="25">
        <f>IF(BD_DETALLE!P317&lt;=0,0,IF(BD_DETALLE!P317=BD_DETALLE!H317,2,1))</f>
        <v>2</v>
      </c>
      <c r="R317" s="41">
        <f ca="1">IF(BD_DETALLE!$C317&gt;0,(IF(BD_DETALLE!$N317=0,TODAY()-BD_DETALLE!$C317,BD_DETALLE!$N317-BD_DETALLE!$C317)),"")</f>
        <v>33</v>
      </c>
    </row>
    <row r="318" spans="2:18" x14ac:dyDescent="0.25">
      <c r="B318" s="15" t="str">
        <f t="shared" si="38"/>
        <v>2102-216-203972</v>
      </c>
      <c r="C318" s="7">
        <v>44251</v>
      </c>
      <c r="D318" s="5" t="str">
        <f>IF(BD_DETALLE!$E318&gt;=1,CONCATENATE(TEXT(BD_DETALLE!$C318,"YY"),TEXT(BD_DETALLE!$C318,"MM"),"-",BD_DETALLE!$E318),"")</f>
        <v>2102-216</v>
      </c>
      <c r="E318" s="12">
        <v>216</v>
      </c>
      <c r="F318" s="21">
        <v>203972</v>
      </c>
      <c r="G318" s="4" t="str">
        <f>IFERROR(VLOOKUP(BD_DETALLE!$B318,Tabla9[],6,0),"")</f>
        <v>TUBO EMT DE 1" x 3MTS</v>
      </c>
      <c r="H318" s="6">
        <f>IFERROR(VLOOKUP(BD_DETALLE!$B318,Tabla9[],4,0),0)</f>
        <v>12</v>
      </c>
      <c r="I318" s="19" t="s">
        <v>14</v>
      </c>
      <c r="J318" s="20" t="s">
        <v>1781</v>
      </c>
      <c r="K318" s="10">
        <f>IFERROR(VLOOKUP(BD_DETALLE!B318,Tabla9[],7,0),"")</f>
        <v>44278</v>
      </c>
      <c r="L318" s="11">
        <f>IFERROR(VLOOKUP(BD_DETALLE!B318,Tabla9[],8,0),"")</f>
        <v>52238</v>
      </c>
      <c r="M318" s="9">
        <f>IFERROR(SUMIFS(Tabla9[CANTIDAD2],Tabla9[BUSQUEDA],Tabla3[[#This Row],[BUSQUEDA]],Tabla9[CODIGO],Tabla3[[#This Row],[CODIGO]],Tabla9[ORDEN No.],Tabla3[[#This Row],[ORDEN de COMPRA]]),0)</f>
        <v>12</v>
      </c>
      <c r="N318" s="27">
        <f>IFERROR(IF(BD_DETALLE!B318&gt;0,VLOOKUP(BD_DETALLE!B318,Tabla9[],10,0),""),"")</f>
        <v>44284</v>
      </c>
      <c r="O318" s="28">
        <f>IFERROR(VLOOKUP(BD_DETALLE!B318,Tabla9[],11,0),0)</f>
        <v>11676</v>
      </c>
      <c r="P318" s="26">
        <f>IFERROR(SUMIFS(Tabla9[CANTIDAD3],Tabla9[BUSQUEDA],Tabla3[[#This Row],[BUSQUEDA]],Tabla9[CODIGO],Tabla3[[#This Row],[CODIGO]]),0)</f>
        <v>12</v>
      </c>
      <c r="Q318" s="25">
        <f>IF(BD_DETALLE!P318&lt;=0,0,IF(BD_DETALLE!P318=BD_DETALLE!H318,2,1))</f>
        <v>2</v>
      </c>
      <c r="R318" s="41">
        <f ca="1">IF(BD_DETALLE!$C318&gt;0,(IF(BD_DETALLE!$N318=0,TODAY()-BD_DETALLE!$C318,BD_DETALLE!$N318-BD_DETALLE!$C318)),"")</f>
        <v>33</v>
      </c>
    </row>
    <row r="319" spans="2:18" x14ac:dyDescent="0.25">
      <c r="B319" s="15" t="str">
        <f t="shared" si="38"/>
        <v>2102-216-203973</v>
      </c>
      <c r="C319" s="7">
        <v>44251</v>
      </c>
      <c r="D319" s="5" t="str">
        <f>IF(BD_DETALLE!$E319&gt;=1,CONCATENATE(TEXT(BD_DETALLE!$C319,"YY"),TEXT(BD_DETALLE!$C319,"MM"),"-",BD_DETALLE!$E319),"")</f>
        <v>2102-216</v>
      </c>
      <c r="E319" s="12">
        <v>216</v>
      </c>
      <c r="F319" s="21">
        <v>203973</v>
      </c>
      <c r="G319" s="4" t="str">
        <f>IFERROR(VLOOKUP(BD_DETALLE!$B319,Tabla9[],6,0),"")</f>
        <v>TUBO EMT DE 1-1/4" x 3MTS</v>
      </c>
      <c r="H319" s="6">
        <f>IFERROR(VLOOKUP(BD_DETALLE!$B319,Tabla9[],4,0),0)</f>
        <v>6</v>
      </c>
      <c r="I319" s="19" t="s">
        <v>14</v>
      </c>
      <c r="J319" s="20" t="s">
        <v>1781</v>
      </c>
      <c r="K319" s="10">
        <f>IFERROR(VLOOKUP(BD_DETALLE!B319,Tabla9[],7,0),"")</f>
        <v>44278</v>
      </c>
      <c r="L319" s="11">
        <f>IFERROR(VLOOKUP(BD_DETALLE!B319,Tabla9[],8,0),"")</f>
        <v>52238</v>
      </c>
      <c r="M319" s="9">
        <f>IFERROR(SUMIFS(Tabla9[CANTIDAD2],Tabla9[BUSQUEDA],Tabla3[[#This Row],[BUSQUEDA]],Tabla9[CODIGO],Tabla3[[#This Row],[CODIGO]],Tabla9[ORDEN No.],Tabla3[[#This Row],[ORDEN de COMPRA]]),0)</f>
        <v>6</v>
      </c>
      <c r="N319" s="27">
        <f>IFERROR(IF(BD_DETALLE!B319&gt;0,VLOOKUP(BD_DETALLE!B319,Tabla9[],10,0),""),"")</f>
        <v>44284</v>
      </c>
      <c r="O319" s="28">
        <f>IFERROR(VLOOKUP(BD_DETALLE!B319,Tabla9[],11,0),0)</f>
        <v>11676</v>
      </c>
      <c r="P319" s="26">
        <f>IFERROR(SUMIFS(Tabla9[CANTIDAD3],Tabla9[BUSQUEDA],Tabla3[[#This Row],[BUSQUEDA]],Tabla9[CODIGO],Tabla3[[#This Row],[CODIGO]]),0)</f>
        <v>6</v>
      </c>
      <c r="Q319" s="25">
        <f>IF(BD_DETALLE!P319&lt;=0,0,IF(BD_DETALLE!P319=BD_DETALLE!H319,2,1))</f>
        <v>2</v>
      </c>
      <c r="R319" s="41">
        <f ca="1">IF(BD_DETALLE!$C319&gt;0,(IF(BD_DETALLE!$N319=0,TODAY()-BD_DETALLE!$C319,BD_DETALLE!$N319-BD_DETALLE!$C319)),"")</f>
        <v>33</v>
      </c>
    </row>
    <row r="320" spans="2:18" x14ac:dyDescent="0.25">
      <c r="B320" s="15" t="str">
        <f t="shared" si="38"/>
        <v>2102-216-203233</v>
      </c>
      <c r="C320" s="7">
        <v>44251</v>
      </c>
      <c r="D320" s="5" t="str">
        <f>IF(BD_DETALLE!$E320&gt;=1,CONCATENATE(TEXT(BD_DETALLE!$C320,"YY"),TEXT(BD_DETALLE!$C320,"MM"),"-",BD_DETALLE!$E320),"")</f>
        <v>2102-216</v>
      </c>
      <c r="E320" s="12">
        <v>216</v>
      </c>
      <c r="F320" s="21">
        <v>203233</v>
      </c>
      <c r="G320" s="4" t="str">
        <f>IFERROR(VLOOKUP(BD_DETALLE!$B320,Tabla9[],6,0),"")</f>
        <v>TUBO EMT DE 1-1/2" x 3MTRS</v>
      </c>
      <c r="H320" s="6">
        <f>IFERROR(VLOOKUP(BD_DETALLE!$B320,Tabla9[],4,0),0)</f>
        <v>6</v>
      </c>
      <c r="I320" s="19" t="s">
        <v>14</v>
      </c>
      <c r="J320" s="20" t="s">
        <v>1781</v>
      </c>
      <c r="K320" s="10">
        <f>IFERROR(VLOOKUP(BD_DETALLE!B320,Tabla9[],7,0),"")</f>
        <v>44278</v>
      </c>
      <c r="L320" s="11">
        <f>IFERROR(VLOOKUP(BD_DETALLE!B320,Tabla9[],8,0),"")</f>
        <v>52238</v>
      </c>
      <c r="M320" s="9">
        <f>IFERROR(SUMIFS(Tabla9[CANTIDAD2],Tabla9[BUSQUEDA],Tabla3[[#This Row],[BUSQUEDA]],Tabla9[CODIGO],Tabla3[[#This Row],[CODIGO]],Tabla9[ORDEN No.],Tabla3[[#This Row],[ORDEN de COMPRA]]),0)</f>
        <v>6</v>
      </c>
      <c r="N320" s="27">
        <f>IFERROR(IF(BD_DETALLE!B320&gt;0,VLOOKUP(BD_DETALLE!B320,Tabla9[],10,0),""),"")</f>
        <v>44284</v>
      </c>
      <c r="O320" s="28">
        <f>IFERROR(VLOOKUP(BD_DETALLE!B320,Tabla9[],11,0),0)</f>
        <v>11676</v>
      </c>
      <c r="P320" s="26">
        <f>IFERROR(SUMIFS(Tabla9[CANTIDAD3],Tabla9[BUSQUEDA],Tabla3[[#This Row],[BUSQUEDA]],Tabla9[CODIGO],Tabla3[[#This Row],[CODIGO]]),0)</f>
        <v>6</v>
      </c>
      <c r="Q320" s="25">
        <f>IF(BD_DETALLE!P320&lt;=0,0,IF(BD_DETALLE!P320=BD_DETALLE!H320,2,1))</f>
        <v>2</v>
      </c>
      <c r="R320" s="41">
        <f ca="1">IF(BD_DETALLE!$C320&gt;0,(IF(BD_DETALLE!$N320=0,TODAY()-BD_DETALLE!$C320,BD_DETALLE!$N320-BD_DETALLE!$C320)),"")</f>
        <v>33</v>
      </c>
    </row>
    <row r="321" spans="2:18" x14ac:dyDescent="0.25">
      <c r="B321" s="15" t="str">
        <f t="shared" si="38"/>
        <v>2102-216-203234</v>
      </c>
      <c r="C321" s="7">
        <v>44251</v>
      </c>
      <c r="D321" s="5" t="str">
        <f>IF(BD_DETALLE!$E321&gt;=1,CONCATENATE(TEXT(BD_DETALLE!$C321,"YY"),TEXT(BD_DETALLE!$C321,"MM"),"-",BD_DETALLE!$E321),"")</f>
        <v>2102-216</v>
      </c>
      <c r="E321" s="12">
        <v>216</v>
      </c>
      <c r="F321" s="21">
        <v>203234</v>
      </c>
      <c r="G321" s="4" t="str">
        <f>IFERROR(VLOOKUP(BD_DETALLE!$B321,Tabla9[],6,0),"")</f>
        <v>TUBO EMT DE 2" x 3MTRS</v>
      </c>
      <c r="H321" s="6">
        <f>IFERROR(VLOOKUP(BD_DETALLE!$B321,Tabla9[],4,0),0)</f>
        <v>4</v>
      </c>
      <c r="I321" s="19" t="s">
        <v>14</v>
      </c>
      <c r="J321" s="20" t="s">
        <v>1781</v>
      </c>
      <c r="K321" s="10">
        <f>IFERROR(VLOOKUP(BD_DETALLE!B321,Tabla9[],7,0),"")</f>
        <v>44278</v>
      </c>
      <c r="L321" s="11">
        <f>IFERROR(VLOOKUP(BD_DETALLE!B321,Tabla9[],8,0),"")</f>
        <v>52238</v>
      </c>
      <c r="M321" s="9">
        <f>IFERROR(SUMIFS(Tabla9[CANTIDAD2],Tabla9[BUSQUEDA],Tabla3[[#This Row],[BUSQUEDA]],Tabla9[CODIGO],Tabla3[[#This Row],[CODIGO]],Tabla9[ORDEN No.],Tabla3[[#This Row],[ORDEN de COMPRA]]),0)</f>
        <v>4</v>
      </c>
      <c r="N321" s="27">
        <f>IFERROR(IF(BD_DETALLE!B321&gt;0,VLOOKUP(BD_DETALLE!B321,Tabla9[],10,0),""),"")</f>
        <v>44291</v>
      </c>
      <c r="O321" s="28">
        <f>IFERROR(VLOOKUP(BD_DETALLE!B321,Tabla9[],11,0),0)</f>
        <v>11691</v>
      </c>
      <c r="P321" s="26">
        <f>IFERROR(SUMIFS(Tabla9[CANTIDAD3],Tabla9[BUSQUEDA],Tabla3[[#This Row],[BUSQUEDA]],Tabla9[CODIGO],Tabla3[[#This Row],[CODIGO]]),0)</f>
        <v>4</v>
      </c>
      <c r="Q321" s="25">
        <f>IF(BD_DETALLE!P321&lt;=0,0,IF(BD_DETALLE!P321=BD_DETALLE!H321,2,1))</f>
        <v>2</v>
      </c>
      <c r="R321" s="41">
        <f ca="1">IF(BD_DETALLE!$C321&gt;0,(IF(BD_DETALLE!$N321=0,TODAY()-BD_DETALLE!$C321,BD_DETALLE!$N321-BD_DETALLE!$C321)),"")</f>
        <v>40</v>
      </c>
    </row>
    <row r="322" spans="2:18" x14ac:dyDescent="0.25">
      <c r="B322" s="15" t="str">
        <f t="shared" si="38"/>
        <v>2102-216-201048</v>
      </c>
      <c r="C322" s="7">
        <v>44251</v>
      </c>
      <c r="D322" s="5" t="str">
        <f>IF(BD_DETALLE!$E322&gt;=1,CONCATENATE(TEXT(BD_DETALLE!$C322,"YY"),TEXT(BD_DETALLE!$C322,"MM"),"-",BD_DETALLE!$E322),"")</f>
        <v>2102-216</v>
      </c>
      <c r="E322" s="12">
        <v>216</v>
      </c>
      <c r="F322" s="21">
        <v>201048</v>
      </c>
      <c r="G322" s="4" t="str">
        <f>IFERROR(VLOOKUP(BD_DETALLE!$B322,Tabla9[],6,0),"")</f>
        <v>FUNDA SELLADA DE 1/2" PARA CABLE ELECTRICO</v>
      </c>
      <c r="H322" s="6">
        <f>IFERROR(VLOOKUP(BD_DETALLE!$B322,Tabla9[],4,0),0)</f>
        <v>12</v>
      </c>
      <c r="I322" s="19" t="s">
        <v>14</v>
      </c>
      <c r="J322" s="20" t="s">
        <v>1781</v>
      </c>
      <c r="K322" s="10">
        <f>IFERROR(VLOOKUP(BD_DETALLE!B322,Tabla9[],7,0),"")</f>
        <v>44278</v>
      </c>
      <c r="L322" s="11">
        <f>IFERROR(VLOOKUP(BD_DETALLE!B322,Tabla9[],8,0),"")</f>
        <v>52238</v>
      </c>
      <c r="M322" s="9">
        <f>IFERROR(SUMIFS(Tabla9[CANTIDAD2],Tabla9[BUSQUEDA],Tabla3[[#This Row],[BUSQUEDA]],Tabla9[CODIGO],Tabla3[[#This Row],[CODIGO]],Tabla9[ORDEN No.],Tabla3[[#This Row],[ORDEN de COMPRA]]),0)</f>
        <v>12</v>
      </c>
      <c r="N322" s="27">
        <f>IFERROR(IF(BD_DETALLE!B322&gt;0,VLOOKUP(BD_DETALLE!B322,Tabla9[],10,0),""),"")</f>
        <v>44284</v>
      </c>
      <c r="O322" s="28">
        <f>IFERROR(VLOOKUP(BD_DETALLE!B322,Tabla9[],11,0),0)</f>
        <v>11676</v>
      </c>
      <c r="P322" s="26">
        <f>IFERROR(SUMIFS(Tabla9[CANTIDAD3],Tabla9[BUSQUEDA],Tabla3[[#This Row],[BUSQUEDA]],Tabla9[CODIGO],Tabla3[[#This Row],[CODIGO]]),0)</f>
        <v>12</v>
      </c>
      <c r="Q322" s="25">
        <f>IF(BD_DETALLE!P322&lt;=0,0,IF(BD_DETALLE!P322=BD_DETALLE!H322,2,1))</f>
        <v>2</v>
      </c>
      <c r="R322" s="41">
        <f ca="1">IF(BD_DETALLE!$C322&gt;0,(IF(BD_DETALLE!$N322=0,TODAY()-BD_DETALLE!$C322,BD_DETALLE!$N322-BD_DETALLE!$C322)),"")</f>
        <v>33</v>
      </c>
    </row>
    <row r="323" spans="2:18" x14ac:dyDescent="0.25">
      <c r="B323" s="15" t="str">
        <f t="shared" si="38"/>
        <v>2102-216-203222</v>
      </c>
      <c r="C323" s="7">
        <v>44251</v>
      </c>
      <c r="D323" s="5" t="str">
        <f>IF(BD_DETALLE!$E323&gt;=1,CONCATENATE(TEXT(BD_DETALLE!$C323,"YY"),TEXT(BD_DETALLE!$C323,"MM"),"-",BD_DETALLE!$E323),"")</f>
        <v>2102-216</v>
      </c>
      <c r="E323" s="12">
        <v>216</v>
      </c>
      <c r="F323" s="21">
        <v>203222</v>
      </c>
      <c r="G323" s="4" t="str">
        <f>IFERROR(VLOOKUP(BD_DETALLE!$B323,Tabla9[],6,0),"")</f>
        <v>FUNDA SELLADA DE 3/4" PARA CABLE ELECTRICO</v>
      </c>
      <c r="H323" s="6">
        <f>IFERROR(VLOOKUP(BD_DETALLE!$B323,Tabla9[],4,0),0)</f>
        <v>12</v>
      </c>
      <c r="I323" s="19" t="s">
        <v>14</v>
      </c>
      <c r="J323" s="20" t="s">
        <v>1781</v>
      </c>
      <c r="K323" s="10">
        <f>IFERROR(VLOOKUP(BD_DETALLE!B323,Tabla9[],7,0),"")</f>
        <v>44278</v>
      </c>
      <c r="L323" s="11">
        <f>IFERROR(VLOOKUP(BD_DETALLE!B323,Tabla9[],8,0),"")</f>
        <v>52238</v>
      </c>
      <c r="M323" s="9">
        <f>IFERROR(SUMIFS(Tabla9[CANTIDAD2],Tabla9[BUSQUEDA],Tabla3[[#This Row],[BUSQUEDA]],Tabla9[CODIGO],Tabla3[[#This Row],[CODIGO]],Tabla9[ORDEN No.],Tabla3[[#This Row],[ORDEN de COMPRA]]),0)</f>
        <v>12</v>
      </c>
      <c r="N323" s="27">
        <f>IFERROR(IF(BD_DETALLE!B323&gt;0,VLOOKUP(BD_DETALLE!B323,Tabla9[],10,0),""),"")</f>
        <v>44284</v>
      </c>
      <c r="O323" s="28">
        <f>IFERROR(VLOOKUP(BD_DETALLE!B323,Tabla9[],11,0),0)</f>
        <v>11676</v>
      </c>
      <c r="P323" s="26">
        <f>IFERROR(SUMIFS(Tabla9[CANTIDAD3],Tabla9[BUSQUEDA],Tabla3[[#This Row],[BUSQUEDA]],Tabla9[CODIGO],Tabla3[[#This Row],[CODIGO]]),0)</f>
        <v>12</v>
      </c>
      <c r="Q323" s="25">
        <f>IF(BD_DETALLE!P323&lt;=0,0,IF(BD_DETALLE!P323=BD_DETALLE!H323,2,1))</f>
        <v>2</v>
      </c>
      <c r="R323" s="41">
        <f ca="1">IF(BD_DETALLE!$C323&gt;0,(IF(BD_DETALLE!$N323=0,TODAY()-BD_DETALLE!$C323,BD_DETALLE!$N323-BD_DETALLE!$C323)),"")</f>
        <v>33</v>
      </c>
    </row>
    <row r="324" spans="2:18" x14ac:dyDescent="0.25">
      <c r="B324" s="15" t="str">
        <f t="shared" si="38"/>
        <v>2102-216-203223</v>
      </c>
      <c r="C324" s="7">
        <v>44251</v>
      </c>
      <c r="D324" s="5" t="str">
        <f>IF(BD_DETALLE!$E324&gt;=1,CONCATENATE(TEXT(BD_DETALLE!$C324,"YY"),TEXT(BD_DETALLE!$C324,"MM"),"-",BD_DETALLE!$E324),"")</f>
        <v>2102-216</v>
      </c>
      <c r="E324" s="12">
        <v>216</v>
      </c>
      <c r="F324" s="21">
        <v>203223</v>
      </c>
      <c r="G324" s="4" t="str">
        <f>IFERROR(VLOOKUP(BD_DETALLE!$B324,Tabla9[],6,0),"")</f>
        <v>FUNDA SELLADA DE 1" PARA CABLE ELECTRICO</v>
      </c>
      <c r="H324" s="6">
        <f>IFERROR(VLOOKUP(BD_DETALLE!$B324,Tabla9[],4,0),0)</f>
        <v>12</v>
      </c>
      <c r="I324" s="19" t="s">
        <v>14</v>
      </c>
      <c r="J324" s="20" t="s">
        <v>1781</v>
      </c>
      <c r="K324" s="10">
        <f>IFERROR(VLOOKUP(BD_DETALLE!B324,Tabla9[],7,0),"")</f>
        <v>44278</v>
      </c>
      <c r="L324" s="11">
        <f>IFERROR(VLOOKUP(BD_DETALLE!B324,Tabla9[],8,0),"")</f>
        <v>52238</v>
      </c>
      <c r="M324" s="9">
        <f>IFERROR(SUMIFS(Tabla9[CANTIDAD2],Tabla9[BUSQUEDA],Tabla3[[#This Row],[BUSQUEDA]],Tabla9[CODIGO],Tabla3[[#This Row],[CODIGO]],Tabla9[ORDEN No.],Tabla3[[#This Row],[ORDEN de COMPRA]]),0)</f>
        <v>12</v>
      </c>
      <c r="N324" s="27">
        <f>IFERROR(IF(BD_DETALLE!B324&gt;0,VLOOKUP(BD_DETALLE!B324,Tabla9[],10,0),""),"")</f>
        <v>44284</v>
      </c>
      <c r="O324" s="28">
        <f>IFERROR(VLOOKUP(BD_DETALLE!B324,Tabla9[],11,0),0)</f>
        <v>11676</v>
      </c>
      <c r="P324" s="26">
        <f>IFERROR(SUMIFS(Tabla9[CANTIDAD3],Tabla9[BUSQUEDA],Tabla3[[#This Row],[BUSQUEDA]],Tabla9[CODIGO],Tabla3[[#This Row],[CODIGO]]),0)</f>
        <v>12</v>
      </c>
      <c r="Q324" s="25">
        <f>IF(BD_DETALLE!P324&lt;=0,0,IF(BD_DETALLE!P324=BD_DETALLE!H324,2,1))</f>
        <v>2</v>
      </c>
      <c r="R324" s="41">
        <f ca="1">IF(BD_DETALLE!$C324&gt;0,(IF(BD_DETALLE!$N324=0,TODAY()-BD_DETALLE!$C324,BD_DETALLE!$N324-BD_DETALLE!$C324)),"")</f>
        <v>33</v>
      </c>
    </row>
    <row r="325" spans="2:18" x14ac:dyDescent="0.25">
      <c r="B325" s="15" t="str">
        <f t="shared" si="38"/>
        <v>2102-216-203224</v>
      </c>
      <c r="C325" s="7">
        <v>44251</v>
      </c>
      <c r="D325" s="5" t="str">
        <f>IF(BD_DETALLE!$E325&gt;=1,CONCATENATE(TEXT(BD_DETALLE!$C325,"YY"),TEXT(BD_DETALLE!$C325,"MM"),"-",BD_DETALLE!$E325),"")</f>
        <v>2102-216</v>
      </c>
      <c r="E325" s="12">
        <v>216</v>
      </c>
      <c r="F325" s="21">
        <v>203224</v>
      </c>
      <c r="G325" s="4" t="str">
        <f>IFERROR(VLOOKUP(BD_DETALLE!$B325,Tabla9[],6,0),"")</f>
        <v>FUNDA SELLADA DE 1-1/4" PARA CABLE ELECTRICO</v>
      </c>
      <c r="H325" s="6">
        <f>IFERROR(VLOOKUP(BD_DETALLE!$B325,Tabla9[],4,0),0)</f>
        <v>6</v>
      </c>
      <c r="I325" s="19" t="s">
        <v>14</v>
      </c>
      <c r="J325" s="20" t="s">
        <v>1781</v>
      </c>
      <c r="K325" s="10">
        <f>IFERROR(VLOOKUP(BD_DETALLE!B325,Tabla9[],7,0),"")</f>
        <v>44278</v>
      </c>
      <c r="L325" s="11">
        <f>IFERROR(VLOOKUP(BD_DETALLE!B325,Tabla9[],8,0),"")</f>
        <v>52238</v>
      </c>
      <c r="M325" s="9">
        <f>IFERROR(SUMIFS(Tabla9[CANTIDAD2],Tabla9[BUSQUEDA],Tabla3[[#This Row],[BUSQUEDA]],Tabla9[CODIGO],Tabla3[[#This Row],[CODIGO]],Tabla9[ORDEN No.],Tabla3[[#This Row],[ORDEN de COMPRA]]),0)</f>
        <v>6</v>
      </c>
      <c r="N325" s="27">
        <f>IFERROR(IF(BD_DETALLE!B325&gt;0,VLOOKUP(BD_DETALLE!B325,Tabla9[],10,0),""),"")</f>
        <v>44284</v>
      </c>
      <c r="O325" s="28">
        <f>IFERROR(VLOOKUP(BD_DETALLE!B325,Tabla9[],11,0),0)</f>
        <v>11676</v>
      </c>
      <c r="P325" s="26">
        <f>IFERROR(SUMIFS(Tabla9[CANTIDAD3],Tabla9[BUSQUEDA],Tabla3[[#This Row],[BUSQUEDA]],Tabla9[CODIGO],Tabla3[[#This Row],[CODIGO]]),0)</f>
        <v>6</v>
      </c>
      <c r="Q325" s="25">
        <f>IF(BD_DETALLE!P325&lt;=0,0,IF(BD_DETALLE!P325=BD_DETALLE!H325,2,1))</f>
        <v>2</v>
      </c>
      <c r="R325" s="41">
        <f ca="1">IF(BD_DETALLE!$C325&gt;0,(IF(BD_DETALLE!$N325=0,TODAY()-BD_DETALLE!$C325,BD_DETALLE!$N325-BD_DETALLE!$C325)),"")</f>
        <v>33</v>
      </c>
    </row>
    <row r="326" spans="2:18" x14ac:dyDescent="0.25">
      <c r="B326" s="15" t="str">
        <f t="shared" si="38"/>
        <v>2102-216-203225</v>
      </c>
      <c r="C326" s="7">
        <v>44251</v>
      </c>
      <c r="D326" s="5" t="str">
        <f>IF(BD_DETALLE!$E326&gt;=1,CONCATENATE(TEXT(BD_DETALLE!$C326,"YY"),TEXT(BD_DETALLE!$C326,"MM"),"-",BD_DETALLE!$E326),"")</f>
        <v>2102-216</v>
      </c>
      <c r="E326" s="12">
        <v>216</v>
      </c>
      <c r="F326" s="21">
        <v>203225</v>
      </c>
      <c r="G326" s="4" t="str">
        <f>IFERROR(VLOOKUP(BD_DETALLE!$B326,Tabla9[],6,0),"")</f>
        <v>FUNDA SELLADA DE 1-1/2" PARA CABLE ELECTRICO</v>
      </c>
      <c r="H326" s="6">
        <f>IFERROR(VLOOKUP(BD_DETALLE!$B326,Tabla9[],4,0),0)</f>
        <v>6</v>
      </c>
      <c r="I326" s="19" t="s">
        <v>14</v>
      </c>
      <c r="J326" s="20" t="s">
        <v>1781</v>
      </c>
      <c r="K326" s="10">
        <f>IFERROR(VLOOKUP(BD_DETALLE!B326,Tabla9[],7,0),"")</f>
        <v>44278</v>
      </c>
      <c r="L326" s="11">
        <f>IFERROR(VLOOKUP(BD_DETALLE!B326,Tabla9[],8,0),"")</f>
        <v>52238</v>
      </c>
      <c r="M326" s="9">
        <f>IFERROR(SUMIFS(Tabla9[CANTIDAD2],Tabla9[BUSQUEDA],Tabla3[[#This Row],[BUSQUEDA]],Tabla9[CODIGO],Tabla3[[#This Row],[CODIGO]],Tabla9[ORDEN No.],Tabla3[[#This Row],[ORDEN de COMPRA]]),0)</f>
        <v>6</v>
      </c>
      <c r="N326" s="27">
        <f>IFERROR(IF(BD_DETALLE!B326&gt;0,VLOOKUP(BD_DETALLE!B326,Tabla9[],10,0),""),"")</f>
        <v>44284</v>
      </c>
      <c r="O326" s="28">
        <f>IFERROR(VLOOKUP(BD_DETALLE!B326,Tabla9[],11,0),0)</f>
        <v>11676</v>
      </c>
      <c r="P326" s="26">
        <f>IFERROR(SUMIFS(Tabla9[CANTIDAD3],Tabla9[BUSQUEDA],Tabla3[[#This Row],[BUSQUEDA]],Tabla9[CODIGO],Tabla3[[#This Row],[CODIGO]]),0)</f>
        <v>6</v>
      </c>
      <c r="Q326" s="25">
        <f>IF(BD_DETALLE!P326&lt;=0,0,IF(BD_DETALLE!P326=BD_DETALLE!H326,2,1))</f>
        <v>2</v>
      </c>
      <c r="R326" s="41">
        <f ca="1">IF(BD_DETALLE!$C326&gt;0,(IF(BD_DETALLE!$N326=0,TODAY()-BD_DETALLE!$C326,BD_DETALLE!$N326-BD_DETALLE!$C326)),"")</f>
        <v>33</v>
      </c>
    </row>
    <row r="327" spans="2:18" x14ac:dyDescent="0.25">
      <c r="B327" s="15" t="str">
        <f t="shared" si="38"/>
        <v>2102-216-300804</v>
      </c>
      <c r="C327" s="7">
        <v>44251</v>
      </c>
      <c r="D327" s="5" t="str">
        <f>IF(BD_DETALLE!$E327&gt;=1,CONCATENATE(TEXT(BD_DETALLE!$C327,"YY"),TEXT(BD_DETALLE!$C327,"MM"),"-",BD_DETALLE!$E327),"")</f>
        <v>2102-216</v>
      </c>
      <c r="E327" s="12">
        <v>216</v>
      </c>
      <c r="F327" s="21">
        <v>300804</v>
      </c>
      <c r="G327" s="4" t="str">
        <f>IFERROR(VLOOKUP(BD_DETALLE!$B327,Tabla9[],6,0),"")</f>
        <v>CABLE CONCENTRICO 4 x 18 AWG</v>
      </c>
      <c r="H327" s="6">
        <f>IFERROR(VLOOKUP(BD_DETALLE!$B327,Tabla9[],4,0),0)</f>
        <v>75</v>
      </c>
      <c r="I327" s="19" t="s">
        <v>14</v>
      </c>
      <c r="J327" s="20" t="s">
        <v>1781</v>
      </c>
      <c r="K327" s="10">
        <f>IFERROR(VLOOKUP(BD_DETALLE!B327,Tabla9[],7,0),"")</f>
        <v>44278</v>
      </c>
      <c r="L327" s="11">
        <f>IFERROR(VLOOKUP(BD_DETALLE!B327,Tabla9[],8,0),"")</f>
        <v>52238</v>
      </c>
      <c r="M327" s="9">
        <f>IFERROR(SUMIFS(Tabla9[CANTIDAD2],Tabla9[BUSQUEDA],Tabla3[[#This Row],[BUSQUEDA]],Tabla9[CODIGO],Tabla3[[#This Row],[CODIGO]],Tabla9[ORDEN No.],Tabla3[[#This Row],[ORDEN de COMPRA]]),0)</f>
        <v>75</v>
      </c>
      <c r="N327" s="27">
        <f>IFERROR(IF(BD_DETALLE!B327&gt;0,VLOOKUP(BD_DETALLE!B327,Tabla9[],10,0),""),"")</f>
        <v>44284</v>
      </c>
      <c r="O327" s="28">
        <f>IFERROR(VLOOKUP(BD_DETALLE!B327,Tabla9[],11,0),0)</f>
        <v>11676</v>
      </c>
      <c r="P327" s="26">
        <f>IFERROR(SUMIFS(Tabla9[CANTIDAD3],Tabla9[BUSQUEDA],Tabla3[[#This Row],[BUSQUEDA]],Tabla9[CODIGO],Tabla3[[#This Row],[CODIGO]]),0)</f>
        <v>75</v>
      </c>
      <c r="Q327" s="25">
        <f>IF(BD_DETALLE!P327&lt;=0,0,IF(BD_DETALLE!P327=BD_DETALLE!H327,2,1))</f>
        <v>2</v>
      </c>
      <c r="R327" s="41">
        <f ca="1">IF(BD_DETALLE!$C327&gt;0,(IF(BD_DETALLE!$N327=0,TODAY()-BD_DETALLE!$C327,BD_DETALLE!$N327-BD_DETALLE!$C327)),"")</f>
        <v>33</v>
      </c>
    </row>
    <row r="328" spans="2:18" x14ac:dyDescent="0.25">
      <c r="B328" s="15" t="str">
        <f t="shared" si="38"/>
        <v>2102-216-311108</v>
      </c>
      <c r="C328" s="7">
        <v>44251</v>
      </c>
      <c r="D328" s="5" t="str">
        <f>IF(BD_DETALLE!$E328&gt;=1,CONCATENATE(TEXT(BD_DETALLE!$C328,"YY"),TEXT(BD_DETALLE!$C328,"MM"),"-",BD_DETALLE!$E328),"")</f>
        <v>2102-216</v>
      </c>
      <c r="E328" s="12">
        <v>216</v>
      </c>
      <c r="F328" s="21">
        <v>311108</v>
      </c>
      <c r="G328" s="4" t="str">
        <f>IFERROR(VLOOKUP(BD_DETALLE!$B328,Tabla9[],6,0),"")</f>
        <v>TABLERO ELECTRICO PLASTICO 30 X 30 X 20</v>
      </c>
      <c r="H328" s="6">
        <f>IFERROR(VLOOKUP(BD_DETALLE!$B328,Tabla9[],4,0),0)</f>
        <v>2</v>
      </c>
      <c r="I328" s="19" t="s">
        <v>14</v>
      </c>
      <c r="J328" s="20" t="s">
        <v>1781</v>
      </c>
      <c r="K328" s="10">
        <f>IFERROR(VLOOKUP(BD_DETALLE!B328,Tabla9[],7,0),"")</f>
        <v>44278</v>
      </c>
      <c r="L328" s="11">
        <f>IFERROR(VLOOKUP(BD_DETALLE!B328,Tabla9[],8,0),"")</f>
        <v>52238</v>
      </c>
      <c r="M328" s="9">
        <f>IFERROR(SUMIFS(Tabla9[CANTIDAD2],Tabla9[BUSQUEDA],Tabla3[[#This Row],[BUSQUEDA]],Tabla9[CODIGO],Tabla3[[#This Row],[CODIGO]],Tabla9[ORDEN No.],Tabla3[[#This Row],[ORDEN de COMPRA]]),0)</f>
        <v>4</v>
      </c>
      <c r="N328" s="27">
        <f>IFERROR(IF(BD_DETALLE!B328&gt;0,VLOOKUP(BD_DETALLE!B328,Tabla9[],10,0),""),"")</f>
        <v>44285</v>
      </c>
      <c r="O328" s="28">
        <f>IFERROR(VLOOKUP(BD_DETALLE!B328,Tabla9[],11,0),0)</f>
        <v>11679</v>
      </c>
      <c r="P328" s="26">
        <f>IFERROR(SUMIFS(Tabla9[CANTIDAD3],Tabla9[BUSQUEDA],Tabla3[[#This Row],[BUSQUEDA]],Tabla9[CODIGO],Tabla3[[#This Row],[CODIGO]]),0)</f>
        <v>2</v>
      </c>
      <c r="Q328" s="25">
        <f>IF(BD_DETALLE!P328&lt;=0,0,IF(BD_DETALLE!P328=BD_DETALLE!H328,2,1))</f>
        <v>2</v>
      </c>
      <c r="R328" s="41">
        <f ca="1">IF(BD_DETALLE!$C328&gt;0,(IF(BD_DETALLE!$N328=0,TODAY()-BD_DETALLE!$C328,BD_DETALLE!$N328-BD_DETALLE!$C328)),"")</f>
        <v>34</v>
      </c>
    </row>
    <row r="329" spans="2:18" x14ac:dyDescent="0.25">
      <c r="B329" s="15" t="str">
        <f t="shared" si="38"/>
        <v>2102-216-205083</v>
      </c>
      <c r="C329" s="7">
        <v>44251</v>
      </c>
      <c r="D329" s="5" t="str">
        <f>IF(BD_DETALLE!$E329&gt;=1,CONCATENATE(TEXT(BD_DETALLE!$C329,"YY"),TEXT(BD_DETALLE!$C329,"MM"),"-",BD_DETALLE!$E329),"")</f>
        <v>2102-216</v>
      </c>
      <c r="E329" s="12">
        <v>216</v>
      </c>
      <c r="F329" s="21">
        <v>205083</v>
      </c>
      <c r="G329" s="4" t="str">
        <f>IFERROR(VLOOKUP(BD_DETALLE!$B329,Tabla9[],6,0),"")</f>
        <v>CONTACTOR LC1-D12 DE 12 A 25AMP / 220V</v>
      </c>
      <c r="H329" s="6">
        <f>IFERROR(VLOOKUP(BD_DETALLE!$B329,Tabla9[],4,0),0)</f>
        <v>2</v>
      </c>
      <c r="I329" s="19" t="s">
        <v>14</v>
      </c>
      <c r="J329" s="20" t="s">
        <v>1781</v>
      </c>
      <c r="K329" s="10">
        <f>IFERROR(VLOOKUP(BD_DETALLE!B329,Tabla9[],7,0),"")</f>
        <v>44278</v>
      </c>
      <c r="L329" s="11">
        <f>IFERROR(VLOOKUP(BD_DETALLE!B329,Tabla9[],8,0),"")</f>
        <v>52238</v>
      </c>
      <c r="M329" s="9">
        <f>IFERROR(SUMIFS(Tabla9[CANTIDAD2],Tabla9[BUSQUEDA],Tabla3[[#This Row],[BUSQUEDA]],Tabla9[CODIGO],Tabla3[[#This Row],[CODIGO]],Tabla9[ORDEN No.],Tabla3[[#This Row],[ORDEN de COMPRA]]),0)</f>
        <v>2</v>
      </c>
      <c r="N329" s="27">
        <f>IFERROR(IF(BD_DETALLE!B329&gt;0,VLOOKUP(BD_DETALLE!B329,Tabla9[],10,0),""),"")</f>
        <v>0</v>
      </c>
      <c r="O329" s="28">
        <f>IFERROR(VLOOKUP(BD_DETALLE!B329,Tabla9[],11,0),0)</f>
        <v>0</v>
      </c>
      <c r="P329" s="26">
        <f>IFERROR(SUMIFS(Tabla9[CANTIDAD3],Tabla9[BUSQUEDA],Tabla3[[#This Row],[BUSQUEDA]],Tabla9[CODIGO],Tabla3[[#This Row],[CODIGO]]),0)</f>
        <v>0</v>
      </c>
      <c r="Q329" s="25">
        <f>IF(BD_DETALLE!P329&lt;=0,0,IF(BD_DETALLE!P329=BD_DETALLE!H329,2,1))</f>
        <v>0</v>
      </c>
      <c r="R329" s="41">
        <f ca="1">IF(BD_DETALLE!$C329&gt;0,(IF(BD_DETALLE!$N329=0,TODAY()-BD_DETALLE!$C329,BD_DETALLE!$N329-BD_DETALLE!$C329)),"")</f>
        <v>54</v>
      </c>
    </row>
    <row r="330" spans="2:18" x14ac:dyDescent="0.25">
      <c r="B330" s="15" t="str">
        <f t="shared" si="38"/>
        <v>2102-216-206303</v>
      </c>
      <c r="C330" s="7">
        <v>44251</v>
      </c>
      <c r="D330" s="5" t="str">
        <f>IF(BD_DETALLE!$E330&gt;=1,CONCATENATE(TEXT(BD_DETALLE!$C330,"YY"),TEXT(BD_DETALLE!$C330,"MM"),"-",BD_DETALLE!$E330),"")</f>
        <v>2102-216</v>
      </c>
      <c r="E330" s="12">
        <v>216</v>
      </c>
      <c r="F330" s="21">
        <v>206303</v>
      </c>
      <c r="G330" s="4" t="str">
        <f>IFERROR(VLOOKUP(BD_DETALLE!$B330,Tabla9[],6,0),"")</f>
        <v>CONTACTOR LC1-D18 DE 18 A 32AMP / 220V</v>
      </c>
      <c r="H330" s="6">
        <f>IFERROR(VLOOKUP(BD_DETALLE!$B330,Tabla9[],4,0),0)</f>
        <v>2</v>
      </c>
      <c r="I330" s="19" t="s">
        <v>14</v>
      </c>
      <c r="J330" s="20" t="s">
        <v>1781</v>
      </c>
      <c r="K330" s="10">
        <f>IFERROR(VLOOKUP(BD_DETALLE!B330,Tabla9[],7,0),"")</f>
        <v>44278</v>
      </c>
      <c r="L330" s="11">
        <f>IFERROR(VLOOKUP(BD_DETALLE!B330,Tabla9[],8,0),"")</f>
        <v>52238</v>
      </c>
      <c r="M330" s="9">
        <f>IFERROR(SUMIFS(Tabla9[CANTIDAD2],Tabla9[BUSQUEDA],Tabla3[[#This Row],[BUSQUEDA]],Tabla9[CODIGO],Tabla3[[#This Row],[CODIGO]],Tabla9[ORDEN No.],Tabla3[[#This Row],[ORDEN de COMPRA]]),0)</f>
        <v>2</v>
      </c>
      <c r="N330" s="27">
        <f>IFERROR(IF(BD_DETALLE!B330&gt;0,VLOOKUP(BD_DETALLE!B330,Tabla9[],10,0),""),"")</f>
        <v>44285</v>
      </c>
      <c r="O330" s="28">
        <f>IFERROR(VLOOKUP(BD_DETALLE!B330,Tabla9[],11,0),0)</f>
        <v>11679</v>
      </c>
      <c r="P330" s="26">
        <f>IFERROR(SUMIFS(Tabla9[CANTIDAD3],Tabla9[BUSQUEDA],Tabla3[[#This Row],[BUSQUEDA]],Tabla9[CODIGO],Tabla3[[#This Row],[CODIGO]]),0)</f>
        <v>2</v>
      </c>
      <c r="Q330" s="25">
        <f>IF(BD_DETALLE!P330&lt;=0,0,IF(BD_DETALLE!P330=BD_DETALLE!H330,2,1))</f>
        <v>2</v>
      </c>
      <c r="R330" s="41">
        <f ca="1">IF(BD_DETALLE!$C330&gt;0,(IF(BD_DETALLE!$N330=0,TODAY()-BD_DETALLE!$C330,BD_DETALLE!$N330-BD_DETALLE!$C330)),"")</f>
        <v>34</v>
      </c>
    </row>
    <row r="331" spans="2:18" x14ac:dyDescent="0.25">
      <c r="B331" s="15" t="str">
        <f t="shared" si="38"/>
        <v>2102-216-206095</v>
      </c>
      <c r="C331" s="7">
        <v>44251</v>
      </c>
      <c r="D331" s="5" t="str">
        <f>IF(BD_DETALLE!$E331&gt;=1,CONCATENATE(TEXT(BD_DETALLE!$C331,"YY"),TEXT(BD_DETALLE!$C331,"MM"),"-",BD_DETALLE!$E331),"")</f>
        <v>2102-216</v>
      </c>
      <c r="E331" s="12">
        <v>216</v>
      </c>
      <c r="F331" s="21">
        <v>206095</v>
      </c>
      <c r="G331" s="4" t="str">
        <f>IFERROR(VLOOKUP(BD_DETALLE!$B331,Tabla9[],6,0),"")</f>
        <v>CONTACTOR LC1-D25 DE 25 A 40AMP / 220V</v>
      </c>
      <c r="H331" s="6">
        <f>IFERROR(VLOOKUP(BD_DETALLE!$B331,Tabla9[],4,0),0)</f>
        <v>2</v>
      </c>
      <c r="I331" s="19" t="s">
        <v>14</v>
      </c>
      <c r="J331" s="20" t="s">
        <v>1781</v>
      </c>
      <c r="K331" s="10">
        <f>IFERROR(VLOOKUP(BD_DETALLE!B331,Tabla9[],7,0),"")</f>
        <v>44278</v>
      </c>
      <c r="L331" s="11">
        <f>IFERROR(VLOOKUP(BD_DETALLE!B331,Tabla9[],8,0),"")</f>
        <v>52238</v>
      </c>
      <c r="M331" s="9">
        <f>IFERROR(SUMIFS(Tabla9[CANTIDAD2],Tabla9[BUSQUEDA],Tabla3[[#This Row],[BUSQUEDA]],Tabla9[CODIGO],Tabla3[[#This Row],[CODIGO]],Tabla9[ORDEN No.],Tabla3[[#This Row],[ORDEN de COMPRA]]),0)</f>
        <v>2</v>
      </c>
      <c r="N331" s="27">
        <f>IFERROR(IF(BD_DETALLE!B331&gt;0,VLOOKUP(BD_DETALLE!B331,Tabla9[],10,0),""),"")</f>
        <v>44285</v>
      </c>
      <c r="O331" s="28">
        <f>IFERROR(VLOOKUP(BD_DETALLE!B331,Tabla9[],11,0),0)</f>
        <v>11680</v>
      </c>
      <c r="P331" s="26">
        <f>IFERROR(SUMIFS(Tabla9[CANTIDAD3],Tabla9[BUSQUEDA],Tabla3[[#This Row],[BUSQUEDA]],Tabla9[CODIGO],Tabla3[[#This Row],[CODIGO]]),0)</f>
        <v>2</v>
      </c>
      <c r="Q331" s="25">
        <f>IF(BD_DETALLE!P331&lt;=0,0,IF(BD_DETALLE!P331=BD_DETALLE!H331,2,1))</f>
        <v>2</v>
      </c>
      <c r="R331" s="41">
        <f ca="1">IF(BD_DETALLE!$C331&gt;0,(IF(BD_DETALLE!$N331=0,TODAY()-BD_DETALLE!$C331,BD_DETALLE!$N331-BD_DETALLE!$C331)),"")</f>
        <v>34</v>
      </c>
    </row>
    <row r="332" spans="2:18" x14ac:dyDescent="0.25">
      <c r="B332" s="15" t="str">
        <f t="shared" si="38"/>
        <v>2102-216-313521</v>
      </c>
      <c r="C332" s="7">
        <v>44251</v>
      </c>
      <c r="D332" s="5" t="str">
        <f>IF(BD_DETALLE!$E332&gt;=1,CONCATENATE(TEXT(BD_DETALLE!$C332,"YY"),TEXT(BD_DETALLE!$C332,"MM"),"-",BD_DETALLE!$E332),"")</f>
        <v>2102-216</v>
      </c>
      <c r="E332" s="12">
        <v>216</v>
      </c>
      <c r="F332" s="21">
        <v>313521</v>
      </c>
      <c r="G332" s="4" t="str">
        <f>IFERROR(VLOOKUP(BD_DETALLE!$B332,Tabla9[],6,0),"")</f>
        <v>CONTACTOR LC1-D38  38AMP / 220V</v>
      </c>
      <c r="H332" s="6">
        <f>IFERROR(VLOOKUP(BD_DETALLE!$B332,Tabla9[],4,0),0)</f>
        <v>2</v>
      </c>
      <c r="I332" s="19" t="s">
        <v>14</v>
      </c>
      <c r="J332" s="20" t="s">
        <v>1781</v>
      </c>
      <c r="K332" s="10">
        <f>IFERROR(VLOOKUP(BD_DETALLE!B332,Tabla9[],7,0),"")</f>
        <v>44278</v>
      </c>
      <c r="L332" s="11">
        <f>IFERROR(VLOOKUP(BD_DETALLE!B332,Tabla9[],8,0),"")</f>
        <v>52238</v>
      </c>
      <c r="M332" s="9">
        <f>IFERROR(SUMIFS(Tabla9[CANTIDAD2],Tabla9[BUSQUEDA],Tabla3[[#This Row],[BUSQUEDA]],Tabla9[CODIGO],Tabla3[[#This Row],[CODIGO]],Tabla9[ORDEN No.],Tabla3[[#This Row],[ORDEN de COMPRA]]),0)</f>
        <v>2</v>
      </c>
      <c r="N332" s="27">
        <f>IFERROR(IF(BD_DETALLE!B332&gt;0,VLOOKUP(BD_DETALLE!B332,Tabla9[],10,0),""),"")</f>
        <v>44285</v>
      </c>
      <c r="O332" s="28">
        <f>IFERROR(VLOOKUP(BD_DETALLE!B332,Tabla9[],11,0),0)</f>
        <v>11679</v>
      </c>
      <c r="P332" s="26">
        <f>IFERROR(SUMIFS(Tabla9[CANTIDAD3],Tabla9[BUSQUEDA],Tabla3[[#This Row],[BUSQUEDA]],Tabla9[CODIGO],Tabla3[[#This Row],[CODIGO]]),0)</f>
        <v>2</v>
      </c>
      <c r="Q332" s="25">
        <f>IF(BD_DETALLE!P332&lt;=0,0,IF(BD_DETALLE!P332=BD_DETALLE!H332,2,1))</f>
        <v>2</v>
      </c>
      <c r="R332" s="41">
        <f ca="1">IF(BD_DETALLE!$C332&gt;0,(IF(BD_DETALLE!$N332=0,TODAY()-BD_DETALLE!$C332,BD_DETALLE!$N332-BD_DETALLE!$C332)),"")</f>
        <v>34</v>
      </c>
    </row>
    <row r="333" spans="2:18" x14ac:dyDescent="0.25">
      <c r="B333" s="15" t="str">
        <f t="shared" si="38"/>
        <v>2102-216-205076</v>
      </c>
      <c r="C333" s="7">
        <v>44251</v>
      </c>
      <c r="D333" s="5" t="str">
        <f>IF(BD_DETALLE!$E333&gt;=1,CONCATENATE(TEXT(BD_DETALLE!$C333,"YY"),TEXT(BD_DETALLE!$C333,"MM"),"-",BD_DETALLE!$E333),"")</f>
        <v>2102-216</v>
      </c>
      <c r="E333" s="12">
        <v>216</v>
      </c>
      <c r="F333" s="21">
        <v>205076</v>
      </c>
      <c r="G333" s="4" t="str">
        <f>IFERROR(VLOOKUP(BD_DETALLE!$B333,Tabla9[],6,0),"")</f>
        <v>CONTACTOR LC1-D40 DE 40 A 60AMP / 220V</v>
      </c>
      <c r="H333" s="6">
        <f>IFERROR(VLOOKUP(BD_DETALLE!$B333,Tabla9[],4,0),0)</f>
        <v>2</v>
      </c>
      <c r="I333" s="19" t="s">
        <v>14</v>
      </c>
      <c r="J333" s="20" t="s">
        <v>1781</v>
      </c>
      <c r="K333" s="10">
        <f>IFERROR(VLOOKUP(BD_DETALLE!B333,Tabla9[],7,0),"")</f>
        <v>44278</v>
      </c>
      <c r="L333" s="11">
        <f>IFERROR(VLOOKUP(BD_DETALLE!B333,Tabla9[],8,0),"")</f>
        <v>52238</v>
      </c>
      <c r="M333" s="9">
        <f>IFERROR(SUMIFS(Tabla9[CANTIDAD2],Tabla9[BUSQUEDA],Tabla3[[#This Row],[BUSQUEDA]],Tabla9[CODIGO],Tabla3[[#This Row],[CODIGO]],Tabla9[ORDEN No.],Tabla3[[#This Row],[ORDEN de COMPRA]]),0)</f>
        <v>2</v>
      </c>
      <c r="N333" s="27">
        <f>IFERROR(IF(BD_DETALLE!B333&gt;0,VLOOKUP(BD_DETALLE!B333,Tabla9[],10,0),""),"")</f>
        <v>44285</v>
      </c>
      <c r="O333" s="28">
        <f>IFERROR(VLOOKUP(BD_DETALLE!B333,Tabla9[],11,0),0)</f>
        <v>11679</v>
      </c>
      <c r="P333" s="26">
        <f>IFERROR(SUMIFS(Tabla9[CANTIDAD3],Tabla9[BUSQUEDA],Tabla3[[#This Row],[BUSQUEDA]],Tabla9[CODIGO],Tabla3[[#This Row],[CODIGO]]),0)</f>
        <v>2</v>
      </c>
      <c r="Q333" s="25">
        <f>IF(BD_DETALLE!P333&lt;=0,0,IF(BD_DETALLE!P333=BD_DETALLE!H333,2,1))</f>
        <v>2</v>
      </c>
      <c r="R333" s="41">
        <f ca="1">IF(BD_DETALLE!$C333&gt;0,(IF(BD_DETALLE!$N333=0,TODAY()-BD_DETALLE!$C333,BD_DETALLE!$N333-BD_DETALLE!$C333)),"")</f>
        <v>34</v>
      </c>
    </row>
    <row r="334" spans="2:18" x14ac:dyDescent="0.25">
      <c r="B334" s="15" t="str">
        <f t="shared" si="38"/>
        <v>2102-216-312353</v>
      </c>
      <c r="C334" s="7">
        <v>44251</v>
      </c>
      <c r="D334" s="5" t="str">
        <f>IF(BD_DETALLE!$E334&gt;=1,CONCATENATE(TEXT(BD_DETALLE!$C334,"YY"),TEXT(BD_DETALLE!$C334,"MM"),"-",BD_DETALLE!$E334),"")</f>
        <v>2102-216</v>
      </c>
      <c r="E334" s="12">
        <v>216</v>
      </c>
      <c r="F334" s="21">
        <v>312353</v>
      </c>
      <c r="G334" s="4" t="str">
        <f>IFERROR(VLOOKUP(BD_DETALLE!$B334,Tabla9[],6,0),"")</f>
        <v>CONTACTOR LC1-D50 DE 50 A 80AMP / 220V</v>
      </c>
      <c r="H334" s="6">
        <f>IFERROR(VLOOKUP(BD_DETALLE!$B334,Tabla9[],4,0),0)</f>
        <v>2</v>
      </c>
      <c r="I334" s="19" t="s">
        <v>14</v>
      </c>
      <c r="J334" s="20" t="s">
        <v>1781</v>
      </c>
      <c r="K334" s="10">
        <f>IFERROR(VLOOKUP(BD_DETALLE!B334,Tabla9[],7,0),"")</f>
        <v>44278</v>
      </c>
      <c r="L334" s="11">
        <f>IFERROR(VLOOKUP(BD_DETALLE!B334,Tabla9[],8,0),"")</f>
        <v>52238</v>
      </c>
      <c r="M334" s="9">
        <f>IFERROR(SUMIFS(Tabla9[CANTIDAD2],Tabla9[BUSQUEDA],Tabla3[[#This Row],[BUSQUEDA]],Tabla9[CODIGO],Tabla3[[#This Row],[CODIGO]],Tabla9[ORDEN No.],Tabla3[[#This Row],[ORDEN de COMPRA]]),0)</f>
        <v>2</v>
      </c>
      <c r="N334" s="27">
        <f>IFERROR(IF(BD_DETALLE!B334&gt;0,VLOOKUP(BD_DETALLE!B334,Tabla9[],10,0),""),"")</f>
        <v>44285</v>
      </c>
      <c r="O334" s="28">
        <f>IFERROR(VLOOKUP(BD_DETALLE!B334,Tabla9[],11,0),0)</f>
        <v>11679</v>
      </c>
      <c r="P334" s="26">
        <f>IFERROR(SUMIFS(Tabla9[CANTIDAD3],Tabla9[BUSQUEDA],Tabla3[[#This Row],[BUSQUEDA]],Tabla9[CODIGO],Tabla3[[#This Row],[CODIGO]]),0)</f>
        <v>2</v>
      </c>
      <c r="Q334" s="25">
        <f>IF(BD_DETALLE!P334&lt;=0,0,IF(BD_DETALLE!P334=BD_DETALLE!H334,2,1))</f>
        <v>2</v>
      </c>
      <c r="R334" s="41">
        <f ca="1">IF(BD_DETALLE!$C334&gt;0,(IF(BD_DETALLE!$N334=0,TODAY()-BD_DETALLE!$C334,BD_DETALLE!$N334-BD_DETALLE!$C334)),"")</f>
        <v>34</v>
      </c>
    </row>
    <row r="335" spans="2:18" x14ac:dyDescent="0.25">
      <c r="B335" s="15" t="str">
        <f t="shared" si="38"/>
        <v>2102-216-205074</v>
      </c>
      <c r="C335" s="7">
        <v>44251</v>
      </c>
      <c r="D335" s="5" t="str">
        <f>IF(BD_DETALLE!$E335&gt;=1,CONCATENATE(TEXT(BD_DETALLE!$C335,"YY"),TEXT(BD_DETALLE!$C335,"MM"),"-",BD_DETALLE!$E335),"")</f>
        <v>2102-216</v>
      </c>
      <c r="E335" s="12">
        <v>216</v>
      </c>
      <c r="F335" s="21">
        <v>205074</v>
      </c>
      <c r="G335" s="4" t="str">
        <f>IFERROR(VLOOKUP(BD_DETALLE!$B335,Tabla9[],6,0),"")</f>
        <v>CONTACTOR LC1-D65 DE 65 A 80AMP / 220V</v>
      </c>
      <c r="H335" s="6">
        <f>IFERROR(VLOOKUP(BD_DETALLE!$B335,Tabla9[],4,0),0)</f>
        <v>2</v>
      </c>
      <c r="I335" s="19" t="s">
        <v>14</v>
      </c>
      <c r="J335" s="20" t="s">
        <v>1781</v>
      </c>
      <c r="K335" s="10">
        <f>IFERROR(VLOOKUP(BD_DETALLE!B335,Tabla9[],7,0),"")</f>
        <v>44278</v>
      </c>
      <c r="L335" s="11">
        <f>IFERROR(VLOOKUP(BD_DETALLE!B335,Tabla9[],8,0),"")</f>
        <v>52238</v>
      </c>
      <c r="M335" s="9">
        <f>IFERROR(SUMIFS(Tabla9[CANTIDAD2],Tabla9[BUSQUEDA],Tabla3[[#This Row],[BUSQUEDA]],Tabla9[CODIGO],Tabla3[[#This Row],[CODIGO]],Tabla9[ORDEN No.],Tabla3[[#This Row],[ORDEN de COMPRA]]),0)</f>
        <v>2</v>
      </c>
      <c r="N335" s="27">
        <f>IFERROR(IF(BD_DETALLE!B335&gt;0,VLOOKUP(BD_DETALLE!B335,Tabla9[],10,0),""),"")</f>
        <v>44285</v>
      </c>
      <c r="O335" s="28">
        <f>IFERROR(VLOOKUP(BD_DETALLE!B335,Tabla9[],11,0),0)</f>
        <v>11679</v>
      </c>
      <c r="P335" s="26">
        <f>IFERROR(SUMIFS(Tabla9[CANTIDAD3],Tabla9[BUSQUEDA],Tabla3[[#This Row],[BUSQUEDA]],Tabla9[CODIGO],Tabla3[[#This Row],[CODIGO]]),0)</f>
        <v>2</v>
      </c>
      <c r="Q335" s="25">
        <f>IF(BD_DETALLE!P335&lt;=0,0,IF(BD_DETALLE!P335=BD_DETALLE!H335,2,1))</f>
        <v>2</v>
      </c>
      <c r="R335" s="41">
        <f ca="1">IF(BD_DETALLE!$C335&gt;0,(IF(BD_DETALLE!$N335=0,TODAY()-BD_DETALLE!$C335,BD_DETALLE!$N335-BD_DETALLE!$C335)),"")</f>
        <v>34</v>
      </c>
    </row>
    <row r="336" spans="2:18" x14ac:dyDescent="0.25">
      <c r="B336" s="15" t="str">
        <f t="shared" si="38"/>
        <v>2102-216-300366</v>
      </c>
      <c r="C336" s="7">
        <v>44251</v>
      </c>
      <c r="D336" s="5" t="str">
        <f>IF(BD_DETALLE!$E336&gt;=1,CONCATENATE(TEXT(BD_DETALLE!$C336,"YY"),TEXT(BD_DETALLE!$C336,"MM"),"-",BD_DETALLE!$E336),"")</f>
        <v>2102-216</v>
      </c>
      <c r="E336" s="12">
        <v>216</v>
      </c>
      <c r="F336" s="21">
        <v>300366</v>
      </c>
      <c r="G336" s="4" t="str">
        <f>IFERROR(VLOOKUP(BD_DETALLE!$B336,Tabla9[],6,0),"")</f>
        <v>CONTACTOR LC1-D80 DE 80 A 125AMP / 220V</v>
      </c>
      <c r="H336" s="6">
        <f>IFERROR(VLOOKUP(BD_DETALLE!$B336,Tabla9[],4,0),0)</f>
        <v>2</v>
      </c>
      <c r="I336" s="19" t="s">
        <v>14</v>
      </c>
      <c r="J336" s="20" t="s">
        <v>1781</v>
      </c>
      <c r="K336" s="10">
        <f>IFERROR(VLOOKUP(BD_DETALLE!B336,Tabla9[],7,0),"")</f>
        <v>44278</v>
      </c>
      <c r="L336" s="11">
        <f>IFERROR(VLOOKUP(BD_DETALLE!B336,Tabla9[],8,0),"")</f>
        <v>52238</v>
      </c>
      <c r="M336" s="9">
        <f>IFERROR(SUMIFS(Tabla9[CANTIDAD2],Tabla9[BUSQUEDA],Tabla3[[#This Row],[BUSQUEDA]],Tabla9[CODIGO],Tabla3[[#This Row],[CODIGO]],Tabla9[ORDEN No.],Tabla3[[#This Row],[ORDEN de COMPRA]]),0)</f>
        <v>2</v>
      </c>
      <c r="N336" s="27">
        <f>IFERROR(IF(BD_DETALLE!B336&gt;0,VLOOKUP(BD_DETALLE!B336,Tabla9[],10,0),""),"")</f>
        <v>44285</v>
      </c>
      <c r="O336" s="28">
        <f>IFERROR(VLOOKUP(BD_DETALLE!B336,Tabla9[],11,0),0)</f>
        <v>11679</v>
      </c>
      <c r="P336" s="26">
        <f>IFERROR(SUMIFS(Tabla9[CANTIDAD3],Tabla9[BUSQUEDA],Tabla3[[#This Row],[BUSQUEDA]],Tabla9[CODIGO],Tabla3[[#This Row],[CODIGO]]),0)</f>
        <v>2</v>
      </c>
      <c r="Q336" s="25">
        <f>IF(BD_DETALLE!P336&lt;=0,0,IF(BD_DETALLE!P336=BD_DETALLE!H336,2,1))</f>
        <v>2</v>
      </c>
      <c r="R336" s="41">
        <f ca="1">IF(BD_DETALLE!$C336&gt;0,(IF(BD_DETALLE!$N336=0,TODAY()-BD_DETALLE!$C336,BD_DETALLE!$N336-BD_DETALLE!$C336)),"")</f>
        <v>34</v>
      </c>
    </row>
    <row r="337" spans="2:18" x14ac:dyDescent="0.25">
      <c r="B337" s="15" t="str">
        <f t="shared" ref="B337:B338" si="39">IFERROR(TEXT(C337,"yy") &amp; TEXT(C337,"mm") &amp;"-"&amp;(E337) &amp;"-"&amp;(F337),"")</f>
        <v>2102-216-300365</v>
      </c>
      <c r="C337" s="7">
        <v>44251</v>
      </c>
      <c r="D337" s="5" t="str">
        <f>IF(BD_DETALLE!$E337&gt;=1,CONCATENATE(TEXT(BD_DETALLE!$C337,"YY"),TEXT(BD_DETALLE!$C337,"MM"),"-",BD_DETALLE!$E337),"")</f>
        <v>2102-216</v>
      </c>
      <c r="E337" s="12">
        <v>216</v>
      </c>
      <c r="F337" s="21">
        <v>300365</v>
      </c>
      <c r="G337" s="4" t="str">
        <f>IFERROR(VLOOKUP(BD_DETALLE!$B337,Tabla9[],6,0),"")</f>
        <v>CONTACTOR LC1-D95 DE 95 A 125AMP / 220V</v>
      </c>
      <c r="H337" s="6">
        <f>IFERROR(VLOOKUP(BD_DETALLE!$B337,Tabla9[],4,0),0)</f>
        <v>2</v>
      </c>
      <c r="I337" s="19" t="s">
        <v>14</v>
      </c>
      <c r="J337" s="20" t="s">
        <v>1781</v>
      </c>
      <c r="K337" s="10">
        <f>IFERROR(VLOOKUP(BD_DETALLE!B337,Tabla9[],7,0),"")</f>
        <v>44278</v>
      </c>
      <c r="L337" s="11">
        <f>IFERROR(VLOOKUP(BD_DETALLE!B337,Tabla9[],8,0),"")</f>
        <v>52238</v>
      </c>
      <c r="M337" s="9">
        <f>IFERROR(SUMIFS(Tabla9[CANTIDAD2],Tabla9[BUSQUEDA],Tabla3[[#This Row],[BUSQUEDA]],Tabla9[CODIGO],Tabla3[[#This Row],[CODIGO]],Tabla9[ORDEN No.],Tabla3[[#This Row],[ORDEN de COMPRA]]),0)</f>
        <v>2</v>
      </c>
      <c r="N337" s="27">
        <f>IFERROR(IF(BD_DETALLE!B337&gt;0,VLOOKUP(BD_DETALLE!B337,Tabla9[],10,0),""),"")</f>
        <v>44285</v>
      </c>
      <c r="O337" s="28">
        <f>IFERROR(VLOOKUP(BD_DETALLE!B337,Tabla9[],11,0),0)</f>
        <v>11679</v>
      </c>
      <c r="P337" s="26">
        <f>IFERROR(SUMIFS(Tabla9[CANTIDAD3],Tabla9[BUSQUEDA],Tabla3[[#This Row],[BUSQUEDA]],Tabla9[CODIGO],Tabla3[[#This Row],[CODIGO]]),0)</f>
        <v>2</v>
      </c>
      <c r="Q337" s="25">
        <f>IF(BD_DETALLE!P337&lt;=0,0,IF(BD_DETALLE!P337=BD_DETALLE!H337,2,1))</f>
        <v>2</v>
      </c>
      <c r="R337" s="41">
        <f ca="1">IF(BD_DETALLE!$C337&gt;0,(IF(BD_DETALLE!$N337=0,TODAY()-BD_DETALLE!$C337,BD_DETALLE!$N337-BD_DETALLE!$C337)),"")</f>
        <v>34</v>
      </c>
    </row>
    <row r="338" spans="2:18" x14ac:dyDescent="0.25">
      <c r="B338" s="15" t="str">
        <f t="shared" si="39"/>
        <v>2102-216-320852</v>
      </c>
      <c r="C338" s="7">
        <v>44251</v>
      </c>
      <c r="D338" s="5" t="str">
        <f>IF(BD_DETALLE!$E338&gt;=1,CONCATENATE(TEXT(BD_DETALLE!$C338,"YY"),TEXT(BD_DETALLE!$C338,"MM"),"-",BD_DETALLE!$E338),"")</f>
        <v>2102-216</v>
      </c>
      <c r="E338" s="12">
        <v>216</v>
      </c>
      <c r="F338" s="21">
        <v>320852</v>
      </c>
      <c r="G338" s="4" t="str">
        <f>IFERROR(VLOOKUP(BD_DETALLE!$B338,Tabla9[],6,0),"")</f>
        <v>INTERRUPTOR ELECTRICO MANUAL 100AMP</v>
      </c>
      <c r="H338" s="6">
        <f>IFERROR(VLOOKUP(BD_DETALLE!$B338,Tabla9[],4,0),0)</f>
        <v>3</v>
      </c>
      <c r="I338" s="19" t="s">
        <v>14</v>
      </c>
      <c r="J338" s="20" t="s">
        <v>1781</v>
      </c>
      <c r="K338" s="10">
        <f>IFERROR(VLOOKUP(BD_DETALLE!B338,Tabla9[],7,0),"")</f>
        <v>0</v>
      </c>
      <c r="L338" s="11">
        <f>IFERROR(VLOOKUP(BD_DETALLE!B338,Tabla9[],8,0),"")</f>
        <v>0</v>
      </c>
      <c r="M338" s="9">
        <f>IFERROR(SUMIFS(Tabla9[CANTIDAD2],Tabla9[BUSQUEDA],Tabla3[[#This Row],[BUSQUEDA]],Tabla9[CODIGO],Tabla3[[#This Row],[CODIGO]],Tabla9[ORDEN No.],Tabla3[[#This Row],[ORDEN de COMPRA]]),0)</f>
        <v>0</v>
      </c>
      <c r="N338" s="27">
        <f>IFERROR(IF(BD_DETALLE!B338&gt;0,VLOOKUP(BD_DETALLE!B338,Tabla9[],10,0),""),"")</f>
        <v>0</v>
      </c>
      <c r="O338" s="28">
        <f>IFERROR(VLOOKUP(BD_DETALLE!B338,Tabla9[],11,0),0)</f>
        <v>0</v>
      </c>
      <c r="P338" s="26">
        <f>IFERROR(SUMIFS(Tabla9[CANTIDAD3],Tabla9[BUSQUEDA],Tabla3[[#This Row],[BUSQUEDA]],Tabla9[CODIGO],Tabla3[[#This Row],[CODIGO]]),0)</f>
        <v>0</v>
      </c>
      <c r="Q338" s="25">
        <f>IF(BD_DETALLE!P338&lt;=0,0,IF(BD_DETALLE!P338=BD_DETALLE!H338,2,1))</f>
        <v>0</v>
      </c>
      <c r="R338" s="41">
        <f ca="1">IF(BD_DETALLE!$C338&gt;0,(IF(BD_DETALLE!$N338=0,TODAY()-BD_DETALLE!$C338,BD_DETALLE!$N338-BD_DETALLE!$C338)),"")</f>
        <v>54</v>
      </c>
    </row>
    <row r="339" spans="2:18" x14ac:dyDescent="0.25">
      <c r="B339" s="15" t="str">
        <f t="shared" ref="B339:B343" si="40">IFERROR(TEXT(C339,"yy") &amp; TEXT(C339,"mm") &amp;"-"&amp;(E339) &amp;"-"&amp;(F339),"")</f>
        <v>2102-240-301291</v>
      </c>
      <c r="C339" s="7">
        <v>44253</v>
      </c>
      <c r="D339" s="5" t="str">
        <f>IF(BD_DETALLE!$E339&gt;=1,CONCATENATE(TEXT(BD_DETALLE!$C339,"YY"),TEXT(BD_DETALLE!$C339,"MM"),"-",BD_DETALLE!$E339),"")</f>
        <v>2102-240</v>
      </c>
      <c r="E339" s="12">
        <v>240</v>
      </c>
      <c r="F339" s="21">
        <v>301291</v>
      </c>
      <c r="G339" s="4" t="str">
        <f>IFERROR(VLOOKUP(BD_DETALLE!$B339,Tabla9[],6,0),"")</f>
        <v>MANGUERA HIDRAULICA DE 1/2"</v>
      </c>
      <c r="H339" s="6">
        <f>IFERROR(VLOOKUP(BD_DETALLE!$B339,Tabla9[],4,0),0)</f>
        <v>25</v>
      </c>
      <c r="I339" s="19" t="s">
        <v>12</v>
      </c>
      <c r="J339" s="20" t="s">
        <v>1808</v>
      </c>
      <c r="K339" s="10">
        <f>IFERROR(VLOOKUP(BD_DETALLE!B339,Tabla9[],7,0),"")</f>
        <v>0</v>
      </c>
      <c r="L339" s="11">
        <f>IFERROR(VLOOKUP(BD_DETALLE!B339,Tabla9[],8,0),"")</f>
        <v>0</v>
      </c>
      <c r="M339" s="9">
        <f>IFERROR(SUMIFS(Tabla9[CANTIDAD2],Tabla9[BUSQUEDA],Tabla3[[#This Row],[BUSQUEDA]],Tabla9[CODIGO],Tabla3[[#This Row],[CODIGO]],Tabla9[ORDEN No.],Tabla3[[#This Row],[ORDEN de COMPRA]]),0)</f>
        <v>0</v>
      </c>
      <c r="N339" s="27">
        <f>IFERROR(IF(BD_DETALLE!B339&gt;0,VLOOKUP(BD_DETALLE!B339,Tabla9[],10,0),""),"")</f>
        <v>0</v>
      </c>
      <c r="O339" s="28">
        <f>IFERROR(VLOOKUP(BD_DETALLE!B339,Tabla9[],11,0),0)</f>
        <v>0</v>
      </c>
      <c r="P339" s="26">
        <f>IFERROR(SUMIFS(Tabla9[CANTIDAD3],Tabla9[BUSQUEDA],Tabla3[[#This Row],[BUSQUEDA]],Tabla9[CODIGO],Tabla3[[#This Row],[CODIGO]]),0)</f>
        <v>0</v>
      </c>
      <c r="Q339" s="25">
        <f>IF(BD_DETALLE!P339&lt;=0,0,IF(BD_DETALLE!P339=BD_DETALLE!H339,2,1))</f>
        <v>0</v>
      </c>
      <c r="R339" s="41">
        <f ca="1">IF(BD_DETALLE!$C339&gt;0,(IF(BD_DETALLE!$N339=0,TODAY()-BD_DETALLE!$C339,BD_DETALLE!$N339-BD_DETALLE!$C339)),"")</f>
        <v>52</v>
      </c>
    </row>
    <row r="340" spans="2:18" x14ac:dyDescent="0.25">
      <c r="B340" s="15" t="str">
        <f t="shared" si="40"/>
        <v>2102-240-107684</v>
      </c>
      <c r="C340" s="7">
        <v>44253</v>
      </c>
      <c r="D340" s="5" t="str">
        <f>IF(BD_DETALLE!$E340&gt;=1,CONCATENATE(TEXT(BD_DETALLE!$C340,"YY"),TEXT(BD_DETALLE!$C340,"MM"),"-",BD_DETALLE!$E340),"")</f>
        <v>2102-240</v>
      </c>
      <c r="E340" s="12">
        <v>240</v>
      </c>
      <c r="F340" s="21">
        <v>107684</v>
      </c>
      <c r="G340" s="4" t="str">
        <f>IFERROR(VLOOKUP(BD_DETALLE!$B340,Tabla9[],6,0),"")</f>
        <v>MANGUERA HIDRAULICA DE 1/4"</v>
      </c>
      <c r="H340" s="6">
        <f>IFERROR(VLOOKUP(BD_DETALLE!$B340,Tabla9[],4,0),0)</f>
        <v>25</v>
      </c>
      <c r="I340" s="19" t="s">
        <v>12</v>
      </c>
      <c r="J340" s="20" t="s">
        <v>1808</v>
      </c>
      <c r="K340" s="10">
        <f>IFERROR(VLOOKUP(BD_DETALLE!B340,Tabla9[],7,0),"")</f>
        <v>0</v>
      </c>
      <c r="L340" s="11">
        <f>IFERROR(VLOOKUP(BD_DETALLE!B340,Tabla9[],8,0),"")</f>
        <v>0</v>
      </c>
      <c r="M340" s="9">
        <f>IFERROR(SUMIFS(Tabla9[CANTIDAD2],Tabla9[BUSQUEDA],Tabla3[[#This Row],[BUSQUEDA]],Tabla9[CODIGO],Tabla3[[#This Row],[CODIGO]],Tabla9[ORDEN No.],Tabla3[[#This Row],[ORDEN de COMPRA]]),0)</f>
        <v>0</v>
      </c>
      <c r="N340" s="27">
        <f>IFERROR(IF(BD_DETALLE!B340&gt;0,VLOOKUP(BD_DETALLE!B340,Tabla9[],10,0),""),"")</f>
        <v>0</v>
      </c>
      <c r="O340" s="28">
        <f>IFERROR(VLOOKUP(BD_DETALLE!B340,Tabla9[],11,0),0)</f>
        <v>0</v>
      </c>
      <c r="P340" s="26">
        <f>IFERROR(SUMIFS(Tabla9[CANTIDAD3],Tabla9[BUSQUEDA],Tabla3[[#This Row],[BUSQUEDA]],Tabla9[CODIGO],Tabla3[[#This Row],[CODIGO]]),0)</f>
        <v>0</v>
      </c>
      <c r="Q340" s="25">
        <f>IF(BD_DETALLE!P340&lt;=0,0,IF(BD_DETALLE!P340=BD_DETALLE!H340,2,1))</f>
        <v>0</v>
      </c>
      <c r="R340" s="41">
        <f ca="1">IF(BD_DETALLE!$C340&gt;0,(IF(BD_DETALLE!$N340=0,TODAY()-BD_DETALLE!$C340,BD_DETALLE!$N340-BD_DETALLE!$C340)),"")</f>
        <v>52</v>
      </c>
    </row>
    <row r="341" spans="2:18" x14ac:dyDescent="0.25">
      <c r="B341" s="15" t="str">
        <f t="shared" si="40"/>
        <v>2102-241-301650</v>
      </c>
      <c r="C341" s="7">
        <v>44253</v>
      </c>
      <c r="D341" s="5" t="str">
        <f>IF(BD_DETALLE!$E341&gt;=1,CONCATENATE(TEXT(BD_DETALLE!$C341,"YY"),TEXT(BD_DETALLE!$C341,"MM"),"-",BD_DETALLE!$E341),"")</f>
        <v>2102-241</v>
      </c>
      <c r="E341" s="12">
        <v>241</v>
      </c>
      <c r="F341" s="21">
        <v>301650</v>
      </c>
      <c r="G341" s="4" t="str">
        <f>IFERROR(VLOOKUP(BD_DETALLE!$B341,Tabla9[],6,0),"")</f>
        <v>ABRAZADERA T-513 (78-84)</v>
      </c>
      <c r="H341" s="6">
        <f>IFERROR(VLOOKUP(BD_DETALLE!$B341,Tabla9[],4,0),0)</f>
        <v>8</v>
      </c>
      <c r="I341" s="19" t="s">
        <v>12</v>
      </c>
      <c r="J341" s="20" t="s">
        <v>1442</v>
      </c>
      <c r="K341" s="10">
        <f>IFERROR(VLOOKUP(BD_DETALLE!B341,Tabla9[],7,0),"")</f>
        <v>0</v>
      </c>
      <c r="L341" s="11">
        <f>IFERROR(VLOOKUP(BD_DETALLE!B341,Tabla9[],8,0),"")</f>
        <v>0</v>
      </c>
      <c r="M341" s="9">
        <f>IFERROR(SUMIFS(Tabla9[CANTIDAD2],Tabla9[BUSQUEDA],Tabla3[[#This Row],[BUSQUEDA]],Tabla9[CODIGO],Tabla3[[#This Row],[CODIGO]],Tabla9[ORDEN No.],Tabla3[[#This Row],[ORDEN de COMPRA]]),0)</f>
        <v>0</v>
      </c>
      <c r="N341" s="27">
        <f>IFERROR(IF(BD_DETALLE!B341&gt;0,VLOOKUP(BD_DETALLE!B341,Tabla9[],10,0),""),"")</f>
        <v>0</v>
      </c>
      <c r="O341" s="28">
        <f>IFERROR(VLOOKUP(BD_DETALLE!B341,Tabla9[],11,0),0)</f>
        <v>0</v>
      </c>
      <c r="P341" s="26">
        <f>IFERROR(SUMIFS(Tabla9[CANTIDAD3],Tabla9[BUSQUEDA],Tabla3[[#This Row],[BUSQUEDA]],Tabla9[CODIGO],Tabla3[[#This Row],[CODIGO]]),0)</f>
        <v>0</v>
      </c>
      <c r="Q341" s="25">
        <f>IF(BD_DETALLE!P341&lt;=0,0,IF(BD_DETALLE!P341=BD_DETALLE!H341,2,1))</f>
        <v>0</v>
      </c>
      <c r="R341" s="41">
        <f ca="1">IF(BD_DETALLE!$C341&gt;0,(IF(BD_DETALLE!$N341=0,TODAY()-BD_DETALLE!$C341,BD_DETALLE!$N341-BD_DETALLE!$C341)),"")</f>
        <v>52</v>
      </c>
    </row>
    <row r="342" spans="2:18" x14ac:dyDescent="0.25">
      <c r="B342" s="15" t="str">
        <f t="shared" si="40"/>
        <v>2102-243-320860</v>
      </c>
      <c r="C342" s="7">
        <v>44253</v>
      </c>
      <c r="D342" s="5" t="str">
        <f>IF(BD_DETALLE!$E342&gt;=1,CONCATENATE(TEXT(BD_DETALLE!$C342,"YY"),TEXT(BD_DETALLE!$C342,"MM"),"-",BD_DETALLE!$E342),"")</f>
        <v>2102-243</v>
      </c>
      <c r="E342" s="12">
        <v>243</v>
      </c>
      <c r="F342" s="21">
        <v>320860</v>
      </c>
      <c r="G342" s="4" t="str">
        <f>IFERROR(VLOOKUP(BD_DETALLE!$B342,Tabla9[],6,0),"")</f>
        <v>FILTRO RESPIRADOR DE SECANTE DE SILICA CONEXIËN 1,1/2"</v>
      </c>
      <c r="H342" s="6">
        <f>IFERROR(VLOOKUP(BD_DETALLE!$B342,Tabla9[],4,0),0)</f>
        <v>1</v>
      </c>
      <c r="I342" s="19" t="s">
        <v>19</v>
      </c>
      <c r="J342" s="20" t="s">
        <v>1809</v>
      </c>
      <c r="K342" s="10">
        <f>IFERROR(VLOOKUP(BD_DETALLE!B342,Tabla9[],7,0),"")</f>
        <v>0</v>
      </c>
      <c r="L342" s="11">
        <f>IFERROR(VLOOKUP(BD_DETALLE!B342,Tabla9[],8,0),"")</f>
        <v>0</v>
      </c>
      <c r="M342" s="9">
        <f>IFERROR(SUMIFS(Tabla9[CANTIDAD2],Tabla9[BUSQUEDA],Tabla3[[#This Row],[BUSQUEDA]],Tabla9[CODIGO],Tabla3[[#This Row],[CODIGO]],Tabla9[ORDEN No.],Tabla3[[#This Row],[ORDEN de COMPRA]]),0)</f>
        <v>0</v>
      </c>
      <c r="N342" s="27">
        <f>IFERROR(IF(BD_DETALLE!B342&gt;0,VLOOKUP(BD_DETALLE!B342,Tabla9[],10,0),""),"")</f>
        <v>0</v>
      </c>
      <c r="O342" s="28">
        <f>IFERROR(VLOOKUP(BD_DETALLE!B342,Tabla9[],11,0),0)</f>
        <v>0</v>
      </c>
      <c r="P342" s="26">
        <f>IFERROR(SUMIFS(Tabla9[CANTIDAD3],Tabla9[BUSQUEDA],Tabla3[[#This Row],[BUSQUEDA]],Tabla9[CODIGO],Tabla3[[#This Row],[CODIGO]]),0)</f>
        <v>0</v>
      </c>
      <c r="Q342" s="25">
        <f>IF(BD_DETALLE!P342&lt;=0,0,IF(BD_DETALLE!P342=BD_DETALLE!H342,2,1))</f>
        <v>0</v>
      </c>
      <c r="R342" s="41">
        <f ca="1">IF(BD_DETALLE!$C342&gt;0,(IF(BD_DETALLE!$N342=0,TODAY()-BD_DETALLE!$C342,BD_DETALLE!$N342-BD_DETALLE!$C342)),"")</f>
        <v>52</v>
      </c>
    </row>
    <row r="343" spans="2:18" x14ac:dyDescent="0.25">
      <c r="B343" s="15" t="str">
        <f t="shared" si="40"/>
        <v>2102-243-204327</v>
      </c>
      <c r="C343" s="7">
        <v>44253</v>
      </c>
      <c r="D343" s="5" t="str">
        <f>IF(BD_DETALLE!$E343&gt;=1,CONCATENATE(TEXT(BD_DETALLE!$C343,"YY"),TEXT(BD_DETALLE!$C343,"MM"),"-",BD_DETALLE!$E343),"")</f>
        <v>2102-243</v>
      </c>
      <c r="E343" s="12">
        <v>243</v>
      </c>
      <c r="F343" s="21">
        <v>204327</v>
      </c>
      <c r="G343" s="4" t="str">
        <f>IFERROR(VLOOKUP(BD_DETALLE!$B343,Tabla9[],6,0),"")</f>
        <v>GRASERO RECTO DE 1/8"</v>
      </c>
      <c r="H343" s="6">
        <f>IFERROR(VLOOKUP(BD_DETALLE!$B343,Tabla9[],4,0),0)</f>
        <v>12</v>
      </c>
      <c r="I343" s="19" t="s">
        <v>19</v>
      </c>
      <c r="J343" s="20" t="s">
        <v>1809</v>
      </c>
      <c r="K343" s="10">
        <f>IFERROR(VLOOKUP(BD_DETALLE!B343,Tabla9[],7,0),"")</f>
        <v>0</v>
      </c>
      <c r="L343" s="11">
        <f>IFERROR(VLOOKUP(BD_DETALLE!B343,Tabla9[],8,0),"")</f>
        <v>0</v>
      </c>
      <c r="M343" s="9">
        <f>IFERROR(SUMIFS(Tabla9[CANTIDAD2],Tabla9[BUSQUEDA],Tabla3[[#This Row],[BUSQUEDA]],Tabla9[CODIGO],Tabla3[[#This Row],[CODIGO]],Tabla9[ORDEN No.],Tabla3[[#This Row],[ORDEN de COMPRA]]),0)</f>
        <v>0</v>
      </c>
      <c r="N343" s="27">
        <f>IFERROR(IF(BD_DETALLE!B343&gt;0,VLOOKUP(BD_DETALLE!B343,Tabla9[],10,0),""),"")</f>
        <v>0</v>
      </c>
      <c r="O343" s="28">
        <f>IFERROR(VLOOKUP(BD_DETALLE!B343,Tabla9[],11,0),0)</f>
        <v>0</v>
      </c>
      <c r="P343" s="26">
        <f>IFERROR(SUMIFS(Tabla9[CANTIDAD3],Tabla9[BUSQUEDA],Tabla3[[#This Row],[BUSQUEDA]],Tabla9[CODIGO],Tabla3[[#This Row],[CODIGO]]),0)</f>
        <v>0</v>
      </c>
      <c r="Q343" s="25">
        <f>IF(BD_DETALLE!P343&lt;=0,0,IF(BD_DETALLE!P343=BD_DETALLE!H343,2,1))</f>
        <v>0</v>
      </c>
      <c r="R343" s="41">
        <f ca="1">IF(BD_DETALLE!$C343&gt;0,(IF(BD_DETALLE!$N343=0,TODAY()-BD_DETALLE!$C343,BD_DETALLE!$N343-BD_DETALLE!$C343)),"")</f>
        <v>52</v>
      </c>
    </row>
    <row r="344" spans="2:18" x14ac:dyDescent="0.25">
      <c r="B344" s="15" t="str">
        <f t="shared" ref="B344:B350" si="41">IFERROR(TEXT(C344,"yy") &amp; TEXT(C344,"mm") &amp;"-"&amp;(E344) &amp;"-"&amp;(F344),"")</f>
        <v>2103-4-319203</v>
      </c>
      <c r="C344" s="7">
        <v>44257</v>
      </c>
      <c r="D344" s="5" t="str">
        <f>IF(BD_DETALLE!$E344&gt;=1,CONCATENATE(TEXT(BD_DETALLE!$C344,"YY"),TEXT(BD_DETALLE!$C344,"MM"),"-",BD_DETALLE!$E344),"")</f>
        <v>2103-4</v>
      </c>
      <c r="E344" s="12">
        <v>4</v>
      </c>
      <c r="F344" s="21">
        <v>319203</v>
      </c>
      <c r="G344" s="4" t="str">
        <f>IFERROR(VLOOKUP(BD_DETALLE!$B344,Tabla9[],6,0),"")</f>
        <v>SELLO MECANICO DE 43mm TIPO 21 JHON CRANE EDPM</v>
      </c>
      <c r="H344" s="6">
        <f>IFERROR(VLOOKUP(BD_DETALLE!$B344,Tabla9[],4,0),0)</f>
        <v>3</v>
      </c>
      <c r="I344" s="19" t="s">
        <v>15</v>
      </c>
      <c r="J344" s="20" t="s">
        <v>385</v>
      </c>
      <c r="K344" s="10">
        <f>IFERROR(VLOOKUP(BD_DETALLE!B344,Tabla9[],7,0),"")</f>
        <v>0</v>
      </c>
      <c r="L344" s="11">
        <f>IFERROR(VLOOKUP(BD_DETALLE!B344,Tabla9[],8,0),"")</f>
        <v>0</v>
      </c>
      <c r="M344" s="9">
        <f>IFERROR(SUMIFS(Tabla9[CANTIDAD2],Tabla9[BUSQUEDA],Tabla3[[#This Row],[BUSQUEDA]],Tabla9[CODIGO],Tabla3[[#This Row],[CODIGO]],Tabla9[ORDEN No.],Tabla3[[#This Row],[ORDEN de COMPRA]]),0)</f>
        <v>0</v>
      </c>
      <c r="N344" s="27">
        <f>IFERROR(IF(BD_DETALLE!B344&gt;0,VLOOKUP(BD_DETALLE!B344,Tabla9[],10,0),""),"")</f>
        <v>0</v>
      </c>
      <c r="O344" s="28">
        <f>IFERROR(VLOOKUP(BD_DETALLE!B344,Tabla9[],11,0),0)</f>
        <v>0</v>
      </c>
      <c r="P344" s="26">
        <f>IFERROR(SUMIFS(Tabla9[CANTIDAD3],Tabla9[BUSQUEDA],Tabla3[[#This Row],[BUSQUEDA]],Tabla9[CODIGO],Tabla3[[#This Row],[CODIGO]]),0)</f>
        <v>0</v>
      </c>
      <c r="Q344" s="25">
        <f>IF(BD_DETALLE!P344&lt;=0,0,IF(BD_DETALLE!P344=BD_DETALLE!H344,2,1))</f>
        <v>0</v>
      </c>
      <c r="R344" s="41">
        <f ca="1">IF(BD_DETALLE!$C344&gt;0,(IF(BD_DETALLE!$N344=0,TODAY()-BD_DETALLE!$C344,BD_DETALLE!$N344-BD_DETALLE!$C344)),"")</f>
        <v>48</v>
      </c>
    </row>
    <row r="345" spans="2:18" x14ac:dyDescent="0.25">
      <c r="B345" s="15" t="str">
        <f t="shared" si="41"/>
        <v>2103-5-301915</v>
      </c>
      <c r="C345" s="7">
        <v>44257</v>
      </c>
      <c r="D345" s="5" t="str">
        <f>IF(BD_DETALLE!$E345&gt;=1,CONCATENATE(TEXT(BD_DETALLE!$C345,"YY"),TEXT(BD_DETALLE!$C345,"MM"),"-",BD_DETALLE!$E345),"")</f>
        <v>2103-5</v>
      </c>
      <c r="E345" s="12">
        <v>5</v>
      </c>
      <c r="F345" s="21">
        <v>301915</v>
      </c>
      <c r="G345" s="4" t="str">
        <f>IFERROR(VLOOKUP(BD_DETALLE!$B345,Tabla9[],6,0),"")</f>
        <v>ABRAZADERA T-503 (32-35)</v>
      </c>
      <c r="H345" s="6">
        <f>IFERROR(VLOOKUP(BD_DETALLE!$B345,Tabla9[],4,0),0)</f>
        <v>20</v>
      </c>
      <c r="I345" s="19" t="s">
        <v>15</v>
      </c>
      <c r="J345" s="20" t="s">
        <v>385</v>
      </c>
      <c r="K345" s="10">
        <f>IFERROR(VLOOKUP(BD_DETALLE!B345,Tabla9[],7,0),"")</f>
        <v>44272</v>
      </c>
      <c r="L345" s="11">
        <f>IFERROR(VLOOKUP(BD_DETALLE!B345,Tabla9[],8,0),"")</f>
        <v>52163</v>
      </c>
      <c r="M345" s="9">
        <f>IFERROR(SUMIFS(Tabla9[CANTIDAD2],Tabla9[BUSQUEDA],Tabla3[[#This Row],[BUSQUEDA]],Tabla9[CODIGO],Tabla3[[#This Row],[CODIGO]],Tabla9[ORDEN No.],Tabla3[[#This Row],[ORDEN de COMPRA]]),0)</f>
        <v>20</v>
      </c>
      <c r="N345" s="27">
        <f>IFERROR(IF(BD_DETALLE!B345&gt;0,VLOOKUP(BD_DETALLE!B345,Tabla9[],10,0),""),"")</f>
        <v>0</v>
      </c>
      <c r="O345" s="28">
        <f>IFERROR(VLOOKUP(BD_DETALLE!B345,Tabla9[],11,0),0)</f>
        <v>0</v>
      </c>
      <c r="P345" s="26">
        <f>IFERROR(SUMIFS(Tabla9[CANTIDAD3],Tabla9[BUSQUEDA],Tabla3[[#This Row],[BUSQUEDA]],Tabla9[CODIGO],Tabla3[[#This Row],[CODIGO]]),0)</f>
        <v>0</v>
      </c>
      <c r="Q345" s="25">
        <f>IF(BD_DETALLE!P345&lt;=0,0,IF(BD_DETALLE!P345=BD_DETALLE!H345,2,1))</f>
        <v>0</v>
      </c>
      <c r="R345" s="41">
        <f ca="1">IF(BD_DETALLE!$C345&gt;0,(IF(BD_DETALLE!$N345=0,TODAY()-BD_DETALLE!$C345,BD_DETALLE!$N345-BD_DETALLE!$C345)),"")</f>
        <v>48</v>
      </c>
    </row>
    <row r="346" spans="2:18" x14ac:dyDescent="0.25">
      <c r="B346" s="15" t="str">
        <f t="shared" si="41"/>
        <v>2103-5-308005</v>
      </c>
      <c r="C346" s="7">
        <v>44257</v>
      </c>
      <c r="D346" s="5" t="str">
        <f>IF(BD_DETALLE!$E346&gt;=1,CONCATENATE(TEXT(BD_DETALLE!$C346,"YY"),TEXT(BD_DETALLE!$C346,"MM"),"-",BD_DETALLE!$E346),"")</f>
        <v>2103-5</v>
      </c>
      <c r="E346" s="12">
        <v>5</v>
      </c>
      <c r="F346" s="21">
        <v>308005</v>
      </c>
      <c r="G346" s="4" t="str">
        <f>IFERROR(VLOOKUP(BD_DETALLE!$B346,Tabla9[],6,0),"")</f>
        <v>ABRAZADERA T-504 (37-40)</v>
      </c>
      <c r="H346" s="6">
        <f>IFERROR(VLOOKUP(BD_DETALLE!$B346,Tabla9[],4,0),0)</f>
        <v>20</v>
      </c>
      <c r="I346" s="19" t="s">
        <v>15</v>
      </c>
      <c r="J346" s="20" t="s">
        <v>385</v>
      </c>
      <c r="K346" s="10">
        <f>IFERROR(VLOOKUP(BD_DETALLE!B346,Tabla9[],7,0),"")</f>
        <v>44272</v>
      </c>
      <c r="L346" s="11">
        <f>IFERROR(VLOOKUP(BD_DETALLE!B346,Tabla9[],8,0),"")</f>
        <v>52162</v>
      </c>
      <c r="M346" s="9">
        <f>IFERROR(SUMIFS(Tabla9[CANTIDAD2],Tabla9[BUSQUEDA],Tabla3[[#This Row],[BUSQUEDA]],Tabla9[CODIGO],Tabla3[[#This Row],[CODIGO]],Tabla9[ORDEN No.],Tabla3[[#This Row],[ORDEN de COMPRA]]),0)</f>
        <v>20</v>
      </c>
      <c r="N346" s="27">
        <f>IFERROR(IF(BD_DETALLE!B346&gt;0,VLOOKUP(BD_DETALLE!B346,Tabla9[],10,0),""),"")</f>
        <v>0</v>
      </c>
      <c r="O346" s="28">
        <f>IFERROR(VLOOKUP(BD_DETALLE!B346,Tabla9[],11,0),0)</f>
        <v>0</v>
      </c>
      <c r="P346" s="26">
        <f>IFERROR(SUMIFS(Tabla9[CANTIDAD3],Tabla9[BUSQUEDA],Tabla3[[#This Row],[BUSQUEDA]],Tabla9[CODIGO],Tabla3[[#This Row],[CODIGO]]),0)</f>
        <v>0</v>
      </c>
      <c r="Q346" s="25">
        <f>IF(BD_DETALLE!P346&lt;=0,0,IF(BD_DETALLE!P346=BD_DETALLE!H346,2,1))</f>
        <v>0</v>
      </c>
      <c r="R346" s="41">
        <f ca="1">IF(BD_DETALLE!$C346&gt;0,(IF(BD_DETALLE!$N346=0,TODAY()-BD_DETALLE!$C346,BD_DETALLE!$N346-BD_DETALLE!$C346)),"")</f>
        <v>48</v>
      </c>
    </row>
    <row r="347" spans="2:18" x14ac:dyDescent="0.25">
      <c r="B347" s="15" t="str">
        <f t="shared" si="41"/>
        <v>2103-5-107146</v>
      </c>
      <c r="C347" s="7">
        <v>44257</v>
      </c>
      <c r="D347" s="5" t="str">
        <f>IF(BD_DETALLE!$E347&gt;=1,CONCATENATE(TEXT(BD_DETALLE!$C347,"YY"),TEXT(BD_DETALLE!$C347,"MM"),"-",BD_DETALLE!$E347),"")</f>
        <v>2103-5</v>
      </c>
      <c r="E347" s="12">
        <v>5</v>
      </c>
      <c r="F347" s="21">
        <v>107146</v>
      </c>
      <c r="G347" s="4" t="str">
        <f>IFERROR(VLOOKUP(BD_DETALLE!$B347,Tabla9[],6,0),"")</f>
        <v>ABRAZADERA GALV. DE 1/4"</v>
      </c>
      <c r="H347" s="6">
        <f>IFERROR(VLOOKUP(BD_DETALLE!$B347,Tabla9[],4,0),0)</f>
        <v>20</v>
      </c>
      <c r="I347" s="19" t="s">
        <v>15</v>
      </c>
      <c r="J347" s="20" t="s">
        <v>385</v>
      </c>
      <c r="K347" s="10">
        <f>IFERROR(VLOOKUP(BD_DETALLE!B347,Tabla9[],7,0),"")</f>
        <v>44272</v>
      </c>
      <c r="L347" s="11">
        <f>IFERROR(VLOOKUP(BD_DETALLE!B347,Tabla9[],8,0),"")</f>
        <v>52162</v>
      </c>
      <c r="M347" s="9">
        <f>IFERROR(SUMIFS(Tabla9[CANTIDAD2],Tabla9[BUSQUEDA],Tabla3[[#This Row],[BUSQUEDA]],Tabla9[CODIGO],Tabla3[[#This Row],[CODIGO]],Tabla9[ORDEN No.],Tabla3[[#This Row],[ORDEN de COMPRA]]),0)</f>
        <v>20</v>
      </c>
      <c r="N347" s="27">
        <f>IFERROR(IF(BD_DETALLE!B347&gt;0,VLOOKUP(BD_DETALLE!B347,Tabla9[],10,0),""),"")</f>
        <v>0</v>
      </c>
      <c r="O347" s="28">
        <f>IFERROR(VLOOKUP(BD_DETALLE!B347,Tabla9[],11,0),0)</f>
        <v>0</v>
      </c>
      <c r="P347" s="26">
        <f>IFERROR(SUMIFS(Tabla9[CANTIDAD3],Tabla9[BUSQUEDA],Tabla3[[#This Row],[BUSQUEDA]],Tabla9[CODIGO],Tabla3[[#This Row],[CODIGO]]),0)</f>
        <v>0</v>
      </c>
      <c r="Q347" s="25">
        <f>IF(BD_DETALLE!P347&lt;=0,0,IF(BD_DETALLE!P347=BD_DETALLE!H347,2,1))</f>
        <v>0</v>
      </c>
      <c r="R347" s="41">
        <f ca="1">IF(BD_DETALLE!$C347&gt;0,(IF(BD_DETALLE!$N347=0,TODAY()-BD_DETALLE!$C347,BD_DETALLE!$N347-BD_DETALLE!$C347)),"")</f>
        <v>48</v>
      </c>
    </row>
    <row r="348" spans="2:18" x14ac:dyDescent="0.25">
      <c r="B348" s="15" t="str">
        <f t="shared" si="41"/>
        <v>2103-7-203924</v>
      </c>
      <c r="C348" s="7">
        <v>44257</v>
      </c>
      <c r="D348" s="5" t="str">
        <f>IF(BD_DETALLE!$E348&gt;=1,CONCATENATE(TEXT(BD_DETALLE!$C348,"YY"),TEXT(BD_DETALLE!$C348,"MM"),"-",BD_DETALLE!$E348),"")</f>
        <v>2103-7</v>
      </c>
      <c r="E348" s="12">
        <v>7</v>
      </c>
      <c r="F348" s="21">
        <v>203924</v>
      </c>
      <c r="G348" s="4" t="str">
        <f>IFERROR(VLOOKUP(BD_DETALLE!$B348,Tabla9[],6,0),"")</f>
        <v>PINTURA DE ALUMINIO PARA ALTA TEMPERATURA</v>
      </c>
      <c r="H348" s="6">
        <f>IFERROR(VLOOKUP(BD_DETALLE!$B348,Tabla9[],4,0),0)</f>
        <v>6</v>
      </c>
      <c r="I348" s="19" t="s">
        <v>1</v>
      </c>
      <c r="J348" s="20" t="s">
        <v>1810</v>
      </c>
      <c r="K348" s="10">
        <f>IFERROR(VLOOKUP(BD_DETALLE!B348,Tabla9[],7,0),"")</f>
        <v>44272</v>
      </c>
      <c r="L348" s="11">
        <f>IFERROR(VLOOKUP(BD_DETALLE!B348,Tabla9[],8,0),"")</f>
        <v>52164</v>
      </c>
      <c r="M348" s="9">
        <f>IFERROR(SUMIFS(Tabla9[CANTIDAD2],Tabla9[BUSQUEDA],Tabla3[[#This Row],[BUSQUEDA]],Tabla9[CODIGO],Tabla3[[#This Row],[CODIGO]],Tabla9[ORDEN No.],Tabla3[[#This Row],[ORDEN de COMPRA]]),0)</f>
        <v>6</v>
      </c>
      <c r="N348" s="27">
        <f>IFERROR(IF(BD_DETALLE!B348&gt;0,VLOOKUP(BD_DETALLE!B348,Tabla9[],10,0),""),"")</f>
        <v>44295</v>
      </c>
      <c r="O348" s="28">
        <f>IFERROR(VLOOKUP(BD_DETALLE!B348,Tabla9[],11,0),0)</f>
        <v>11771</v>
      </c>
      <c r="P348" s="26">
        <f>IFERROR(SUMIFS(Tabla9[CANTIDAD3],Tabla9[BUSQUEDA],Tabla3[[#This Row],[BUSQUEDA]],Tabla9[CODIGO],Tabla3[[#This Row],[CODIGO]]),0)</f>
        <v>6</v>
      </c>
      <c r="Q348" s="25">
        <f>IF(BD_DETALLE!P348&lt;=0,0,IF(BD_DETALLE!P348=BD_DETALLE!H348,2,1))</f>
        <v>2</v>
      </c>
      <c r="R348" s="41">
        <f ca="1">IF(BD_DETALLE!$C348&gt;0,(IF(BD_DETALLE!$N348=0,TODAY()-BD_DETALLE!$C348,BD_DETALLE!$N348-BD_DETALLE!$C348)),"")</f>
        <v>38</v>
      </c>
    </row>
    <row r="349" spans="2:18" x14ac:dyDescent="0.25">
      <c r="B349" s="15" t="str">
        <f t="shared" si="41"/>
        <v>2103-8-105207</v>
      </c>
      <c r="C349" s="7">
        <v>44257</v>
      </c>
      <c r="D349" s="5" t="str">
        <f>IF(BD_DETALLE!$E349&gt;=1,CONCATENATE(TEXT(BD_DETALLE!$C349,"YY"),TEXT(BD_DETALLE!$C349,"MM"),"-",BD_DETALLE!$E349),"")</f>
        <v>2103-8</v>
      </c>
      <c r="E349" s="12">
        <v>8</v>
      </c>
      <c r="F349" s="21">
        <v>105207</v>
      </c>
      <c r="G349" s="4" t="str">
        <f>IFERROR(VLOOKUP(BD_DETALLE!$B349,Tabla9[],6,0),"")</f>
        <v>CODO GALV. DE 4" x 45║</v>
      </c>
      <c r="H349" s="6">
        <f>IFERROR(VLOOKUP(BD_DETALLE!$B349,Tabla9[],4,0),0)</f>
        <v>2</v>
      </c>
      <c r="I349" s="19" t="s">
        <v>1</v>
      </c>
      <c r="J349" s="20"/>
      <c r="K349" s="10">
        <f>IFERROR(VLOOKUP(BD_DETALLE!B349,Tabla9[],7,0),"")</f>
        <v>0</v>
      </c>
      <c r="L349" s="11">
        <f>IFERROR(VLOOKUP(BD_DETALLE!B349,Tabla9[],8,0),"")</f>
        <v>0</v>
      </c>
      <c r="M349" s="9">
        <f>IFERROR(SUMIFS(Tabla9[CANTIDAD2],Tabla9[BUSQUEDA],Tabla3[[#This Row],[BUSQUEDA]],Tabla9[CODIGO],Tabla3[[#This Row],[CODIGO]],Tabla9[ORDEN No.],Tabla3[[#This Row],[ORDEN de COMPRA]]),0)</f>
        <v>0</v>
      </c>
      <c r="N349" s="27">
        <f>IFERROR(IF(BD_DETALLE!B349&gt;0,VLOOKUP(BD_DETALLE!B349,Tabla9[],10,0),""),"")</f>
        <v>0</v>
      </c>
      <c r="O349" s="28">
        <f>IFERROR(VLOOKUP(BD_DETALLE!B349,Tabla9[],11,0),0)</f>
        <v>0</v>
      </c>
      <c r="P349" s="26">
        <f>IFERROR(SUMIFS(Tabla9[CANTIDAD3],Tabla9[BUSQUEDA],Tabla3[[#This Row],[BUSQUEDA]],Tabla9[CODIGO],Tabla3[[#This Row],[CODIGO]]),0)</f>
        <v>0</v>
      </c>
      <c r="Q349" s="25">
        <f>IF(BD_DETALLE!P349&lt;=0,0,IF(BD_DETALLE!P349=BD_DETALLE!H349,2,1))</f>
        <v>0</v>
      </c>
      <c r="R349" s="41">
        <f ca="1">IF(BD_DETALLE!$C349&gt;0,(IF(BD_DETALLE!$N349=0,TODAY()-BD_DETALLE!$C349,BD_DETALLE!$N349-BD_DETALLE!$C349)),"")</f>
        <v>48</v>
      </c>
    </row>
    <row r="350" spans="2:18" x14ac:dyDescent="0.25">
      <c r="B350" s="15" t="str">
        <f t="shared" si="41"/>
        <v>2103-8-105205</v>
      </c>
      <c r="C350" s="7">
        <v>44257</v>
      </c>
      <c r="D350" s="5" t="str">
        <f>IF(BD_DETALLE!$E350&gt;=1,CONCATENATE(TEXT(BD_DETALLE!$C350,"YY"),TEXT(BD_DETALLE!$C350,"MM"),"-",BD_DETALLE!$E350),"")</f>
        <v>2103-8</v>
      </c>
      <c r="E350" s="12">
        <v>8</v>
      </c>
      <c r="F350" s="21">
        <v>105205</v>
      </c>
      <c r="G350" s="4" t="str">
        <f>IFERROR(VLOOKUP(BD_DETALLE!$B350,Tabla9[],6,0),"")</f>
        <v>TUBO GALVANIZADO 4"</v>
      </c>
      <c r="H350" s="6">
        <f>IFERROR(VLOOKUP(BD_DETALLE!$B350,Tabla9[],4,0),0)</f>
        <v>2</v>
      </c>
      <c r="I350" s="19" t="s">
        <v>1</v>
      </c>
      <c r="J350" s="20"/>
      <c r="K350" s="10">
        <f>IFERROR(VLOOKUP(BD_DETALLE!B350,Tabla9[],7,0),"")</f>
        <v>0</v>
      </c>
      <c r="L350" s="11">
        <f>IFERROR(VLOOKUP(BD_DETALLE!B350,Tabla9[],8,0),"")</f>
        <v>0</v>
      </c>
      <c r="M350" s="9">
        <f>IFERROR(SUMIFS(Tabla9[CANTIDAD2],Tabla9[BUSQUEDA],Tabla3[[#This Row],[BUSQUEDA]],Tabla9[CODIGO],Tabla3[[#This Row],[CODIGO]],Tabla9[ORDEN No.],Tabla3[[#This Row],[ORDEN de COMPRA]]),0)</f>
        <v>0</v>
      </c>
      <c r="N350" s="27">
        <f>IFERROR(IF(BD_DETALLE!B350&gt;0,VLOOKUP(BD_DETALLE!B350,Tabla9[],10,0),""),"")</f>
        <v>0</v>
      </c>
      <c r="O350" s="28">
        <f>IFERROR(VLOOKUP(BD_DETALLE!B350,Tabla9[],11,0),0)</f>
        <v>0</v>
      </c>
      <c r="P350" s="26">
        <f>IFERROR(SUMIFS(Tabla9[CANTIDAD3],Tabla9[BUSQUEDA],Tabla3[[#This Row],[BUSQUEDA]],Tabla9[CODIGO],Tabla3[[#This Row],[CODIGO]]),0)</f>
        <v>0</v>
      </c>
      <c r="Q350" s="25">
        <f>IF(BD_DETALLE!P350&lt;=0,0,IF(BD_DETALLE!P350=BD_DETALLE!H350,2,1))</f>
        <v>0</v>
      </c>
      <c r="R350" s="41">
        <f ca="1">IF(BD_DETALLE!$C350&gt;0,(IF(BD_DETALLE!$N350=0,TODAY()-BD_DETALLE!$C350,BD_DETALLE!$N350-BD_DETALLE!$C350)),"")</f>
        <v>48</v>
      </c>
    </row>
    <row r="351" spans="2:18" x14ac:dyDescent="0.25">
      <c r="B351" s="15" t="str">
        <f>IFERROR(TEXT(C351,"yy") &amp; TEXT(C351,"mm") &amp;"-"&amp;(E351) &amp;"-"&amp;(F351),"")</f>
        <v>2103-17-309161</v>
      </c>
      <c r="C351" s="7">
        <v>44258</v>
      </c>
      <c r="D351" s="5" t="str">
        <f>IF(BD_DETALLE!$E351&gt;=1,CONCATENATE(TEXT(BD_DETALLE!$C351,"YY"),TEXT(BD_DETALLE!$C351,"MM"),"-",BD_DETALLE!$E351),"")</f>
        <v>2103-17</v>
      </c>
      <c r="E351" s="12">
        <v>17</v>
      </c>
      <c r="F351" s="21">
        <v>309161</v>
      </c>
      <c r="G351" s="4" t="str">
        <f>IFERROR(VLOOKUP(BD_DETALLE!$B351,Tabla9[],6,0),"")</f>
        <v>BALANZA C/PLATAFORMA/PISO</v>
      </c>
      <c r="H351" s="6">
        <f>IFERROR(VLOOKUP(BD_DETALLE!$B351,Tabla9[],4,0),0)</f>
        <v>1</v>
      </c>
      <c r="I351" s="19" t="s">
        <v>1</v>
      </c>
      <c r="J351" s="20" t="s">
        <v>1822</v>
      </c>
      <c r="K351" s="10">
        <f>IFERROR(VLOOKUP(BD_DETALLE!B351,Tabla9[],7,0),"")</f>
        <v>0</v>
      </c>
      <c r="L351" s="11">
        <f>IFERROR(VLOOKUP(BD_DETALLE!B351,Tabla9[],8,0),"")</f>
        <v>0</v>
      </c>
      <c r="M351" s="9">
        <f>IFERROR(SUMIFS(Tabla9[CANTIDAD2],Tabla9[BUSQUEDA],Tabla3[[#This Row],[BUSQUEDA]],Tabla9[CODIGO],Tabla3[[#This Row],[CODIGO]],Tabla9[ORDEN No.],Tabla3[[#This Row],[ORDEN de COMPRA]]),0)</f>
        <v>0</v>
      </c>
      <c r="N351" s="27">
        <f>IFERROR(IF(BD_DETALLE!B351&gt;0,VLOOKUP(BD_DETALLE!B351,Tabla9[],10,0),""),"")</f>
        <v>0</v>
      </c>
      <c r="O351" s="28">
        <f>IFERROR(VLOOKUP(BD_DETALLE!B351,Tabla9[],11,0),0)</f>
        <v>0</v>
      </c>
      <c r="P351" s="26">
        <f>IFERROR(SUMIFS(Tabla9[CANTIDAD3],Tabla9[BUSQUEDA],Tabla3[[#This Row],[BUSQUEDA]],Tabla9[CODIGO],Tabla3[[#This Row],[CODIGO]]),0)</f>
        <v>0</v>
      </c>
      <c r="Q351" s="25">
        <f>IF(BD_DETALLE!P351&lt;=0,0,IF(BD_DETALLE!P351=BD_DETALLE!H351,2,1))</f>
        <v>0</v>
      </c>
      <c r="R351" s="41">
        <f ca="1">IF(BD_DETALLE!$C351&gt;0,(IF(BD_DETALLE!$N351=0,TODAY()-BD_DETALLE!$C351,BD_DETALLE!$N351-BD_DETALLE!$C351)),"")</f>
        <v>47</v>
      </c>
    </row>
    <row r="352" spans="2:18" x14ac:dyDescent="0.25">
      <c r="B352" s="198" t="str">
        <f t="shared" ref="B352" si="42">IFERROR(TEXT(C352,"yy") &amp; TEXT(C352,"mm") &amp;"-"&amp;(E352) &amp;"-"&amp;(F352),"")</f>
        <v>2103-19-320070</v>
      </c>
      <c r="C352" s="199">
        <v>44258</v>
      </c>
      <c r="D352" s="200" t="str">
        <f>IF(BD_DETALLE!$E352&gt;=1,CONCATENATE(TEXT(BD_DETALLE!$C352,"YY"),TEXT(BD_DETALLE!$C352,"MM"),"-",BD_DETALLE!$E352),"")</f>
        <v>2103-19</v>
      </c>
      <c r="E352" s="201">
        <v>19</v>
      </c>
      <c r="F352" s="202">
        <v>320070</v>
      </c>
      <c r="G352" s="203" t="str">
        <f>IFERROR(VLOOKUP(BD_DETALLE!$B352,Tabla9[],6,0),"")</f>
        <v>RODILLO DE ALIMENTACION P/IMPRESORA</v>
      </c>
      <c r="H352" s="204">
        <f>IFERROR(VLOOKUP(BD_DETALLE!$B352,Tabla9[],4,0),0)</f>
        <v>1</v>
      </c>
      <c r="I352" s="205" t="s">
        <v>7</v>
      </c>
      <c r="J352" s="206" t="s">
        <v>1823</v>
      </c>
      <c r="K352" s="10">
        <f>IFERROR(VLOOKUP(BD_DETALLE!B352,Tabla9[],7,0),"")</f>
        <v>44259</v>
      </c>
      <c r="L352" s="11">
        <f>IFERROR(VLOOKUP(BD_DETALLE!B352,Tabla9[],8,0),"")</f>
        <v>51992</v>
      </c>
      <c r="M352" s="9">
        <f>IFERROR(SUMIFS(Tabla9[CANTIDAD2],Tabla9[BUSQUEDA],Tabla3[[#This Row],[BUSQUEDA]],Tabla9[CODIGO],Tabla3[[#This Row],[CODIGO]],Tabla9[ORDEN No.],Tabla3[[#This Row],[ORDEN de COMPRA]]),0)</f>
        <v>1</v>
      </c>
      <c r="N352" s="27">
        <f>IFERROR(IF(BD_DETALLE!B352&gt;0,VLOOKUP(BD_DETALLE!B352,Tabla9[],10,0),""),"")</f>
        <v>0</v>
      </c>
      <c r="O352" s="28">
        <f>IFERROR(VLOOKUP(BD_DETALLE!B352,Tabla9[],11,0),0)</f>
        <v>0</v>
      </c>
      <c r="P352" s="26">
        <f>IFERROR(SUMIFS(Tabla9[CANTIDAD3],Tabla9[BUSQUEDA],Tabla3[[#This Row],[BUSQUEDA]],Tabla9[CODIGO],Tabla3[[#This Row],[CODIGO]]),0)</f>
        <v>0</v>
      </c>
      <c r="Q352" s="25">
        <f>IF(BD_DETALLE!P352&lt;=0,0,IF(BD_DETALLE!P352=BD_DETALLE!H352,2,1))</f>
        <v>0</v>
      </c>
      <c r="R352" s="41">
        <f ca="1">IF(BD_DETALLE!$C352&gt;0,(IF(BD_DETALLE!$N352=0,TODAY()-BD_DETALLE!$C352,BD_DETALLE!$N352-BD_DETALLE!$C352)),"")</f>
        <v>47</v>
      </c>
    </row>
    <row r="353" spans="2:18" x14ac:dyDescent="0.25">
      <c r="B353" s="198" t="str">
        <f t="shared" ref="B353" si="43">IFERROR(TEXT(C353,"yy") &amp; TEXT(C353,"mm") &amp;"-"&amp;(E353) &amp;"-"&amp;(F353),"")</f>
        <v>2103-50-306630</v>
      </c>
      <c r="C353" s="199">
        <v>44259</v>
      </c>
      <c r="D353" s="200" t="str">
        <f>IF(BD_DETALLE!$E353&gt;=1,CONCATENATE(TEXT(BD_DETALLE!$C353,"YY"),TEXT(BD_DETALLE!$C353,"MM"),"-",BD_DETALLE!$E353),"")</f>
        <v>2103-50</v>
      </c>
      <c r="E353" s="201">
        <v>50</v>
      </c>
      <c r="F353" s="202">
        <v>306630</v>
      </c>
      <c r="G353" s="203" t="str">
        <f>IFERROR(VLOOKUP(BD_DETALLE!$B353,Tabla9[],6,0),"")</f>
        <v>CRIBA H/N DE 4MM ESPESOR X 4MM DE PERFORACION DE 1,22 X 2,44</v>
      </c>
      <c r="H353" s="204">
        <f>IFERROR(VLOOKUP(BD_DETALLE!$B353,Tabla9[],4,0),0)</f>
        <v>2</v>
      </c>
      <c r="I353" s="19" t="s">
        <v>12</v>
      </c>
      <c r="J353" s="20" t="s">
        <v>945</v>
      </c>
      <c r="K353" s="10">
        <f>IFERROR(VLOOKUP(BD_DETALLE!B353,Tabla9[],7,0),"")</f>
        <v>44266</v>
      </c>
      <c r="L353" s="11">
        <f>IFERROR(VLOOKUP(BD_DETALLE!B353,Tabla9[],8,0),"")</f>
        <v>52056</v>
      </c>
      <c r="M353" s="9">
        <f>IFERROR(SUMIFS(Tabla9[CANTIDAD2],Tabla9[BUSQUEDA],Tabla3[[#This Row],[BUSQUEDA]],Tabla9[CODIGO],Tabla3[[#This Row],[CODIGO]],Tabla9[ORDEN No.],Tabla3[[#This Row],[ORDEN de COMPRA]]),0)</f>
        <v>2</v>
      </c>
      <c r="N353" s="27">
        <f>IFERROR(IF(BD_DETALLE!B353&gt;0,VLOOKUP(BD_DETALLE!B353,Tabla9[],10,0),""),"")</f>
        <v>0</v>
      </c>
      <c r="O353" s="28">
        <f>IFERROR(VLOOKUP(BD_DETALLE!B353,Tabla9[],11,0),0)</f>
        <v>0</v>
      </c>
      <c r="P353" s="26">
        <f>IFERROR(SUMIFS(Tabla9[CANTIDAD3],Tabla9[BUSQUEDA],Tabla3[[#This Row],[BUSQUEDA]],Tabla9[CODIGO],Tabla3[[#This Row],[CODIGO]]),0)</f>
        <v>0</v>
      </c>
      <c r="Q353" s="25">
        <f>IF(BD_DETALLE!P353&lt;=0,0,IF(BD_DETALLE!P353=BD_DETALLE!H353,2,1))</f>
        <v>0</v>
      </c>
      <c r="R353" s="41">
        <f ca="1">IF(BD_DETALLE!$C353&gt;0,(IF(BD_DETALLE!$N353=0,TODAY()-BD_DETALLE!$C353,BD_DETALLE!$N353-BD_DETALLE!$C353)),"")</f>
        <v>46</v>
      </c>
    </row>
    <row r="354" spans="2:18" x14ac:dyDescent="0.25">
      <c r="B354" s="15" t="str">
        <f t="shared" ref="B354" si="44">IFERROR(TEXT(C354,"yy") &amp; TEXT(C354,"mm") &amp;"-"&amp;(E354) &amp;"-"&amp;(F354),"")</f>
        <v>2103-59-300285</v>
      </c>
      <c r="C354" s="7">
        <v>44263</v>
      </c>
      <c r="D354" s="5" t="str">
        <f>IF(BD_DETALLE!$E354&gt;=1,CONCATENATE(TEXT(BD_DETALLE!$C354,"YY"),TEXT(BD_DETALLE!$C354,"MM"),"-",BD_DETALLE!$E354),"")</f>
        <v>2103-59</v>
      </c>
      <c r="E354" s="12">
        <v>59</v>
      </c>
      <c r="F354" s="21">
        <v>300285</v>
      </c>
      <c r="G354" s="4" t="str">
        <f>IFERROR(VLOOKUP(BD_DETALLE!$B354,Tabla9[],6,0),"")</f>
        <v>PALANCA DE CAMBIO DE LUCES</v>
      </c>
      <c r="H354" s="6">
        <f>IFERROR(VLOOKUP(BD_DETALLE!$B354,Tabla9[],4,0),0)</f>
        <v>1</v>
      </c>
      <c r="I354" s="19" t="s">
        <v>5</v>
      </c>
      <c r="J354" s="20" t="s">
        <v>977</v>
      </c>
      <c r="K354" s="10">
        <f>IFERROR(VLOOKUP(BD_DETALLE!B354,Tabla9[],7,0),"")</f>
        <v>44285</v>
      </c>
      <c r="L354" s="11">
        <f>IFERROR(VLOOKUP(BD_DETALLE!B354,Tabla9[],8,0),"")</f>
        <v>52311</v>
      </c>
      <c r="M354" s="9">
        <f>IFERROR(SUMIFS(Tabla9[CANTIDAD2],Tabla9[BUSQUEDA],Tabla3[[#This Row],[BUSQUEDA]],Tabla9[CODIGO],Tabla3[[#This Row],[CODIGO]],Tabla9[ORDEN No.],Tabla3[[#This Row],[ORDEN de COMPRA]]),0)</f>
        <v>1</v>
      </c>
      <c r="N354" s="27">
        <f>IFERROR(IF(BD_DETALLE!B354&gt;0,VLOOKUP(BD_DETALLE!B354,Tabla9[],10,0),""),"")</f>
        <v>44299</v>
      </c>
      <c r="O354" s="28">
        <f>IFERROR(VLOOKUP(BD_DETALLE!B354,Tabla9[],11,0),0)</f>
        <v>11817</v>
      </c>
      <c r="P354" s="26">
        <f>IFERROR(SUMIFS(Tabla9[CANTIDAD3],Tabla9[BUSQUEDA],Tabla3[[#This Row],[BUSQUEDA]],Tabla9[CODIGO],Tabla3[[#This Row],[CODIGO]]),0)</f>
        <v>1</v>
      </c>
      <c r="Q354" s="25">
        <f>IF(BD_DETALLE!P354&lt;=0,0,IF(BD_DETALLE!P354=BD_DETALLE!H354,2,1))</f>
        <v>2</v>
      </c>
      <c r="R354" s="41">
        <f ca="1">IF(BD_DETALLE!$C354&gt;0,(IF(BD_DETALLE!$N354=0,TODAY()-BD_DETALLE!$C354,BD_DETALLE!$N354-BD_DETALLE!$C354)),"")</f>
        <v>36</v>
      </c>
    </row>
    <row r="355" spans="2:18" x14ac:dyDescent="0.25">
      <c r="B355" s="15" t="str">
        <f t="shared" ref="B355:B368" si="45">IFERROR(TEXT(C355,"yy") &amp; TEXT(C355,"mm") &amp;"-"&amp;(E355) &amp;"-"&amp;(F355),"")</f>
        <v>2103-67-309501</v>
      </c>
      <c r="C355" s="7">
        <v>44264</v>
      </c>
      <c r="D355" s="5" t="str">
        <f>IF(BD_DETALLE!$E355&gt;=1,CONCATENATE(TEXT(BD_DETALLE!$C355,"YY"),TEXT(BD_DETALLE!$C355,"MM"),"-",BD_DETALLE!$E355),"")</f>
        <v>2103-67</v>
      </c>
      <c r="E355" s="12">
        <v>67</v>
      </c>
      <c r="F355" s="21">
        <v>309501</v>
      </c>
      <c r="G355" s="4" t="str">
        <f>IFERROR(VLOOKUP(BD_DETALLE!$B355,Tabla9[],6,0),"")</f>
        <v>CADENA TRANSPORTADORA PASO 6" 15000LBS</v>
      </c>
      <c r="H355" s="6">
        <f>IFERROR(VLOOKUP(BD_DETALLE!$B355,Tabla9[],4,0),0)</f>
        <v>50</v>
      </c>
      <c r="I355" s="19" t="s">
        <v>1</v>
      </c>
      <c r="J355" s="20" t="s">
        <v>1859</v>
      </c>
      <c r="K355" s="10">
        <f>IFERROR(VLOOKUP(BD_DETALLE!B355,Tabla9[],7,0),"")</f>
        <v>0</v>
      </c>
      <c r="L355" s="11">
        <f>IFERROR(VLOOKUP(BD_DETALLE!B355,Tabla9[],8,0),"")</f>
        <v>0</v>
      </c>
      <c r="M355" s="9">
        <f>IFERROR(SUMIFS(Tabla9[CANTIDAD2],Tabla9[BUSQUEDA],Tabla3[[#This Row],[BUSQUEDA]],Tabla9[CODIGO],Tabla3[[#This Row],[CODIGO]],Tabla9[ORDEN No.],Tabla3[[#This Row],[ORDEN de COMPRA]]),0)</f>
        <v>0</v>
      </c>
      <c r="N355" s="27">
        <f>IFERROR(IF(BD_DETALLE!B355&gt;0,VLOOKUP(BD_DETALLE!B355,Tabla9[],10,0),""),"")</f>
        <v>0</v>
      </c>
      <c r="O355" s="28">
        <f>IFERROR(VLOOKUP(BD_DETALLE!B355,Tabla9[],11,0),0)</f>
        <v>0</v>
      </c>
      <c r="P355" s="26">
        <f>IFERROR(SUMIFS(Tabla9[CANTIDAD3],Tabla9[BUSQUEDA],Tabla3[[#This Row],[BUSQUEDA]],Tabla9[CODIGO],Tabla3[[#This Row],[CODIGO]]),0)</f>
        <v>0</v>
      </c>
      <c r="Q355" s="25">
        <f>IF(BD_DETALLE!P355&lt;=0,0,IF(BD_DETALLE!P355=BD_DETALLE!H355,2,1))</f>
        <v>0</v>
      </c>
      <c r="R355" s="41">
        <f ca="1">IF(BD_DETALLE!$C355&gt;0,(IF(BD_DETALLE!$N355=0,TODAY()-BD_DETALLE!$C355,BD_DETALLE!$N355-BD_DETALLE!$C355)),"")</f>
        <v>41</v>
      </c>
    </row>
    <row r="356" spans="2:18" x14ac:dyDescent="0.25">
      <c r="B356" s="15" t="str">
        <f t="shared" si="45"/>
        <v>2103-67-306986</v>
      </c>
      <c r="C356" s="7">
        <v>44264</v>
      </c>
      <c r="D356" s="5" t="str">
        <f>IF(BD_DETALLE!$E356&gt;=1,CONCATENATE(TEXT(BD_DETALLE!$C356,"YY"),TEXT(BD_DETALLE!$C356,"MM"),"-",BD_DETALLE!$E356),"")</f>
        <v>2103-67</v>
      </c>
      <c r="E356" s="12">
        <v>67</v>
      </c>
      <c r="F356" s="21">
        <v>306986</v>
      </c>
      <c r="G356" s="4" t="str">
        <f>IFERROR(VLOOKUP(BD_DETALLE!$B356,Tabla9[],6,0),"")</f>
        <v>PIÐON (SPROCKET) DE 8 DIENTES CON MASA DE UN SOLO LADO</v>
      </c>
      <c r="H356" s="6">
        <f>IFERROR(VLOOKUP(BD_DETALLE!$B356,Tabla9[],4,0),0)</f>
        <v>4</v>
      </c>
      <c r="I356" s="19" t="s">
        <v>1</v>
      </c>
      <c r="J356" s="20" t="s">
        <v>1859</v>
      </c>
      <c r="K356" s="10">
        <f>IFERROR(VLOOKUP(BD_DETALLE!B356,Tabla9[],7,0),"")</f>
        <v>0</v>
      </c>
      <c r="L356" s="11">
        <f>IFERROR(VLOOKUP(BD_DETALLE!B356,Tabla9[],8,0),"")</f>
        <v>0</v>
      </c>
      <c r="M356" s="9">
        <f>IFERROR(SUMIFS(Tabla9[CANTIDAD2],Tabla9[BUSQUEDA],Tabla3[[#This Row],[BUSQUEDA]],Tabla9[CODIGO],Tabla3[[#This Row],[CODIGO]],Tabla9[ORDEN No.],Tabla3[[#This Row],[ORDEN de COMPRA]]),0)</f>
        <v>0</v>
      </c>
      <c r="N356" s="27">
        <f>IFERROR(IF(BD_DETALLE!B356&gt;0,VLOOKUP(BD_DETALLE!B356,Tabla9[],10,0),""),"")</f>
        <v>0</v>
      </c>
      <c r="O356" s="28">
        <f>IFERROR(VLOOKUP(BD_DETALLE!B356,Tabla9[],11,0),0)</f>
        <v>0</v>
      </c>
      <c r="P356" s="26">
        <f>IFERROR(SUMIFS(Tabla9[CANTIDAD3],Tabla9[BUSQUEDA],Tabla3[[#This Row],[BUSQUEDA]],Tabla9[CODIGO],Tabla3[[#This Row],[CODIGO]]),0)</f>
        <v>0</v>
      </c>
      <c r="Q356" s="25">
        <f>IF(BD_DETALLE!P356&lt;=0,0,IF(BD_DETALLE!P356=BD_DETALLE!H356,2,1))</f>
        <v>0</v>
      </c>
      <c r="R356" s="41">
        <f ca="1">IF(BD_DETALLE!$C356&gt;0,(IF(BD_DETALLE!$N356=0,TODAY()-BD_DETALLE!$C356,BD_DETALLE!$N356-BD_DETALLE!$C356)),"")</f>
        <v>41</v>
      </c>
    </row>
    <row r="357" spans="2:18" x14ac:dyDescent="0.25">
      <c r="B357" s="15" t="str">
        <f t="shared" si="45"/>
        <v>2103-69-320904</v>
      </c>
      <c r="C357" s="7">
        <v>44264</v>
      </c>
      <c r="D357" s="5" t="str">
        <f>IF(BD_DETALLE!$E357&gt;=1,CONCATENATE(TEXT(BD_DETALLE!$C357,"YY"),TEXT(BD_DETALLE!$C357,"MM"),"-",BD_DETALLE!$E357),"")</f>
        <v>2103-69</v>
      </c>
      <c r="E357" s="12">
        <v>69</v>
      </c>
      <c r="F357" s="21">
        <v>320904</v>
      </c>
      <c r="G357" s="4" t="str">
        <f>IFERROR(VLOOKUP(BD_DETALLE!$B357,Tabla9[],6,0),"")</f>
        <v>PERNO GR. 8,8 M20 x 120mm PASO 2,5</v>
      </c>
      <c r="H357" s="6">
        <f>IFERROR(VLOOKUP(BD_DETALLE!$B357,Tabla9[],4,0),0)</f>
        <v>18</v>
      </c>
      <c r="I357" s="19" t="s">
        <v>19</v>
      </c>
      <c r="J357" s="20" t="s">
        <v>1860</v>
      </c>
      <c r="K357" s="10">
        <f>IFERROR(VLOOKUP(BD_DETALLE!B357,Tabla9[],7,0),"")</f>
        <v>44279</v>
      </c>
      <c r="L357" s="11">
        <f>IFERROR(VLOOKUP(BD_DETALLE!B357,Tabla9[],8,0),"")</f>
        <v>52257</v>
      </c>
      <c r="M357" s="9">
        <f>IFERROR(SUMIFS(Tabla9[CANTIDAD2],Tabla9[BUSQUEDA],Tabla3[[#This Row],[BUSQUEDA]],Tabla9[CODIGO],Tabla3[[#This Row],[CODIGO]],Tabla9[ORDEN No.],Tabla3[[#This Row],[ORDEN de COMPRA]]),0)</f>
        <v>18</v>
      </c>
      <c r="N357" s="27">
        <f>IFERROR(IF(BD_DETALLE!B357&gt;0,VLOOKUP(BD_DETALLE!B357,Tabla9[],10,0),""),"")</f>
        <v>44298</v>
      </c>
      <c r="O357" s="28">
        <f>IFERROR(VLOOKUP(BD_DETALLE!B357,Tabla9[],11,0),0)</f>
        <v>11786</v>
      </c>
      <c r="P357" s="26">
        <f>IFERROR(SUMIFS(Tabla9[CANTIDAD3],Tabla9[BUSQUEDA],Tabla3[[#This Row],[BUSQUEDA]],Tabla9[CODIGO],Tabla3[[#This Row],[CODIGO]]),0)</f>
        <v>18</v>
      </c>
      <c r="Q357" s="25">
        <f>IF(BD_DETALLE!P357&lt;=0,0,IF(BD_DETALLE!P357=BD_DETALLE!H357,2,1))</f>
        <v>2</v>
      </c>
      <c r="R357" s="41">
        <f ca="1">IF(BD_DETALLE!$C357&gt;0,(IF(BD_DETALLE!$N357=0,TODAY()-BD_DETALLE!$C357,BD_DETALLE!$N357-BD_DETALLE!$C357)),"")</f>
        <v>34</v>
      </c>
    </row>
    <row r="358" spans="2:18" x14ac:dyDescent="0.25">
      <c r="B358" s="15" t="str">
        <f t="shared" si="45"/>
        <v>2103-71-206122</v>
      </c>
      <c r="C358" s="7">
        <v>44264</v>
      </c>
      <c r="D358" s="5" t="str">
        <f>IF(BD_DETALLE!$E358&gt;=1,CONCATENATE(TEXT(BD_DETALLE!$C358,"YY"),TEXT(BD_DETALLE!$C358,"MM"),"-",BD_DETALLE!$E358),"")</f>
        <v>2103-71</v>
      </c>
      <c r="E358" s="12">
        <v>71</v>
      </c>
      <c r="F358" s="21">
        <v>206122</v>
      </c>
      <c r="G358" s="4" t="str">
        <f>IFERROR(VLOOKUP(BD_DETALLE!$B358,Tabla9[],6,0),"")</f>
        <v>MANOMETRO HORIZONTAL DIAL 2.5" DE 0-100PSI, C/TOMA DE 1/4"</v>
      </c>
      <c r="H358" s="6">
        <f>IFERROR(VLOOKUP(BD_DETALLE!$B358,Tabla9[],4,0),0)</f>
        <v>2</v>
      </c>
      <c r="I358" s="19" t="s">
        <v>12</v>
      </c>
      <c r="J358" s="20" t="s">
        <v>1718</v>
      </c>
      <c r="K358" s="10">
        <f>IFERROR(VLOOKUP(BD_DETALLE!B358,Tabla9[],7,0),"")</f>
        <v>44279</v>
      </c>
      <c r="L358" s="11">
        <f>IFERROR(VLOOKUP(BD_DETALLE!B358,Tabla9[],8,0),"")</f>
        <v>52260</v>
      </c>
      <c r="M358" s="9">
        <f>IFERROR(SUMIFS(Tabla9[CANTIDAD2],Tabla9[BUSQUEDA],Tabla3[[#This Row],[BUSQUEDA]],Tabla9[CODIGO],Tabla3[[#This Row],[CODIGO]],Tabla9[ORDEN No.],Tabla3[[#This Row],[ORDEN de COMPRA]]),0)</f>
        <v>2</v>
      </c>
      <c r="N358" s="27">
        <f>IFERROR(IF(BD_DETALLE!B358&gt;0,VLOOKUP(BD_DETALLE!B358,Tabla9[],10,0),""),"")</f>
        <v>44284</v>
      </c>
      <c r="O358" s="28">
        <f>IFERROR(VLOOKUP(BD_DETALLE!B358,Tabla9[],11,0),0)</f>
        <v>11666</v>
      </c>
      <c r="P358" s="26">
        <f>IFERROR(SUMIFS(Tabla9[CANTIDAD3],Tabla9[BUSQUEDA],Tabla3[[#This Row],[BUSQUEDA]],Tabla9[CODIGO],Tabla3[[#This Row],[CODIGO]]),0)</f>
        <v>2</v>
      </c>
      <c r="Q358" s="25">
        <f>IF(BD_DETALLE!P358&lt;=0,0,IF(BD_DETALLE!P358=BD_DETALLE!H358,2,1))</f>
        <v>2</v>
      </c>
      <c r="R358" s="41">
        <f ca="1">IF(BD_DETALLE!$C358&gt;0,(IF(BD_DETALLE!$N358=0,TODAY()-BD_DETALLE!$C358,BD_DETALLE!$N358-BD_DETALLE!$C358)),"")</f>
        <v>20</v>
      </c>
    </row>
    <row r="359" spans="2:18" x14ac:dyDescent="0.25">
      <c r="B359" s="15" t="str">
        <f t="shared" si="45"/>
        <v>2103-72-307320</v>
      </c>
      <c r="C359" s="7">
        <v>44264</v>
      </c>
      <c r="D359" s="5" t="str">
        <f>IF(BD_DETALLE!$E359&gt;=1,CONCATENATE(TEXT(BD_DETALLE!$C359,"YY"),TEXT(BD_DETALLE!$C359,"MM"),"-",BD_DETALLE!$E359),"")</f>
        <v>2103-72</v>
      </c>
      <c r="E359" s="12">
        <v>72</v>
      </c>
      <c r="F359" s="21">
        <v>307320</v>
      </c>
      <c r="G359" s="4" t="str">
        <f>IFERROR(VLOOKUP(BD_DETALLE!$B359,Tabla9[],6,0),"")</f>
        <v>PLANCHA A/INOX DE 6MM x 1.22MTS x 2.44MTS</v>
      </c>
      <c r="H359" s="6">
        <f>IFERROR(VLOOKUP(BD_DETALLE!$B359,Tabla9[],4,0),0)</f>
        <v>2</v>
      </c>
      <c r="I359" s="19" t="s">
        <v>12</v>
      </c>
      <c r="J359" s="20" t="s">
        <v>1861</v>
      </c>
      <c r="K359" s="10">
        <f>IFERROR(VLOOKUP(BD_DETALLE!B359,Tabla9[],7,0),"")</f>
        <v>44299</v>
      </c>
      <c r="L359" s="11">
        <f>IFERROR(VLOOKUP(BD_DETALLE!B359,Tabla9[],8,0),"")</f>
        <v>52457</v>
      </c>
      <c r="M359" s="9">
        <f>IFERROR(SUMIFS(Tabla9[CANTIDAD2],Tabla9[BUSQUEDA],Tabla3[[#This Row],[BUSQUEDA]],Tabla9[CODIGO],Tabla3[[#This Row],[CODIGO]],Tabla9[ORDEN No.],Tabla3[[#This Row],[ORDEN de COMPRA]]),0)</f>
        <v>2</v>
      </c>
      <c r="N359" s="27">
        <f>IFERROR(IF(BD_DETALLE!B359&gt;0,VLOOKUP(BD_DETALLE!B359,Tabla9[],10,0),""),"")</f>
        <v>0</v>
      </c>
      <c r="O359" s="28">
        <f>IFERROR(VLOOKUP(BD_DETALLE!B359,Tabla9[],11,0),0)</f>
        <v>0</v>
      </c>
      <c r="P359" s="26">
        <f>IFERROR(SUMIFS(Tabla9[CANTIDAD3],Tabla9[BUSQUEDA],Tabla3[[#This Row],[BUSQUEDA]],Tabla9[CODIGO],Tabla3[[#This Row],[CODIGO]]),0)</f>
        <v>0</v>
      </c>
      <c r="Q359" s="25">
        <f>IF(BD_DETALLE!P359&lt;=0,0,IF(BD_DETALLE!P359=BD_DETALLE!H359,2,1))</f>
        <v>0</v>
      </c>
      <c r="R359" s="41">
        <f ca="1">IF(BD_DETALLE!$C359&gt;0,(IF(BD_DETALLE!$N359=0,TODAY()-BD_DETALLE!$C359,BD_DETALLE!$N359-BD_DETALLE!$C359)),"")</f>
        <v>41</v>
      </c>
    </row>
    <row r="360" spans="2:18" x14ac:dyDescent="0.25">
      <c r="B360" s="15" t="str">
        <f t="shared" si="45"/>
        <v>2103-72-308890</v>
      </c>
      <c r="C360" s="7">
        <v>44264</v>
      </c>
      <c r="D360" s="5" t="str">
        <f>IF(BD_DETALLE!$E360&gt;=1,CONCATENATE(TEXT(BD_DETALLE!$C360,"YY"),TEXT(BD_DETALLE!$C360,"MM"),"-",BD_DETALLE!$E360),"")</f>
        <v>2103-72</v>
      </c>
      <c r="E360" s="12">
        <v>72</v>
      </c>
      <c r="F360" s="21">
        <v>308890</v>
      </c>
      <c r="G360" s="4" t="str">
        <f>IFERROR(VLOOKUP(BD_DETALLE!$B360,Tabla9[],6,0),"")</f>
        <v>TUBO A/INOX DE 3" x 6MTS - CED. 40</v>
      </c>
      <c r="H360" s="6">
        <f>IFERROR(VLOOKUP(BD_DETALLE!$B360,Tabla9[],4,0),0)</f>
        <v>3</v>
      </c>
      <c r="I360" s="19" t="s">
        <v>12</v>
      </c>
      <c r="J360" s="20" t="s">
        <v>1861</v>
      </c>
      <c r="K360" s="10">
        <f>IFERROR(VLOOKUP(BD_DETALLE!B360,Tabla9[],7,0),"")</f>
        <v>44299</v>
      </c>
      <c r="L360" s="11">
        <f>IFERROR(VLOOKUP(BD_DETALLE!B360,Tabla9[],8,0),"")</f>
        <v>52457</v>
      </c>
      <c r="M360" s="9">
        <f>IFERROR(SUMIFS(Tabla9[CANTIDAD2],Tabla9[BUSQUEDA],Tabla3[[#This Row],[BUSQUEDA]],Tabla9[CODIGO],Tabla3[[#This Row],[CODIGO]],Tabla9[ORDEN No.],Tabla3[[#This Row],[ORDEN de COMPRA]]),0)</f>
        <v>3</v>
      </c>
      <c r="N360" s="27">
        <f>IFERROR(IF(BD_DETALLE!B360&gt;0,VLOOKUP(BD_DETALLE!B360,Tabla9[],10,0),""),"")</f>
        <v>0</v>
      </c>
      <c r="O360" s="28">
        <f>IFERROR(VLOOKUP(BD_DETALLE!B360,Tabla9[],11,0),0)</f>
        <v>0</v>
      </c>
      <c r="P360" s="26">
        <f>IFERROR(SUMIFS(Tabla9[CANTIDAD3],Tabla9[BUSQUEDA],Tabla3[[#This Row],[BUSQUEDA]],Tabla9[CODIGO],Tabla3[[#This Row],[CODIGO]]),0)</f>
        <v>0</v>
      </c>
      <c r="Q360" s="25">
        <f>IF(BD_DETALLE!P360&lt;=0,0,IF(BD_DETALLE!P360=BD_DETALLE!H360,2,1))</f>
        <v>0</v>
      </c>
      <c r="R360" s="41">
        <f ca="1">IF(BD_DETALLE!$C360&gt;0,(IF(BD_DETALLE!$N360=0,TODAY()-BD_DETALLE!$C360,BD_DETALLE!$N360-BD_DETALLE!$C360)),"")</f>
        <v>41</v>
      </c>
    </row>
    <row r="361" spans="2:18" x14ac:dyDescent="0.25">
      <c r="B361" s="15" t="str">
        <f t="shared" si="45"/>
        <v>2103-72-200267</v>
      </c>
      <c r="C361" s="7">
        <v>44264</v>
      </c>
      <c r="D361" s="5" t="str">
        <f>IF(BD_DETALLE!$E361&gt;=1,CONCATENATE(TEXT(BD_DETALLE!$C361,"YY"),TEXT(BD_DETALLE!$C361,"MM"),"-",BD_DETALLE!$E361),"")</f>
        <v>2103-72</v>
      </c>
      <c r="E361" s="12">
        <v>72</v>
      </c>
      <c r="F361" s="21">
        <v>200267</v>
      </c>
      <c r="G361" s="4" t="str">
        <f>IFERROR(VLOOKUP(BD_DETALLE!$B361,Tabla9[],6,0),"")</f>
        <v>PINTURA ANTICORROSIVA GRIS MATE</v>
      </c>
      <c r="H361" s="6">
        <f>IFERROR(VLOOKUP(BD_DETALLE!$B361,Tabla9[],4,0),0)</f>
        <v>6</v>
      </c>
      <c r="I361" s="19" t="s">
        <v>12</v>
      </c>
      <c r="J361" s="20" t="s">
        <v>1861</v>
      </c>
      <c r="K361" s="10">
        <f>IFERROR(VLOOKUP(BD_DETALLE!B361,Tabla9[],7,0),"")</f>
        <v>44299</v>
      </c>
      <c r="L361" s="11">
        <f>IFERROR(VLOOKUP(BD_DETALLE!B361,Tabla9[],8,0),"")</f>
        <v>52478</v>
      </c>
      <c r="M361" s="9">
        <f>IFERROR(SUMIFS(Tabla9[CANTIDAD2],Tabla9[BUSQUEDA],Tabla3[[#This Row],[BUSQUEDA]],Tabla9[CODIGO],Tabla3[[#This Row],[CODIGO]],Tabla9[ORDEN No.],Tabla3[[#This Row],[ORDEN de COMPRA]]),0)</f>
        <v>6</v>
      </c>
      <c r="N361" s="27">
        <f>IFERROR(IF(BD_DETALLE!B361&gt;0,VLOOKUP(BD_DETALLE!B361,Tabla9[],10,0),""),"")</f>
        <v>0</v>
      </c>
      <c r="O361" s="28">
        <f>IFERROR(VLOOKUP(BD_DETALLE!B361,Tabla9[],11,0),0)</f>
        <v>0</v>
      </c>
      <c r="P361" s="26">
        <f>IFERROR(SUMIFS(Tabla9[CANTIDAD3],Tabla9[BUSQUEDA],Tabla3[[#This Row],[BUSQUEDA]],Tabla9[CODIGO],Tabla3[[#This Row],[CODIGO]]),0)</f>
        <v>0</v>
      </c>
      <c r="Q361" s="25">
        <f>IF(BD_DETALLE!P361&lt;=0,0,IF(BD_DETALLE!P361=BD_DETALLE!H361,2,1))</f>
        <v>0</v>
      </c>
      <c r="R361" s="41">
        <f ca="1">IF(BD_DETALLE!$C361&gt;0,(IF(BD_DETALLE!$N361=0,TODAY()-BD_DETALLE!$C361,BD_DETALLE!$N361-BD_DETALLE!$C361)),"")</f>
        <v>41</v>
      </c>
    </row>
    <row r="362" spans="2:18" x14ac:dyDescent="0.25">
      <c r="B362" s="15" t="str">
        <f t="shared" si="45"/>
        <v>2103-72-303510</v>
      </c>
      <c r="C362" s="7">
        <v>44264</v>
      </c>
      <c r="D362" s="5" t="str">
        <f>IF(BD_DETALLE!$E362&gt;=1,CONCATENATE(TEXT(BD_DETALLE!$C362,"YY"),TEXT(BD_DETALLE!$C362,"MM"),"-",BD_DETALLE!$E362),"")</f>
        <v>2103-72</v>
      </c>
      <c r="E362" s="12">
        <v>72</v>
      </c>
      <c r="F362" s="21">
        <v>303510</v>
      </c>
      <c r="G362" s="4" t="str">
        <f>IFERROR(VLOOKUP(BD_DETALLE!$B362,Tabla9[],6,0),"")</f>
        <v>VALVULA A/INOX A/RAPIDA DE 4"</v>
      </c>
      <c r="H362" s="6">
        <f>IFERROR(VLOOKUP(BD_DETALLE!$B362,Tabla9[],4,0),0)</f>
        <v>1</v>
      </c>
      <c r="I362" s="19" t="s">
        <v>12</v>
      </c>
      <c r="J362" s="20" t="s">
        <v>1861</v>
      </c>
      <c r="K362" s="10">
        <f>IFERROR(VLOOKUP(BD_DETALLE!B362,Tabla9[],7,0),"")</f>
        <v>44299</v>
      </c>
      <c r="L362" s="11">
        <f>IFERROR(VLOOKUP(BD_DETALLE!B362,Tabla9[],8,0),"")</f>
        <v>52460</v>
      </c>
      <c r="M362" s="9">
        <f>IFERROR(SUMIFS(Tabla9[CANTIDAD2],Tabla9[BUSQUEDA],Tabla3[[#This Row],[BUSQUEDA]],Tabla9[CODIGO],Tabla3[[#This Row],[CODIGO]],Tabla9[ORDEN No.],Tabla3[[#This Row],[ORDEN de COMPRA]]),0)</f>
        <v>1</v>
      </c>
      <c r="N362" s="27">
        <f>IFERROR(IF(BD_DETALLE!B362&gt;0,VLOOKUP(BD_DETALLE!B362,Tabla9[],10,0),""),"")</f>
        <v>0</v>
      </c>
      <c r="O362" s="28">
        <f>IFERROR(VLOOKUP(BD_DETALLE!B362,Tabla9[],11,0),0)</f>
        <v>0</v>
      </c>
      <c r="P362" s="26">
        <f>IFERROR(SUMIFS(Tabla9[CANTIDAD3],Tabla9[BUSQUEDA],Tabla3[[#This Row],[BUSQUEDA]],Tabla9[CODIGO],Tabla3[[#This Row],[CODIGO]]),0)</f>
        <v>0</v>
      </c>
      <c r="Q362" s="25">
        <f>IF(BD_DETALLE!P362&lt;=0,0,IF(BD_DETALLE!P362=BD_DETALLE!H362,2,1))</f>
        <v>0</v>
      </c>
      <c r="R362" s="41">
        <f ca="1">IF(BD_DETALLE!$C362&gt;0,(IF(BD_DETALLE!$N362=0,TODAY()-BD_DETALLE!$C362,BD_DETALLE!$N362-BD_DETALLE!$C362)),"")</f>
        <v>41</v>
      </c>
    </row>
    <row r="363" spans="2:18" x14ac:dyDescent="0.25">
      <c r="B363" s="15" t="str">
        <f t="shared" si="45"/>
        <v>2103-72-320913</v>
      </c>
      <c r="C363" s="7">
        <v>44264</v>
      </c>
      <c r="D363" s="5" t="str">
        <f>IF(BD_DETALLE!$E363&gt;=1,CONCATENATE(TEXT(BD_DETALLE!$C363,"YY"),TEXT(BD_DETALLE!$C363,"MM"),"-",BD_DETALLE!$E363),"")</f>
        <v>2103-72</v>
      </c>
      <c r="E363" s="12">
        <v>72</v>
      </c>
      <c r="F363" s="21">
        <v>320913</v>
      </c>
      <c r="G363" s="4" t="str">
        <f>IFERROR(VLOOKUP(BD_DETALLE!$B363,Tabla9[],6,0),"")</f>
        <v>POLEA TIPO "B" DE 4 CANALES PARA EJE DE 62mm</v>
      </c>
      <c r="H363" s="6">
        <f>IFERROR(VLOOKUP(BD_DETALLE!$B363,Tabla9[],4,0),0)</f>
        <v>1</v>
      </c>
      <c r="I363" s="19" t="s">
        <v>12</v>
      </c>
      <c r="J363" s="20" t="s">
        <v>1861</v>
      </c>
      <c r="K363" s="10">
        <f>IFERROR(VLOOKUP(BD_DETALLE!B363,Tabla9[],7,0),"")</f>
        <v>0</v>
      </c>
      <c r="L363" s="11">
        <f>IFERROR(VLOOKUP(BD_DETALLE!B363,Tabla9[],8,0),"")</f>
        <v>0</v>
      </c>
      <c r="M363" s="9">
        <f>IFERROR(SUMIFS(Tabla9[CANTIDAD2],Tabla9[BUSQUEDA],Tabla3[[#This Row],[BUSQUEDA]],Tabla9[CODIGO],Tabla3[[#This Row],[CODIGO]],Tabla9[ORDEN No.],Tabla3[[#This Row],[ORDEN de COMPRA]]),0)</f>
        <v>0</v>
      </c>
      <c r="N363" s="27">
        <f>IFERROR(IF(BD_DETALLE!B363&gt;0,VLOOKUP(BD_DETALLE!B363,Tabla9[],10,0),""),"")</f>
        <v>0</v>
      </c>
      <c r="O363" s="28">
        <f>IFERROR(VLOOKUP(BD_DETALLE!B363,Tabla9[],11,0),0)</f>
        <v>0</v>
      </c>
      <c r="P363" s="26">
        <f>IFERROR(SUMIFS(Tabla9[CANTIDAD3],Tabla9[BUSQUEDA],Tabla3[[#This Row],[BUSQUEDA]],Tabla9[CODIGO],Tabla3[[#This Row],[CODIGO]]),0)</f>
        <v>0</v>
      </c>
      <c r="Q363" s="25">
        <f>IF(BD_DETALLE!P363&lt;=0,0,IF(BD_DETALLE!P363=BD_DETALLE!H363,2,1))</f>
        <v>0</v>
      </c>
      <c r="R363" s="41">
        <f ca="1">IF(BD_DETALLE!$C363&gt;0,(IF(BD_DETALLE!$N363=0,TODAY()-BD_DETALLE!$C363,BD_DETALLE!$N363-BD_DETALLE!$C363)),"")</f>
        <v>41</v>
      </c>
    </row>
    <row r="364" spans="2:18" x14ac:dyDescent="0.25">
      <c r="B364" s="15" t="str">
        <f t="shared" si="45"/>
        <v>2103-73-308582</v>
      </c>
      <c r="C364" s="7">
        <v>44264</v>
      </c>
      <c r="D364" s="5" t="str">
        <f>IF(BD_DETALLE!$E364&gt;=1,CONCATENATE(TEXT(BD_DETALLE!$C364,"YY"),TEXT(BD_DETALLE!$C364,"MM"),"-",BD_DETALLE!$E364),"")</f>
        <v>2103-73</v>
      </c>
      <c r="E364" s="12">
        <v>73</v>
      </c>
      <c r="F364" s="21">
        <v>308582</v>
      </c>
      <c r="G364" s="4" t="str">
        <f>IFERROR(VLOOKUP(BD_DETALLE!$B364,Tabla9[],6,0),"")</f>
        <v>PERNO 5/8 X 3" GRADO 8 COMPLETO</v>
      </c>
      <c r="H364" s="6">
        <f>IFERROR(VLOOKUP(BD_DETALLE!$B364,Tabla9[],4,0),0)</f>
        <v>12</v>
      </c>
      <c r="I364" s="19" t="s">
        <v>12</v>
      </c>
      <c r="J364" s="20" t="s">
        <v>1861</v>
      </c>
      <c r="K364" s="10">
        <f>IFERROR(VLOOKUP(BD_DETALLE!B364,Tabla9[],7,0),"")</f>
        <v>44292</v>
      </c>
      <c r="L364" s="11">
        <f>IFERROR(VLOOKUP(BD_DETALLE!B364,Tabla9[],8,0),"")</f>
        <v>52367</v>
      </c>
      <c r="M364" s="9">
        <f>IFERROR(SUMIFS(Tabla9[CANTIDAD2],Tabla9[BUSQUEDA],Tabla3[[#This Row],[BUSQUEDA]],Tabla9[CODIGO],Tabla3[[#This Row],[CODIGO]],Tabla9[ORDEN No.],Tabla3[[#This Row],[ORDEN de COMPRA]]),0)</f>
        <v>12</v>
      </c>
      <c r="N364" s="27">
        <f>IFERROR(IF(BD_DETALLE!B364&gt;0,VLOOKUP(BD_DETALLE!B364,Tabla9[],10,0),""),"")</f>
        <v>44298</v>
      </c>
      <c r="O364" s="28">
        <f>IFERROR(VLOOKUP(BD_DETALLE!B364,Tabla9[],11,0),0)</f>
        <v>11785</v>
      </c>
      <c r="P364" s="26">
        <f>IFERROR(SUMIFS(Tabla9[CANTIDAD3],Tabla9[BUSQUEDA],Tabla3[[#This Row],[BUSQUEDA]],Tabla9[CODIGO],Tabla3[[#This Row],[CODIGO]]),0)</f>
        <v>12</v>
      </c>
      <c r="Q364" s="25">
        <f>IF(BD_DETALLE!P364&lt;=0,0,IF(BD_DETALLE!P364=BD_DETALLE!H364,2,1))</f>
        <v>2</v>
      </c>
      <c r="R364" s="41">
        <f ca="1">IF(BD_DETALLE!$C364&gt;0,(IF(BD_DETALLE!$N364=0,TODAY()-BD_DETALLE!$C364,BD_DETALLE!$N364-BD_DETALLE!$C364)),"")</f>
        <v>34</v>
      </c>
    </row>
    <row r="365" spans="2:18" x14ac:dyDescent="0.25">
      <c r="B365" s="15" t="str">
        <f t="shared" si="45"/>
        <v>2103-73-105161</v>
      </c>
      <c r="C365" s="7">
        <v>44264</v>
      </c>
      <c r="D365" s="5" t="str">
        <f>IF(BD_DETALLE!$E365&gt;=1,CONCATENATE(TEXT(BD_DETALLE!$C365,"YY"),TEXT(BD_DETALLE!$C365,"MM"),"-",BD_DETALLE!$E365),"")</f>
        <v>2103-73</v>
      </c>
      <c r="E365" s="12">
        <v>73</v>
      </c>
      <c r="F365" s="21">
        <v>105161</v>
      </c>
      <c r="G365" s="4" t="str">
        <f>IFERROR(VLOOKUP(BD_DETALLE!$B365,Tabla9[],6,0),"")</f>
        <v>VALVULA H/N DE ACCION RAPIDA DE 1/4"</v>
      </c>
      <c r="H365" s="6">
        <f>IFERROR(VLOOKUP(BD_DETALLE!$B365,Tabla9[],4,0),0)</f>
        <v>6</v>
      </c>
      <c r="I365" s="19" t="s">
        <v>12</v>
      </c>
      <c r="J365" s="20" t="s">
        <v>1861</v>
      </c>
      <c r="K365" s="10">
        <f>IFERROR(VLOOKUP(BD_DETALLE!B365,Tabla9[],7,0),"")</f>
        <v>44292</v>
      </c>
      <c r="L365" s="11">
        <f>IFERROR(VLOOKUP(BD_DETALLE!B365,Tabla9[],8,0),"")</f>
        <v>52368</v>
      </c>
      <c r="M365" s="9">
        <f>IFERROR(SUMIFS(Tabla9[CANTIDAD2],Tabla9[BUSQUEDA],Tabla3[[#This Row],[BUSQUEDA]],Tabla9[CODIGO],Tabla3[[#This Row],[CODIGO]],Tabla9[ORDEN No.],Tabla3[[#This Row],[ORDEN de COMPRA]]),0)</f>
        <v>6</v>
      </c>
      <c r="N365" s="27">
        <f>IFERROR(IF(BD_DETALLE!B365&gt;0,VLOOKUP(BD_DETALLE!B365,Tabla9[],10,0),""),"")</f>
        <v>0</v>
      </c>
      <c r="O365" s="28">
        <f>IFERROR(VLOOKUP(BD_DETALLE!B365,Tabla9[],11,0),0)</f>
        <v>0</v>
      </c>
      <c r="P365" s="26">
        <f>IFERROR(SUMIFS(Tabla9[CANTIDAD3],Tabla9[BUSQUEDA],Tabla3[[#This Row],[BUSQUEDA]],Tabla9[CODIGO],Tabla3[[#This Row],[CODIGO]]),0)</f>
        <v>0</v>
      </c>
      <c r="Q365" s="25">
        <f>IF(BD_DETALLE!P365&lt;=0,0,IF(BD_DETALLE!P365=BD_DETALLE!H365,2,1))</f>
        <v>0</v>
      </c>
      <c r="R365" s="41">
        <f ca="1">IF(BD_DETALLE!$C365&gt;0,(IF(BD_DETALLE!$N365=0,TODAY()-BD_DETALLE!$C365,BD_DETALLE!$N365-BD_DETALLE!$C365)),"")</f>
        <v>41</v>
      </c>
    </row>
    <row r="366" spans="2:18" x14ac:dyDescent="0.25">
      <c r="B366" s="15" t="str">
        <f t="shared" si="45"/>
        <v>2103-73-100124</v>
      </c>
      <c r="C366" s="7">
        <v>44264</v>
      </c>
      <c r="D366" s="5" t="str">
        <f>IF(BD_DETALLE!$E366&gt;=1,CONCATENATE(TEXT(BD_DETALLE!$C366,"YY"),TEXT(BD_DETALLE!$C366,"MM"),"-",BD_DETALLE!$E366),"")</f>
        <v>2103-73</v>
      </c>
      <c r="E366" s="12">
        <v>73</v>
      </c>
      <c r="F366" s="21">
        <v>100124</v>
      </c>
      <c r="G366" s="4" t="str">
        <f>IFERROR(VLOOKUP(BD_DETALLE!$B366,Tabla9[],6,0),"")</f>
        <v>BANDA B-72</v>
      </c>
      <c r="H366" s="6">
        <f>IFERROR(VLOOKUP(BD_DETALLE!$B366,Tabla9[],4,0),0)</f>
        <v>2</v>
      </c>
      <c r="I366" s="19" t="s">
        <v>12</v>
      </c>
      <c r="J366" s="20" t="s">
        <v>1861</v>
      </c>
      <c r="K366" s="10">
        <f>IFERROR(VLOOKUP(BD_DETALLE!B366,Tabla9[],7,0),"")</f>
        <v>44292</v>
      </c>
      <c r="L366" s="11">
        <f>IFERROR(VLOOKUP(BD_DETALLE!B366,Tabla9[],8,0),"")</f>
        <v>52377</v>
      </c>
      <c r="M366" s="9">
        <f>IFERROR(SUMIFS(Tabla9[CANTIDAD2],Tabla9[BUSQUEDA],Tabla3[[#This Row],[BUSQUEDA]],Tabla9[CODIGO],Tabla3[[#This Row],[CODIGO]],Tabla9[ORDEN No.],Tabla3[[#This Row],[ORDEN de COMPRA]]),0)</f>
        <v>2</v>
      </c>
      <c r="N366" s="27">
        <f>IFERROR(IF(BD_DETALLE!B366&gt;0,VLOOKUP(BD_DETALLE!B366,Tabla9[],10,0),""),"")</f>
        <v>0</v>
      </c>
      <c r="O366" s="28">
        <f>IFERROR(VLOOKUP(BD_DETALLE!B366,Tabla9[],11,0),0)</f>
        <v>0</v>
      </c>
      <c r="P366" s="26">
        <f>IFERROR(SUMIFS(Tabla9[CANTIDAD3],Tabla9[BUSQUEDA],Tabla3[[#This Row],[BUSQUEDA]],Tabla9[CODIGO],Tabla3[[#This Row],[CODIGO]]),0)</f>
        <v>0</v>
      </c>
      <c r="Q366" s="25">
        <f>IF(BD_DETALLE!P366&lt;=0,0,IF(BD_DETALLE!P366=BD_DETALLE!H366,2,1))</f>
        <v>0</v>
      </c>
      <c r="R366" s="41">
        <f ca="1">IF(BD_DETALLE!$C366&gt;0,(IF(BD_DETALLE!$N366=0,TODAY()-BD_DETALLE!$C366,BD_DETALLE!$N366-BD_DETALLE!$C366)),"")</f>
        <v>41</v>
      </c>
    </row>
    <row r="367" spans="2:18" x14ac:dyDescent="0.25">
      <c r="B367" s="15" t="str">
        <f t="shared" si="45"/>
        <v>2103-73-316401</v>
      </c>
      <c r="C367" s="7">
        <v>44264</v>
      </c>
      <c r="D367" s="5" t="str">
        <f>IF(BD_DETALLE!$E367&gt;=1,CONCATENATE(TEXT(BD_DETALLE!$C367,"YY"),TEXT(BD_DETALLE!$C367,"MM"),"-",BD_DETALLE!$E367),"")</f>
        <v>2103-73</v>
      </c>
      <c r="E367" s="12">
        <v>73</v>
      </c>
      <c r="F367" s="21">
        <v>316401</v>
      </c>
      <c r="G367" s="4" t="str">
        <f>IFERROR(VLOOKUP(BD_DETALLE!$B367,Tabla9[],6,0),"")</f>
        <v>BANDA LISA B-74</v>
      </c>
      <c r="H367" s="6">
        <f>IFERROR(VLOOKUP(BD_DETALLE!$B367,Tabla9[],4,0),0)</f>
        <v>2</v>
      </c>
      <c r="I367" s="19" t="s">
        <v>12</v>
      </c>
      <c r="J367" s="20" t="s">
        <v>1861</v>
      </c>
      <c r="K367" s="10">
        <f>IFERROR(VLOOKUP(BD_DETALLE!B367,Tabla9[],7,0),"")</f>
        <v>44292</v>
      </c>
      <c r="L367" s="11">
        <f>IFERROR(VLOOKUP(BD_DETALLE!B367,Tabla9[],8,0),"")</f>
        <v>52377</v>
      </c>
      <c r="M367" s="9">
        <f>IFERROR(SUMIFS(Tabla9[CANTIDAD2],Tabla9[BUSQUEDA],Tabla3[[#This Row],[BUSQUEDA]],Tabla9[CODIGO],Tabla3[[#This Row],[CODIGO]],Tabla9[ORDEN No.],Tabla3[[#This Row],[ORDEN de COMPRA]]),0)</f>
        <v>2</v>
      </c>
      <c r="N367" s="27">
        <f>IFERROR(IF(BD_DETALLE!B367&gt;0,VLOOKUP(BD_DETALLE!B367,Tabla9[],10,0),""),"")</f>
        <v>0</v>
      </c>
      <c r="O367" s="28">
        <f>IFERROR(VLOOKUP(BD_DETALLE!B367,Tabla9[],11,0),0)</f>
        <v>0</v>
      </c>
      <c r="P367" s="26">
        <f>IFERROR(SUMIFS(Tabla9[CANTIDAD3],Tabla9[BUSQUEDA],Tabla3[[#This Row],[BUSQUEDA]],Tabla9[CODIGO],Tabla3[[#This Row],[CODIGO]]),0)</f>
        <v>0</v>
      </c>
      <c r="Q367" s="25">
        <f>IF(BD_DETALLE!P367&lt;=0,0,IF(BD_DETALLE!P367=BD_DETALLE!H367,2,1))</f>
        <v>0</v>
      </c>
      <c r="R367" s="41">
        <f ca="1">IF(BD_DETALLE!$C367&gt;0,(IF(BD_DETALLE!$N367=0,TODAY()-BD_DETALLE!$C367,BD_DETALLE!$N367-BD_DETALLE!$C367)),"")</f>
        <v>41</v>
      </c>
    </row>
    <row r="368" spans="2:18" x14ac:dyDescent="0.25">
      <c r="B368" s="15" t="str">
        <f t="shared" si="45"/>
        <v>2103-77-304485</v>
      </c>
      <c r="C368" s="7">
        <v>44264</v>
      </c>
      <c r="D368" s="5" t="str">
        <f>IF(BD_DETALLE!$E368&gt;=1,CONCATENATE(TEXT(BD_DETALLE!$C368,"YY"),TEXT(BD_DETALLE!$C368,"MM"),"-",BD_DETALLE!$E368),"")</f>
        <v>2103-77</v>
      </c>
      <c r="E368" s="12">
        <v>77</v>
      </c>
      <c r="F368" s="21">
        <v>304485</v>
      </c>
      <c r="G368" s="4" t="str">
        <f>IFERROR(VLOOKUP(BD_DETALLE!$B368,Tabla9[],6,0),"")</f>
        <v>JUEGO DE EMPAQUE</v>
      </c>
      <c r="H368" s="6">
        <f>IFERROR(VLOOKUP(BD_DETALLE!$B368,Tabla9[],4,0),0)</f>
        <v>1</v>
      </c>
      <c r="I368" s="19" t="s">
        <v>5</v>
      </c>
      <c r="J368" s="20" t="s">
        <v>1862</v>
      </c>
      <c r="K368" s="10">
        <f>IFERROR(VLOOKUP(BD_DETALLE!B368,Tabla9[],7,0),"")</f>
        <v>44270</v>
      </c>
      <c r="L368" s="11">
        <f>IFERROR(VLOOKUP(BD_DETALLE!B368,Tabla9[],8,0),"")</f>
        <v>52101</v>
      </c>
      <c r="M368" s="9">
        <f>IFERROR(SUMIFS(Tabla9[CANTIDAD2],Tabla9[BUSQUEDA],Tabla3[[#This Row],[BUSQUEDA]],Tabla9[CODIGO],Tabla3[[#This Row],[CODIGO]],Tabla9[ORDEN No.],Tabla3[[#This Row],[ORDEN de COMPRA]]),0)</f>
        <v>1</v>
      </c>
      <c r="N368" s="27">
        <f>IFERROR(IF(BD_DETALLE!B368&gt;0,VLOOKUP(BD_DETALLE!B368,Tabla9[],10,0),""),"")</f>
        <v>0</v>
      </c>
      <c r="O368" s="28">
        <f>IFERROR(VLOOKUP(BD_DETALLE!B368,Tabla9[],11,0),0)</f>
        <v>0</v>
      </c>
      <c r="P368" s="26">
        <f>IFERROR(SUMIFS(Tabla9[CANTIDAD3],Tabla9[BUSQUEDA],Tabla3[[#This Row],[BUSQUEDA]],Tabla9[CODIGO],Tabla3[[#This Row],[CODIGO]]),0)</f>
        <v>0</v>
      </c>
      <c r="Q368" s="25">
        <f>IF(BD_DETALLE!P368&lt;=0,0,IF(BD_DETALLE!P368=BD_DETALLE!H368,2,1))</f>
        <v>0</v>
      </c>
      <c r="R368" s="41">
        <f ca="1">IF(BD_DETALLE!$C368&gt;0,(IF(BD_DETALLE!$N368=0,TODAY()-BD_DETALLE!$C368,BD_DETALLE!$N368-BD_DETALLE!$C368)),"")</f>
        <v>41</v>
      </c>
    </row>
    <row r="369" spans="2:18" x14ac:dyDescent="0.25">
      <c r="B369" s="15" t="str">
        <f t="shared" ref="B369:B385" si="46">IFERROR(TEXT(C369,"yy") &amp; TEXT(C369,"mm") &amp;"-"&amp;(E369) &amp;"-"&amp;(F369),"")</f>
        <v>2103-77-204532</v>
      </c>
      <c r="C369" s="7">
        <v>44264</v>
      </c>
      <c r="D369" s="5" t="str">
        <f>IF(BD_DETALLE!$E369&gt;=1,CONCATENATE(TEXT(BD_DETALLE!$C369,"YY"),TEXT(BD_DETALLE!$C369,"MM"),"-",BD_DETALLE!$E369),"")</f>
        <v>2103-77</v>
      </c>
      <c r="E369" s="12">
        <v>77</v>
      </c>
      <c r="F369" s="21">
        <v>204532</v>
      </c>
      <c r="G369" s="4" t="str">
        <f>IFERROR(VLOOKUP(BD_DETALLE!$B369,Tabla9[],6,0),"")</f>
        <v>RULIMAN DE EMBRAGUE</v>
      </c>
      <c r="H369" s="6">
        <f>IFERROR(VLOOKUP(BD_DETALLE!$B369,Tabla9[],4,0),0)</f>
        <v>1</v>
      </c>
      <c r="I369" s="19" t="s">
        <v>5</v>
      </c>
      <c r="J369" s="20" t="s">
        <v>1862</v>
      </c>
      <c r="K369" s="10">
        <f>IFERROR(VLOOKUP(BD_DETALLE!B369,Tabla9[],7,0),"")</f>
        <v>44270</v>
      </c>
      <c r="L369" s="11">
        <f>IFERROR(VLOOKUP(BD_DETALLE!B369,Tabla9[],8,0),"")</f>
        <v>52101</v>
      </c>
      <c r="M369" s="9">
        <f>IFERROR(SUMIFS(Tabla9[CANTIDAD2],Tabla9[BUSQUEDA],Tabla3[[#This Row],[BUSQUEDA]],Tabla9[CODIGO],Tabla3[[#This Row],[CODIGO]],Tabla9[ORDEN No.],Tabla3[[#This Row],[ORDEN de COMPRA]]),0)</f>
        <v>1</v>
      </c>
      <c r="N369" s="27">
        <f>IFERROR(IF(BD_DETALLE!B369&gt;0,VLOOKUP(BD_DETALLE!B369,Tabla9[],10,0),""),"")</f>
        <v>0</v>
      </c>
      <c r="O369" s="28">
        <f>IFERROR(VLOOKUP(BD_DETALLE!B369,Tabla9[],11,0),0)</f>
        <v>0</v>
      </c>
      <c r="P369" s="26">
        <f>IFERROR(SUMIFS(Tabla9[CANTIDAD3],Tabla9[BUSQUEDA],Tabla3[[#This Row],[BUSQUEDA]],Tabla9[CODIGO],Tabla3[[#This Row],[CODIGO]]),0)</f>
        <v>0</v>
      </c>
      <c r="Q369" s="25">
        <f>IF(BD_DETALLE!P369&lt;=0,0,IF(BD_DETALLE!P369=BD_DETALLE!H369,2,1))</f>
        <v>0</v>
      </c>
      <c r="R369" s="41">
        <f ca="1">IF(BD_DETALLE!$C369&gt;0,(IF(BD_DETALLE!$N369=0,TODAY()-BD_DETALLE!$C369,BD_DETALLE!$N369-BD_DETALLE!$C369)),"")</f>
        <v>41</v>
      </c>
    </row>
    <row r="370" spans="2:18" x14ac:dyDescent="0.25">
      <c r="B370" s="15" t="str">
        <f t="shared" si="46"/>
        <v>2103-77-106955</v>
      </c>
      <c r="C370" s="7">
        <v>44264</v>
      </c>
      <c r="D370" s="5" t="str">
        <f>IF(BD_DETALLE!$E370&gt;=1,CONCATENATE(TEXT(BD_DETALLE!$C370,"YY"),TEXT(BD_DETALLE!$C370,"MM"),"-",BD_DETALLE!$E370),"")</f>
        <v>2103-77</v>
      </c>
      <c r="E370" s="12">
        <v>77</v>
      </c>
      <c r="F370" s="21">
        <v>106955</v>
      </c>
      <c r="G370" s="4" t="str">
        <f>IFERROR(VLOOKUP(BD_DETALLE!$B370,Tabla9[],6,0),"")</f>
        <v>BARRA DE LEVA</v>
      </c>
      <c r="H370" s="6">
        <f>IFERROR(VLOOKUP(BD_DETALLE!$B370,Tabla9[],4,0),0)</f>
        <v>1</v>
      </c>
      <c r="I370" s="19" t="s">
        <v>5</v>
      </c>
      <c r="J370" s="20" t="s">
        <v>1862</v>
      </c>
      <c r="K370" s="10">
        <f>IFERROR(VLOOKUP(BD_DETALLE!B370,Tabla9[],7,0),"")</f>
        <v>44270</v>
      </c>
      <c r="L370" s="11">
        <f>IFERROR(VLOOKUP(BD_DETALLE!B370,Tabla9[],8,0),"")</f>
        <v>52101</v>
      </c>
      <c r="M370" s="9">
        <f>IFERROR(SUMIFS(Tabla9[CANTIDAD2],Tabla9[BUSQUEDA],Tabla3[[#This Row],[BUSQUEDA]],Tabla9[CODIGO],Tabla3[[#This Row],[CODIGO]],Tabla9[ORDEN No.],Tabla3[[#This Row],[ORDEN de COMPRA]]),0)</f>
        <v>1</v>
      </c>
      <c r="N370" s="27">
        <f>IFERROR(IF(BD_DETALLE!B370&gt;0,VLOOKUP(BD_DETALLE!B370,Tabla9[],10,0),""),"")</f>
        <v>0</v>
      </c>
      <c r="O370" s="28">
        <f>IFERROR(VLOOKUP(BD_DETALLE!B370,Tabla9[],11,0),0)</f>
        <v>0</v>
      </c>
      <c r="P370" s="26">
        <f>IFERROR(SUMIFS(Tabla9[CANTIDAD3],Tabla9[BUSQUEDA],Tabla3[[#This Row],[BUSQUEDA]],Tabla9[CODIGO],Tabla3[[#This Row],[CODIGO]]),0)</f>
        <v>0</v>
      </c>
      <c r="Q370" s="25">
        <f>IF(BD_DETALLE!P370&lt;=0,0,IF(BD_DETALLE!P370=BD_DETALLE!H370,2,1))</f>
        <v>0</v>
      </c>
      <c r="R370" s="41">
        <f ca="1">IF(BD_DETALLE!$C370&gt;0,(IF(BD_DETALLE!$N370=0,TODAY()-BD_DETALLE!$C370,BD_DETALLE!$N370-BD_DETALLE!$C370)),"")</f>
        <v>41</v>
      </c>
    </row>
    <row r="371" spans="2:18" x14ac:dyDescent="0.25">
      <c r="B371" s="15" t="str">
        <f t="shared" si="46"/>
        <v>2103-77-313336</v>
      </c>
      <c r="C371" s="7">
        <v>44264</v>
      </c>
      <c r="D371" s="5" t="str">
        <f>IF(BD_DETALLE!$E371&gt;=1,CONCATENATE(TEXT(BD_DETALLE!$C371,"YY"),TEXT(BD_DETALLE!$C371,"MM"),"-",BD_DETALLE!$E371),"")</f>
        <v>2103-77</v>
      </c>
      <c r="E371" s="12">
        <v>77</v>
      </c>
      <c r="F371" s="21">
        <v>313336</v>
      </c>
      <c r="G371" s="4" t="str">
        <f>IFERROR(VLOOKUP(BD_DETALLE!$B371,Tabla9[],6,0),"")</f>
        <v>BOCIN BRAZO BIELA</v>
      </c>
      <c r="H371" s="6">
        <f>IFERROR(VLOOKUP(BD_DETALLE!$B371,Tabla9[],4,0),0)</f>
        <v>6</v>
      </c>
      <c r="I371" s="19" t="s">
        <v>5</v>
      </c>
      <c r="J371" s="20" t="s">
        <v>1862</v>
      </c>
      <c r="K371" s="10">
        <f>IFERROR(VLOOKUP(BD_DETALLE!B371,Tabla9[],7,0),"")</f>
        <v>44270</v>
      </c>
      <c r="L371" s="11">
        <f>IFERROR(VLOOKUP(BD_DETALLE!B371,Tabla9[],8,0),"")</f>
        <v>52101</v>
      </c>
      <c r="M371" s="9">
        <f>IFERROR(SUMIFS(Tabla9[CANTIDAD2],Tabla9[BUSQUEDA],Tabla3[[#This Row],[BUSQUEDA]],Tabla9[CODIGO],Tabla3[[#This Row],[CODIGO]],Tabla9[ORDEN No.],Tabla3[[#This Row],[ORDEN de COMPRA]]),0)</f>
        <v>6</v>
      </c>
      <c r="N371" s="27">
        <f>IFERROR(IF(BD_DETALLE!B371&gt;0,VLOOKUP(BD_DETALLE!B371,Tabla9[],10,0),""),"")</f>
        <v>0</v>
      </c>
      <c r="O371" s="28">
        <f>IFERROR(VLOOKUP(BD_DETALLE!B371,Tabla9[],11,0),0)</f>
        <v>0</v>
      </c>
      <c r="P371" s="26">
        <f>IFERROR(SUMIFS(Tabla9[CANTIDAD3],Tabla9[BUSQUEDA],Tabla3[[#This Row],[BUSQUEDA]],Tabla9[CODIGO],Tabla3[[#This Row],[CODIGO]]),0)</f>
        <v>0</v>
      </c>
      <c r="Q371" s="25">
        <f>IF(BD_DETALLE!P371&lt;=0,0,IF(BD_DETALLE!P371=BD_DETALLE!H371,2,1))</f>
        <v>0</v>
      </c>
      <c r="R371" s="41">
        <f ca="1">IF(BD_DETALLE!$C371&gt;0,(IF(BD_DETALLE!$N371=0,TODAY()-BD_DETALLE!$C371,BD_DETALLE!$N371-BD_DETALLE!$C371)),"")</f>
        <v>41</v>
      </c>
    </row>
    <row r="372" spans="2:18" x14ac:dyDescent="0.25">
      <c r="B372" s="15" t="str">
        <f t="shared" si="46"/>
        <v>2103-77-205203</v>
      </c>
      <c r="C372" s="7">
        <v>44264</v>
      </c>
      <c r="D372" s="5" t="str">
        <f>IF(BD_DETALLE!$E372&gt;=1,CONCATENATE(TEXT(BD_DETALLE!$C372,"YY"),TEXT(BD_DETALLE!$C372,"MM"),"-",BD_DETALLE!$E372),"")</f>
        <v>2103-77</v>
      </c>
      <c r="E372" s="12">
        <v>77</v>
      </c>
      <c r="F372" s="21">
        <v>205203</v>
      </c>
      <c r="G372" s="4" t="str">
        <f>IFERROR(VLOOKUP(BD_DETALLE!$B372,Tabla9[],6,0),"")</f>
        <v>BOMBA DE ACEITE</v>
      </c>
      <c r="H372" s="6">
        <f>IFERROR(VLOOKUP(BD_DETALLE!$B372,Tabla9[],4,0),0)</f>
        <v>1</v>
      </c>
      <c r="I372" s="19" t="s">
        <v>5</v>
      </c>
      <c r="J372" s="20" t="s">
        <v>1862</v>
      </c>
      <c r="K372" s="10">
        <f>IFERROR(VLOOKUP(BD_DETALLE!B372,Tabla9[],7,0),"")</f>
        <v>44270</v>
      </c>
      <c r="L372" s="11">
        <f>IFERROR(VLOOKUP(BD_DETALLE!B372,Tabla9[],8,0),"")</f>
        <v>52101</v>
      </c>
      <c r="M372" s="9">
        <f>IFERROR(SUMIFS(Tabla9[CANTIDAD2],Tabla9[BUSQUEDA],Tabla3[[#This Row],[BUSQUEDA]],Tabla9[CODIGO],Tabla3[[#This Row],[CODIGO]],Tabla9[ORDEN No.],Tabla3[[#This Row],[ORDEN de COMPRA]]),0)</f>
        <v>1</v>
      </c>
      <c r="N372" s="27">
        <f>IFERROR(IF(BD_DETALLE!B372&gt;0,VLOOKUP(BD_DETALLE!B372,Tabla9[],10,0),""),"")</f>
        <v>0</v>
      </c>
      <c r="O372" s="28">
        <f>IFERROR(VLOOKUP(BD_DETALLE!B372,Tabla9[],11,0),0)</f>
        <v>0</v>
      </c>
      <c r="P372" s="26">
        <f>IFERROR(SUMIFS(Tabla9[CANTIDAD3],Tabla9[BUSQUEDA],Tabla3[[#This Row],[BUSQUEDA]],Tabla9[CODIGO],Tabla3[[#This Row],[CODIGO]]),0)</f>
        <v>0</v>
      </c>
      <c r="Q372" s="25">
        <f>IF(BD_DETALLE!P372&lt;=0,0,IF(BD_DETALLE!P372=BD_DETALLE!H372,2,1))</f>
        <v>0</v>
      </c>
      <c r="R372" s="41">
        <f ca="1">IF(BD_DETALLE!$C372&gt;0,(IF(BD_DETALLE!$N372=0,TODAY()-BD_DETALLE!$C372,BD_DETALLE!$N372-BD_DETALLE!$C372)),"")</f>
        <v>41</v>
      </c>
    </row>
    <row r="373" spans="2:18" x14ac:dyDescent="0.25">
      <c r="B373" s="15" t="str">
        <f t="shared" si="46"/>
        <v>2103-77-205202</v>
      </c>
      <c r="C373" s="7">
        <v>44264</v>
      </c>
      <c r="D373" s="5" t="str">
        <f>IF(BD_DETALLE!$E373&gt;=1,CONCATENATE(TEXT(BD_DETALLE!$C373,"YY"),TEXT(BD_DETALLE!$C373,"MM"),"-",BD_DETALLE!$E373),"")</f>
        <v>2103-77</v>
      </c>
      <c r="E373" s="12">
        <v>77</v>
      </c>
      <c r="F373" s="21">
        <v>205202</v>
      </c>
      <c r="G373" s="4" t="str">
        <f>IFERROR(VLOOKUP(BD_DETALLE!$B373,Tabla9[],6,0),"")</f>
        <v>BOMBA DE AGUA</v>
      </c>
      <c r="H373" s="6">
        <f>IFERROR(VLOOKUP(BD_DETALLE!$B373,Tabla9[],4,0),0)</f>
        <v>1</v>
      </c>
      <c r="I373" s="19" t="s">
        <v>5</v>
      </c>
      <c r="J373" s="20" t="s">
        <v>1862</v>
      </c>
      <c r="K373" s="10">
        <f>IFERROR(VLOOKUP(BD_DETALLE!B373,Tabla9[],7,0),"")</f>
        <v>44270</v>
      </c>
      <c r="L373" s="11">
        <f>IFERROR(VLOOKUP(BD_DETALLE!B373,Tabla9[],8,0),"")</f>
        <v>52101</v>
      </c>
      <c r="M373" s="9">
        <f>IFERROR(SUMIFS(Tabla9[CANTIDAD2],Tabla9[BUSQUEDA],Tabla3[[#This Row],[BUSQUEDA]],Tabla9[CODIGO],Tabla3[[#This Row],[CODIGO]],Tabla9[ORDEN No.],Tabla3[[#This Row],[ORDEN de COMPRA]]),0)</f>
        <v>1</v>
      </c>
      <c r="N373" s="27">
        <f>IFERROR(IF(BD_DETALLE!B373&gt;0,VLOOKUP(BD_DETALLE!B373,Tabla9[],10,0),""),"")</f>
        <v>0</v>
      </c>
      <c r="O373" s="28">
        <f>IFERROR(VLOOKUP(BD_DETALLE!B373,Tabla9[],11,0),0)</f>
        <v>0</v>
      </c>
      <c r="P373" s="26">
        <f>IFERROR(SUMIFS(Tabla9[CANTIDAD3],Tabla9[BUSQUEDA],Tabla3[[#This Row],[BUSQUEDA]],Tabla9[CODIGO],Tabla3[[#This Row],[CODIGO]]),0)</f>
        <v>0</v>
      </c>
      <c r="Q373" s="25">
        <f>IF(BD_DETALLE!P373&lt;=0,0,IF(BD_DETALLE!P373=BD_DETALLE!H373,2,1))</f>
        <v>0</v>
      </c>
      <c r="R373" s="41">
        <f ca="1">IF(BD_DETALLE!$C373&gt;0,(IF(BD_DETALLE!$N373=0,TODAY()-BD_DETALLE!$C373,BD_DETALLE!$N373-BD_DETALLE!$C373)),"")</f>
        <v>41</v>
      </c>
    </row>
    <row r="374" spans="2:18" x14ac:dyDescent="0.25">
      <c r="B374" s="15" t="str">
        <f t="shared" si="46"/>
        <v>2103-77-106908</v>
      </c>
      <c r="C374" s="7">
        <v>44264</v>
      </c>
      <c r="D374" s="5" t="str">
        <f>IF(BD_DETALLE!$E374&gt;=1,CONCATENATE(TEXT(BD_DETALLE!$C374,"YY"),TEXT(BD_DETALLE!$C374,"MM"),"-",BD_DETALLE!$E374),"")</f>
        <v>2103-77</v>
      </c>
      <c r="E374" s="12">
        <v>77</v>
      </c>
      <c r="F374" s="21">
        <v>106908</v>
      </c>
      <c r="G374" s="4" t="str">
        <f>IFERROR(VLOOKUP(BD_DETALLE!$B374,Tabla9[],6,0),"")</f>
        <v>BUJE BARRA LEVA STD</v>
      </c>
      <c r="H374" s="6">
        <f>IFERROR(VLOOKUP(BD_DETALLE!$B374,Tabla9[],4,0),0)</f>
        <v>1</v>
      </c>
      <c r="I374" s="19" t="s">
        <v>5</v>
      </c>
      <c r="J374" s="20" t="s">
        <v>1862</v>
      </c>
      <c r="K374" s="10">
        <f>IFERROR(VLOOKUP(BD_DETALLE!B374,Tabla9[],7,0),"")</f>
        <v>44270</v>
      </c>
      <c r="L374" s="11">
        <f>IFERROR(VLOOKUP(BD_DETALLE!B374,Tabla9[],8,0),"")</f>
        <v>52101</v>
      </c>
      <c r="M374" s="9">
        <f>IFERROR(SUMIFS(Tabla9[CANTIDAD2],Tabla9[BUSQUEDA],Tabla3[[#This Row],[BUSQUEDA]],Tabla9[CODIGO],Tabla3[[#This Row],[CODIGO]],Tabla9[ORDEN No.],Tabla3[[#This Row],[ORDEN de COMPRA]]),0)</f>
        <v>1</v>
      </c>
      <c r="N374" s="27">
        <f>IFERROR(IF(BD_DETALLE!B374&gt;0,VLOOKUP(BD_DETALLE!B374,Tabla9[],10,0),""),"")</f>
        <v>0</v>
      </c>
      <c r="O374" s="28">
        <f>IFERROR(VLOOKUP(BD_DETALLE!B374,Tabla9[],11,0),0)</f>
        <v>0</v>
      </c>
      <c r="P374" s="26">
        <f>IFERROR(SUMIFS(Tabla9[CANTIDAD3],Tabla9[BUSQUEDA],Tabla3[[#This Row],[BUSQUEDA]],Tabla9[CODIGO],Tabla3[[#This Row],[CODIGO]]),0)</f>
        <v>0</v>
      </c>
      <c r="Q374" s="25">
        <f>IF(BD_DETALLE!P374&lt;=0,0,IF(BD_DETALLE!P374=BD_DETALLE!H374,2,1))</f>
        <v>0</v>
      </c>
      <c r="R374" s="41">
        <f ca="1">IF(BD_DETALLE!$C374&gt;0,(IF(BD_DETALLE!$N374=0,TODAY()-BD_DETALLE!$C374,BD_DETALLE!$N374-BD_DETALLE!$C374)),"")</f>
        <v>41</v>
      </c>
    </row>
    <row r="375" spans="2:18" x14ac:dyDescent="0.25">
      <c r="B375" s="15" t="str">
        <f t="shared" si="46"/>
        <v>2103-77-204531</v>
      </c>
      <c r="C375" s="7">
        <v>44264</v>
      </c>
      <c r="D375" s="5" t="str">
        <f>IF(BD_DETALLE!$E375&gt;=1,CONCATENATE(TEXT(BD_DETALLE!$C375,"YY"),TEXT(BD_DETALLE!$C375,"MM"),"-",BD_DETALLE!$E375),"")</f>
        <v>2103-77</v>
      </c>
      <c r="E375" s="12">
        <v>77</v>
      </c>
      <c r="F375" s="21">
        <v>204531</v>
      </c>
      <c r="G375" s="4" t="str">
        <f>IFERROR(VLOOKUP(BD_DETALLE!$B375,Tabla9[],6,0),"")</f>
        <v>DISCO DE EMBRAGUE</v>
      </c>
      <c r="H375" s="6">
        <f>IFERROR(VLOOKUP(BD_DETALLE!$B375,Tabla9[],4,0),0)</f>
        <v>1</v>
      </c>
      <c r="I375" s="19" t="s">
        <v>5</v>
      </c>
      <c r="J375" s="20" t="s">
        <v>1862</v>
      </c>
      <c r="K375" s="10">
        <f>IFERROR(VLOOKUP(BD_DETALLE!B375,Tabla9[],7,0),"")</f>
        <v>44270</v>
      </c>
      <c r="L375" s="11">
        <f>IFERROR(VLOOKUP(BD_DETALLE!B375,Tabla9[],8,0),"")</f>
        <v>52101</v>
      </c>
      <c r="M375" s="9">
        <f>IFERROR(SUMIFS(Tabla9[CANTIDAD2],Tabla9[BUSQUEDA],Tabla3[[#This Row],[BUSQUEDA]],Tabla9[CODIGO],Tabla3[[#This Row],[CODIGO]],Tabla9[ORDEN No.],Tabla3[[#This Row],[ORDEN de COMPRA]]),0)</f>
        <v>1</v>
      </c>
      <c r="N375" s="27">
        <f>IFERROR(IF(BD_DETALLE!B375&gt;0,VLOOKUP(BD_DETALLE!B375,Tabla9[],10,0),""),"")</f>
        <v>0</v>
      </c>
      <c r="O375" s="28">
        <f>IFERROR(VLOOKUP(BD_DETALLE!B375,Tabla9[],11,0),0)</f>
        <v>0</v>
      </c>
      <c r="P375" s="26">
        <f>IFERROR(SUMIFS(Tabla9[CANTIDAD3],Tabla9[BUSQUEDA],Tabla3[[#This Row],[BUSQUEDA]],Tabla9[CODIGO],Tabla3[[#This Row],[CODIGO]]),0)</f>
        <v>0</v>
      </c>
      <c r="Q375" s="25">
        <f>IF(BD_DETALLE!P375&lt;=0,0,IF(BD_DETALLE!P375=BD_DETALLE!H375,2,1))</f>
        <v>0</v>
      </c>
      <c r="R375" s="41">
        <f ca="1">IF(BD_DETALLE!$C375&gt;0,(IF(BD_DETALLE!$N375=0,TODAY()-BD_DETALLE!$C375,BD_DETALLE!$N375-BD_DETALLE!$C375)),"")</f>
        <v>41</v>
      </c>
    </row>
    <row r="376" spans="2:18" x14ac:dyDescent="0.25">
      <c r="B376" s="15" t="str">
        <f t="shared" si="46"/>
        <v>2103-77-310755</v>
      </c>
      <c r="C376" s="7">
        <v>44264</v>
      </c>
      <c r="D376" s="5" t="str">
        <f>IF(BD_DETALLE!$E376&gt;=1,CONCATENATE(TEXT(BD_DETALLE!$C376,"YY"),TEXT(BD_DETALLE!$C376,"MM"),"-",BD_DETALLE!$E376),"")</f>
        <v>2103-77</v>
      </c>
      <c r="E376" s="12">
        <v>77</v>
      </c>
      <c r="F376" s="21">
        <v>310755</v>
      </c>
      <c r="G376" s="4" t="str">
        <f>IFERROR(VLOOKUP(BD_DETALLE!$B376,Tabla9[],6,0),"")</f>
        <v>ELEVADOR</v>
      </c>
      <c r="H376" s="6">
        <f>IFERROR(VLOOKUP(BD_DETALLE!$B376,Tabla9[],4,0),0)</f>
        <v>12</v>
      </c>
      <c r="I376" s="19" t="s">
        <v>5</v>
      </c>
      <c r="J376" s="20" t="s">
        <v>1862</v>
      </c>
      <c r="K376" s="10">
        <f>IFERROR(VLOOKUP(BD_DETALLE!B376,Tabla9[],7,0),"")</f>
        <v>44270</v>
      </c>
      <c r="L376" s="11">
        <f>IFERROR(VLOOKUP(BD_DETALLE!B376,Tabla9[],8,0),"")</f>
        <v>52101</v>
      </c>
      <c r="M376" s="9">
        <f>IFERROR(SUMIFS(Tabla9[CANTIDAD2],Tabla9[BUSQUEDA],Tabla3[[#This Row],[BUSQUEDA]],Tabla9[CODIGO],Tabla3[[#This Row],[CODIGO]],Tabla9[ORDEN No.],Tabla3[[#This Row],[ORDEN de COMPRA]]),0)</f>
        <v>12</v>
      </c>
      <c r="N376" s="27">
        <f>IFERROR(IF(BD_DETALLE!B376&gt;0,VLOOKUP(BD_DETALLE!B376,Tabla9[],10,0),""),"")</f>
        <v>0</v>
      </c>
      <c r="O376" s="28">
        <f>IFERROR(VLOOKUP(BD_DETALLE!B376,Tabla9[],11,0),0)</f>
        <v>0</v>
      </c>
      <c r="P376" s="26">
        <f>IFERROR(SUMIFS(Tabla9[CANTIDAD3],Tabla9[BUSQUEDA],Tabla3[[#This Row],[BUSQUEDA]],Tabla9[CODIGO],Tabla3[[#This Row],[CODIGO]]),0)</f>
        <v>0</v>
      </c>
      <c r="Q376" s="25">
        <f>IF(BD_DETALLE!P376&lt;=0,0,IF(BD_DETALLE!P376=BD_DETALLE!H376,2,1))</f>
        <v>0</v>
      </c>
      <c r="R376" s="41">
        <f ca="1">IF(BD_DETALLE!$C376&gt;0,(IF(BD_DETALLE!$N376=0,TODAY()-BD_DETALLE!$C376,BD_DETALLE!$N376-BD_DETALLE!$C376)),"")</f>
        <v>41</v>
      </c>
    </row>
    <row r="377" spans="2:18" x14ac:dyDescent="0.25">
      <c r="B377" s="15" t="str">
        <f t="shared" si="46"/>
        <v>2103-77-310365</v>
      </c>
      <c r="C377" s="7">
        <v>44264</v>
      </c>
      <c r="D377" s="5" t="str">
        <f>IF(BD_DETALLE!$E377&gt;=1,CONCATENATE(TEXT(BD_DETALLE!$C377,"YY"),TEXT(BD_DETALLE!$C377,"MM"),"-",BD_DETALLE!$E377),"")</f>
        <v>2103-77</v>
      </c>
      <c r="E377" s="12">
        <v>77</v>
      </c>
      <c r="F377" s="21">
        <v>310365</v>
      </c>
      <c r="G377" s="4" t="str">
        <f>IFERROR(VLOOKUP(BD_DETALLE!$B377,Tabla9[],6,0),"")</f>
        <v>JUEGO CAMISAS MOTOR</v>
      </c>
      <c r="H377" s="6">
        <f>IFERROR(VLOOKUP(BD_DETALLE!$B377,Tabla9[],4,0),0)</f>
        <v>6</v>
      </c>
      <c r="I377" s="19" t="s">
        <v>5</v>
      </c>
      <c r="J377" s="20" t="s">
        <v>1862</v>
      </c>
      <c r="K377" s="10">
        <f>IFERROR(VLOOKUP(BD_DETALLE!B377,Tabla9[],7,0),"")</f>
        <v>44270</v>
      </c>
      <c r="L377" s="11">
        <f>IFERROR(VLOOKUP(BD_DETALLE!B377,Tabla9[],8,0),"")</f>
        <v>52101</v>
      </c>
      <c r="M377" s="9">
        <f>IFERROR(SUMIFS(Tabla9[CANTIDAD2],Tabla9[BUSQUEDA],Tabla3[[#This Row],[BUSQUEDA]],Tabla9[CODIGO],Tabla3[[#This Row],[CODIGO]],Tabla9[ORDEN No.],Tabla3[[#This Row],[ORDEN de COMPRA]]),0)</f>
        <v>6</v>
      </c>
      <c r="N377" s="27">
        <f>IFERROR(IF(BD_DETALLE!B377&gt;0,VLOOKUP(BD_DETALLE!B377,Tabla9[],10,0),""),"")</f>
        <v>0</v>
      </c>
      <c r="O377" s="28">
        <f>IFERROR(VLOOKUP(BD_DETALLE!B377,Tabla9[],11,0),0)</f>
        <v>0</v>
      </c>
      <c r="P377" s="26">
        <f>IFERROR(SUMIFS(Tabla9[CANTIDAD3],Tabla9[BUSQUEDA],Tabla3[[#This Row],[BUSQUEDA]],Tabla9[CODIGO],Tabla3[[#This Row],[CODIGO]]),0)</f>
        <v>0</v>
      </c>
      <c r="Q377" s="25">
        <f>IF(BD_DETALLE!P377&lt;=0,0,IF(BD_DETALLE!P377=BD_DETALLE!H377,2,1))</f>
        <v>0</v>
      </c>
      <c r="R377" s="41">
        <f ca="1">IF(BD_DETALLE!$C377&gt;0,(IF(BD_DETALLE!$N377=0,TODAY()-BD_DETALLE!$C377,BD_DETALLE!$N377-BD_DETALLE!$C377)),"")</f>
        <v>41</v>
      </c>
    </row>
    <row r="378" spans="2:18" x14ac:dyDescent="0.25">
      <c r="B378" s="15" t="str">
        <f t="shared" si="46"/>
        <v>2103-77-205199</v>
      </c>
      <c r="C378" s="7">
        <v>44264</v>
      </c>
      <c r="D378" s="5" t="str">
        <f>IF(BD_DETALLE!$E378&gt;=1,CONCATENATE(TEXT(BD_DETALLE!$C378,"YY"),TEXT(BD_DETALLE!$C378,"MM"),"-",BD_DETALLE!$E378),"")</f>
        <v>2103-77</v>
      </c>
      <c r="E378" s="12">
        <v>77</v>
      </c>
      <c r="F378" s="21">
        <v>205199</v>
      </c>
      <c r="G378" s="4" t="str">
        <f>IFERROR(VLOOKUP(BD_DETALLE!$B378,Tabla9[],6,0),"")</f>
        <v>GUIA DE VALVULA DE ADMISION</v>
      </c>
      <c r="H378" s="6">
        <f>IFERROR(VLOOKUP(BD_DETALLE!$B378,Tabla9[],4,0),0)</f>
        <v>12</v>
      </c>
      <c r="I378" s="19" t="s">
        <v>5</v>
      </c>
      <c r="J378" s="20" t="s">
        <v>1862</v>
      </c>
      <c r="K378" s="10">
        <f>IFERROR(VLOOKUP(BD_DETALLE!B378,Tabla9[],7,0),"")</f>
        <v>44270</v>
      </c>
      <c r="L378" s="11">
        <f>IFERROR(VLOOKUP(BD_DETALLE!B378,Tabla9[],8,0),"")</f>
        <v>52101</v>
      </c>
      <c r="M378" s="9">
        <f>IFERROR(SUMIFS(Tabla9[CANTIDAD2],Tabla9[BUSQUEDA],Tabla3[[#This Row],[BUSQUEDA]],Tabla9[CODIGO],Tabla3[[#This Row],[CODIGO]],Tabla9[ORDEN No.],Tabla3[[#This Row],[ORDEN de COMPRA]]),0)</f>
        <v>12</v>
      </c>
      <c r="N378" s="27">
        <f>IFERROR(IF(BD_DETALLE!B378&gt;0,VLOOKUP(BD_DETALLE!B378,Tabla9[],10,0),""),"")</f>
        <v>0</v>
      </c>
      <c r="O378" s="28">
        <f>IFERROR(VLOOKUP(BD_DETALLE!B378,Tabla9[],11,0),0)</f>
        <v>0</v>
      </c>
      <c r="P378" s="26">
        <f>IFERROR(SUMIFS(Tabla9[CANTIDAD3],Tabla9[BUSQUEDA],Tabla3[[#This Row],[BUSQUEDA]],Tabla9[CODIGO],Tabla3[[#This Row],[CODIGO]]),0)</f>
        <v>0</v>
      </c>
      <c r="Q378" s="25">
        <f>IF(BD_DETALLE!P378&lt;=0,0,IF(BD_DETALLE!P378=BD_DETALLE!H378,2,1))</f>
        <v>0</v>
      </c>
      <c r="R378" s="41">
        <f ca="1">IF(BD_DETALLE!$C378&gt;0,(IF(BD_DETALLE!$N378=0,TODAY()-BD_DETALLE!$C378,BD_DETALLE!$N378-BD_DETALLE!$C378)),"")</f>
        <v>41</v>
      </c>
    </row>
    <row r="379" spans="2:18" x14ac:dyDescent="0.25">
      <c r="B379" s="15" t="str">
        <f t="shared" si="46"/>
        <v>2103-77-205624</v>
      </c>
      <c r="C379" s="7">
        <v>44264</v>
      </c>
      <c r="D379" s="5" t="str">
        <f>IF(BD_DETALLE!$E379&gt;=1,CONCATENATE(TEXT(BD_DETALLE!$C379,"YY"),TEXT(BD_DETALLE!$C379,"MM"),"-",BD_DETALLE!$E379),"")</f>
        <v>2103-77</v>
      </c>
      <c r="E379" s="12">
        <v>77</v>
      </c>
      <c r="F379" s="21">
        <v>205624</v>
      </c>
      <c r="G379" s="4" t="str">
        <f>IFERROR(VLOOKUP(BD_DETALLE!$B379,Tabla9[],6,0),"")</f>
        <v>COJINETE DE BANCADA</v>
      </c>
      <c r="H379" s="6">
        <f>IFERROR(VLOOKUP(BD_DETALLE!$B379,Tabla9[],4,0),0)</f>
        <v>1</v>
      </c>
      <c r="I379" s="19" t="s">
        <v>5</v>
      </c>
      <c r="J379" s="20" t="s">
        <v>1862</v>
      </c>
      <c r="K379" s="10">
        <f>IFERROR(VLOOKUP(BD_DETALLE!B379,Tabla9[],7,0),"")</f>
        <v>44270</v>
      </c>
      <c r="L379" s="11">
        <f>IFERROR(VLOOKUP(BD_DETALLE!B379,Tabla9[],8,0),"")</f>
        <v>52101</v>
      </c>
      <c r="M379" s="9">
        <f>IFERROR(SUMIFS(Tabla9[CANTIDAD2],Tabla9[BUSQUEDA],Tabla3[[#This Row],[BUSQUEDA]],Tabla9[CODIGO],Tabla3[[#This Row],[CODIGO]],Tabla9[ORDEN No.],Tabla3[[#This Row],[ORDEN de COMPRA]]),0)</f>
        <v>1</v>
      </c>
      <c r="N379" s="27">
        <f>IFERROR(IF(BD_DETALLE!B379&gt;0,VLOOKUP(BD_DETALLE!B379,Tabla9[],10,0),""),"")</f>
        <v>0</v>
      </c>
      <c r="O379" s="28">
        <f>IFERROR(VLOOKUP(BD_DETALLE!B379,Tabla9[],11,0),0)</f>
        <v>0</v>
      </c>
      <c r="P379" s="26">
        <f>IFERROR(SUMIFS(Tabla9[CANTIDAD3],Tabla9[BUSQUEDA],Tabla3[[#This Row],[BUSQUEDA]],Tabla9[CODIGO],Tabla3[[#This Row],[CODIGO]]),0)</f>
        <v>0</v>
      </c>
      <c r="Q379" s="25">
        <f>IF(BD_DETALLE!P379&lt;=0,0,IF(BD_DETALLE!P379=BD_DETALLE!H379,2,1))</f>
        <v>0</v>
      </c>
      <c r="R379" s="41">
        <f ca="1">IF(BD_DETALLE!$C379&gt;0,(IF(BD_DETALLE!$N379=0,TODAY()-BD_DETALLE!$C379,BD_DETALLE!$N379-BD_DETALLE!$C379)),"")</f>
        <v>41</v>
      </c>
    </row>
    <row r="380" spans="2:18" x14ac:dyDescent="0.25">
      <c r="B380" s="15" t="str">
        <f t="shared" si="46"/>
        <v>2103-77-205623</v>
      </c>
      <c r="C380" s="7">
        <v>44264</v>
      </c>
      <c r="D380" s="5" t="str">
        <f>IF(BD_DETALLE!$E380&gt;=1,CONCATENATE(TEXT(BD_DETALLE!$C380,"YY"),TEXT(BD_DETALLE!$C380,"MM"),"-",BD_DETALLE!$E380),"")</f>
        <v>2103-77</v>
      </c>
      <c r="E380" s="12">
        <v>77</v>
      </c>
      <c r="F380" s="21">
        <v>205623</v>
      </c>
      <c r="G380" s="4" t="str">
        <f>IFERROR(VLOOKUP(BD_DETALLE!$B380,Tabla9[],6,0),"")</f>
        <v>COJINETE DE BIELA</v>
      </c>
      <c r="H380" s="6">
        <f>IFERROR(VLOOKUP(BD_DETALLE!$B380,Tabla9[],4,0),0)</f>
        <v>1</v>
      </c>
      <c r="I380" s="19" t="s">
        <v>5</v>
      </c>
      <c r="J380" s="20" t="s">
        <v>1862</v>
      </c>
      <c r="K380" s="10">
        <f>IFERROR(VLOOKUP(BD_DETALLE!B380,Tabla9[],7,0),"")</f>
        <v>44270</v>
      </c>
      <c r="L380" s="11">
        <f>IFERROR(VLOOKUP(BD_DETALLE!B380,Tabla9[],8,0),"")</f>
        <v>52101</v>
      </c>
      <c r="M380" s="9">
        <f>IFERROR(SUMIFS(Tabla9[CANTIDAD2],Tabla9[BUSQUEDA],Tabla3[[#This Row],[BUSQUEDA]],Tabla9[CODIGO],Tabla3[[#This Row],[CODIGO]],Tabla9[ORDEN No.],Tabla3[[#This Row],[ORDEN de COMPRA]]),0)</f>
        <v>1</v>
      </c>
      <c r="N380" s="27">
        <f>IFERROR(IF(BD_DETALLE!B380&gt;0,VLOOKUP(BD_DETALLE!B380,Tabla9[],10,0),""),"")</f>
        <v>0</v>
      </c>
      <c r="O380" s="28">
        <f>IFERROR(VLOOKUP(BD_DETALLE!B380,Tabla9[],11,0),0)</f>
        <v>0</v>
      </c>
      <c r="P380" s="26">
        <f>IFERROR(SUMIFS(Tabla9[CANTIDAD3],Tabla9[BUSQUEDA],Tabla3[[#This Row],[BUSQUEDA]],Tabla9[CODIGO],Tabla3[[#This Row],[CODIGO]]),0)</f>
        <v>0</v>
      </c>
      <c r="Q380" s="25">
        <f>IF(BD_DETALLE!P380&lt;=0,0,IF(BD_DETALLE!P380=BD_DETALLE!H380,2,1))</f>
        <v>0</v>
      </c>
      <c r="R380" s="41">
        <f ca="1">IF(BD_DETALLE!$C380&gt;0,(IF(BD_DETALLE!$N380=0,TODAY()-BD_DETALLE!$C380,BD_DETALLE!$N380-BD_DETALLE!$C380)),"")</f>
        <v>41</v>
      </c>
    </row>
    <row r="381" spans="2:18" x14ac:dyDescent="0.25">
      <c r="B381" s="15" t="str">
        <f t="shared" si="46"/>
        <v>2103-77-105642</v>
      </c>
      <c r="C381" s="7">
        <v>44264</v>
      </c>
      <c r="D381" s="5" t="str">
        <f>IF(BD_DETALLE!$E381&gt;=1,CONCATENATE(TEXT(BD_DETALLE!$C381,"YY"),TEXT(BD_DETALLE!$C381,"MM"),"-",BD_DETALLE!$E381),"")</f>
        <v>2103-77</v>
      </c>
      <c r="E381" s="12">
        <v>77</v>
      </c>
      <c r="F381" s="21">
        <v>105642</v>
      </c>
      <c r="G381" s="4" t="str">
        <f>IFERROR(VLOOKUP(BD_DETALLE!$B381,Tabla9[],6,0),"")</f>
        <v>MEDIA LUNA</v>
      </c>
      <c r="H381" s="6">
        <f>IFERROR(VLOOKUP(BD_DETALLE!$B381,Tabla9[],4,0),0)</f>
        <v>1</v>
      </c>
      <c r="I381" s="19" t="s">
        <v>5</v>
      </c>
      <c r="J381" s="20" t="s">
        <v>1862</v>
      </c>
      <c r="K381" s="10">
        <f>IFERROR(VLOOKUP(BD_DETALLE!B381,Tabla9[],7,0),"")</f>
        <v>44270</v>
      </c>
      <c r="L381" s="11">
        <f>IFERROR(VLOOKUP(BD_DETALLE!B381,Tabla9[],8,0),"")</f>
        <v>52101</v>
      </c>
      <c r="M381" s="9">
        <f>IFERROR(SUMIFS(Tabla9[CANTIDAD2],Tabla9[BUSQUEDA],Tabla3[[#This Row],[BUSQUEDA]],Tabla9[CODIGO],Tabla3[[#This Row],[CODIGO]],Tabla9[ORDEN No.],Tabla3[[#This Row],[ORDEN de COMPRA]]),0)</f>
        <v>1</v>
      </c>
      <c r="N381" s="27">
        <f>IFERROR(IF(BD_DETALLE!B381&gt;0,VLOOKUP(BD_DETALLE!B381,Tabla9[],10,0),""),"")</f>
        <v>0</v>
      </c>
      <c r="O381" s="28">
        <f>IFERROR(VLOOKUP(BD_DETALLE!B381,Tabla9[],11,0),0)</f>
        <v>0</v>
      </c>
      <c r="P381" s="26">
        <f>IFERROR(SUMIFS(Tabla9[CANTIDAD3],Tabla9[BUSQUEDA],Tabla3[[#This Row],[BUSQUEDA]],Tabla9[CODIGO],Tabla3[[#This Row],[CODIGO]]),0)</f>
        <v>0</v>
      </c>
      <c r="Q381" s="25">
        <f>IF(BD_DETALLE!P381&lt;=0,0,IF(BD_DETALLE!P381=BD_DETALLE!H381,2,1))</f>
        <v>0</v>
      </c>
      <c r="R381" s="41">
        <f ca="1">IF(BD_DETALLE!$C381&gt;0,(IF(BD_DETALLE!$N381=0,TODAY()-BD_DETALLE!$C381,BD_DETALLE!$N381-BD_DETALLE!$C381)),"")</f>
        <v>41</v>
      </c>
    </row>
    <row r="382" spans="2:18" x14ac:dyDescent="0.25">
      <c r="B382" s="15" t="str">
        <f t="shared" si="46"/>
        <v>2103-77-313334</v>
      </c>
      <c r="C382" s="7">
        <v>44264</v>
      </c>
      <c r="D382" s="5" t="str">
        <f>IF(BD_DETALLE!$E382&gt;=1,CONCATENATE(TEXT(BD_DETALLE!$C382,"YY"),TEXT(BD_DETALLE!$C382,"MM"),"-",BD_DETALLE!$E382),"")</f>
        <v>2103-77</v>
      </c>
      <c r="E382" s="12">
        <v>77</v>
      </c>
      <c r="F382" s="21">
        <v>313334</v>
      </c>
      <c r="G382" s="4" t="str">
        <f>IFERROR(VLOOKUP(BD_DETALLE!$B382,Tabla9[],6,0),"")</f>
        <v>JUEGO PISTONES</v>
      </c>
      <c r="H382" s="6">
        <f>IFERROR(VLOOKUP(BD_DETALLE!$B382,Tabla9[],4,0),0)</f>
        <v>1</v>
      </c>
      <c r="I382" s="19" t="s">
        <v>5</v>
      </c>
      <c r="J382" s="20" t="s">
        <v>1862</v>
      </c>
      <c r="K382" s="10">
        <f>IFERROR(VLOOKUP(BD_DETALLE!B382,Tabla9[],7,0),"")</f>
        <v>44270</v>
      </c>
      <c r="L382" s="11">
        <f>IFERROR(VLOOKUP(BD_DETALLE!B382,Tabla9[],8,0),"")</f>
        <v>52101</v>
      </c>
      <c r="M382" s="9">
        <f>IFERROR(SUMIFS(Tabla9[CANTIDAD2],Tabla9[BUSQUEDA],Tabla3[[#This Row],[BUSQUEDA]],Tabla9[CODIGO],Tabla3[[#This Row],[CODIGO]],Tabla9[ORDEN No.],Tabla3[[#This Row],[ORDEN de COMPRA]]),0)</f>
        <v>1</v>
      </c>
      <c r="N382" s="27">
        <f>IFERROR(IF(BD_DETALLE!B382&gt;0,VLOOKUP(BD_DETALLE!B382,Tabla9[],10,0),""),"")</f>
        <v>0</v>
      </c>
      <c r="O382" s="28">
        <f>IFERROR(VLOOKUP(BD_DETALLE!B382,Tabla9[],11,0),0)</f>
        <v>0</v>
      </c>
      <c r="P382" s="26">
        <f>IFERROR(SUMIFS(Tabla9[CANTIDAD3],Tabla9[BUSQUEDA],Tabla3[[#This Row],[BUSQUEDA]],Tabla9[CODIGO],Tabla3[[#This Row],[CODIGO]]),0)</f>
        <v>0</v>
      </c>
      <c r="Q382" s="25">
        <f>IF(BD_DETALLE!P382&lt;=0,0,IF(BD_DETALLE!P382=BD_DETALLE!H382,2,1))</f>
        <v>0</v>
      </c>
      <c r="R382" s="41">
        <f ca="1">IF(BD_DETALLE!$C382&gt;0,(IF(BD_DETALLE!$N382=0,TODAY()-BD_DETALLE!$C382,BD_DETALLE!$N382-BD_DETALLE!$C382)),"")</f>
        <v>41</v>
      </c>
    </row>
    <row r="383" spans="2:18" x14ac:dyDescent="0.25">
      <c r="B383" s="15" t="str">
        <f t="shared" si="46"/>
        <v>2103-77-313335</v>
      </c>
      <c r="C383" s="7">
        <v>44264</v>
      </c>
      <c r="D383" s="5" t="str">
        <f>IF(BD_DETALLE!$E383&gt;=1,CONCATENATE(TEXT(BD_DETALLE!$C383,"YY"),TEXT(BD_DETALLE!$C383,"MM"),"-",BD_DETALLE!$E383),"")</f>
        <v>2103-77</v>
      </c>
      <c r="E383" s="12">
        <v>77</v>
      </c>
      <c r="F383" s="21">
        <v>313335</v>
      </c>
      <c r="G383" s="4" t="str">
        <f>IFERROR(VLOOKUP(BD_DETALLE!$B383,Tabla9[],6,0),"")</f>
        <v>JUEGO RINES</v>
      </c>
      <c r="H383" s="6">
        <f>IFERROR(VLOOKUP(BD_DETALLE!$B383,Tabla9[],4,0),0)</f>
        <v>1</v>
      </c>
      <c r="I383" s="19" t="s">
        <v>5</v>
      </c>
      <c r="J383" s="20" t="s">
        <v>1862</v>
      </c>
      <c r="K383" s="10">
        <f>IFERROR(VLOOKUP(BD_DETALLE!B383,Tabla9[],7,0),"")</f>
        <v>44270</v>
      </c>
      <c r="L383" s="11">
        <f>IFERROR(VLOOKUP(BD_DETALLE!B383,Tabla9[],8,0),"")</f>
        <v>52101</v>
      </c>
      <c r="M383" s="9">
        <f>IFERROR(SUMIFS(Tabla9[CANTIDAD2],Tabla9[BUSQUEDA],Tabla3[[#This Row],[BUSQUEDA]],Tabla9[CODIGO],Tabla3[[#This Row],[CODIGO]],Tabla9[ORDEN No.],Tabla3[[#This Row],[ORDEN de COMPRA]]),0)</f>
        <v>1</v>
      </c>
      <c r="N383" s="27">
        <f>IFERROR(IF(BD_DETALLE!B383&gt;0,VLOOKUP(BD_DETALLE!B383,Tabla9[],10,0),""),"")</f>
        <v>0</v>
      </c>
      <c r="O383" s="28">
        <f>IFERROR(VLOOKUP(BD_DETALLE!B383,Tabla9[],11,0),0)</f>
        <v>0</v>
      </c>
      <c r="P383" s="26">
        <f>IFERROR(SUMIFS(Tabla9[CANTIDAD3],Tabla9[BUSQUEDA],Tabla3[[#This Row],[BUSQUEDA]],Tabla9[CODIGO],Tabla3[[#This Row],[CODIGO]]),0)</f>
        <v>0</v>
      </c>
      <c r="Q383" s="25">
        <f>IF(BD_DETALLE!P383&lt;=0,0,IF(BD_DETALLE!P383=BD_DETALLE!H383,2,1))</f>
        <v>0</v>
      </c>
      <c r="R383" s="41">
        <f ca="1">IF(BD_DETALLE!$C383&gt;0,(IF(BD_DETALLE!$N383=0,TODAY()-BD_DETALLE!$C383,BD_DETALLE!$N383-BD_DETALLE!$C383)),"")</f>
        <v>41</v>
      </c>
    </row>
    <row r="384" spans="2:18" x14ac:dyDescent="0.25">
      <c r="B384" s="15" t="str">
        <f t="shared" si="46"/>
        <v>2103-77-107308</v>
      </c>
      <c r="C384" s="7">
        <v>44264</v>
      </c>
      <c r="D384" s="5" t="str">
        <f>IF(BD_DETALLE!$E384&gt;=1,CONCATENATE(TEXT(BD_DETALLE!$C384,"YY"),TEXT(BD_DETALLE!$C384,"MM"),"-",BD_DETALLE!$E384),"")</f>
        <v>2103-77</v>
      </c>
      <c r="E384" s="12">
        <v>77</v>
      </c>
      <c r="F384" s="21">
        <v>107308</v>
      </c>
      <c r="G384" s="4" t="str">
        <f>IFERROR(VLOOKUP(BD_DETALLE!$B384,Tabla9[],6,0),"")</f>
        <v>RULIMAN PUNTA CIGUEÐAL</v>
      </c>
      <c r="H384" s="6">
        <f>IFERROR(VLOOKUP(BD_DETALLE!$B384,Tabla9[],4,0),0)</f>
        <v>1</v>
      </c>
      <c r="I384" s="19" t="s">
        <v>5</v>
      </c>
      <c r="J384" s="20" t="s">
        <v>1862</v>
      </c>
      <c r="K384" s="10">
        <f>IFERROR(VLOOKUP(BD_DETALLE!B384,Tabla9[],7,0),"")</f>
        <v>44270</v>
      </c>
      <c r="L384" s="11">
        <f>IFERROR(VLOOKUP(BD_DETALLE!B384,Tabla9[],8,0),"")</f>
        <v>52101</v>
      </c>
      <c r="M384" s="9">
        <f>IFERROR(SUMIFS(Tabla9[CANTIDAD2],Tabla9[BUSQUEDA],Tabla3[[#This Row],[BUSQUEDA]],Tabla9[CODIGO],Tabla3[[#This Row],[CODIGO]],Tabla9[ORDEN No.],Tabla3[[#This Row],[ORDEN de COMPRA]]),0)</f>
        <v>1</v>
      </c>
      <c r="N384" s="27">
        <f>IFERROR(IF(BD_DETALLE!B384&gt;0,VLOOKUP(BD_DETALLE!B384,Tabla9[],10,0),""),"")</f>
        <v>0</v>
      </c>
      <c r="O384" s="28">
        <f>IFERROR(VLOOKUP(BD_DETALLE!B384,Tabla9[],11,0),0)</f>
        <v>0</v>
      </c>
      <c r="P384" s="26">
        <f>IFERROR(SUMIFS(Tabla9[CANTIDAD3],Tabla9[BUSQUEDA],Tabla3[[#This Row],[BUSQUEDA]],Tabla9[CODIGO],Tabla3[[#This Row],[CODIGO]]),0)</f>
        <v>0</v>
      </c>
      <c r="Q384" s="25">
        <f>IF(BD_DETALLE!P384&lt;=0,0,IF(BD_DETALLE!P384=BD_DETALLE!H384,2,1))</f>
        <v>0</v>
      </c>
      <c r="R384" s="41">
        <f ca="1">IF(BD_DETALLE!$C384&gt;0,(IF(BD_DETALLE!$N384=0,TODAY()-BD_DETALLE!$C384,BD_DETALLE!$N384-BD_DETALLE!$C384)),"")</f>
        <v>41</v>
      </c>
    </row>
    <row r="385" spans="2:18" x14ac:dyDescent="0.25">
      <c r="B385" s="15" t="str">
        <f t="shared" si="46"/>
        <v>2103-77-304469</v>
      </c>
      <c r="C385" s="7">
        <v>44264</v>
      </c>
      <c r="D385" s="5" t="str">
        <f>IF(BD_DETALLE!$E385&gt;=1,CONCATENATE(TEXT(BD_DETALLE!$C385,"YY"),TEXT(BD_DETALLE!$C385,"MM"),"-",BD_DETALLE!$E385),"")</f>
        <v>2103-77</v>
      </c>
      <c r="E385" s="12">
        <v>77</v>
      </c>
      <c r="F385" s="21">
        <v>304469</v>
      </c>
      <c r="G385" s="4" t="str">
        <f>IFERROR(VLOOKUP(BD_DETALLE!$B385,Tabla9[],6,0),"")</f>
        <v>VALVULA</v>
      </c>
      <c r="H385" s="6">
        <f>IFERROR(VLOOKUP(BD_DETALLE!$B385,Tabla9[],4,0),0)</f>
        <v>12</v>
      </c>
      <c r="I385" s="19" t="s">
        <v>5</v>
      </c>
      <c r="J385" s="20" t="s">
        <v>1862</v>
      </c>
      <c r="K385" s="10">
        <f>IFERROR(VLOOKUP(BD_DETALLE!B385,Tabla9[],7,0),"")</f>
        <v>44270</v>
      </c>
      <c r="L385" s="11">
        <f>IFERROR(VLOOKUP(BD_DETALLE!B385,Tabla9[],8,0),"")</f>
        <v>52101</v>
      </c>
      <c r="M385" s="9">
        <f>IFERROR(SUMIFS(Tabla9[CANTIDAD2],Tabla9[BUSQUEDA],Tabla3[[#This Row],[BUSQUEDA]],Tabla9[CODIGO],Tabla3[[#This Row],[CODIGO]],Tabla9[ORDEN No.],Tabla3[[#This Row],[ORDEN de COMPRA]]),0)</f>
        <v>12</v>
      </c>
      <c r="N385" s="27">
        <f>IFERROR(IF(BD_DETALLE!B385&gt;0,VLOOKUP(BD_DETALLE!B385,Tabla9[],10,0),""),"")</f>
        <v>0</v>
      </c>
      <c r="O385" s="28">
        <f>IFERROR(VLOOKUP(BD_DETALLE!B385,Tabla9[],11,0),0)</f>
        <v>0</v>
      </c>
      <c r="P385" s="26">
        <f>IFERROR(SUMIFS(Tabla9[CANTIDAD3],Tabla9[BUSQUEDA],Tabla3[[#This Row],[BUSQUEDA]],Tabla9[CODIGO],Tabla3[[#This Row],[CODIGO]]),0)</f>
        <v>0</v>
      </c>
      <c r="Q385" s="25">
        <f>IF(BD_DETALLE!P385&lt;=0,0,IF(BD_DETALLE!P385=BD_DETALLE!H385,2,1))</f>
        <v>0</v>
      </c>
      <c r="R385" s="41">
        <f ca="1">IF(BD_DETALLE!$C385&gt;0,(IF(BD_DETALLE!$N385=0,TODAY()-BD_DETALLE!$C385,BD_DETALLE!$N385-BD_DETALLE!$C385)),"")</f>
        <v>41</v>
      </c>
    </row>
    <row r="386" spans="2:18" x14ac:dyDescent="0.25">
      <c r="B386" s="15" t="str">
        <f t="shared" ref="B386" si="47">IFERROR(TEXT(C386,"yy") &amp; TEXT(C386,"mm") &amp;"-"&amp;(E386) &amp;"-"&amp;(F386),"")</f>
        <v>2103-82-305161</v>
      </c>
      <c r="C386" s="7">
        <v>44265</v>
      </c>
      <c r="D386" s="5" t="str">
        <f>IF(BD_DETALLE!$E386&gt;=1,CONCATENATE(TEXT(BD_DETALLE!$C386,"YY"),TEXT(BD_DETALLE!$C386,"MM"),"-",BD_DETALLE!$E386),"")</f>
        <v>2103-82</v>
      </c>
      <c r="E386" s="12">
        <v>82</v>
      </c>
      <c r="F386" s="21">
        <v>305161</v>
      </c>
      <c r="G386" s="4" t="str">
        <f>IFERROR(VLOOKUP(BD_DETALLE!$B386,Tabla9[],6,0),"")</f>
        <v>MEDIDOR DE FLUJO MINI OVAL</v>
      </c>
      <c r="H386" s="6">
        <f>IFERROR(VLOOKUP(BD_DETALLE!$B386,Tabla9[],4,0),0)</f>
        <v>2</v>
      </c>
      <c r="I386" s="19" t="s">
        <v>19</v>
      </c>
      <c r="J386" s="20" t="s">
        <v>1944</v>
      </c>
      <c r="K386" s="10">
        <f>IFERROR(VLOOKUP(BD_DETALLE!B386,Tabla9[],7,0),"")</f>
        <v>0</v>
      </c>
      <c r="L386" s="11">
        <f>IFERROR(VLOOKUP(BD_DETALLE!B386,Tabla9[],8,0),"")</f>
        <v>0</v>
      </c>
      <c r="M386" s="9">
        <f>IFERROR(SUMIFS(Tabla9[CANTIDAD2],Tabla9[BUSQUEDA],Tabla3[[#This Row],[BUSQUEDA]],Tabla9[CODIGO],Tabla3[[#This Row],[CODIGO]],Tabla9[ORDEN No.],Tabla3[[#This Row],[ORDEN de COMPRA]]),0)</f>
        <v>0</v>
      </c>
      <c r="N386" s="27">
        <f>IFERROR(IF(BD_DETALLE!B386&gt;0,VLOOKUP(BD_DETALLE!B386,Tabla9[],10,0),""),"")</f>
        <v>0</v>
      </c>
      <c r="O386" s="28">
        <f>IFERROR(VLOOKUP(BD_DETALLE!B386,Tabla9[],11,0),0)</f>
        <v>0</v>
      </c>
      <c r="P386" s="26">
        <f>IFERROR(SUMIFS(Tabla9[CANTIDAD3],Tabla9[BUSQUEDA],Tabla3[[#This Row],[BUSQUEDA]],Tabla9[CODIGO],Tabla3[[#This Row],[CODIGO]]),0)</f>
        <v>0</v>
      </c>
      <c r="Q386" s="25">
        <f>IF(BD_DETALLE!P386&lt;=0,0,IF(BD_DETALLE!P386=BD_DETALLE!H386,2,1))</f>
        <v>0</v>
      </c>
      <c r="R386" s="41">
        <f ca="1">IF(BD_DETALLE!$C386&gt;0,(IF(BD_DETALLE!$N386=0,TODAY()-BD_DETALLE!$C386,BD_DETALLE!$N386-BD_DETALLE!$C386)),"")</f>
        <v>40</v>
      </c>
    </row>
    <row r="387" spans="2:18" x14ac:dyDescent="0.25">
      <c r="B387" s="15" t="str">
        <f t="shared" ref="B387:B398" si="48">IFERROR(TEXT(C387,"yy") &amp; TEXT(C387,"mm") &amp;"-"&amp;(E387) &amp;"-"&amp;(F387),"")</f>
        <v>2103-91-317524</v>
      </c>
      <c r="C387" s="7">
        <v>44266</v>
      </c>
      <c r="D387" s="5" t="str">
        <f>IF(BD_DETALLE!$E387&gt;=1,CONCATENATE(TEXT(BD_DETALLE!$C387,"YY"),TEXT(BD_DETALLE!$C387,"MM"),"-",BD_DETALLE!$E387),"")</f>
        <v>2103-91</v>
      </c>
      <c r="E387" s="12">
        <v>91</v>
      </c>
      <c r="F387" s="21">
        <v>317524</v>
      </c>
      <c r="G387" s="4" t="str">
        <f>IFERROR(VLOOKUP(BD_DETALLE!$B387,Tabla9[],6,0),"")</f>
        <v>VALVULA CHECK TIPO WAFER 3" CLASE 150 G-158</v>
      </c>
      <c r="H387" s="6">
        <f>IFERROR(VLOOKUP(BD_DETALLE!$B387,Tabla9[],4,0),0)</f>
        <v>2</v>
      </c>
      <c r="I387" s="19" t="s">
        <v>12</v>
      </c>
      <c r="J387" s="20" t="s">
        <v>1945</v>
      </c>
      <c r="K387" s="10">
        <f>IFERROR(VLOOKUP(BD_DETALLE!B387,Tabla9[],7,0),"")</f>
        <v>44279</v>
      </c>
      <c r="L387" s="11">
        <f>IFERROR(VLOOKUP(BD_DETALLE!B387,Tabla9[],8,0),"")</f>
        <v>52256</v>
      </c>
      <c r="M387" s="9">
        <f>IFERROR(SUMIFS(Tabla9[CANTIDAD2],Tabla9[BUSQUEDA],Tabla3[[#This Row],[BUSQUEDA]],Tabla9[CODIGO],Tabla3[[#This Row],[CODIGO]],Tabla9[ORDEN No.],Tabla3[[#This Row],[ORDEN de COMPRA]]),0)</f>
        <v>2</v>
      </c>
      <c r="N387" s="27">
        <f>IFERROR(IF(BD_DETALLE!B387&gt;0,VLOOKUP(BD_DETALLE!B387,Tabla9[],10,0),""),"")</f>
        <v>44284</v>
      </c>
      <c r="O387" s="28">
        <f>IFERROR(VLOOKUP(BD_DETALLE!B387,Tabla9[],11,0),0)</f>
        <v>11673</v>
      </c>
      <c r="P387" s="26">
        <f>IFERROR(SUMIFS(Tabla9[CANTIDAD3],Tabla9[BUSQUEDA],Tabla3[[#This Row],[BUSQUEDA]],Tabla9[CODIGO],Tabla3[[#This Row],[CODIGO]]),0)</f>
        <v>2</v>
      </c>
      <c r="Q387" s="25">
        <f>IF(BD_DETALLE!P387&lt;=0,0,IF(BD_DETALLE!P387=BD_DETALLE!H387,2,1))</f>
        <v>2</v>
      </c>
      <c r="R387" s="41">
        <f ca="1">IF(BD_DETALLE!$C387&gt;0,(IF(BD_DETALLE!$N387=0,TODAY()-BD_DETALLE!$C387,BD_DETALLE!$N387-BD_DETALLE!$C387)),"")</f>
        <v>18</v>
      </c>
    </row>
    <row r="388" spans="2:18" x14ac:dyDescent="0.25">
      <c r="B388" s="15" t="str">
        <f t="shared" si="48"/>
        <v>2103-91-301607</v>
      </c>
      <c r="C388" s="7">
        <v>44266</v>
      </c>
      <c r="D388" s="5" t="str">
        <f>IF(BD_DETALLE!$E388&gt;=1,CONCATENATE(TEXT(BD_DETALLE!$C388,"YY"),TEXT(BD_DETALLE!$C388,"MM"),"-",BD_DETALLE!$E388),"")</f>
        <v>2103-91</v>
      </c>
      <c r="E388" s="12">
        <v>91</v>
      </c>
      <c r="F388" s="21">
        <v>301607</v>
      </c>
      <c r="G388" s="4" t="str">
        <f>IFERROR(VLOOKUP(BD_DETALLE!$B388,Tabla9[],6,0),"")</f>
        <v>NEPLO H/N DE 2-1/2" x 10"</v>
      </c>
      <c r="H388" s="6">
        <f>IFERROR(VLOOKUP(BD_DETALLE!$B388,Tabla9[],4,0),0)</f>
        <v>6</v>
      </c>
      <c r="I388" s="19" t="s">
        <v>12</v>
      </c>
      <c r="J388" s="20" t="s">
        <v>1945</v>
      </c>
      <c r="K388" s="10">
        <f>IFERROR(VLOOKUP(BD_DETALLE!B388,Tabla9[],7,0),"")</f>
        <v>44279</v>
      </c>
      <c r="L388" s="11">
        <f>IFERROR(VLOOKUP(BD_DETALLE!B388,Tabla9[],8,0),"")</f>
        <v>52254</v>
      </c>
      <c r="M388" s="9">
        <f>IFERROR(SUMIFS(Tabla9[CANTIDAD2],Tabla9[BUSQUEDA],Tabla3[[#This Row],[BUSQUEDA]],Tabla9[CODIGO],Tabla3[[#This Row],[CODIGO]],Tabla9[ORDEN No.],Tabla3[[#This Row],[ORDEN de COMPRA]]),0)</f>
        <v>6</v>
      </c>
      <c r="N388" s="27">
        <f>IFERROR(IF(BD_DETALLE!B388&gt;0,VLOOKUP(BD_DETALLE!B388,Tabla9[],10,0),""),"")</f>
        <v>44281</v>
      </c>
      <c r="O388" s="28">
        <f>IFERROR(VLOOKUP(BD_DETALLE!B388,Tabla9[],11,0),0)</f>
        <v>11655</v>
      </c>
      <c r="P388" s="26">
        <f>IFERROR(SUMIFS(Tabla9[CANTIDAD3],Tabla9[BUSQUEDA],Tabla3[[#This Row],[BUSQUEDA]],Tabla9[CODIGO],Tabla3[[#This Row],[CODIGO]]),0)</f>
        <v>6</v>
      </c>
      <c r="Q388" s="25">
        <f>IF(BD_DETALLE!P388&lt;=0,0,IF(BD_DETALLE!P388=BD_DETALLE!H388,2,1))</f>
        <v>2</v>
      </c>
      <c r="R388" s="41">
        <f ca="1">IF(BD_DETALLE!$C388&gt;0,(IF(BD_DETALLE!$N388=0,TODAY()-BD_DETALLE!$C388,BD_DETALLE!$N388-BD_DETALLE!$C388)),"")</f>
        <v>15</v>
      </c>
    </row>
    <row r="389" spans="2:18" x14ac:dyDescent="0.25">
      <c r="B389" s="15" t="str">
        <f t="shared" si="48"/>
        <v>2103-94-300274</v>
      </c>
      <c r="C389" s="7">
        <v>44266</v>
      </c>
      <c r="D389" s="5" t="str">
        <f>IF(BD_DETALLE!$E389&gt;=1,CONCATENATE(TEXT(BD_DETALLE!$C389,"YY"),TEXT(BD_DETALLE!$C389,"MM"),"-",BD_DETALLE!$E389),"")</f>
        <v>2103-94</v>
      </c>
      <c r="E389" s="12">
        <v>94</v>
      </c>
      <c r="F389" s="21">
        <v>300274</v>
      </c>
      <c r="G389" s="4" t="str">
        <f>IFERROR(VLOOKUP(BD_DETALLE!$B389,Tabla9[],6,0),"")</f>
        <v>PLATINA DE H/N DE 50MM X 6MM</v>
      </c>
      <c r="H389" s="6">
        <f>IFERROR(VLOOKUP(BD_DETALLE!$B389,Tabla9[],4,0),0)</f>
        <v>6</v>
      </c>
      <c r="I389" s="19" t="s">
        <v>5</v>
      </c>
      <c r="J389" s="20" t="s">
        <v>1946</v>
      </c>
      <c r="K389" s="10">
        <f>IFERROR(VLOOKUP(BD_DETALLE!B389,Tabla9[],7,0),"")</f>
        <v>44273</v>
      </c>
      <c r="L389" s="11">
        <f>IFERROR(VLOOKUP(BD_DETALLE!B389,Tabla9[],8,0),"")</f>
        <v>52181</v>
      </c>
      <c r="M389" s="9">
        <f>IFERROR(SUMIFS(Tabla9[CANTIDAD2],Tabla9[BUSQUEDA],Tabla3[[#This Row],[BUSQUEDA]],Tabla9[CODIGO],Tabla3[[#This Row],[CODIGO]],Tabla9[ORDEN No.],Tabla3[[#This Row],[ORDEN de COMPRA]]),0)</f>
        <v>6</v>
      </c>
      <c r="N389" s="27">
        <f>IFERROR(IF(BD_DETALLE!B389&gt;0,VLOOKUP(BD_DETALLE!B389,Tabla9[],10,0),""),"")</f>
        <v>44280</v>
      </c>
      <c r="O389" s="28">
        <f>IFERROR(VLOOKUP(BD_DETALLE!B389,Tabla9[],11,0),0)</f>
        <v>11632</v>
      </c>
      <c r="P389" s="26">
        <f>IFERROR(SUMIFS(Tabla9[CANTIDAD3],Tabla9[BUSQUEDA],Tabla3[[#This Row],[BUSQUEDA]],Tabla9[CODIGO],Tabla3[[#This Row],[CODIGO]]),0)</f>
        <v>6</v>
      </c>
      <c r="Q389" s="25">
        <f>IF(BD_DETALLE!P389&lt;=0,0,IF(BD_DETALLE!P389=BD_DETALLE!H389,2,1))</f>
        <v>2</v>
      </c>
      <c r="R389" s="41">
        <f ca="1">IF(BD_DETALLE!$C389&gt;0,(IF(BD_DETALLE!$N389=0,TODAY()-BD_DETALLE!$C389,BD_DETALLE!$N389-BD_DETALLE!$C389)),"")</f>
        <v>14</v>
      </c>
    </row>
    <row r="390" spans="2:18" x14ac:dyDescent="0.25">
      <c r="B390" s="15" t="str">
        <f t="shared" si="48"/>
        <v>2103-94-105253</v>
      </c>
      <c r="C390" s="7">
        <v>44266</v>
      </c>
      <c r="D390" s="5" t="str">
        <f>IF(BD_DETALLE!$E390&gt;=1,CONCATENATE(TEXT(BD_DETALLE!$C390,"YY"),TEXT(BD_DETALLE!$C390,"MM"),"-",BD_DETALLE!$E390),"")</f>
        <v>2103-94</v>
      </c>
      <c r="E390" s="12">
        <v>94</v>
      </c>
      <c r="F390" s="21">
        <v>105253</v>
      </c>
      <c r="G390" s="4" t="str">
        <f>IFERROR(VLOOKUP(BD_DETALLE!$B390,Tabla9[],6,0),"")</f>
        <v>ANGULO H/N DE 6MM x 4" x 4" x 6MTS</v>
      </c>
      <c r="H390" s="6">
        <f>IFERROR(VLOOKUP(BD_DETALLE!$B390,Tabla9[],4,0),0)</f>
        <v>1</v>
      </c>
      <c r="I390" s="19" t="s">
        <v>5</v>
      </c>
      <c r="J390" s="20" t="s">
        <v>1946</v>
      </c>
      <c r="K390" s="10">
        <f>IFERROR(VLOOKUP(BD_DETALLE!B390,Tabla9[],7,0),"")</f>
        <v>44273</v>
      </c>
      <c r="L390" s="11">
        <f>IFERROR(VLOOKUP(BD_DETALLE!B390,Tabla9[],8,0),"")</f>
        <v>52180</v>
      </c>
      <c r="M390" s="9">
        <f>IFERROR(SUMIFS(Tabla9[CANTIDAD2],Tabla9[BUSQUEDA],Tabla3[[#This Row],[BUSQUEDA]],Tabla9[CODIGO],Tabla3[[#This Row],[CODIGO]],Tabla9[ORDEN No.],Tabla3[[#This Row],[ORDEN de COMPRA]]),0)</f>
        <v>1</v>
      </c>
      <c r="N390" s="27">
        <f>IFERROR(IF(BD_DETALLE!B390&gt;0,VLOOKUP(BD_DETALLE!B390,Tabla9[],10,0),""),"")</f>
        <v>44280</v>
      </c>
      <c r="O390" s="28">
        <f>IFERROR(VLOOKUP(BD_DETALLE!B390,Tabla9[],11,0),0)</f>
        <v>11630</v>
      </c>
      <c r="P390" s="26">
        <f>IFERROR(SUMIFS(Tabla9[CANTIDAD3],Tabla9[BUSQUEDA],Tabla3[[#This Row],[BUSQUEDA]],Tabla9[CODIGO],Tabla3[[#This Row],[CODIGO]]),0)</f>
        <v>1</v>
      </c>
      <c r="Q390" s="25">
        <f>IF(BD_DETALLE!P390&lt;=0,0,IF(BD_DETALLE!P390=BD_DETALLE!H390,2,1))</f>
        <v>2</v>
      </c>
      <c r="R390" s="41">
        <f ca="1">IF(BD_DETALLE!$C390&gt;0,(IF(BD_DETALLE!$N390=0,TODAY()-BD_DETALLE!$C390,BD_DETALLE!$N390-BD_DETALLE!$C390)),"")</f>
        <v>14</v>
      </c>
    </row>
    <row r="391" spans="2:18" x14ac:dyDescent="0.25">
      <c r="B391" s="15" t="str">
        <f t="shared" si="48"/>
        <v>2103-94-107115</v>
      </c>
      <c r="C391" s="7">
        <v>44266</v>
      </c>
      <c r="D391" s="5" t="str">
        <f>IF(BD_DETALLE!$E391&gt;=1,CONCATENATE(TEXT(BD_DETALLE!$C391,"YY"),TEXT(BD_DETALLE!$C391,"MM"),"-",BD_DETALLE!$E391),"")</f>
        <v>2103-94</v>
      </c>
      <c r="E391" s="12">
        <v>94</v>
      </c>
      <c r="F391" s="21">
        <v>107115</v>
      </c>
      <c r="G391" s="4" t="str">
        <f>IFERROR(VLOOKUP(BD_DETALLE!$B391,Tabla9[],6,0),"")</f>
        <v>ANGULO H/N DE 6MM x 1-1/2" x 1-1/2" x 6MTS</v>
      </c>
      <c r="H391" s="6">
        <f>IFERROR(VLOOKUP(BD_DETALLE!$B391,Tabla9[],4,0),0)</f>
        <v>2</v>
      </c>
      <c r="I391" s="19" t="s">
        <v>5</v>
      </c>
      <c r="J391" s="20" t="s">
        <v>1946</v>
      </c>
      <c r="K391" s="10">
        <f>IFERROR(VLOOKUP(BD_DETALLE!B391,Tabla9[],7,0),"")</f>
        <v>44273</v>
      </c>
      <c r="L391" s="11">
        <f>IFERROR(VLOOKUP(BD_DETALLE!B391,Tabla9[],8,0),"")</f>
        <v>52180</v>
      </c>
      <c r="M391" s="9">
        <f>IFERROR(SUMIFS(Tabla9[CANTIDAD2],Tabla9[BUSQUEDA],Tabla3[[#This Row],[BUSQUEDA]],Tabla9[CODIGO],Tabla3[[#This Row],[CODIGO]],Tabla9[ORDEN No.],Tabla3[[#This Row],[ORDEN de COMPRA]]),0)</f>
        <v>2</v>
      </c>
      <c r="N391" s="27">
        <f>IFERROR(IF(BD_DETALLE!B391&gt;0,VLOOKUP(BD_DETALLE!B391,Tabla9[],10,0),""),"")</f>
        <v>44280</v>
      </c>
      <c r="O391" s="28">
        <f>IFERROR(VLOOKUP(BD_DETALLE!B391,Tabla9[],11,0),0)</f>
        <v>11630</v>
      </c>
      <c r="P391" s="26">
        <f>IFERROR(SUMIFS(Tabla9[CANTIDAD3],Tabla9[BUSQUEDA],Tabla3[[#This Row],[BUSQUEDA]],Tabla9[CODIGO],Tabla3[[#This Row],[CODIGO]]),0)</f>
        <v>2</v>
      </c>
      <c r="Q391" s="25">
        <f>IF(BD_DETALLE!P391&lt;=0,0,IF(BD_DETALLE!P391=BD_DETALLE!H391,2,1))</f>
        <v>2</v>
      </c>
      <c r="R391" s="41">
        <f ca="1">IF(BD_DETALLE!$C391&gt;0,(IF(BD_DETALLE!$N391=0,TODAY()-BD_DETALLE!$C391,BD_DETALLE!$N391-BD_DETALLE!$C391)),"")</f>
        <v>14</v>
      </c>
    </row>
    <row r="392" spans="2:18" x14ac:dyDescent="0.25">
      <c r="B392" s="15" t="str">
        <f t="shared" si="48"/>
        <v>2103-94-303381</v>
      </c>
      <c r="C392" s="7">
        <v>44266</v>
      </c>
      <c r="D392" s="5" t="str">
        <f>IF(BD_DETALLE!$E392&gt;=1,CONCATENATE(TEXT(BD_DETALLE!$C392,"YY"),TEXT(BD_DETALLE!$C392,"MM"),"-",BD_DETALLE!$E392),"")</f>
        <v>2103-94</v>
      </c>
      <c r="E392" s="12">
        <v>94</v>
      </c>
      <c r="F392" s="21">
        <v>303381</v>
      </c>
      <c r="G392" s="4" t="str">
        <f>IFERROR(VLOOKUP(BD_DETALLE!$B392,Tabla9[],6,0),"")</f>
        <v>ANGULO H/N DE 6MM x 1" x 1" x 6MTS</v>
      </c>
      <c r="H392" s="6">
        <f>IFERROR(VLOOKUP(BD_DETALLE!$B392,Tabla9[],4,0),0)</f>
        <v>2</v>
      </c>
      <c r="I392" s="19" t="s">
        <v>5</v>
      </c>
      <c r="J392" s="20" t="s">
        <v>1946</v>
      </c>
      <c r="K392" s="10">
        <f>IFERROR(VLOOKUP(BD_DETALLE!B392,Tabla9[],7,0),"")</f>
        <v>0</v>
      </c>
      <c r="L392" s="11">
        <f>IFERROR(VLOOKUP(BD_DETALLE!B392,Tabla9[],8,0),"")</f>
        <v>0</v>
      </c>
      <c r="M392" s="9">
        <f>IFERROR(SUMIFS(Tabla9[CANTIDAD2],Tabla9[BUSQUEDA],Tabla3[[#This Row],[BUSQUEDA]],Tabla9[CODIGO],Tabla3[[#This Row],[CODIGO]],Tabla9[ORDEN No.],Tabla3[[#This Row],[ORDEN de COMPRA]]),0)</f>
        <v>0</v>
      </c>
      <c r="N392" s="27">
        <f>IFERROR(IF(BD_DETALLE!B392&gt;0,VLOOKUP(BD_DETALLE!B392,Tabla9[],10,0),""),"")</f>
        <v>0</v>
      </c>
      <c r="O392" s="28">
        <f>IFERROR(VLOOKUP(BD_DETALLE!B392,Tabla9[],11,0),0)</f>
        <v>0</v>
      </c>
      <c r="P392" s="26">
        <f>IFERROR(SUMIFS(Tabla9[CANTIDAD3],Tabla9[BUSQUEDA],Tabla3[[#This Row],[BUSQUEDA]],Tabla9[CODIGO],Tabla3[[#This Row],[CODIGO]]),0)</f>
        <v>0</v>
      </c>
      <c r="Q392" s="25">
        <f>IF(BD_DETALLE!P392&lt;=0,0,IF(BD_DETALLE!P392=BD_DETALLE!H392,2,1))</f>
        <v>0</v>
      </c>
      <c r="R392" s="41">
        <f ca="1">IF(BD_DETALLE!$C392&gt;0,(IF(BD_DETALLE!$N392=0,TODAY()-BD_DETALLE!$C392,BD_DETALLE!$N392-BD_DETALLE!$C392)),"")</f>
        <v>39</v>
      </c>
    </row>
    <row r="393" spans="2:18" x14ac:dyDescent="0.25">
      <c r="B393" s="15" t="str">
        <f t="shared" si="48"/>
        <v>2103-94-313427</v>
      </c>
      <c r="C393" s="7">
        <v>44266</v>
      </c>
      <c r="D393" s="5" t="str">
        <f>IF(BD_DETALLE!$E393&gt;=1,CONCATENATE(TEXT(BD_DETALLE!$C393,"YY"),TEXT(BD_DETALLE!$C393,"MM"),"-",BD_DETALLE!$E393),"")</f>
        <v>2103-94</v>
      </c>
      <c r="E393" s="12">
        <v>94</v>
      </c>
      <c r="F393" s="21">
        <v>313427</v>
      </c>
      <c r="G393" s="4" t="str">
        <f>IFERROR(VLOOKUP(BD_DETALLE!$B393,Tabla9[],6,0),"")</f>
        <v>PLANCHA ANTIDESLIZANTE 1,22 X 2,44 X 3MM</v>
      </c>
      <c r="H393" s="6">
        <f>IFERROR(VLOOKUP(BD_DETALLE!$B393,Tabla9[],4,0),0)</f>
        <v>4</v>
      </c>
      <c r="I393" s="19" t="s">
        <v>5</v>
      </c>
      <c r="J393" s="20" t="s">
        <v>1946</v>
      </c>
      <c r="K393" s="10">
        <f>IFERROR(VLOOKUP(BD_DETALLE!B393,Tabla9[],7,0),"")</f>
        <v>44273</v>
      </c>
      <c r="L393" s="11">
        <f>IFERROR(VLOOKUP(BD_DETALLE!B393,Tabla9[],8,0),"")</f>
        <v>52180</v>
      </c>
      <c r="M393" s="9">
        <f>IFERROR(SUMIFS(Tabla9[CANTIDAD2],Tabla9[BUSQUEDA],Tabla3[[#This Row],[BUSQUEDA]],Tabla9[CODIGO],Tabla3[[#This Row],[CODIGO]],Tabla9[ORDEN No.],Tabla3[[#This Row],[ORDEN de COMPRA]]),0)</f>
        <v>4</v>
      </c>
      <c r="N393" s="27">
        <f>IFERROR(IF(BD_DETALLE!B393&gt;0,VLOOKUP(BD_DETALLE!B393,Tabla9[],10,0),""),"")</f>
        <v>44280</v>
      </c>
      <c r="O393" s="28">
        <f>IFERROR(VLOOKUP(BD_DETALLE!B393,Tabla9[],11,0),0)</f>
        <v>11630</v>
      </c>
      <c r="P393" s="26">
        <f>IFERROR(SUMIFS(Tabla9[CANTIDAD3],Tabla9[BUSQUEDA],Tabla3[[#This Row],[BUSQUEDA]],Tabla9[CODIGO],Tabla3[[#This Row],[CODIGO]]),0)</f>
        <v>4</v>
      </c>
      <c r="Q393" s="25">
        <f>IF(BD_DETALLE!P393&lt;=0,0,IF(BD_DETALLE!P393=BD_DETALLE!H393,2,1))</f>
        <v>2</v>
      </c>
      <c r="R393" s="41">
        <f ca="1">IF(BD_DETALLE!$C393&gt;0,(IF(BD_DETALLE!$N393=0,TODAY()-BD_DETALLE!$C393,BD_DETALLE!$N393-BD_DETALLE!$C393)),"")</f>
        <v>14</v>
      </c>
    </row>
    <row r="394" spans="2:18" x14ac:dyDescent="0.25">
      <c r="B394" s="15" t="str">
        <f t="shared" si="48"/>
        <v>2103-96-105645</v>
      </c>
      <c r="C394" s="7">
        <v>44266</v>
      </c>
      <c r="D394" s="5" t="str">
        <f>IF(BD_DETALLE!$E394&gt;=1,CONCATENATE(TEXT(BD_DETALLE!$C394,"YY"),TEXT(BD_DETALLE!$C394,"MM"),"-",BD_DETALLE!$E394),"")</f>
        <v>2103-96</v>
      </c>
      <c r="E394" s="12">
        <v>96</v>
      </c>
      <c r="F394" s="21">
        <v>105645</v>
      </c>
      <c r="G394" s="4" t="str">
        <f>IFERROR(VLOOKUP(BD_DETALLE!$B394,Tabla9[],6,0),"")</f>
        <v>LLANTA 10.00 - 20 DELANTERA</v>
      </c>
      <c r="H394" s="6">
        <f>IFERROR(VLOOKUP(BD_DETALLE!$B394,Tabla9[],4,0),0)</f>
        <v>2</v>
      </c>
      <c r="I394" s="19" t="s">
        <v>5</v>
      </c>
      <c r="J394" s="20" t="s">
        <v>1947</v>
      </c>
      <c r="K394" s="10">
        <f>IFERROR(VLOOKUP(BD_DETALLE!B394,Tabla9[],7,0),"")</f>
        <v>0</v>
      </c>
      <c r="L394" s="11">
        <f>IFERROR(VLOOKUP(BD_DETALLE!B394,Tabla9[],8,0),"")</f>
        <v>0</v>
      </c>
      <c r="M394" s="9">
        <f>IFERROR(SUMIFS(Tabla9[CANTIDAD2],Tabla9[BUSQUEDA],Tabla3[[#This Row],[BUSQUEDA]],Tabla9[CODIGO],Tabla3[[#This Row],[CODIGO]],Tabla9[ORDEN No.],Tabla3[[#This Row],[ORDEN de COMPRA]]),0)</f>
        <v>0</v>
      </c>
      <c r="N394" s="27">
        <f>IFERROR(IF(BD_DETALLE!B394&gt;0,VLOOKUP(BD_DETALLE!B394,Tabla9[],10,0),""),"")</f>
        <v>0</v>
      </c>
      <c r="O394" s="28">
        <f>IFERROR(VLOOKUP(BD_DETALLE!B394,Tabla9[],11,0),0)</f>
        <v>0</v>
      </c>
      <c r="P394" s="26">
        <f>IFERROR(SUMIFS(Tabla9[CANTIDAD3],Tabla9[BUSQUEDA],Tabla3[[#This Row],[BUSQUEDA]],Tabla9[CODIGO],Tabla3[[#This Row],[CODIGO]]),0)</f>
        <v>0</v>
      </c>
      <c r="Q394" s="25">
        <f>IF(BD_DETALLE!P394&lt;=0,0,IF(BD_DETALLE!P394=BD_DETALLE!H394,2,1))</f>
        <v>0</v>
      </c>
      <c r="R394" s="41">
        <f ca="1">IF(BD_DETALLE!$C394&gt;0,(IF(BD_DETALLE!$N394=0,TODAY()-BD_DETALLE!$C394,BD_DETALLE!$N394-BD_DETALLE!$C394)),"")</f>
        <v>39</v>
      </c>
    </row>
    <row r="395" spans="2:18" x14ac:dyDescent="0.25">
      <c r="B395" s="15" t="str">
        <f t="shared" si="48"/>
        <v>2103-96-203529</v>
      </c>
      <c r="C395" s="7">
        <v>44266</v>
      </c>
      <c r="D395" s="5" t="str">
        <f>IF(BD_DETALLE!$E395&gt;=1,CONCATENATE(TEXT(BD_DETALLE!$C395,"YY"),TEXT(BD_DETALLE!$C395,"MM"),"-",BD_DETALLE!$E395),"")</f>
        <v>2103-96</v>
      </c>
      <c r="E395" s="12">
        <v>96</v>
      </c>
      <c r="F395" s="21">
        <v>203529</v>
      </c>
      <c r="G395" s="4" t="str">
        <f>IFERROR(VLOOKUP(BD_DETALLE!$B395,Tabla9[],6,0),"")</f>
        <v>TUBO DE LLANTA 10.00-20</v>
      </c>
      <c r="H395" s="6">
        <f>IFERROR(VLOOKUP(BD_DETALLE!$B395,Tabla9[],4,0),0)</f>
        <v>2</v>
      </c>
      <c r="I395" s="19" t="s">
        <v>5</v>
      </c>
      <c r="J395" s="20" t="s">
        <v>1947</v>
      </c>
      <c r="K395" s="10">
        <f>IFERROR(VLOOKUP(BD_DETALLE!B395,Tabla9[],7,0),"")</f>
        <v>0</v>
      </c>
      <c r="L395" s="11">
        <f>IFERROR(VLOOKUP(BD_DETALLE!B395,Tabla9[],8,0),"")</f>
        <v>0</v>
      </c>
      <c r="M395" s="9">
        <f>IFERROR(SUMIFS(Tabla9[CANTIDAD2],Tabla9[BUSQUEDA],Tabla3[[#This Row],[BUSQUEDA]],Tabla9[CODIGO],Tabla3[[#This Row],[CODIGO]],Tabla9[ORDEN No.],Tabla3[[#This Row],[ORDEN de COMPRA]]),0)</f>
        <v>0</v>
      </c>
      <c r="N395" s="27">
        <f>IFERROR(IF(BD_DETALLE!B395&gt;0,VLOOKUP(BD_DETALLE!B395,Tabla9[],10,0),""),"")</f>
        <v>0</v>
      </c>
      <c r="O395" s="28">
        <f>IFERROR(VLOOKUP(BD_DETALLE!B395,Tabla9[],11,0),0)</f>
        <v>0</v>
      </c>
      <c r="P395" s="26">
        <f>IFERROR(SUMIFS(Tabla9[CANTIDAD3],Tabla9[BUSQUEDA],Tabla3[[#This Row],[BUSQUEDA]],Tabla9[CODIGO],Tabla3[[#This Row],[CODIGO]]),0)</f>
        <v>0</v>
      </c>
      <c r="Q395" s="25">
        <f>IF(BD_DETALLE!P395&lt;=0,0,IF(BD_DETALLE!P395=BD_DETALLE!H395,2,1))</f>
        <v>0</v>
      </c>
      <c r="R395" s="41">
        <f ca="1">IF(BD_DETALLE!$C395&gt;0,(IF(BD_DETALLE!$N395=0,TODAY()-BD_DETALLE!$C395,BD_DETALLE!$N395-BD_DETALLE!$C395)),"")</f>
        <v>39</v>
      </c>
    </row>
    <row r="396" spans="2:18" x14ac:dyDescent="0.25">
      <c r="B396" s="15" t="str">
        <f t="shared" si="48"/>
        <v>2103-96-205867</v>
      </c>
      <c r="C396" s="7">
        <v>44266</v>
      </c>
      <c r="D396" s="5" t="str">
        <f>IF(BD_DETALLE!$E396&gt;=1,CONCATENATE(TEXT(BD_DETALLE!$C396,"YY"),TEXT(BD_DETALLE!$C396,"MM"),"-",BD_DETALLE!$E396),"")</f>
        <v>2103-96</v>
      </c>
      <c r="E396" s="12">
        <v>96</v>
      </c>
      <c r="F396" s="21">
        <v>205867</v>
      </c>
      <c r="G396" s="4" t="str">
        <f>IFERROR(VLOOKUP(BD_DETALLE!$B396,Tabla9[],6,0),"")</f>
        <v>DEFENSA DE LLANTA 10-20</v>
      </c>
      <c r="H396" s="6">
        <f>IFERROR(VLOOKUP(BD_DETALLE!$B396,Tabla9[],4,0),0)</f>
        <v>2</v>
      </c>
      <c r="I396" s="19" t="s">
        <v>5</v>
      </c>
      <c r="J396" s="20" t="s">
        <v>1947</v>
      </c>
      <c r="K396" s="10">
        <f>IFERROR(VLOOKUP(BD_DETALLE!B396,Tabla9[],7,0),"")</f>
        <v>0</v>
      </c>
      <c r="L396" s="11">
        <f>IFERROR(VLOOKUP(BD_DETALLE!B396,Tabla9[],8,0),"")</f>
        <v>0</v>
      </c>
      <c r="M396" s="9">
        <f>IFERROR(SUMIFS(Tabla9[CANTIDAD2],Tabla9[BUSQUEDA],Tabla3[[#This Row],[BUSQUEDA]],Tabla9[CODIGO],Tabla3[[#This Row],[CODIGO]],Tabla9[ORDEN No.],Tabla3[[#This Row],[ORDEN de COMPRA]]),0)</f>
        <v>0</v>
      </c>
      <c r="N396" s="27">
        <f>IFERROR(IF(BD_DETALLE!B396&gt;0,VLOOKUP(BD_DETALLE!B396,Tabla9[],10,0),""),"")</f>
        <v>0</v>
      </c>
      <c r="O396" s="28">
        <f>IFERROR(VLOOKUP(BD_DETALLE!B396,Tabla9[],11,0),0)</f>
        <v>0</v>
      </c>
      <c r="P396" s="26">
        <f>IFERROR(SUMIFS(Tabla9[CANTIDAD3],Tabla9[BUSQUEDA],Tabla3[[#This Row],[BUSQUEDA]],Tabla9[CODIGO],Tabla3[[#This Row],[CODIGO]]),0)</f>
        <v>0</v>
      </c>
      <c r="Q396" s="25">
        <f>IF(BD_DETALLE!P396&lt;=0,0,IF(BD_DETALLE!P396=BD_DETALLE!H396,2,1))</f>
        <v>0</v>
      </c>
      <c r="R396" s="41">
        <f ca="1">IF(BD_DETALLE!$C396&gt;0,(IF(BD_DETALLE!$N396=0,TODAY()-BD_DETALLE!$C396,BD_DETALLE!$N396-BD_DETALLE!$C396)),"")</f>
        <v>39</v>
      </c>
    </row>
    <row r="397" spans="2:18" x14ac:dyDescent="0.25">
      <c r="B397" s="15" t="str">
        <f t="shared" si="48"/>
        <v>2103-102-307850</v>
      </c>
      <c r="C397" s="7">
        <v>44266</v>
      </c>
      <c r="D397" s="5" t="str">
        <f>IF(BD_DETALLE!$E397&gt;=1,CONCATENATE(TEXT(BD_DETALLE!$C397,"YY"),TEXT(BD_DETALLE!$C397,"MM"),"-",BD_DETALLE!$E397),"")</f>
        <v>2103-102</v>
      </c>
      <c r="E397" s="12">
        <v>102</v>
      </c>
      <c r="F397" s="21">
        <v>307850</v>
      </c>
      <c r="G397" s="4" t="str">
        <f>IFERROR(VLOOKUP(BD_DETALLE!$B397,Tabla9[],6,0),"")</f>
        <v>JUEGO BROCA DE COBALTO EN PULGADAS</v>
      </c>
      <c r="H397" s="6">
        <f>IFERROR(VLOOKUP(BD_DETALLE!$B397,Tabla9[],4,0),0)</f>
        <v>1</v>
      </c>
      <c r="I397" s="19" t="s">
        <v>12</v>
      </c>
      <c r="J397" s="20" t="s">
        <v>1718</v>
      </c>
      <c r="K397" s="10">
        <f>IFERROR(VLOOKUP(BD_DETALLE!B397,Tabla9[],7,0),"")</f>
        <v>44278</v>
      </c>
      <c r="L397" s="11">
        <f>IFERROR(VLOOKUP(BD_DETALLE!B397,Tabla9[],8,0),"")</f>
        <v>52227</v>
      </c>
      <c r="M397" s="9">
        <f>IFERROR(SUMIFS(Tabla9[CANTIDAD2],Tabla9[BUSQUEDA],Tabla3[[#This Row],[BUSQUEDA]],Tabla9[CODIGO],Tabla3[[#This Row],[CODIGO]],Tabla9[ORDEN No.],Tabla3[[#This Row],[ORDEN de COMPRA]]),0)</f>
        <v>1</v>
      </c>
      <c r="N397" s="27">
        <f>IFERROR(IF(BD_DETALLE!B397&gt;0,VLOOKUP(BD_DETALLE!B397,Tabla9[],10,0),""),"")</f>
        <v>44284</v>
      </c>
      <c r="O397" s="28">
        <f>IFERROR(VLOOKUP(BD_DETALLE!B397,Tabla9[],11,0),0)</f>
        <v>11664</v>
      </c>
      <c r="P397" s="26">
        <f>IFERROR(SUMIFS(Tabla9[CANTIDAD3],Tabla9[BUSQUEDA],Tabla3[[#This Row],[BUSQUEDA]],Tabla9[CODIGO],Tabla3[[#This Row],[CODIGO]]),0)</f>
        <v>1</v>
      </c>
      <c r="Q397" s="25">
        <f>IF(BD_DETALLE!P397&lt;=0,0,IF(BD_DETALLE!P397=BD_DETALLE!H397,2,1))</f>
        <v>2</v>
      </c>
      <c r="R397" s="41">
        <f ca="1">IF(BD_DETALLE!$C397&gt;0,(IF(BD_DETALLE!$N397=0,TODAY()-BD_DETALLE!$C397,BD_DETALLE!$N397-BD_DETALLE!$C397)),"")</f>
        <v>18</v>
      </c>
    </row>
    <row r="398" spans="2:18" x14ac:dyDescent="0.25">
      <c r="B398" s="15" t="str">
        <f t="shared" si="48"/>
        <v>2103-104-105238</v>
      </c>
      <c r="C398" s="7">
        <v>44266</v>
      </c>
      <c r="D398" s="5" t="str">
        <f>IF(BD_DETALLE!$E398&gt;=1,CONCATENATE(TEXT(BD_DETALLE!$C398,"YY"),TEXT(BD_DETALLE!$C398,"MM"),"-",BD_DETALLE!$E398),"")</f>
        <v>2103-104</v>
      </c>
      <c r="E398" s="12">
        <v>104</v>
      </c>
      <c r="F398" s="21">
        <v>105238</v>
      </c>
      <c r="G398" s="4" t="str">
        <f>IFERROR(VLOOKUP(BD_DETALLE!$B398,Tabla9[],6,0),"")</f>
        <v>JUEGO MACHUELO DE 6MM x 1.00NC</v>
      </c>
      <c r="H398" s="6">
        <f>IFERROR(VLOOKUP(BD_DETALLE!$B398,Tabla9[],4,0),0)</f>
        <v>1</v>
      </c>
      <c r="I398" s="19" t="s">
        <v>19</v>
      </c>
      <c r="J398" s="20" t="s">
        <v>1718</v>
      </c>
      <c r="K398" s="10">
        <f>IFERROR(VLOOKUP(BD_DETALLE!B398,Tabla9[],7,0),"")</f>
        <v>44278</v>
      </c>
      <c r="L398" s="11">
        <f>IFERROR(VLOOKUP(BD_DETALLE!B398,Tabla9[],8,0),"")</f>
        <v>52226</v>
      </c>
      <c r="M398" s="9">
        <f>IFERROR(SUMIFS(Tabla9[CANTIDAD2],Tabla9[BUSQUEDA],Tabla3[[#This Row],[BUSQUEDA]],Tabla9[CODIGO],Tabla3[[#This Row],[CODIGO]],Tabla9[ORDEN No.],Tabla3[[#This Row],[ORDEN de COMPRA]]),0)</f>
        <v>1</v>
      </c>
      <c r="N398" s="27">
        <f>IFERROR(IF(BD_DETALLE!B398&gt;0,VLOOKUP(BD_DETALLE!B398,Tabla9[],10,0),""),"")</f>
        <v>44284</v>
      </c>
      <c r="O398" s="28">
        <f>IFERROR(VLOOKUP(BD_DETALLE!B398,Tabla9[],11,0),0)</f>
        <v>11664</v>
      </c>
      <c r="P398" s="26">
        <f>IFERROR(SUMIFS(Tabla9[CANTIDAD3],Tabla9[BUSQUEDA],Tabla3[[#This Row],[BUSQUEDA]],Tabla9[CODIGO],Tabla3[[#This Row],[CODIGO]]),0)</f>
        <v>1</v>
      </c>
      <c r="Q398" s="25">
        <f>IF(BD_DETALLE!P398&lt;=0,0,IF(BD_DETALLE!P398=BD_DETALLE!H398,2,1))</f>
        <v>2</v>
      </c>
      <c r="R398" s="41">
        <f ca="1">IF(BD_DETALLE!$C398&gt;0,(IF(BD_DETALLE!$N398=0,TODAY()-BD_DETALLE!$C398,BD_DETALLE!$N398-BD_DETALLE!$C398)),"")</f>
        <v>18</v>
      </c>
    </row>
    <row r="399" spans="2:18" x14ac:dyDescent="0.25">
      <c r="B399" s="15" t="str">
        <f t="shared" ref="B399:B401" si="49">IFERROR(TEXT(C399,"yy") &amp; TEXT(C399,"mm") &amp;"-"&amp;(E399) &amp;"-"&amp;(F399),"")</f>
        <v>2103-107-308901</v>
      </c>
      <c r="C399" s="7">
        <v>44266</v>
      </c>
      <c r="D399" s="5" t="str">
        <f>IF(BD_DETALLE!$E399&gt;=1,CONCATENATE(TEXT(BD_DETALLE!$C399,"YY"),TEXT(BD_DETALLE!$C399,"MM"),"-",BD_DETALLE!$E399),"")</f>
        <v>2103-107</v>
      </c>
      <c r="E399" s="12">
        <v>107</v>
      </c>
      <c r="F399" s="21">
        <v>308901</v>
      </c>
      <c r="G399" s="4" t="str">
        <f>IFERROR(VLOOKUP(BD_DETALLE!$B399,Tabla9[],6,0),"")</f>
        <v>KING PIN</v>
      </c>
      <c r="H399" s="6">
        <f>IFERROR(VLOOKUP(BD_DETALLE!$B399,Tabla9[],4,0),0)</f>
        <v>1</v>
      </c>
      <c r="I399" s="19" t="s">
        <v>5</v>
      </c>
      <c r="J399" s="20" t="s">
        <v>1949</v>
      </c>
      <c r="K399" s="10">
        <f>IFERROR(VLOOKUP(BD_DETALLE!B399,Tabla9[],7,0),"")</f>
        <v>0</v>
      </c>
      <c r="L399" s="11">
        <f>IFERROR(VLOOKUP(BD_DETALLE!B399,Tabla9[],8,0),"")</f>
        <v>0</v>
      </c>
      <c r="M399" s="9">
        <f>IFERROR(SUMIFS(Tabla9[CANTIDAD2],Tabla9[BUSQUEDA],Tabla3[[#This Row],[BUSQUEDA]],Tabla9[CODIGO],Tabla3[[#This Row],[CODIGO]],Tabla9[ORDEN No.],Tabla3[[#This Row],[ORDEN de COMPRA]]),0)</f>
        <v>0</v>
      </c>
      <c r="N399" s="27">
        <f>IFERROR(IF(BD_DETALLE!B399&gt;0,VLOOKUP(BD_DETALLE!B399,Tabla9[],10,0),""),"")</f>
        <v>0</v>
      </c>
      <c r="O399" s="28">
        <f>IFERROR(VLOOKUP(BD_DETALLE!B399,Tabla9[],11,0),0)</f>
        <v>0</v>
      </c>
      <c r="P399" s="26">
        <f>IFERROR(SUMIFS(Tabla9[CANTIDAD3],Tabla9[BUSQUEDA],Tabla3[[#This Row],[BUSQUEDA]],Tabla9[CODIGO],Tabla3[[#This Row],[CODIGO]]),0)</f>
        <v>0</v>
      </c>
      <c r="Q399" s="25">
        <f>IF(BD_DETALLE!P399&lt;=0,0,IF(BD_DETALLE!P399=BD_DETALLE!H399,2,1))</f>
        <v>0</v>
      </c>
      <c r="R399" s="41">
        <f ca="1">IF(BD_DETALLE!$C399&gt;0,(IF(BD_DETALLE!$N399=0,TODAY()-BD_DETALLE!$C399,BD_DETALLE!$N399-BD_DETALLE!$C399)),"")</f>
        <v>39</v>
      </c>
    </row>
    <row r="400" spans="2:18" x14ac:dyDescent="0.25">
      <c r="B400" s="15" t="str">
        <f t="shared" si="49"/>
        <v>2103-108-320916</v>
      </c>
      <c r="C400" s="7">
        <v>44266</v>
      </c>
      <c r="D400" s="5" t="str">
        <f>IF(BD_DETALLE!$E400&gt;=1,CONCATENATE(TEXT(BD_DETALLE!$C400,"YY"),TEXT(BD_DETALLE!$C400,"MM"),"-",BD_DETALLE!$E400),"")</f>
        <v>2103-108</v>
      </c>
      <c r="E400" s="12">
        <v>108</v>
      </c>
      <c r="F400" s="21">
        <v>320916</v>
      </c>
      <c r="G400" s="4" t="str">
        <f>IFERROR(VLOOKUP(BD_DETALLE!$B400,Tabla9[],6,0),"")</f>
        <v>LLANTA  205/75  R-17,5</v>
      </c>
      <c r="H400" s="6">
        <f>IFERROR(VLOOKUP(BD_DETALLE!$B400,Tabla9[],4,0),0)</f>
        <v>4</v>
      </c>
      <c r="I400" s="19" t="s">
        <v>5</v>
      </c>
      <c r="J400" s="20" t="s">
        <v>1948</v>
      </c>
      <c r="K400" s="10">
        <f>IFERROR(VLOOKUP(BD_DETALLE!B400,Tabla9[],7,0),"")</f>
        <v>44291</v>
      </c>
      <c r="L400" s="11">
        <f>IFERROR(VLOOKUP(BD_DETALLE!B400,Tabla9[],8,0),"")</f>
        <v>52357</v>
      </c>
      <c r="M400" s="9">
        <f>IFERROR(SUMIFS(Tabla9[CANTIDAD2],Tabla9[BUSQUEDA],Tabla3[[#This Row],[BUSQUEDA]],Tabla9[CODIGO],Tabla3[[#This Row],[CODIGO]],Tabla9[ORDEN No.],Tabla3[[#This Row],[ORDEN de COMPRA]]),0)</f>
        <v>4</v>
      </c>
      <c r="N400" s="27">
        <f>IFERROR(IF(BD_DETALLE!B400&gt;0,VLOOKUP(BD_DETALLE!B400,Tabla9[],10,0),""),"")</f>
        <v>44298</v>
      </c>
      <c r="O400" s="28">
        <f>IFERROR(VLOOKUP(BD_DETALLE!B400,Tabla9[],11,0),0)</f>
        <v>11779</v>
      </c>
      <c r="P400" s="26">
        <f>IFERROR(SUMIFS(Tabla9[CANTIDAD3],Tabla9[BUSQUEDA],Tabla3[[#This Row],[BUSQUEDA]],Tabla9[CODIGO],Tabla3[[#This Row],[CODIGO]]),0)</f>
        <v>4</v>
      </c>
      <c r="Q400" s="25">
        <f>IF(BD_DETALLE!P400&lt;=0,0,IF(BD_DETALLE!P400=BD_DETALLE!H400,2,1))</f>
        <v>2</v>
      </c>
      <c r="R400" s="41">
        <f ca="1">IF(BD_DETALLE!$C400&gt;0,(IF(BD_DETALLE!$N400=0,TODAY()-BD_DETALLE!$C400,BD_DETALLE!$N400-BD_DETALLE!$C400)),"")</f>
        <v>32</v>
      </c>
    </row>
    <row r="401" spans="2:18" x14ac:dyDescent="0.25">
      <c r="B401" s="15" t="str">
        <f t="shared" si="49"/>
        <v>2103-127-320918</v>
      </c>
      <c r="C401" s="7">
        <v>44267</v>
      </c>
      <c r="D401" s="5" t="str">
        <f>IF(BD_DETALLE!$E401&gt;=1,CONCATENATE(TEXT(BD_DETALLE!$C401,"YY"),TEXT(BD_DETALLE!$C401,"MM"),"-",BD_DETALLE!$E401),"")</f>
        <v>2103-127</v>
      </c>
      <c r="E401" s="12">
        <v>127</v>
      </c>
      <c r="F401" s="21">
        <v>320918</v>
      </c>
      <c r="G401" s="4" t="str">
        <f>IFERROR(VLOOKUP(BD_DETALLE!$B401,Tabla9[],6,0),"")</f>
        <v>GREENOX  AB (TANQUE DE 200L.)</v>
      </c>
      <c r="H401" s="6">
        <f>IFERROR(VLOOKUP(BD_DETALLE!$B401,Tabla9[],4,0),0)</f>
        <v>1</v>
      </c>
      <c r="I401" s="19" t="s">
        <v>15</v>
      </c>
      <c r="J401" s="20" t="s">
        <v>385</v>
      </c>
      <c r="K401" s="10">
        <f>IFERROR(VLOOKUP(BD_DETALLE!B401,Tabla9[],7,0),"")</f>
        <v>44267</v>
      </c>
      <c r="L401" s="11">
        <f>IFERROR(VLOOKUP(BD_DETALLE!B401,Tabla9[],8,0),"")</f>
        <v>52100</v>
      </c>
      <c r="M401" s="9">
        <f>IFERROR(SUMIFS(Tabla9[CANTIDAD2],Tabla9[BUSQUEDA],Tabla3[[#This Row],[BUSQUEDA]],Tabla9[CODIGO],Tabla3[[#This Row],[CODIGO]],Tabla9[ORDEN No.],Tabla3[[#This Row],[ORDEN de COMPRA]]),0)</f>
        <v>1</v>
      </c>
      <c r="N401" s="27">
        <f>IFERROR(IF(BD_DETALLE!B401&gt;0,VLOOKUP(BD_DETALLE!B401,Tabla9[],10,0),""),"")</f>
        <v>0</v>
      </c>
      <c r="O401" s="28">
        <f>IFERROR(VLOOKUP(BD_DETALLE!B401,Tabla9[],11,0),0)</f>
        <v>0</v>
      </c>
      <c r="P401" s="26">
        <f>IFERROR(SUMIFS(Tabla9[CANTIDAD3],Tabla9[BUSQUEDA],Tabla3[[#This Row],[BUSQUEDA]],Tabla9[CODIGO],Tabla3[[#This Row],[CODIGO]]),0)</f>
        <v>0</v>
      </c>
      <c r="Q401" s="25">
        <f>IF(BD_DETALLE!P401&lt;=0,0,IF(BD_DETALLE!P401=BD_DETALLE!H401,2,1))</f>
        <v>0</v>
      </c>
      <c r="R401" s="41">
        <f ca="1">IF(BD_DETALLE!$C401&gt;0,(IF(BD_DETALLE!$N401=0,TODAY()-BD_DETALLE!$C401,BD_DETALLE!$N401-BD_DETALLE!$C401)),"")</f>
        <v>38</v>
      </c>
    </row>
    <row r="402" spans="2:18" x14ac:dyDescent="0.25">
      <c r="B402" s="15" t="str">
        <f t="shared" ref="B402:B403" si="50">IFERROR(TEXT(C402,"yy") &amp; TEXT(C402,"mm") &amp;"-"&amp;(E402) &amp;"-"&amp;(F402),"")</f>
        <v>2103-133-314770</v>
      </c>
      <c r="C402" s="7">
        <v>44267</v>
      </c>
      <c r="D402" s="5" t="str">
        <f>IF(BD_DETALLE!$E402&gt;=1,CONCATENATE(TEXT(BD_DETALLE!$C402,"YY"),TEXT(BD_DETALLE!$C402,"MM"),"-",BD_DETALLE!$E402),"")</f>
        <v>2103-133</v>
      </c>
      <c r="E402" s="12">
        <v>133</v>
      </c>
      <c r="F402" s="21">
        <v>314770</v>
      </c>
      <c r="G402" s="4" t="str">
        <f>IFERROR(VLOOKUP(BD_DETALLE!$B402,Tabla9[],6,0),"")</f>
        <v>AIRE ACONDICIONADO SPLIT DE 24.000 BTU</v>
      </c>
      <c r="H402" s="6">
        <f>IFERROR(VLOOKUP(BD_DETALLE!$B402,Tabla9[],4,0),0)</f>
        <v>1</v>
      </c>
      <c r="I402" s="19" t="s">
        <v>15</v>
      </c>
      <c r="J402" s="20" t="s">
        <v>1950</v>
      </c>
      <c r="K402" s="10">
        <f>IFERROR(VLOOKUP(BD_DETALLE!B402,Tabla9[],7,0),"")</f>
        <v>0</v>
      </c>
      <c r="L402" s="11">
        <f>IFERROR(VLOOKUP(BD_DETALLE!B402,Tabla9[],8,0),"")</f>
        <v>0</v>
      </c>
      <c r="M402" s="9">
        <f>IFERROR(SUMIFS(Tabla9[CANTIDAD2],Tabla9[BUSQUEDA],Tabla3[[#This Row],[BUSQUEDA]],Tabla9[CODIGO],Tabla3[[#This Row],[CODIGO]],Tabla9[ORDEN No.],Tabla3[[#This Row],[ORDEN de COMPRA]]),0)</f>
        <v>0</v>
      </c>
      <c r="N402" s="27">
        <f>IFERROR(IF(BD_DETALLE!B402&gt;0,VLOOKUP(BD_DETALLE!B402,Tabla9[],10,0),""),"")</f>
        <v>0</v>
      </c>
      <c r="O402" s="28">
        <f>IFERROR(VLOOKUP(BD_DETALLE!B402,Tabla9[],11,0),0)</f>
        <v>0</v>
      </c>
      <c r="P402" s="26">
        <f>IFERROR(SUMIFS(Tabla9[CANTIDAD3],Tabla9[BUSQUEDA],Tabla3[[#This Row],[BUSQUEDA]],Tabla9[CODIGO],Tabla3[[#This Row],[CODIGO]]),0)</f>
        <v>0</v>
      </c>
      <c r="Q402" s="25">
        <f>IF(BD_DETALLE!P402&lt;=0,0,IF(BD_DETALLE!P402=BD_DETALLE!H402,2,1))</f>
        <v>0</v>
      </c>
      <c r="R402" s="41">
        <f ca="1">IF(BD_DETALLE!$C402&gt;0,(IF(BD_DETALLE!$N402=0,TODAY()-BD_DETALLE!$C402,BD_DETALLE!$N402-BD_DETALLE!$C402)),"")</f>
        <v>38</v>
      </c>
    </row>
    <row r="403" spans="2:18" x14ac:dyDescent="0.25">
      <c r="B403" s="15" t="str">
        <f t="shared" si="50"/>
        <v>2103-134-302158</v>
      </c>
      <c r="C403" s="7">
        <v>44267</v>
      </c>
      <c r="D403" s="5" t="str">
        <f>IF(BD_DETALLE!$E403&gt;=1,CONCATENATE(TEXT(BD_DETALLE!$C403,"YY"),TEXT(BD_DETALLE!$C403,"MM"),"-",BD_DETALLE!$E403),"")</f>
        <v>2103-134</v>
      </c>
      <c r="E403" s="12">
        <v>134</v>
      </c>
      <c r="F403" s="21">
        <v>302158</v>
      </c>
      <c r="G403" s="4" t="str">
        <f>IFERROR(VLOOKUP(BD_DETALLE!$B403,Tabla9[],6,0),"")</f>
        <v>BOMBA CENTRIFUGA DE PRESION AIX 100/20</v>
      </c>
      <c r="H403" s="6">
        <f>IFERROR(VLOOKUP(BD_DETALLE!$B403,Tabla9[],4,0),0)</f>
        <v>2</v>
      </c>
      <c r="I403" s="19" t="s">
        <v>19</v>
      </c>
      <c r="J403" s="20" t="s">
        <v>2034</v>
      </c>
      <c r="K403" s="10">
        <f>IFERROR(VLOOKUP(BD_DETALLE!B403,Tabla9[],7,0),"")</f>
        <v>0</v>
      </c>
      <c r="L403" s="11">
        <f>IFERROR(VLOOKUP(BD_DETALLE!B403,Tabla9[],8,0),"")</f>
        <v>0</v>
      </c>
      <c r="M403" s="9">
        <f>IFERROR(SUMIFS(Tabla9[CANTIDAD2],Tabla9[BUSQUEDA],Tabla3[[#This Row],[BUSQUEDA]],Tabla9[CODIGO],Tabla3[[#This Row],[CODIGO]],Tabla9[ORDEN No.],Tabla3[[#This Row],[ORDEN de COMPRA]]),0)</f>
        <v>0</v>
      </c>
      <c r="N403" s="27">
        <f>IFERROR(IF(BD_DETALLE!B403&gt;0,VLOOKUP(BD_DETALLE!B403,Tabla9[],10,0),""),"")</f>
        <v>0</v>
      </c>
      <c r="O403" s="28">
        <f>IFERROR(VLOOKUP(BD_DETALLE!B403,Tabla9[],11,0),0)</f>
        <v>0</v>
      </c>
      <c r="P403" s="26">
        <f>IFERROR(SUMIFS(Tabla9[CANTIDAD3],Tabla9[BUSQUEDA],Tabla3[[#This Row],[BUSQUEDA]],Tabla9[CODIGO],Tabla3[[#This Row],[CODIGO]]),0)</f>
        <v>0</v>
      </c>
      <c r="Q403" s="25">
        <f>IF(BD_DETALLE!P403&lt;=0,0,IF(BD_DETALLE!P403=BD_DETALLE!H403,2,1))</f>
        <v>0</v>
      </c>
      <c r="R403" s="41">
        <f ca="1">IF(BD_DETALLE!$C403&gt;0,(IF(BD_DETALLE!$N403=0,TODAY()-BD_DETALLE!$C403,BD_DETALLE!$N403-BD_DETALLE!$C403)),"")</f>
        <v>38</v>
      </c>
    </row>
    <row r="404" spans="2:18" x14ac:dyDescent="0.25">
      <c r="B404" s="15" t="str">
        <f t="shared" ref="B404:B410" si="51">IFERROR(TEXT(C404,"yy") &amp; TEXT(C404,"mm") &amp;"-"&amp;(E404) &amp;"-"&amp;(F404),"")</f>
        <v>2103-142-310277</v>
      </c>
      <c r="C404" s="7">
        <v>44270</v>
      </c>
      <c r="D404" s="5" t="str">
        <f>IF(BD_DETALLE!$E404&gt;=1,CONCATENATE(TEXT(BD_DETALLE!$C404,"YY"),TEXT(BD_DETALLE!$C404,"MM"),"-",BD_DETALLE!$E404),"")</f>
        <v>2103-142</v>
      </c>
      <c r="E404" s="12">
        <v>142</v>
      </c>
      <c r="F404" s="21">
        <v>310277</v>
      </c>
      <c r="G404" s="4" t="str">
        <f>IFERROR(VLOOKUP(BD_DETALLE!$B404,Tabla9[],6,0),"")</f>
        <v>RULIMAN 6300</v>
      </c>
      <c r="H404" s="6">
        <f>IFERROR(VLOOKUP(BD_DETALLE!$B404,Tabla9[],4,0),0)</f>
        <v>6</v>
      </c>
      <c r="I404" s="19" t="s">
        <v>1</v>
      </c>
      <c r="J404" s="20" t="s">
        <v>2035</v>
      </c>
      <c r="K404" s="10">
        <f>IFERROR(VLOOKUP(BD_DETALLE!B404,Tabla9[],7,0),"")</f>
        <v>44291</v>
      </c>
      <c r="L404" s="11">
        <f>IFERROR(VLOOKUP(BD_DETALLE!B404,Tabla9[],8,0),"")</f>
        <v>52356</v>
      </c>
      <c r="M404" s="9">
        <f>IFERROR(SUMIFS(Tabla9[CANTIDAD2],Tabla9[BUSQUEDA],Tabla3[[#This Row],[BUSQUEDA]],Tabla9[CODIGO],Tabla3[[#This Row],[CODIGO]],Tabla9[ORDEN No.],Tabla3[[#This Row],[ORDEN de COMPRA]]),0)</f>
        <v>6</v>
      </c>
      <c r="N404" s="27">
        <f>IFERROR(IF(BD_DETALLE!B404&gt;0,VLOOKUP(BD_DETALLE!B404,Tabla9[],10,0),""),"")</f>
        <v>44298</v>
      </c>
      <c r="O404" s="28">
        <f>IFERROR(VLOOKUP(BD_DETALLE!B404,Tabla9[],11,0),0)</f>
        <v>11783</v>
      </c>
      <c r="P404" s="26">
        <f>IFERROR(SUMIFS(Tabla9[CANTIDAD3],Tabla9[BUSQUEDA],Tabla3[[#This Row],[BUSQUEDA]],Tabla9[CODIGO],Tabla3[[#This Row],[CODIGO]]),0)</f>
        <v>6</v>
      </c>
      <c r="Q404" s="25">
        <f>IF(BD_DETALLE!P404&lt;=0,0,IF(BD_DETALLE!P404=BD_DETALLE!H404,2,1))</f>
        <v>2</v>
      </c>
      <c r="R404" s="41">
        <f ca="1">IF(BD_DETALLE!$C404&gt;0,(IF(BD_DETALLE!$N404=0,TODAY()-BD_DETALLE!$C404,BD_DETALLE!$N404-BD_DETALLE!$C404)),"")</f>
        <v>28</v>
      </c>
    </row>
    <row r="405" spans="2:18" x14ac:dyDescent="0.25">
      <c r="B405" s="15" t="str">
        <f t="shared" si="51"/>
        <v>2103-145-310971</v>
      </c>
      <c r="C405" s="7">
        <v>44270</v>
      </c>
      <c r="D405" s="5" t="str">
        <f>IF(BD_DETALLE!$E405&gt;=1,CONCATENATE(TEXT(BD_DETALLE!$C405,"YY"),TEXT(BD_DETALLE!$C405,"MM"),"-",BD_DETALLE!$E405),"")</f>
        <v>2103-145</v>
      </c>
      <c r="E405" s="12">
        <v>145</v>
      </c>
      <c r="F405" s="21">
        <v>310971</v>
      </c>
      <c r="G405" s="4" t="str">
        <f>IFERROR(VLOOKUP(BD_DETALLE!$B405,Tabla9[],6,0),"")</f>
        <v>BOTA SOLDADOR PTA. ACERO # 39</v>
      </c>
      <c r="H405" s="6">
        <f>IFERROR(VLOOKUP(BD_DETALLE!$B405,Tabla9[],4,0),0)</f>
        <v>2</v>
      </c>
      <c r="I405" s="19" t="s">
        <v>1059</v>
      </c>
      <c r="J405" s="20" t="s">
        <v>2036</v>
      </c>
      <c r="K405" s="10">
        <f>IFERROR(VLOOKUP(BD_DETALLE!B405,Tabla9[],7,0),"")</f>
        <v>44286</v>
      </c>
      <c r="L405" s="11">
        <f>IFERROR(VLOOKUP(BD_DETALLE!B405,Tabla9[],8,0),"")</f>
        <v>52334</v>
      </c>
      <c r="M405" s="9">
        <f>IFERROR(SUMIFS(Tabla9[CANTIDAD2],Tabla9[BUSQUEDA],Tabla3[[#This Row],[BUSQUEDA]],Tabla9[CODIGO],Tabla3[[#This Row],[CODIGO]],Tabla9[ORDEN No.],Tabla3[[#This Row],[ORDEN de COMPRA]]),0)</f>
        <v>4</v>
      </c>
      <c r="N405" s="27">
        <f>IFERROR(IF(BD_DETALLE!B405&gt;0,VLOOKUP(BD_DETALLE!B405,Tabla9[],10,0),""),"")</f>
        <v>44299</v>
      </c>
      <c r="O405" s="28">
        <f>IFERROR(VLOOKUP(BD_DETALLE!B405,Tabla9[],11,0),0)</f>
        <v>11806</v>
      </c>
      <c r="P405" s="26">
        <f>IFERROR(SUMIFS(Tabla9[CANTIDAD3],Tabla9[BUSQUEDA],Tabla3[[#This Row],[BUSQUEDA]],Tabla9[CODIGO],Tabla3[[#This Row],[CODIGO]]),0)</f>
        <v>4</v>
      </c>
      <c r="Q405" s="25">
        <f>IF(BD_DETALLE!P405&lt;=0,0,IF(BD_DETALLE!P405=BD_DETALLE!H405,2,1))</f>
        <v>1</v>
      </c>
      <c r="R405" s="41">
        <f ca="1">IF(BD_DETALLE!$C405&gt;0,(IF(BD_DETALLE!$N405=0,TODAY()-BD_DETALLE!$C405,BD_DETALLE!$N405-BD_DETALLE!$C405)),"")</f>
        <v>29</v>
      </c>
    </row>
    <row r="406" spans="2:18" x14ac:dyDescent="0.25">
      <c r="B406" s="15" t="str">
        <f t="shared" si="51"/>
        <v>2103-145-307603</v>
      </c>
      <c r="C406" s="7">
        <v>44270</v>
      </c>
      <c r="D406" s="5" t="str">
        <f>IF(BD_DETALLE!$E406&gt;=1,CONCATENATE(TEXT(BD_DETALLE!$C406,"YY"),TEXT(BD_DETALLE!$C406,"MM"),"-",BD_DETALLE!$E406),"")</f>
        <v>2103-145</v>
      </c>
      <c r="E406" s="12">
        <v>145</v>
      </c>
      <c r="F406" s="21">
        <v>307603</v>
      </c>
      <c r="G406" s="4" t="str">
        <f>IFERROR(VLOOKUP(BD_DETALLE!$B406,Tabla9[],6,0),"")</f>
        <v>BOTA SOLDADOR PTA. ACERO # 40</v>
      </c>
      <c r="H406" s="6">
        <f>IFERROR(VLOOKUP(BD_DETALLE!$B406,Tabla9[],4,0),0)</f>
        <v>2</v>
      </c>
      <c r="I406" s="19" t="s">
        <v>1059</v>
      </c>
      <c r="J406" s="20" t="s">
        <v>2036</v>
      </c>
      <c r="K406" s="10">
        <f>IFERROR(VLOOKUP(BD_DETALLE!B406,Tabla9[],7,0),"")</f>
        <v>44286</v>
      </c>
      <c r="L406" s="11">
        <f>IFERROR(VLOOKUP(BD_DETALLE!B406,Tabla9[],8,0),"")</f>
        <v>52334</v>
      </c>
      <c r="M406" s="9">
        <f>IFERROR(SUMIFS(Tabla9[CANTIDAD2],Tabla9[BUSQUEDA],Tabla3[[#This Row],[BUSQUEDA]],Tabla9[CODIGO],Tabla3[[#This Row],[CODIGO]],Tabla9[ORDEN No.],Tabla3[[#This Row],[ORDEN de COMPRA]]),0)</f>
        <v>5</v>
      </c>
      <c r="N406" s="27">
        <f>IFERROR(IF(BD_DETALLE!B406&gt;0,VLOOKUP(BD_DETALLE!B406,Tabla9[],10,0),""),"")</f>
        <v>44299</v>
      </c>
      <c r="O406" s="28">
        <f>IFERROR(VLOOKUP(BD_DETALLE!B406,Tabla9[],11,0),0)</f>
        <v>11806</v>
      </c>
      <c r="P406" s="26">
        <f>IFERROR(SUMIFS(Tabla9[CANTIDAD3],Tabla9[BUSQUEDA],Tabla3[[#This Row],[BUSQUEDA]],Tabla9[CODIGO],Tabla3[[#This Row],[CODIGO]]),0)</f>
        <v>5</v>
      </c>
      <c r="Q406" s="25">
        <f>IF(BD_DETALLE!P406&lt;=0,0,IF(BD_DETALLE!P406=BD_DETALLE!H406,2,1))</f>
        <v>1</v>
      </c>
      <c r="R406" s="41">
        <f ca="1">IF(BD_DETALLE!$C406&gt;0,(IF(BD_DETALLE!$N406=0,TODAY()-BD_DETALLE!$C406,BD_DETALLE!$N406-BD_DETALLE!$C406)),"")</f>
        <v>29</v>
      </c>
    </row>
    <row r="407" spans="2:18" x14ac:dyDescent="0.25">
      <c r="B407" s="15" t="str">
        <f t="shared" si="51"/>
        <v>2103-145-314419</v>
      </c>
      <c r="C407" s="7">
        <v>44270</v>
      </c>
      <c r="D407" s="5" t="str">
        <f>IF(BD_DETALLE!$E407&gt;=1,CONCATENATE(TEXT(BD_DETALLE!$C407,"YY"),TEXT(BD_DETALLE!$C407,"MM"),"-",BD_DETALLE!$E407),"")</f>
        <v>2103-145</v>
      </c>
      <c r="E407" s="12">
        <v>145</v>
      </c>
      <c r="F407" s="21">
        <v>314419</v>
      </c>
      <c r="G407" s="4" t="str">
        <f>IFERROR(VLOOKUP(BD_DETALLE!$B407,Tabla9[],6,0),"")</f>
        <v>BOTA SOLDADOR PTA. ACERO # 44</v>
      </c>
      <c r="H407" s="6">
        <f>IFERROR(VLOOKUP(BD_DETALLE!$B407,Tabla9[],4,0),0)</f>
        <v>1</v>
      </c>
      <c r="I407" s="19" t="s">
        <v>1059</v>
      </c>
      <c r="J407" s="20" t="s">
        <v>2036</v>
      </c>
      <c r="K407" s="10">
        <f>IFERROR(VLOOKUP(BD_DETALLE!B407,Tabla9[],7,0),"")</f>
        <v>44286</v>
      </c>
      <c r="L407" s="11">
        <f>IFERROR(VLOOKUP(BD_DETALLE!B407,Tabla9[],8,0),"")</f>
        <v>52334</v>
      </c>
      <c r="M407" s="9">
        <f>IFERROR(SUMIFS(Tabla9[CANTIDAD2],Tabla9[BUSQUEDA],Tabla3[[#This Row],[BUSQUEDA]],Tabla9[CODIGO],Tabla3[[#This Row],[CODIGO]],Tabla9[ORDEN No.],Tabla3[[#This Row],[ORDEN de COMPRA]]),0)</f>
        <v>1</v>
      </c>
      <c r="N407" s="27">
        <f>IFERROR(IF(BD_DETALLE!B407&gt;0,VLOOKUP(BD_DETALLE!B407,Tabla9[],10,0),""),"")</f>
        <v>44299</v>
      </c>
      <c r="O407" s="28">
        <f>IFERROR(VLOOKUP(BD_DETALLE!B407,Tabla9[],11,0),0)</f>
        <v>11806</v>
      </c>
      <c r="P407" s="26">
        <f>IFERROR(SUMIFS(Tabla9[CANTIDAD3],Tabla9[BUSQUEDA],Tabla3[[#This Row],[BUSQUEDA]],Tabla9[CODIGO],Tabla3[[#This Row],[CODIGO]]),0)</f>
        <v>1</v>
      </c>
      <c r="Q407" s="25">
        <f>IF(BD_DETALLE!P407&lt;=0,0,IF(BD_DETALLE!P407=BD_DETALLE!H407,2,1))</f>
        <v>2</v>
      </c>
      <c r="R407" s="41">
        <f ca="1">IF(BD_DETALLE!$C407&gt;0,(IF(BD_DETALLE!$N407=0,TODAY()-BD_DETALLE!$C407,BD_DETALLE!$N407-BD_DETALLE!$C407)),"")</f>
        <v>29</v>
      </c>
    </row>
    <row r="408" spans="2:18" x14ac:dyDescent="0.25">
      <c r="B408" s="15" t="str">
        <f t="shared" si="51"/>
        <v>2103-145-307604</v>
      </c>
      <c r="C408" s="7">
        <v>44270</v>
      </c>
      <c r="D408" s="5" t="str">
        <f>IF(BD_DETALLE!$E408&gt;=1,CONCATENATE(TEXT(BD_DETALLE!$C408,"YY"),TEXT(BD_DETALLE!$C408,"MM"),"-",BD_DETALLE!$E408),"")</f>
        <v>2103-145</v>
      </c>
      <c r="E408" s="12">
        <v>145</v>
      </c>
      <c r="F408" s="21">
        <v>307604</v>
      </c>
      <c r="G408" s="4" t="str">
        <f>IFERROR(VLOOKUP(BD_DETALLE!$B408,Tabla9[],6,0),"")</f>
        <v>BOTA SOLDADOR PTA. ACERO # 41</v>
      </c>
      <c r="H408" s="6">
        <f>IFERROR(VLOOKUP(BD_DETALLE!$B408,Tabla9[],4,0),0)</f>
        <v>1</v>
      </c>
      <c r="I408" s="19" t="s">
        <v>1059</v>
      </c>
      <c r="J408" s="20" t="s">
        <v>2036</v>
      </c>
      <c r="K408" s="10">
        <f>IFERROR(VLOOKUP(BD_DETALLE!B408,Tabla9[],7,0),"")</f>
        <v>44286</v>
      </c>
      <c r="L408" s="11">
        <f>IFERROR(VLOOKUP(BD_DETALLE!B408,Tabla9[],8,0),"")</f>
        <v>52334</v>
      </c>
      <c r="M408" s="9">
        <f>IFERROR(SUMIFS(Tabla9[CANTIDAD2],Tabla9[BUSQUEDA],Tabla3[[#This Row],[BUSQUEDA]],Tabla9[CODIGO],Tabla3[[#This Row],[CODIGO]],Tabla9[ORDEN No.],Tabla3[[#This Row],[ORDEN de COMPRA]]),0)</f>
        <v>1</v>
      </c>
      <c r="N408" s="27">
        <f>IFERROR(IF(BD_DETALLE!B408&gt;0,VLOOKUP(BD_DETALLE!B408,Tabla9[],10,0),""),"")</f>
        <v>44299</v>
      </c>
      <c r="O408" s="28">
        <f>IFERROR(VLOOKUP(BD_DETALLE!B408,Tabla9[],11,0),0)</f>
        <v>11806</v>
      </c>
      <c r="P408" s="26">
        <f>IFERROR(SUMIFS(Tabla9[CANTIDAD3],Tabla9[BUSQUEDA],Tabla3[[#This Row],[BUSQUEDA]],Tabla9[CODIGO],Tabla3[[#This Row],[CODIGO]]),0)</f>
        <v>1</v>
      </c>
      <c r="Q408" s="25">
        <f>IF(BD_DETALLE!P408&lt;=0,0,IF(BD_DETALLE!P408=BD_DETALLE!H408,2,1))</f>
        <v>2</v>
      </c>
      <c r="R408" s="41">
        <f ca="1">IF(BD_DETALLE!$C408&gt;0,(IF(BD_DETALLE!$N408=0,TODAY()-BD_DETALLE!$C408,BD_DETALLE!$N408-BD_DETALLE!$C408)),"")</f>
        <v>29</v>
      </c>
    </row>
    <row r="409" spans="2:18" x14ac:dyDescent="0.25">
      <c r="B409" s="15" t="str">
        <f t="shared" si="51"/>
        <v>2103-145-310971</v>
      </c>
      <c r="C409" s="7">
        <v>44270</v>
      </c>
      <c r="D409" s="5" t="str">
        <f>IF(BD_DETALLE!$E409&gt;=1,CONCATENATE(TEXT(BD_DETALLE!$C409,"YY"),TEXT(BD_DETALLE!$C409,"MM"),"-",BD_DETALLE!$E409),"")</f>
        <v>2103-145</v>
      </c>
      <c r="E409" s="12">
        <v>145</v>
      </c>
      <c r="F409" s="21">
        <v>310971</v>
      </c>
      <c r="G409" s="4" t="str">
        <f>IFERROR(VLOOKUP(BD_DETALLE!$B409,Tabla9[],6,0),"")</f>
        <v>BOTA SOLDADOR PTA. ACERO # 39</v>
      </c>
      <c r="H409" s="6">
        <f>IFERROR(VLOOKUP(BD_DETALLE!$B409,Tabla9[],4,0),0)</f>
        <v>2</v>
      </c>
      <c r="I409" s="19" t="s">
        <v>1059</v>
      </c>
      <c r="J409" s="20" t="s">
        <v>2036</v>
      </c>
      <c r="K409" s="10">
        <f>IFERROR(VLOOKUP(BD_DETALLE!B409,Tabla9[],7,0),"")</f>
        <v>44286</v>
      </c>
      <c r="L409" s="11">
        <f>IFERROR(VLOOKUP(BD_DETALLE!B409,Tabla9[],8,0),"")</f>
        <v>52334</v>
      </c>
      <c r="M409" s="9">
        <f>IFERROR(SUMIFS(Tabla9[CANTIDAD2],Tabla9[BUSQUEDA],Tabla3[[#This Row],[BUSQUEDA]],Tabla9[CODIGO],Tabla3[[#This Row],[CODIGO]],Tabla9[ORDEN No.],Tabla3[[#This Row],[ORDEN de COMPRA]]),0)</f>
        <v>4</v>
      </c>
      <c r="N409" s="27">
        <f>IFERROR(IF(BD_DETALLE!B409&gt;0,VLOOKUP(BD_DETALLE!B409,Tabla9[],10,0),""),"")</f>
        <v>44299</v>
      </c>
      <c r="O409" s="28">
        <f>IFERROR(VLOOKUP(BD_DETALLE!B409,Tabla9[],11,0),0)</f>
        <v>11806</v>
      </c>
      <c r="P409" s="26">
        <f>IFERROR(SUMIFS(Tabla9[CANTIDAD3],Tabla9[BUSQUEDA],Tabla3[[#This Row],[BUSQUEDA]],Tabla9[CODIGO],Tabla3[[#This Row],[CODIGO]]),0)</f>
        <v>4</v>
      </c>
      <c r="Q409" s="25">
        <f>IF(BD_DETALLE!P409&lt;=0,0,IF(BD_DETALLE!P409=BD_DETALLE!H409,2,1))</f>
        <v>1</v>
      </c>
      <c r="R409" s="41">
        <f ca="1">IF(BD_DETALLE!$C409&gt;0,(IF(BD_DETALLE!$N409=0,TODAY()-BD_DETALLE!$C409,BD_DETALLE!$N409-BD_DETALLE!$C409)),"")</f>
        <v>29</v>
      </c>
    </row>
    <row r="410" spans="2:18" x14ac:dyDescent="0.25">
      <c r="B410" s="15" t="str">
        <f t="shared" si="51"/>
        <v>2103-145-307603</v>
      </c>
      <c r="C410" s="7">
        <v>44270</v>
      </c>
      <c r="D410" s="5" t="str">
        <f>IF(BD_DETALLE!$E410&gt;=1,CONCATENATE(TEXT(BD_DETALLE!$C410,"YY"),TEXT(BD_DETALLE!$C410,"MM"),"-",BD_DETALLE!$E410),"")</f>
        <v>2103-145</v>
      </c>
      <c r="E410" s="12">
        <v>145</v>
      </c>
      <c r="F410" s="21">
        <v>307603</v>
      </c>
      <c r="G410" s="4" t="str">
        <f>IFERROR(VLOOKUP(BD_DETALLE!$B410,Tabla9[],6,0),"")</f>
        <v>BOTA SOLDADOR PTA. ACERO # 40</v>
      </c>
      <c r="H410" s="6">
        <f>IFERROR(VLOOKUP(BD_DETALLE!$B410,Tabla9[],4,0),0)</f>
        <v>2</v>
      </c>
      <c r="I410" s="19" t="s">
        <v>1059</v>
      </c>
      <c r="J410" s="20" t="s">
        <v>2036</v>
      </c>
      <c r="K410" s="10">
        <f>IFERROR(VLOOKUP(BD_DETALLE!B410,Tabla9[],7,0),"")</f>
        <v>44286</v>
      </c>
      <c r="L410" s="11">
        <f>IFERROR(VLOOKUP(BD_DETALLE!B410,Tabla9[],8,0),"")</f>
        <v>52334</v>
      </c>
      <c r="M410" s="9">
        <f>IFERROR(SUMIFS(Tabla9[CANTIDAD2],Tabla9[BUSQUEDA],Tabla3[[#This Row],[BUSQUEDA]],Tabla9[CODIGO],Tabla3[[#This Row],[CODIGO]],Tabla9[ORDEN No.],Tabla3[[#This Row],[ORDEN de COMPRA]]),0)</f>
        <v>5</v>
      </c>
      <c r="N410" s="27">
        <f>IFERROR(IF(BD_DETALLE!B410&gt;0,VLOOKUP(BD_DETALLE!B410,Tabla9[],10,0),""),"")</f>
        <v>44299</v>
      </c>
      <c r="O410" s="28">
        <f>IFERROR(VLOOKUP(BD_DETALLE!B410,Tabla9[],11,0),0)</f>
        <v>11806</v>
      </c>
      <c r="P410" s="26">
        <f>IFERROR(SUMIFS(Tabla9[CANTIDAD3],Tabla9[BUSQUEDA],Tabla3[[#This Row],[BUSQUEDA]],Tabla9[CODIGO],Tabla3[[#This Row],[CODIGO]]),0)</f>
        <v>5</v>
      </c>
      <c r="Q410" s="25">
        <f>IF(BD_DETALLE!P410&lt;=0,0,IF(BD_DETALLE!P410=BD_DETALLE!H410,2,1))</f>
        <v>1</v>
      </c>
      <c r="R410" s="41">
        <f ca="1">IF(BD_DETALLE!$C410&gt;0,(IF(BD_DETALLE!$N410=0,TODAY()-BD_DETALLE!$C410,BD_DETALLE!$N410-BD_DETALLE!$C410)),"")</f>
        <v>29</v>
      </c>
    </row>
    <row r="411" spans="2:18" x14ac:dyDescent="0.25">
      <c r="B411" s="15" t="str">
        <f t="shared" ref="B411:B446" si="52">IFERROR(TEXT(C411,"yy") &amp; TEXT(C411,"mm") &amp;"-"&amp;(E411) &amp;"-"&amp;(F411),"")</f>
        <v>2103-155-313554</v>
      </c>
      <c r="C411" s="7">
        <v>44271</v>
      </c>
      <c r="D411" s="5" t="str">
        <f>IF(BD_DETALLE!$E411&gt;=1,CONCATENATE(TEXT(BD_DETALLE!$C411,"YY"),TEXT(BD_DETALLE!$C411,"MM"),"-",BD_DETALLE!$E411),"")</f>
        <v>2103-155</v>
      </c>
      <c r="E411" s="12">
        <v>155</v>
      </c>
      <c r="F411" s="21">
        <v>313554</v>
      </c>
      <c r="G411" s="4" t="str">
        <f>IFERROR(VLOOKUP(BD_DETALLE!$B411,Tabla9[],6,0),"")</f>
        <v>ABRAZADERA DE PAQUETE 7/8 x 20 x 4</v>
      </c>
      <c r="H411" s="6">
        <f>IFERROR(VLOOKUP(BD_DETALLE!$B411,Tabla9[],4,0),0)</f>
        <v>4</v>
      </c>
      <c r="I411" s="19" t="s">
        <v>5</v>
      </c>
      <c r="J411" s="20" t="s">
        <v>2037</v>
      </c>
      <c r="K411" s="10">
        <f>IFERROR(VLOOKUP(BD_DETALLE!B411,Tabla9[],7,0),"")</f>
        <v>44281</v>
      </c>
      <c r="L411" s="11">
        <f>IFERROR(VLOOKUP(BD_DETALLE!B411,Tabla9[],8,0),"")</f>
        <v>52277</v>
      </c>
      <c r="M411" s="9">
        <f>IFERROR(SUMIFS(Tabla9[CANTIDAD2],Tabla9[BUSQUEDA],Tabla3[[#This Row],[BUSQUEDA]],Tabla9[CODIGO],Tabla3[[#This Row],[CODIGO]],Tabla9[ORDEN No.],Tabla3[[#This Row],[ORDEN de COMPRA]]),0)</f>
        <v>4</v>
      </c>
      <c r="N411" s="27">
        <f>IFERROR(IF(BD_DETALLE!B411&gt;0,VLOOKUP(BD_DETALLE!B411,Tabla9[],10,0),""),"")</f>
        <v>44291</v>
      </c>
      <c r="O411" s="28">
        <f>IFERROR(VLOOKUP(BD_DETALLE!B411,Tabla9[],11,0),0)</f>
        <v>11699</v>
      </c>
      <c r="P411" s="26">
        <f>IFERROR(SUMIFS(Tabla9[CANTIDAD3],Tabla9[BUSQUEDA],Tabla3[[#This Row],[BUSQUEDA]],Tabla9[CODIGO],Tabla3[[#This Row],[CODIGO]]),0)</f>
        <v>4</v>
      </c>
      <c r="Q411" s="25">
        <f>IF(BD_DETALLE!P411&lt;=0,0,IF(BD_DETALLE!P411=BD_DETALLE!H411,2,1))</f>
        <v>2</v>
      </c>
      <c r="R411" s="41">
        <f ca="1">IF(BD_DETALLE!$C411&gt;0,(IF(BD_DETALLE!$N411=0,TODAY()-BD_DETALLE!$C411,BD_DETALLE!$N411-BD_DETALLE!$C411)),"")</f>
        <v>20</v>
      </c>
    </row>
    <row r="412" spans="2:18" x14ac:dyDescent="0.25">
      <c r="B412" s="15" t="str">
        <f t="shared" si="52"/>
        <v>2103-155-306954</v>
      </c>
      <c r="C412" s="7">
        <v>44271</v>
      </c>
      <c r="D412" s="5" t="str">
        <f>IF(BD_DETALLE!$E412&gt;=1,CONCATENATE(TEXT(BD_DETALLE!$C412,"YY"),TEXT(BD_DETALLE!$C412,"MM"),"-",BD_DETALLE!$E412),"")</f>
        <v>2103-155</v>
      </c>
      <c r="E412" s="12">
        <v>155</v>
      </c>
      <c r="F412" s="21">
        <v>306954</v>
      </c>
      <c r="G412" s="4" t="str">
        <f>IFERROR(VLOOKUP(BD_DETALLE!$B412,Tabla9[],6,0),"")</f>
        <v>ARO TUBULAR 10 HUECOS</v>
      </c>
      <c r="H412" s="6">
        <f>IFERROR(VLOOKUP(BD_DETALLE!$B412,Tabla9[],4,0),0)</f>
        <v>4</v>
      </c>
      <c r="I412" s="19" t="s">
        <v>5</v>
      </c>
      <c r="J412" s="20" t="s">
        <v>2037</v>
      </c>
      <c r="K412" s="10">
        <f>IFERROR(VLOOKUP(BD_DETALLE!B412,Tabla9[],7,0),"")</f>
        <v>44281</v>
      </c>
      <c r="L412" s="11">
        <f>IFERROR(VLOOKUP(BD_DETALLE!B412,Tabla9[],8,0),"")</f>
        <v>52277</v>
      </c>
      <c r="M412" s="9">
        <f>IFERROR(SUMIFS(Tabla9[CANTIDAD2],Tabla9[BUSQUEDA],Tabla3[[#This Row],[BUSQUEDA]],Tabla9[CODIGO],Tabla3[[#This Row],[CODIGO]],Tabla9[ORDEN No.],Tabla3[[#This Row],[ORDEN de COMPRA]]),0)</f>
        <v>4</v>
      </c>
      <c r="N412" s="27">
        <f>IFERROR(IF(BD_DETALLE!B412&gt;0,VLOOKUP(BD_DETALLE!B412,Tabla9[],10,0),""),"")</f>
        <v>44291</v>
      </c>
      <c r="O412" s="28">
        <f>IFERROR(VLOOKUP(BD_DETALLE!B412,Tabla9[],11,0),0)</f>
        <v>11699</v>
      </c>
      <c r="P412" s="26">
        <f>IFERROR(SUMIFS(Tabla9[CANTIDAD3],Tabla9[BUSQUEDA],Tabla3[[#This Row],[BUSQUEDA]],Tabla9[CODIGO],Tabla3[[#This Row],[CODIGO]]),0)</f>
        <v>4</v>
      </c>
      <c r="Q412" s="25">
        <f>IF(BD_DETALLE!P412&lt;=0,0,IF(BD_DETALLE!P412=BD_DETALLE!H412,2,1))</f>
        <v>2</v>
      </c>
      <c r="R412" s="41">
        <f ca="1">IF(BD_DETALLE!$C412&gt;0,(IF(BD_DETALLE!$N412=0,TODAY()-BD_DETALLE!$C412,BD_DETALLE!$N412-BD_DETALLE!$C412)),"")</f>
        <v>20</v>
      </c>
    </row>
    <row r="413" spans="2:18" x14ac:dyDescent="0.25">
      <c r="B413" s="15" t="str">
        <f t="shared" si="52"/>
        <v>2103-155-314738</v>
      </c>
      <c r="C413" s="7">
        <v>44271</v>
      </c>
      <c r="D413" s="5" t="str">
        <f>IF(BD_DETALLE!$E413&gt;=1,CONCATENATE(TEXT(BD_DETALLE!$C413,"YY"),TEXT(BD_DETALLE!$C413,"MM"),"-",BD_DETALLE!$E413),"")</f>
        <v>2103-155</v>
      </c>
      <c r="E413" s="12">
        <v>155</v>
      </c>
      <c r="F413" s="21">
        <v>314738</v>
      </c>
      <c r="G413" s="4" t="str">
        <f>IFERROR(VLOOKUP(BD_DETALLE!$B413,Tabla9[],6,0),"")</f>
        <v>BRAZO TEMPLADOR FIJO</v>
      </c>
      <c r="H413" s="6">
        <f>IFERROR(VLOOKUP(BD_DETALLE!$B413,Tabla9[],4,0),0)</f>
        <v>1</v>
      </c>
      <c r="I413" s="19" t="s">
        <v>5</v>
      </c>
      <c r="J413" s="20" t="s">
        <v>2037</v>
      </c>
      <c r="K413" s="10">
        <f>IFERROR(VLOOKUP(BD_DETALLE!B413,Tabla9[],7,0),"")</f>
        <v>44281</v>
      </c>
      <c r="L413" s="11">
        <f>IFERROR(VLOOKUP(BD_DETALLE!B413,Tabla9[],8,0),"")</f>
        <v>52277</v>
      </c>
      <c r="M413" s="9">
        <f>IFERROR(SUMIFS(Tabla9[CANTIDAD2],Tabla9[BUSQUEDA],Tabla3[[#This Row],[BUSQUEDA]],Tabla9[CODIGO],Tabla3[[#This Row],[CODIGO]],Tabla9[ORDEN No.],Tabla3[[#This Row],[ORDEN de COMPRA]]),0)</f>
        <v>1</v>
      </c>
      <c r="N413" s="27">
        <f>IFERROR(IF(BD_DETALLE!B413&gt;0,VLOOKUP(BD_DETALLE!B413,Tabla9[],10,0),""),"")</f>
        <v>44291</v>
      </c>
      <c r="O413" s="28">
        <f>IFERROR(VLOOKUP(BD_DETALLE!B413,Tabla9[],11,0),0)</f>
        <v>11699</v>
      </c>
      <c r="P413" s="26">
        <f>IFERROR(SUMIFS(Tabla9[CANTIDAD3],Tabla9[BUSQUEDA],Tabla3[[#This Row],[BUSQUEDA]],Tabla9[CODIGO],Tabla3[[#This Row],[CODIGO]]),0)</f>
        <v>1</v>
      </c>
      <c r="Q413" s="25">
        <f>IF(BD_DETALLE!P413&lt;=0,0,IF(BD_DETALLE!P413=BD_DETALLE!H413,2,1))</f>
        <v>2</v>
      </c>
      <c r="R413" s="41">
        <f ca="1">IF(BD_DETALLE!$C413&gt;0,(IF(BD_DETALLE!$N413=0,TODAY()-BD_DETALLE!$C413,BD_DETALLE!$N413-BD_DETALLE!$C413)),"")</f>
        <v>20</v>
      </c>
    </row>
    <row r="414" spans="2:18" x14ac:dyDescent="0.25">
      <c r="B414" s="15" t="str">
        <f t="shared" si="52"/>
        <v>2103-155-314737</v>
      </c>
      <c r="C414" s="7">
        <v>44271</v>
      </c>
      <c r="D414" s="5" t="str">
        <f>IF(BD_DETALLE!$E414&gt;=1,CONCATENATE(TEXT(BD_DETALLE!$C414,"YY"),TEXT(BD_DETALLE!$C414,"MM"),"-",BD_DETALLE!$E414),"")</f>
        <v>2103-155</v>
      </c>
      <c r="E414" s="12">
        <v>155</v>
      </c>
      <c r="F414" s="21">
        <v>314737</v>
      </c>
      <c r="G414" s="4" t="str">
        <f>IFERROR(VLOOKUP(BD_DETALLE!$B414,Tabla9[],6,0),"")</f>
        <v>BRAZO TEMPLADOR REGULABLE</v>
      </c>
      <c r="H414" s="6">
        <f>IFERROR(VLOOKUP(BD_DETALLE!$B414,Tabla9[],4,0),0)</f>
        <v>1</v>
      </c>
      <c r="I414" s="19" t="s">
        <v>5</v>
      </c>
      <c r="J414" s="20" t="s">
        <v>2037</v>
      </c>
      <c r="K414" s="10">
        <f>IFERROR(VLOOKUP(BD_DETALLE!B414,Tabla9[],7,0),"")</f>
        <v>44281</v>
      </c>
      <c r="L414" s="11">
        <f>IFERROR(VLOOKUP(BD_DETALLE!B414,Tabla9[],8,0),"")</f>
        <v>52277</v>
      </c>
      <c r="M414" s="9">
        <f>IFERROR(SUMIFS(Tabla9[CANTIDAD2],Tabla9[BUSQUEDA],Tabla3[[#This Row],[BUSQUEDA]],Tabla9[CODIGO],Tabla3[[#This Row],[CODIGO]],Tabla9[ORDEN No.],Tabla3[[#This Row],[ORDEN de COMPRA]]),0)</f>
        <v>1</v>
      </c>
      <c r="N414" s="27">
        <f>IFERROR(IF(BD_DETALLE!B414&gt;0,VLOOKUP(BD_DETALLE!B414,Tabla9[],10,0),""),"")</f>
        <v>44291</v>
      </c>
      <c r="O414" s="28">
        <f>IFERROR(VLOOKUP(BD_DETALLE!B414,Tabla9[],11,0),0)</f>
        <v>11699</v>
      </c>
      <c r="P414" s="26">
        <f>IFERROR(SUMIFS(Tabla9[CANTIDAD3],Tabla9[BUSQUEDA],Tabla3[[#This Row],[BUSQUEDA]],Tabla9[CODIGO],Tabla3[[#This Row],[CODIGO]]),0)</f>
        <v>1</v>
      </c>
      <c r="Q414" s="25">
        <f>IF(BD_DETALLE!P414&lt;=0,0,IF(BD_DETALLE!P414=BD_DETALLE!H414,2,1))</f>
        <v>2</v>
      </c>
      <c r="R414" s="41">
        <f ca="1">IF(BD_DETALLE!$C414&gt;0,(IF(BD_DETALLE!$N414=0,TODAY()-BD_DETALLE!$C414,BD_DETALLE!$N414-BD_DETALLE!$C414)),"")</f>
        <v>20</v>
      </c>
    </row>
    <row r="415" spans="2:18" x14ac:dyDescent="0.25">
      <c r="B415" s="15" t="str">
        <f t="shared" si="52"/>
        <v>2103-155-316664</v>
      </c>
      <c r="C415" s="7">
        <v>44271</v>
      </c>
      <c r="D415" s="5" t="str">
        <f>IF(BD_DETALLE!$E415&gt;=1,CONCATENATE(TEXT(BD_DETALLE!$C415,"YY"),TEXT(BD_DETALLE!$C415,"MM"),"-",BD_DETALLE!$E415),"")</f>
        <v>2103-155</v>
      </c>
      <c r="E415" s="12">
        <v>155</v>
      </c>
      <c r="F415" s="21">
        <v>316664</v>
      </c>
      <c r="G415" s="4" t="str">
        <f>IFERROR(VLOOKUP(BD_DETALLE!$B415,Tabla9[],6,0),"")</f>
        <v>PULMON DOBLE ACCION TIPO 30</v>
      </c>
      <c r="H415" s="6">
        <f>IFERROR(VLOOKUP(BD_DETALLE!$B415,Tabla9[],4,0),0)</f>
        <v>2</v>
      </c>
      <c r="I415" s="19" t="s">
        <v>5</v>
      </c>
      <c r="J415" s="20" t="s">
        <v>2037</v>
      </c>
      <c r="K415" s="10">
        <f>IFERROR(VLOOKUP(BD_DETALLE!B415,Tabla9[],7,0),"")</f>
        <v>44281</v>
      </c>
      <c r="L415" s="11">
        <f>IFERROR(VLOOKUP(BD_DETALLE!B415,Tabla9[],8,0),"")</f>
        <v>52277</v>
      </c>
      <c r="M415" s="9">
        <f>IFERROR(SUMIFS(Tabla9[CANTIDAD2],Tabla9[BUSQUEDA],Tabla3[[#This Row],[BUSQUEDA]],Tabla9[CODIGO],Tabla3[[#This Row],[CODIGO]],Tabla9[ORDEN No.],Tabla3[[#This Row],[ORDEN de COMPRA]]),0)</f>
        <v>2</v>
      </c>
      <c r="N415" s="27">
        <f>IFERROR(IF(BD_DETALLE!B415&gt;0,VLOOKUP(BD_DETALLE!B415,Tabla9[],10,0),""),"")</f>
        <v>44291</v>
      </c>
      <c r="O415" s="28">
        <f>IFERROR(VLOOKUP(BD_DETALLE!B415,Tabla9[],11,0),0)</f>
        <v>11699</v>
      </c>
      <c r="P415" s="26">
        <f>IFERROR(SUMIFS(Tabla9[CANTIDAD3],Tabla9[BUSQUEDA],Tabla3[[#This Row],[BUSQUEDA]],Tabla9[CODIGO],Tabla3[[#This Row],[CODIGO]]),0)</f>
        <v>2</v>
      </c>
      <c r="Q415" s="25">
        <f>IF(BD_DETALLE!P415&lt;=0,0,IF(BD_DETALLE!P415=BD_DETALLE!H415,2,1))</f>
        <v>2</v>
      </c>
      <c r="R415" s="41">
        <f ca="1">IF(BD_DETALLE!$C415&gt;0,(IF(BD_DETALLE!$N415=0,TODAY()-BD_DETALLE!$C415,BD_DETALLE!$N415-BD_DETALLE!$C415)),"")</f>
        <v>20</v>
      </c>
    </row>
    <row r="416" spans="2:18" x14ac:dyDescent="0.25">
      <c r="B416" s="15" t="str">
        <f t="shared" si="52"/>
        <v>2103-155-317792</v>
      </c>
      <c r="C416" s="7">
        <v>44271</v>
      </c>
      <c r="D416" s="5" t="str">
        <f>IF(BD_DETALLE!$E416&gt;=1,CONCATENATE(TEXT(BD_DETALLE!$C416,"YY"),TEXT(BD_DETALLE!$C416,"MM"),"-",BD_DETALLE!$E416),"")</f>
        <v>2103-155</v>
      </c>
      <c r="E416" s="12">
        <v>155</v>
      </c>
      <c r="F416" s="21">
        <v>317792</v>
      </c>
      <c r="G416" s="4" t="str">
        <f>IFERROR(VLOOKUP(BD_DETALLE!$B416,Tabla9[],6,0),"")</f>
        <v>EJE</v>
      </c>
      <c r="H416" s="6">
        <f>IFERROR(VLOOKUP(BD_DETALLE!$B416,Tabla9[],4,0),0)</f>
        <v>1</v>
      </c>
      <c r="I416" s="19" t="s">
        <v>5</v>
      </c>
      <c r="J416" s="20" t="s">
        <v>2037</v>
      </c>
      <c r="K416" s="10">
        <f>IFERROR(VLOOKUP(BD_DETALLE!B416,Tabla9[],7,0),"")</f>
        <v>44281</v>
      </c>
      <c r="L416" s="11">
        <f>IFERROR(VLOOKUP(BD_DETALLE!B416,Tabla9[],8,0),"")</f>
        <v>52277</v>
      </c>
      <c r="M416" s="9">
        <f>IFERROR(SUMIFS(Tabla9[CANTIDAD2],Tabla9[BUSQUEDA],Tabla3[[#This Row],[BUSQUEDA]],Tabla9[CODIGO],Tabla3[[#This Row],[CODIGO]],Tabla9[ORDEN No.],Tabla3[[#This Row],[ORDEN de COMPRA]]),0)</f>
        <v>1</v>
      </c>
      <c r="N416" s="27">
        <f>IFERROR(IF(BD_DETALLE!B416&gt;0,VLOOKUP(BD_DETALLE!B416,Tabla9[],10,0),""),"")</f>
        <v>44291</v>
      </c>
      <c r="O416" s="28">
        <f>IFERROR(VLOOKUP(BD_DETALLE!B416,Tabla9[],11,0),0)</f>
        <v>11699</v>
      </c>
      <c r="P416" s="26">
        <f>IFERROR(SUMIFS(Tabla9[CANTIDAD3],Tabla9[BUSQUEDA],Tabla3[[#This Row],[BUSQUEDA]],Tabla9[CODIGO],Tabla3[[#This Row],[CODIGO]]),0)</f>
        <v>1</v>
      </c>
      <c r="Q416" s="25">
        <f>IF(BD_DETALLE!P416&lt;=0,0,IF(BD_DETALLE!P416=BD_DETALLE!H416,2,1))</f>
        <v>2</v>
      </c>
      <c r="R416" s="41">
        <f ca="1">IF(BD_DETALLE!$C416&gt;0,(IF(BD_DETALLE!$N416=0,TODAY()-BD_DETALLE!$C416,BD_DETALLE!$N416-BD_DETALLE!$C416)),"")</f>
        <v>20</v>
      </c>
    </row>
    <row r="417" spans="2:18" x14ac:dyDescent="0.25">
      <c r="B417" s="15" t="str">
        <f t="shared" si="52"/>
        <v>2103-155-106069</v>
      </c>
      <c r="C417" s="7">
        <v>44271</v>
      </c>
      <c r="D417" s="5" t="str">
        <f>IF(BD_DETALLE!$E417&gt;=1,CONCATENATE(TEXT(BD_DETALLE!$C417,"YY"),TEXT(BD_DETALLE!$C417,"MM"),"-",BD_DETALLE!$E417),"")</f>
        <v>2103-155</v>
      </c>
      <c r="E417" s="12">
        <v>155</v>
      </c>
      <c r="F417" s="21">
        <v>106069</v>
      </c>
      <c r="G417" s="4" t="str">
        <f>IFERROR(VLOOKUP(BD_DETALLE!$B417,Tabla9[],6,0),"")</f>
        <v>BASES</v>
      </c>
      <c r="H417" s="6">
        <f>IFERROR(VLOOKUP(BD_DETALLE!$B417,Tabla9[],4,0),0)</f>
        <v>2</v>
      </c>
      <c r="I417" s="19" t="s">
        <v>5</v>
      </c>
      <c r="J417" s="20" t="s">
        <v>2037</v>
      </c>
      <c r="K417" s="10">
        <f>IFERROR(VLOOKUP(BD_DETALLE!B417,Tabla9[],7,0),"")</f>
        <v>44281</v>
      </c>
      <c r="L417" s="11">
        <f>IFERROR(VLOOKUP(BD_DETALLE!B417,Tabla9[],8,0),"")</f>
        <v>52277</v>
      </c>
      <c r="M417" s="9">
        <f>IFERROR(SUMIFS(Tabla9[CANTIDAD2],Tabla9[BUSQUEDA],Tabla3[[#This Row],[BUSQUEDA]],Tabla9[CODIGO],Tabla3[[#This Row],[CODIGO]],Tabla9[ORDEN No.],Tabla3[[#This Row],[ORDEN de COMPRA]]),0)</f>
        <v>2</v>
      </c>
      <c r="N417" s="27">
        <f>IFERROR(IF(BD_DETALLE!B417&gt;0,VLOOKUP(BD_DETALLE!B417,Tabla9[],10,0),""),"")</f>
        <v>44291</v>
      </c>
      <c r="O417" s="28">
        <f>IFERROR(VLOOKUP(BD_DETALLE!B417,Tabla9[],11,0),0)</f>
        <v>11699</v>
      </c>
      <c r="P417" s="26">
        <f>IFERROR(SUMIFS(Tabla9[CANTIDAD3],Tabla9[BUSQUEDA],Tabla3[[#This Row],[BUSQUEDA]],Tabla9[CODIGO],Tabla3[[#This Row],[CODIGO]]),0)</f>
        <v>2</v>
      </c>
      <c r="Q417" s="25">
        <f>IF(BD_DETALLE!P417&lt;=0,0,IF(BD_DETALLE!P417=BD_DETALLE!H417,2,1))</f>
        <v>2</v>
      </c>
      <c r="R417" s="41">
        <f ca="1">IF(BD_DETALLE!$C417&gt;0,(IF(BD_DETALLE!$N417=0,TODAY()-BD_DETALLE!$C417,BD_DETALLE!$N417-BD_DETALLE!$C417)),"")</f>
        <v>20</v>
      </c>
    </row>
    <row r="418" spans="2:18" x14ac:dyDescent="0.25">
      <c r="B418" s="15" t="str">
        <f t="shared" si="52"/>
        <v>2103-156-306342</v>
      </c>
      <c r="C418" s="7">
        <v>44272</v>
      </c>
      <c r="D418" s="5" t="str">
        <f>IF(BD_DETALLE!$E418&gt;=1,CONCATENATE(TEXT(BD_DETALLE!$C418,"YY"),TEXT(BD_DETALLE!$C418,"MM"),"-",BD_DETALLE!$E418),"")</f>
        <v>2103-156</v>
      </c>
      <c r="E418" s="12">
        <v>156</v>
      </c>
      <c r="F418" s="21">
        <v>306342</v>
      </c>
      <c r="G418" s="4" t="str">
        <f>IFERROR(VLOOKUP(BD_DETALLE!$B418,Tabla9[],6,0),"")</f>
        <v>PIÐON  DE 18 DIENTES PASO 120</v>
      </c>
      <c r="H418" s="6">
        <f>IFERROR(VLOOKUP(BD_DETALLE!$B418,Tabla9[],4,0),0)</f>
        <v>3</v>
      </c>
      <c r="I418" s="19" t="s">
        <v>12</v>
      </c>
      <c r="J418" s="20" t="s">
        <v>960</v>
      </c>
      <c r="K418" s="10">
        <f>IFERROR(VLOOKUP(BD_DETALLE!B418,Tabla9[],7,0),"")</f>
        <v>44281</v>
      </c>
      <c r="L418" s="11">
        <f>IFERROR(VLOOKUP(BD_DETALLE!B418,Tabla9[],8,0),"")</f>
        <v>52285</v>
      </c>
      <c r="M418" s="9">
        <f>IFERROR(SUMIFS(Tabla9[CANTIDAD2],Tabla9[BUSQUEDA],Tabla3[[#This Row],[BUSQUEDA]],Tabla9[CODIGO],Tabla3[[#This Row],[CODIGO]],Tabla9[ORDEN No.],Tabla3[[#This Row],[ORDEN de COMPRA]]),0)</f>
        <v>3</v>
      </c>
      <c r="N418" s="27">
        <f>IFERROR(IF(BD_DETALLE!B418&gt;0,VLOOKUP(BD_DETALLE!B418,Tabla9[],10,0),""),"")</f>
        <v>44284</v>
      </c>
      <c r="O418" s="28">
        <f>IFERROR(VLOOKUP(BD_DETALLE!B418,Tabla9[],11,0),0)</f>
        <v>11675</v>
      </c>
      <c r="P418" s="26">
        <f>IFERROR(SUMIFS(Tabla9[CANTIDAD3],Tabla9[BUSQUEDA],Tabla3[[#This Row],[BUSQUEDA]],Tabla9[CODIGO],Tabla3[[#This Row],[CODIGO]]),0)</f>
        <v>3</v>
      </c>
      <c r="Q418" s="25">
        <f>IF(BD_DETALLE!P418&lt;=0,0,IF(BD_DETALLE!P418=BD_DETALLE!H418,2,1))</f>
        <v>2</v>
      </c>
      <c r="R418" s="41">
        <f ca="1">IF(BD_DETALLE!$C418&gt;0,(IF(BD_DETALLE!$N418=0,TODAY()-BD_DETALLE!$C418,BD_DETALLE!$N418-BD_DETALLE!$C418)),"")</f>
        <v>12</v>
      </c>
    </row>
    <row r="419" spans="2:18" x14ac:dyDescent="0.25">
      <c r="B419" s="15" t="str">
        <f t="shared" si="52"/>
        <v>2103-156-203639</v>
      </c>
      <c r="C419" s="7">
        <v>44272</v>
      </c>
      <c r="D419" s="5" t="str">
        <f>IF(BD_DETALLE!$E419&gt;=1,CONCATENATE(TEXT(BD_DETALLE!$C419,"YY"),TEXT(BD_DETALLE!$C419,"MM"),"-",BD_DETALLE!$E419),"")</f>
        <v>2103-156</v>
      </c>
      <c r="E419" s="12">
        <v>156</v>
      </c>
      <c r="F419" s="21">
        <v>203639</v>
      </c>
      <c r="G419" s="4" t="str">
        <f>IFERROR(VLOOKUP(BD_DETALLE!$B419,Tabla9[],6,0),"")</f>
        <v>PIÐON PAS0 120 DE 16 DIENTES</v>
      </c>
      <c r="H419" s="6">
        <f>IFERROR(VLOOKUP(BD_DETALLE!$B419,Tabla9[],4,0),0)</f>
        <v>3</v>
      </c>
      <c r="I419" s="19" t="s">
        <v>12</v>
      </c>
      <c r="J419" s="20" t="s">
        <v>960</v>
      </c>
      <c r="K419" s="10">
        <f>IFERROR(VLOOKUP(BD_DETALLE!B419,Tabla9[],7,0),"")</f>
        <v>44281</v>
      </c>
      <c r="L419" s="11">
        <f>IFERROR(VLOOKUP(BD_DETALLE!B419,Tabla9[],8,0),"")</f>
        <v>52284</v>
      </c>
      <c r="M419" s="9">
        <f>IFERROR(SUMIFS(Tabla9[CANTIDAD2],Tabla9[BUSQUEDA],Tabla3[[#This Row],[BUSQUEDA]],Tabla9[CODIGO],Tabla3[[#This Row],[CODIGO]],Tabla9[ORDEN No.],Tabla3[[#This Row],[ORDEN de COMPRA]]),0)</f>
        <v>2</v>
      </c>
      <c r="N419" s="27">
        <f>IFERROR(IF(BD_DETALLE!B419&gt;0,VLOOKUP(BD_DETALLE!B419,Tabla9[],10,0),""),"")</f>
        <v>44294</v>
      </c>
      <c r="O419" s="28">
        <f>IFERROR(VLOOKUP(BD_DETALLE!B419,Tabla9[],11,0),0)</f>
        <v>11743</v>
      </c>
      <c r="P419" s="26">
        <f>IFERROR(SUMIFS(Tabla9[CANTIDAD3],Tabla9[BUSQUEDA],Tabla3[[#This Row],[BUSQUEDA]],Tabla9[CODIGO],Tabla3[[#This Row],[CODIGO]]),0)</f>
        <v>2</v>
      </c>
      <c r="Q419" s="25">
        <f>IF(BD_DETALLE!P419&lt;=0,0,IF(BD_DETALLE!P419=BD_DETALLE!H419,2,1))</f>
        <v>1</v>
      </c>
      <c r="R419" s="41">
        <f ca="1">IF(BD_DETALLE!$C419&gt;0,(IF(BD_DETALLE!$N419=0,TODAY()-BD_DETALLE!$C419,BD_DETALLE!$N419-BD_DETALLE!$C419)),"")</f>
        <v>22</v>
      </c>
    </row>
    <row r="420" spans="2:18" x14ac:dyDescent="0.25">
      <c r="B420" s="15" t="str">
        <f t="shared" si="52"/>
        <v>2103-156-206618</v>
      </c>
      <c r="C420" s="7">
        <v>44272</v>
      </c>
      <c r="D420" s="5" t="str">
        <f>IF(BD_DETALLE!$E420&gt;=1,CONCATENATE(TEXT(BD_DETALLE!$C420,"YY"),TEXT(BD_DETALLE!$C420,"MM"),"-",BD_DETALLE!$E420),"")</f>
        <v>2103-156</v>
      </c>
      <c r="E420" s="12">
        <v>156</v>
      </c>
      <c r="F420" s="21">
        <v>206618</v>
      </c>
      <c r="G420" s="4" t="str">
        <f>IFERROR(VLOOKUP(BD_DETALLE!$B420,Tabla9[],6,0),"")</f>
        <v>PIÐON 20D - PASO 120</v>
      </c>
      <c r="H420" s="6">
        <f>IFERROR(VLOOKUP(BD_DETALLE!$B420,Tabla9[],4,0),0)</f>
        <v>3</v>
      </c>
      <c r="I420" s="19" t="s">
        <v>12</v>
      </c>
      <c r="J420" s="20" t="s">
        <v>960</v>
      </c>
      <c r="K420" s="10">
        <f>IFERROR(VLOOKUP(BD_DETALLE!B420,Tabla9[],7,0),"")</f>
        <v>44281</v>
      </c>
      <c r="L420" s="11">
        <f>IFERROR(VLOOKUP(BD_DETALLE!B420,Tabla9[],8,0),"")</f>
        <v>52285</v>
      </c>
      <c r="M420" s="9">
        <f>IFERROR(SUMIFS(Tabla9[CANTIDAD2],Tabla9[BUSQUEDA],Tabla3[[#This Row],[BUSQUEDA]],Tabla9[CODIGO],Tabla3[[#This Row],[CODIGO]],Tabla9[ORDEN No.],Tabla3[[#This Row],[ORDEN de COMPRA]]),0)</f>
        <v>3</v>
      </c>
      <c r="N420" s="27">
        <f>IFERROR(IF(BD_DETALLE!B420&gt;0,VLOOKUP(BD_DETALLE!B420,Tabla9[],10,0),""),"")</f>
        <v>44284</v>
      </c>
      <c r="O420" s="28">
        <f>IFERROR(VLOOKUP(BD_DETALLE!B420,Tabla9[],11,0),0)</f>
        <v>11675</v>
      </c>
      <c r="P420" s="26">
        <f>IFERROR(SUMIFS(Tabla9[CANTIDAD3],Tabla9[BUSQUEDA],Tabla3[[#This Row],[BUSQUEDA]],Tabla9[CODIGO],Tabla3[[#This Row],[CODIGO]]),0)</f>
        <v>3</v>
      </c>
      <c r="Q420" s="25">
        <f>IF(BD_DETALLE!P420&lt;=0,0,IF(BD_DETALLE!P420=BD_DETALLE!H420,2,1))</f>
        <v>2</v>
      </c>
      <c r="R420" s="41">
        <f ca="1">IF(BD_DETALLE!$C420&gt;0,(IF(BD_DETALLE!$N420=0,TODAY()-BD_DETALLE!$C420,BD_DETALLE!$N420-BD_DETALLE!$C420)),"")</f>
        <v>12</v>
      </c>
    </row>
    <row r="421" spans="2:18" x14ac:dyDescent="0.25">
      <c r="B421" s="15" t="str">
        <f t="shared" si="52"/>
        <v>2103-156-302029</v>
      </c>
      <c r="C421" s="7">
        <v>44272</v>
      </c>
      <c r="D421" s="5" t="str">
        <f>IF(BD_DETALLE!$E421&gt;=1,CONCATENATE(TEXT(BD_DETALLE!$C421,"YY"),TEXT(BD_DETALLE!$C421,"MM"),"-",BD_DETALLE!$E421),"")</f>
        <v>2103-156</v>
      </c>
      <c r="E421" s="12">
        <v>156</v>
      </c>
      <c r="F421" s="21">
        <v>302029</v>
      </c>
      <c r="G421" s="4" t="str">
        <f>IFERROR(VLOOKUP(BD_DETALLE!$B421,Tabla9[],6,0),"")</f>
        <v>TUBO A/INOX DE 1/4" x 6MTS</v>
      </c>
      <c r="H421" s="6">
        <f>IFERROR(VLOOKUP(BD_DETALLE!$B421,Tabla9[],4,0),0)</f>
        <v>1</v>
      </c>
      <c r="I421" s="19" t="s">
        <v>12</v>
      </c>
      <c r="J421" s="20" t="s">
        <v>960</v>
      </c>
      <c r="K421" s="10">
        <f>IFERROR(VLOOKUP(BD_DETALLE!B421,Tabla9[],7,0),"")</f>
        <v>44281</v>
      </c>
      <c r="L421" s="11">
        <f>IFERROR(VLOOKUP(BD_DETALLE!B421,Tabla9[],8,0),"")</f>
        <v>52283</v>
      </c>
      <c r="M421" s="9">
        <f>IFERROR(SUMIFS(Tabla9[CANTIDAD2],Tabla9[BUSQUEDA],Tabla3[[#This Row],[BUSQUEDA]],Tabla9[CODIGO],Tabla3[[#This Row],[CODIGO]],Tabla9[ORDEN No.],Tabla3[[#This Row],[ORDEN de COMPRA]]),0)</f>
        <v>1</v>
      </c>
      <c r="N421" s="27">
        <f>IFERROR(IF(BD_DETALLE!B421&gt;0,VLOOKUP(BD_DETALLE!B421,Tabla9[],10,0),""),"")</f>
        <v>0</v>
      </c>
      <c r="O421" s="28">
        <f>IFERROR(VLOOKUP(BD_DETALLE!B421,Tabla9[],11,0),0)</f>
        <v>0</v>
      </c>
      <c r="P421" s="26">
        <f>IFERROR(SUMIFS(Tabla9[CANTIDAD3],Tabla9[BUSQUEDA],Tabla3[[#This Row],[BUSQUEDA]],Tabla9[CODIGO],Tabla3[[#This Row],[CODIGO]]),0)</f>
        <v>0</v>
      </c>
      <c r="Q421" s="25">
        <f>IF(BD_DETALLE!P421&lt;=0,0,IF(BD_DETALLE!P421=BD_DETALLE!H421,2,1))</f>
        <v>0</v>
      </c>
      <c r="R421" s="41">
        <f ca="1">IF(BD_DETALLE!$C421&gt;0,(IF(BD_DETALLE!$N421=0,TODAY()-BD_DETALLE!$C421,BD_DETALLE!$N421-BD_DETALLE!$C421)),"")</f>
        <v>33</v>
      </c>
    </row>
    <row r="422" spans="2:18" x14ac:dyDescent="0.25">
      <c r="B422" s="15" t="str">
        <f t="shared" si="52"/>
        <v>2103-157-320375</v>
      </c>
      <c r="C422" s="7">
        <v>44272</v>
      </c>
      <c r="D422" s="5" t="str">
        <f>IF(BD_DETALLE!$E422&gt;=1,CONCATENATE(TEXT(BD_DETALLE!$C422,"YY"),TEXT(BD_DETALLE!$C422,"MM"),"-",BD_DETALLE!$E422),"")</f>
        <v>2103-157</v>
      </c>
      <c r="E422" s="12">
        <v>157</v>
      </c>
      <c r="F422" s="21">
        <v>320375</v>
      </c>
      <c r="G422" s="4" t="str">
        <f>IFERROR(VLOOKUP(BD_DETALLE!$B422,Tabla9[],6,0),"")</f>
        <v>TERMOMETRO BIMETALICO C/GLICERINA DIAL 4" DE 0 A 150║C, BULBO DE 4" C/NEPLO 1/2"</v>
      </c>
      <c r="H422" s="6">
        <f>IFERROR(VLOOKUP(BD_DETALLE!$B422,Tabla9[],4,0),0)</f>
        <v>10</v>
      </c>
      <c r="I422" s="19" t="s">
        <v>12</v>
      </c>
      <c r="J422" s="20" t="s">
        <v>960</v>
      </c>
      <c r="K422" s="10">
        <f>IFERROR(VLOOKUP(BD_DETALLE!B422,Tabla9[],7,0),"")</f>
        <v>0</v>
      </c>
      <c r="L422" s="11">
        <f>IFERROR(VLOOKUP(BD_DETALLE!B422,Tabla9[],8,0),"")</f>
        <v>0</v>
      </c>
      <c r="M422" s="9">
        <f>IFERROR(SUMIFS(Tabla9[CANTIDAD2],Tabla9[BUSQUEDA],Tabla3[[#This Row],[BUSQUEDA]],Tabla9[CODIGO],Tabla3[[#This Row],[CODIGO]],Tabla9[ORDEN No.],Tabla3[[#This Row],[ORDEN de COMPRA]]),0)</f>
        <v>0</v>
      </c>
      <c r="N422" s="27">
        <f>IFERROR(IF(BD_DETALLE!B422&gt;0,VLOOKUP(BD_DETALLE!B422,Tabla9[],10,0),""),"")</f>
        <v>0</v>
      </c>
      <c r="O422" s="28">
        <f>IFERROR(VLOOKUP(BD_DETALLE!B422,Tabla9[],11,0),0)</f>
        <v>0</v>
      </c>
      <c r="P422" s="26">
        <f>IFERROR(SUMIFS(Tabla9[CANTIDAD3],Tabla9[BUSQUEDA],Tabla3[[#This Row],[BUSQUEDA]],Tabla9[CODIGO],Tabla3[[#This Row],[CODIGO]]),0)</f>
        <v>0</v>
      </c>
      <c r="Q422" s="25">
        <f>IF(BD_DETALLE!P422&lt;=0,0,IF(BD_DETALLE!P422=BD_DETALLE!H422,2,1))</f>
        <v>0</v>
      </c>
      <c r="R422" s="41">
        <f ca="1">IF(BD_DETALLE!$C422&gt;0,(IF(BD_DETALLE!$N422=0,TODAY()-BD_DETALLE!$C422,BD_DETALLE!$N422-BD_DETALLE!$C422)),"")</f>
        <v>33</v>
      </c>
    </row>
    <row r="423" spans="2:18" x14ac:dyDescent="0.25">
      <c r="B423" s="15" t="str">
        <f t="shared" si="52"/>
        <v>2103-157-107222</v>
      </c>
      <c r="C423" s="7">
        <v>44272</v>
      </c>
      <c r="D423" s="5" t="str">
        <f>IF(BD_DETALLE!$E423&gt;=1,CONCATENATE(TEXT(BD_DETALLE!$C423,"YY"),TEXT(BD_DETALLE!$C423,"MM"),"-",BD_DETALLE!$E423),"")</f>
        <v>2103-157</v>
      </c>
      <c r="E423" s="12">
        <v>157</v>
      </c>
      <c r="F423" s="21">
        <v>107222</v>
      </c>
      <c r="G423" s="4" t="str">
        <f>IFERROR(VLOOKUP(BD_DETALLE!$B423,Tabla9[],6,0),"")</f>
        <v>UNION SIMPLE A/INOX DE 1/2"</v>
      </c>
      <c r="H423" s="6">
        <f>IFERROR(VLOOKUP(BD_DETALLE!$B423,Tabla9[],4,0),0)</f>
        <v>10</v>
      </c>
      <c r="I423" s="19" t="s">
        <v>12</v>
      </c>
      <c r="J423" s="20" t="s">
        <v>960</v>
      </c>
      <c r="K423" s="10">
        <f>IFERROR(VLOOKUP(BD_DETALLE!B423,Tabla9[],7,0),"")</f>
        <v>0</v>
      </c>
      <c r="L423" s="11">
        <f>IFERROR(VLOOKUP(BD_DETALLE!B423,Tabla9[],8,0),"")</f>
        <v>0</v>
      </c>
      <c r="M423" s="9">
        <f>IFERROR(SUMIFS(Tabla9[CANTIDAD2],Tabla9[BUSQUEDA],Tabla3[[#This Row],[BUSQUEDA]],Tabla9[CODIGO],Tabla3[[#This Row],[CODIGO]],Tabla9[ORDEN No.],Tabla3[[#This Row],[ORDEN de COMPRA]]),0)</f>
        <v>0</v>
      </c>
      <c r="N423" s="27">
        <f>IFERROR(IF(BD_DETALLE!B423&gt;0,VLOOKUP(BD_DETALLE!B423,Tabla9[],10,0),""),"")</f>
        <v>0</v>
      </c>
      <c r="O423" s="28">
        <f>IFERROR(VLOOKUP(BD_DETALLE!B423,Tabla9[],11,0),0)</f>
        <v>0</v>
      </c>
      <c r="P423" s="26">
        <f>IFERROR(SUMIFS(Tabla9[CANTIDAD3],Tabla9[BUSQUEDA],Tabla3[[#This Row],[BUSQUEDA]],Tabla9[CODIGO],Tabla3[[#This Row],[CODIGO]]),0)</f>
        <v>0</v>
      </c>
      <c r="Q423" s="25">
        <f>IF(BD_DETALLE!P423&lt;=0,0,IF(BD_DETALLE!P423=BD_DETALLE!H423,2,1))</f>
        <v>0</v>
      </c>
      <c r="R423" s="41">
        <f ca="1">IF(BD_DETALLE!$C423&gt;0,(IF(BD_DETALLE!$N423=0,TODAY()-BD_DETALLE!$C423,BD_DETALLE!$N423-BD_DETALLE!$C423)),"")</f>
        <v>33</v>
      </c>
    </row>
    <row r="424" spans="2:18" x14ac:dyDescent="0.25">
      <c r="B424" s="15" t="str">
        <f t="shared" si="52"/>
        <v>2103-158-319292</v>
      </c>
      <c r="C424" s="7">
        <v>44272</v>
      </c>
      <c r="D424" s="5" t="str">
        <f>IF(BD_DETALLE!$E424&gt;=1,CONCATENATE(TEXT(BD_DETALLE!$C424,"YY"),TEXT(BD_DETALLE!$C424,"MM"),"-",BD_DETALLE!$E424),"")</f>
        <v>2103-158</v>
      </c>
      <c r="E424" s="12">
        <v>158</v>
      </c>
      <c r="F424" s="21">
        <v>319292</v>
      </c>
      <c r="G424" s="4" t="str">
        <f>IFERROR(VLOOKUP(BD_DETALLE!$B424,Tabla9[],6,0),"")</f>
        <v>BUJIAS U11 - TSA/INDQ14R</v>
      </c>
      <c r="H424" s="6">
        <f>IFERROR(VLOOKUP(BD_DETALLE!$B424,Tabla9[],4,0),0)</f>
        <v>24</v>
      </c>
      <c r="I424" s="19" t="s">
        <v>15</v>
      </c>
      <c r="J424" s="20" t="s">
        <v>385</v>
      </c>
      <c r="K424" s="10">
        <f>IFERROR(VLOOKUP(BD_DETALLE!B424,Tabla9[],7,0),"")</f>
        <v>0</v>
      </c>
      <c r="L424" s="11">
        <f>IFERROR(VLOOKUP(BD_DETALLE!B424,Tabla9[],8,0),"")</f>
        <v>0</v>
      </c>
      <c r="M424" s="9">
        <f>IFERROR(SUMIFS(Tabla9[CANTIDAD2],Tabla9[BUSQUEDA],Tabla3[[#This Row],[BUSQUEDA]],Tabla9[CODIGO],Tabla3[[#This Row],[CODIGO]],Tabla9[ORDEN No.],Tabla3[[#This Row],[ORDEN de COMPRA]]),0)</f>
        <v>0</v>
      </c>
      <c r="N424" s="27">
        <f>IFERROR(IF(BD_DETALLE!B424&gt;0,VLOOKUP(BD_DETALLE!B424,Tabla9[],10,0),""),"")</f>
        <v>0</v>
      </c>
      <c r="O424" s="28">
        <f>IFERROR(VLOOKUP(BD_DETALLE!B424,Tabla9[],11,0),0)</f>
        <v>0</v>
      </c>
      <c r="P424" s="26">
        <f>IFERROR(SUMIFS(Tabla9[CANTIDAD3],Tabla9[BUSQUEDA],Tabla3[[#This Row],[BUSQUEDA]],Tabla9[CODIGO],Tabla3[[#This Row],[CODIGO]]),0)</f>
        <v>0</v>
      </c>
      <c r="Q424" s="25">
        <f>IF(BD_DETALLE!P424&lt;=0,0,IF(BD_DETALLE!P424=BD_DETALLE!H424,2,1))</f>
        <v>0</v>
      </c>
      <c r="R424" s="41">
        <f ca="1">IF(BD_DETALLE!$C424&gt;0,(IF(BD_DETALLE!$N424=0,TODAY()-BD_DETALLE!$C424,BD_DETALLE!$N424-BD_DETALLE!$C424)),"")</f>
        <v>33</v>
      </c>
    </row>
    <row r="425" spans="2:18" x14ac:dyDescent="0.25">
      <c r="B425" s="15" t="str">
        <f t="shared" si="52"/>
        <v>2103-159-320811</v>
      </c>
      <c r="C425" s="7">
        <v>44272</v>
      </c>
      <c r="D425" s="5" t="str">
        <f>IF(BD_DETALLE!$E425&gt;=1,CONCATENATE(TEXT(BD_DETALLE!$C425,"YY"),TEXT(BD_DETALLE!$C425,"MM"),"-",BD_DETALLE!$E425),"")</f>
        <v>2103-159</v>
      </c>
      <c r="E425" s="12">
        <v>159</v>
      </c>
      <c r="F425" s="21">
        <v>320811</v>
      </c>
      <c r="G425" s="4" t="str">
        <f>IFERROR(VLOOKUP(BD_DETALLE!$B425,Tabla9[],6,0),"")</f>
        <v>JUNTA FLEXIBLE DE EXPANSION DE 3" X 590mm (JOINT SINGLE)</v>
      </c>
      <c r="H425" s="6">
        <f>IFERROR(VLOOKUP(BD_DETALLE!$B425,Tabla9[],4,0),0)</f>
        <v>2</v>
      </c>
      <c r="I425" s="19" t="s">
        <v>19</v>
      </c>
      <c r="J425" s="20" t="s">
        <v>2038</v>
      </c>
      <c r="K425" s="10">
        <f>IFERROR(VLOOKUP(BD_DETALLE!B425,Tabla9[],7,0),"")</f>
        <v>0</v>
      </c>
      <c r="L425" s="11">
        <f>IFERROR(VLOOKUP(BD_DETALLE!B425,Tabla9[],8,0),"")</f>
        <v>0</v>
      </c>
      <c r="M425" s="9">
        <f>IFERROR(SUMIFS(Tabla9[CANTIDAD2],Tabla9[BUSQUEDA],Tabla3[[#This Row],[BUSQUEDA]],Tabla9[CODIGO],Tabla3[[#This Row],[CODIGO]],Tabla9[ORDEN No.],Tabla3[[#This Row],[ORDEN de COMPRA]]),0)</f>
        <v>0</v>
      </c>
      <c r="N425" s="27">
        <f>IFERROR(IF(BD_DETALLE!B425&gt;0,VLOOKUP(BD_DETALLE!B425,Tabla9[],10,0),""),"")</f>
        <v>0</v>
      </c>
      <c r="O425" s="28">
        <f>IFERROR(VLOOKUP(BD_DETALLE!B425,Tabla9[],11,0),0)</f>
        <v>0</v>
      </c>
      <c r="P425" s="26">
        <f>IFERROR(SUMIFS(Tabla9[CANTIDAD3],Tabla9[BUSQUEDA],Tabla3[[#This Row],[BUSQUEDA]],Tabla9[CODIGO],Tabla3[[#This Row],[CODIGO]]),0)</f>
        <v>0</v>
      </c>
      <c r="Q425" s="25">
        <f>IF(BD_DETALLE!P425&lt;=0,0,IF(BD_DETALLE!P425=BD_DETALLE!H425,2,1))</f>
        <v>0</v>
      </c>
      <c r="R425" s="41">
        <f ca="1">IF(BD_DETALLE!$C425&gt;0,(IF(BD_DETALLE!$N425=0,TODAY()-BD_DETALLE!$C425,BD_DETALLE!$N425-BD_DETALLE!$C425)),"")</f>
        <v>33</v>
      </c>
    </row>
    <row r="426" spans="2:18" x14ac:dyDescent="0.25">
      <c r="B426" s="15" t="str">
        <f t="shared" si="52"/>
        <v>2103-160-320923</v>
      </c>
      <c r="C426" s="7">
        <v>44272</v>
      </c>
      <c r="D426" s="5" t="str">
        <f>IF(BD_DETALLE!$E426&gt;=1,CONCATENATE(TEXT(BD_DETALLE!$C426,"YY"),TEXT(BD_DETALLE!$C426,"MM"),"-",BD_DETALLE!$E426),"")</f>
        <v>2103-160</v>
      </c>
      <c r="E426" s="12">
        <v>160</v>
      </c>
      <c r="F426" s="21">
        <v>320923</v>
      </c>
      <c r="G426" s="4" t="str">
        <f>IFERROR(VLOOKUP(BD_DETALLE!$B426,Tabla9[],6,0),"")</f>
        <v>PERNO ACERO NEGRO DE 1.1/2" X 4" PASO 6</v>
      </c>
      <c r="H426" s="6">
        <f>IFERROR(VLOOKUP(BD_DETALLE!$B426,Tabla9[],4,0),0)</f>
        <v>32</v>
      </c>
      <c r="I426" s="19" t="s">
        <v>12</v>
      </c>
      <c r="J426" s="20" t="s">
        <v>960</v>
      </c>
      <c r="K426" s="10">
        <f>IFERROR(VLOOKUP(BD_DETALLE!B426,Tabla9[],7,0),"")</f>
        <v>44273</v>
      </c>
      <c r="L426" s="11">
        <f>IFERROR(VLOOKUP(BD_DETALLE!B426,Tabla9[],8,0),"")</f>
        <v>52177</v>
      </c>
      <c r="M426" s="9">
        <f>IFERROR(SUMIFS(Tabla9[CANTIDAD2],Tabla9[BUSQUEDA],Tabla3[[#This Row],[BUSQUEDA]],Tabla9[CODIGO],Tabla3[[#This Row],[CODIGO]],Tabla9[ORDEN No.],Tabla3[[#This Row],[ORDEN de COMPRA]]),0)</f>
        <v>32</v>
      </c>
      <c r="N426" s="27">
        <f>IFERROR(IF(BD_DETALLE!B426&gt;0,VLOOKUP(BD_DETALLE!B426,Tabla9[],10,0),""),"")</f>
        <v>44278</v>
      </c>
      <c r="O426" s="28">
        <f>IFERROR(VLOOKUP(BD_DETALLE!B426,Tabla9[],11,0),0)</f>
        <v>11607</v>
      </c>
      <c r="P426" s="26">
        <f>IFERROR(SUMIFS(Tabla9[CANTIDAD3],Tabla9[BUSQUEDA],Tabla3[[#This Row],[BUSQUEDA]],Tabla9[CODIGO],Tabla3[[#This Row],[CODIGO]]),0)</f>
        <v>32</v>
      </c>
      <c r="Q426" s="25">
        <f>IF(BD_DETALLE!P426&lt;=0,0,IF(BD_DETALLE!P426=BD_DETALLE!H426,2,1))</f>
        <v>2</v>
      </c>
      <c r="R426" s="41">
        <f ca="1">IF(BD_DETALLE!$C426&gt;0,(IF(BD_DETALLE!$N426=0,TODAY()-BD_DETALLE!$C426,BD_DETALLE!$N426-BD_DETALLE!$C426)),"")</f>
        <v>6</v>
      </c>
    </row>
    <row r="427" spans="2:18" x14ac:dyDescent="0.25">
      <c r="B427" s="15" t="str">
        <f t="shared" si="52"/>
        <v>2103-160-320924</v>
      </c>
      <c r="C427" s="7">
        <v>44272</v>
      </c>
      <c r="D427" s="5" t="str">
        <f>IF(BD_DETALLE!$E427&gt;=1,CONCATENATE(TEXT(BD_DETALLE!$C427,"YY"),TEXT(BD_DETALLE!$C427,"MM"),"-",BD_DETALLE!$E427),"")</f>
        <v>2103-160</v>
      </c>
      <c r="E427" s="12">
        <v>160</v>
      </c>
      <c r="F427" s="21">
        <v>320924</v>
      </c>
      <c r="G427" s="4" t="str">
        <f>IFERROR(VLOOKUP(BD_DETALLE!$B427,Tabla9[],6,0),"")</f>
        <v>TUERCA ACERO NEGRO DE 9 x 11 x 50cmt HILO 1.1/2"  PASO 6</v>
      </c>
      <c r="H427" s="6">
        <f>IFERROR(VLOOKUP(BD_DETALLE!$B427,Tabla9[],4,0),0)</f>
        <v>32</v>
      </c>
      <c r="I427" s="19" t="s">
        <v>12</v>
      </c>
      <c r="J427" s="20" t="s">
        <v>960</v>
      </c>
      <c r="K427" s="10">
        <f>IFERROR(VLOOKUP(BD_DETALLE!B427,Tabla9[],7,0),"")</f>
        <v>44273</v>
      </c>
      <c r="L427" s="11">
        <f>IFERROR(VLOOKUP(BD_DETALLE!B427,Tabla9[],8,0),"")</f>
        <v>52177</v>
      </c>
      <c r="M427" s="9">
        <f>IFERROR(SUMIFS(Tabla9[CANTIDAD2],Tabla9[BUSQUEDA],Tabla3[[#This Row],[BUSQUEDA]],Tabla9[CODIGO],Tabla3[[#This Row],[CODIGO]],Tabla9[ORDEN No.],Tabla3[[#This Row],[ORDEN de COMPRA]]),0)</f>
        <v>32</v>
      </c>
      <c r="N427" s="27">
        <f>IFERROR(IF(BD_DETALLE!B427&gt;0,VLOOKUP(BD_DETALLE!B427,Tabla9[],10,0),""),"")</f>
        <v>44278</v>
      </c>
      <c r="O427" s="28">
        <f>IFERROR(VLOOKUP(BD_DETALLE!B427,Tabla9[],11,0),0)</f>
        <v>11607</v>
      </c>
      <c r="P427" s="26">
        <f>IFERROR(SUMIFS(Tabla9[CANTIDAD3],Tabla9[BUSQUEDA],Tabla3[[#This Row],[BUSQUEDA]],Tabla9[CODIGO],Tabla3[[#This Row],[CODIGO]]),0)</f>
        <v>32</v>
      </c>
      <c r="Q427" s="25">
        <f>IF(BD_DETALLE!P427&lt;=0,0,IF(BD_DETALLE!P427=BD_DETALLE!H427,2,1))</f>
        <v>2</v>
      </c>
      <c r="R427" s="41">
        <f ca="1">IF(BD_DETALLE!$C427&gt;0,(IF(BD_DETALLE!$N427=0,TODAY()-BD_DETALLE!$C427,BD_DETALLE!$N427-BD_DETALLE!$C427)),"")</f>
        <v>6</v>
      </c>
    </row>
    <row r="428" spans="2:18" x14ac:dyDescent="0.25">
      <c r="B428" s="15" t="str">
        <f t="shared" si="52"/>
        <v>2103-164-304551</v>
      </c>
      <c r="C428" s="7">
        <v>44272</v>
      </c>
      <c r="D428" s="5" t="str">
        <f>IF(BD_DETALLE!$E428&gt;=1,CONCATENATE(TEXT(BD_DETALLE!$C428,"YY"),TEXT(BD_DETALLE!$C428,"MM"),"-",BD_DETALLE!$E428),"")</f>
        <v>2103-164</v>
      </c>
      <c r="E428" s="12">
        <v>164</v>
      </c>
      <c r="F428" s="21">
        <v>304551</v>
      </c>
      <c r="G428" s="4" t="str">
        <f>IFERROR(VLOOKUP(BD_DETALLE!$B428,Tabla9[],6,0),"")</f>
        <v>BANDA 5VX630</v>
      </c>
      <c r="H428" s="6">
        <f>IFERROR(VLOOKUP(BD_DETALLE!$B428,Tabla9[],4,0),0)</f>
        <v>12</v>
      </c>
      <c r="I428" s="19" t="s">
        <v>19</v>
      </c>
      <c r="J428" s="20" t="s">
        <v>2039</v>
      </c>
      <c r="K428" s="10">
        <f>IFERROR(VLOOKUP(BD_DETALLE!B428,Tabla9[],7,0),"")</f>
        <v>44285</v>
      </c>
      <c r="L428" s="11">
        <f>IFERROR(VLOOKUP(BD_DETALLE!B428,Tabla9[],8,0),"")</f>
        <v>52309</v>
      </c>
      <c r="M428" s="9">
        <f>IFERROR(SUMIFS(Tabla9[CANTIDAD2],Tabla9[BUSQUEDA],Tabla3[[#This Row],[BUSQUEDA]],Tabla9[CODIGO],Tabla3[[#This Row],[CODIGO]],Tabla9[ORDEN No.],Tabla3[[#This Row],[ORDEN de COMPRA]]),0)</f>
        <v>12</v>
      </c>
      <c r="N428" s="27">
        <f>IFERROR(IF(BD_DETALLE!B428&gt;0,VLOOKUP(BD_DETALLE!B428,Tabla9[],10,0),""),"")</f>
        <v>44299</v>
      </c>
      <c r="O428" s="28">
        <f>IFERROR(VLOOKUP(BD_DETALLE!B428,Tabla9[],11,0),0)</f>
        <v>11802</v>
      </c>
      <c r="P428" s="26">
        <f>IFERROR(SUMIFS(Tabla9[CANTIDAD3],Tabla9[BUSQUEDA],Tabla3[[#This Row],[BUSQUEDA]],Tabla9[CODIGO],Tabla3[[#This Row],[CODIGO]]),0)</f>
        <v>12</v>
      </c>
      <c r="Q428" s="25">
        <f>IF(BD_DETALLE!P428&lt;=0,0,IF(BD_DETALLE!P428=BD_DETALLE!H428,2,1))</f>
        <v>2</v>
      </c>
      <c r="R428" s="41">
        <f ca="1">IF(BD_DETALLE!$C428&gt;0,(IF(BD_DETALLE!$N428=0,TODAY()-BD_DETALLE!$C428,BD_DETALLE!$N428-BD_DETALLE!$C428)),"")</f>
        <v>27</v>
      </c>
    </row>
    <row r="429" spans="2:18" x14ac:dyDescent="0.25">
      <c r="B429" s="15" t="str">
        <f t="shared" si="52"/>
        <v>2103-168-203566</v>
      </c>
      <c r="C429" s="7">
        <v>44272</v>
      </c>
      <c r="D429" s="5" t="str">
        <f>IF(BD_DETALLE!$E429&gt;=1,CONCATENATE(TEXT(BD_DETALLE!$C429,"YY"),TEXT(BD_DETALLE!$C429,"MM"),"-",BD_DETALLE!$E429),"")</f>
        <v>2103-168</v>
      </c>
      <c r="E429" s="12">
        <v>168</v>
      </c>
      <c r="F429" s="21">
        <v>203566</v>
      </c>
      <c r="G429" s="4" t="str">
        <f>IFERROR(VLOOKUP(BD_DETALLE!$B429,Tabla9[],6,0),"")</f>
        <v>GLASS TUBE N║ 74462(002273)</v>
      </c>
      <c r="H429" s="6">
        <f>IFERROR(VLOOKUP(BD_DETALLE!$B429,Tabla9[],4,0),0)</f>
        <v>4</v>
      </c>
      <c r="I429" s="19" t="s">
        <v>19</v>
      </c>
      <c r="J429" s="20" t="s">
        <v>2040</v>
      </c>
      <c r="K429" s="10">
        <f>IFERROR(VLOOKUP(BD_DETALLE!B429,Tabla9[],7,0),"")</f>
        <v>0</v>
      </c>
      <c r="L429" s="11">
        <f>IFERROR(VLOOKUP(BD_DETALLE!B429,Tabla9[],8,0),"")</f>
        <v>0</v>
      </c>
      <c r="M429" s="9">
        <f>IFERROR(SUMIFS(Tabla9[CANTIDAD2],Tabla9[BUSQUEDA],Tabla3[[#This Row],[BUSQUEDA]],Tabla9[CODIGO],Tabla3[[#This Row],[CODIGO]],Tabla9[ORDEN No.],Tabla3[[#This Row],[ORDEN de COMPRA]]),0)</f>
        <v>0</v>
      </c>
      <c r="N429" s="27">
        <f>IFERROR(IF(BD_DETALLE!B429&gt;0,VLOOKUP(BD_DETALLE!B429,Tabla9[],10,0),""),"")</f>
        <v>0</v>
      </c>
      <c r="O429" s="28">
        <f>IFERROR(VLOOKUP(BD_DETALLE!B429,Tabla9[],11,0),0)</f>
        <v>0</v>
      </c>
      <c r="P429" s="26">
        <f>IFERROR(SUMIFS(Tabla9[CANTIDAD3],Tabla9[BUSQUEDA],Tabla3[[#This Row],[BUSQUEDA]],Tabla9[CODIGO],Tabla3[[#This Row],[CODIGO]]),0)</f>
        <v>0</v>
      </c>
      <c r="Q429" s="25">
        <f>IF(BD_DETALLE!P429&lt;=0,0,IF(BD_DETALLE!P429=BD_DETALLE!H429,2,1))</f>
        <v>0</v>
      </c>
      <c r="R429" s="41">
        <f ca="1">IF(BD_DETALLE!$C429&gt;0,(IF(BD_DETALLE!$N429=0,TODAY()-BD_DETALLE!$C429,BD_DETALLE!$N429-BD_DETALLE!$C429)),"")</f>
        <v>33</v>
      </c>
    </row>
    <row r="430" spans="2:18" x14ac:dyDescent="0.25">
      <c r="B430" s="15" t="str">
        <f t="shared" si="52"/>
        <v>2103-168-320293</v>
      </c>
      <c r="C430" s="7">
        <v>44272</v>
      </c>
      <c r="D430" s="5" t="str">
        <f>IF(BD_DETALLE!$E430&gt;=1,CONCATENATE(TEXT(BD_DETALLE!$C430,"YY"),TEXT(BD_DETALLE!$C430,"MM"),"-",BD_DETALLE!$E430),"")</f>
        <v>2103-168</v>
      </c>
      <c r="E430" s="12">
        <v>168</v>
      </c>
      <c r="F430" s="21">
        <v>320293</v>
      </c>
      <c r="G430" s="4" t="str">
        <f>IFERROR(VLOOKUP(BD_DETALLE!$B430,Tabla9[],6,0),"")</f>
        <v>JUNTA # 65247</v>
      </c>
      <c r="H430" s="6">
        <f>IFERROR(VLOOKUP(BD_DETALLE!$B430,Tabla9[],4,0),0)</f>
        <v>8</v>
      </c>
      <c r="I430" s="19" t="s">
        <v>19</v>
      </c>
      <c r="J430" s="20" t="s">
        <v>2040</v>
      </c>
      <c r="K430" s="10">
        <f>IFERROR(VLOOKUP(BD_DETALLE!B430,Tabla9[],7,0),"")</f>
        <v>0</v>
      </c>
      <c r="L430" s="11">
        <f>IFERROR(VLOOKUP(BD_DETALLE!B430,Tabla9[],8,0),"")</f>
        <v>0</v>
      </c>
      <c r="M430" s="9">
        <f>IFERROR(SUMIFS(Tabla9[CANTIDAD2],Tabla9[BUSQUEDA],Tabla3[[#This Row],[BUSQUEDA]],Tabla9[CODIGO],Tabla3[[#This Row],[CODIGO]],Tabla9[ORDEN No.],Tabla3[[#This Row],[ORDEN de COMPRA]]),0)</f>
        <v>0</v>
      </c>
      <c r="N430" s="27">
        <f>IFERROR(IF(BD_DETALLE!B430&gt;0,VLOOKUP(BD_DETALLE!B430,Tabla9[],10,0),""),"")</f>
        <v>0</v>
      </c>
      <c r="O430" s="28">
        <f>IFERROR(VLOOKUP(BD_DETALLE!B430,Tabla9[],11,0),0)</f>
        <v>0</v>
      </c>
      <c r="P430" s="26">
        <f>IFERROR(SUMIFS(Tabla9[CANTIDAD3],Tabla9[BUSQUEDA],Tabla3[[#This Row],[BUSQUEDA]],Tabla9[CODIGO],Tabla3[[#This Row],[CODIGO]]),0)</f>
        <v>0</v>
      </c>
      <c r="Q430" s="25">
        <f>IF(BD_DETALLE!P430&lt;=0,0,IF(BD_DETALLE!P430=BD_DETALLE!H430,2,1))</f>
        <v>0</v>
      </c>
      <c r="R430" s="41">
        <f ca="1">IF(BD_DETALLE!$C430&gt;0,(IF(BD_DETALLE!$N430=0,TODAY()-BD_DETALLE!$C430,BD_DETALLE!$N430-BD_DETALLE!$C430)),"")</f>
        <v>33</v>
      </c>
    </row>
    <row r="431" spans="2:18" x14ac:dyDescent="0.25">
      <c r="B431" s="15" t="str">
        <f t="shared" si="52"/>
        <v>2103-169-301212</v>
      </c>
      <c r="C431" s="7">
        <v>44272</v>
      </c>
      <c r="D431" s="5" t="str">
        <f>IF(BD_DETALLE!$E431&gt;=1,CONCATENATE(TEXT(BD_DETALLE!$C431,"YY"),TEXT(BD_DETALLE!$C431,"MM"),"-",BD_DETALLE!$E431),"")</f>
        <v>2103-169</v>
      </c>
      <c r="E431" s="12">
        <v>169</v>
      </c>
      <c r="F431" s="21">
        <v>301212</v>
      </c>
      <c r="G431" s="4" t="str">
        <f>IFERROR(VLOOKUP(BD_DETALLE!$B431,Tabla9[],6,0),"")</f>
        <v>ELECTROVALVULA DE 1" - 240V</v>
      </c>
      <c r="H431" s="6">
        <f>IFERROR(VLOOKUP(BD_DETALLE!$B431,Tabla9[],4,0),0)</f>
        <v>3</v>
      </c>
      <c r="I431" s="19" t="s">
        <v>19</v>
      </c>
      <c r="J431" s="20" t="s">
        <v>2040</v>
      </c>
      <c r="K431" s="10">
        <f>IFERROR(VLOOKUP(BD_DETALLE!B431,Tabla9[],7,0),"")</f>
        <v>0</v>
      </c>
      <c r="L431" s="11">
        <f>IFERROR(VLOOKUP(BD_DETALLE!B431,Tabla9[],8,0),"")</f>
        <v>0</v>
      </c>
      <c r="M431" s="9">
        <f>IFERROR(SUMIFS(Tabla9[CANTIDAD2],Tabla9[BUSQUEDA],Tabla3[[#This Row],[BUSQUEDA]],Tabla9[CODIGO],Tabla3[[#This Row],[CODIGO]],Tabla9[ORDEN No.],Tabla3[[#This Row],[ORDEN de COMPRA]]),0)</f>
        <v>0</v>
      </c>
      <c r="N431" s="27">
        <f>IFERROR(IF(BD_DETALLE!B431&gt;0,VLOOKUP(BD_DETALLE!B431,Tabla9[],10,0),""),"")</f>
        <v>0</v>
      </c>
      <c r="O431" s="28">
        <f>IFERROR(VLOOKUP(BD_DETALLE!B431,Tabla9[],11,0),0)</f>
        <v>0</v>
      </c>
      <c r="P431" s="26">
        <f>IFERROR(SUMIFS(Tabla9[CANTIDAD3],Tabla9[BUSQUEDA],Tabla3[[#This Row],[BUSQUEDA]],Tabla9[CODIGO],Tabla3[[#This Row],[CODIGO]]),0)</f>
        <v>0</v>
      </c>
      <c r="Q431" s="25">
        <f>IF(BD_DETALLE!P431&lt;=0,0,IF(BD_DETALLE!P431=BD_DETALLE!H431,2,1))</f>
        <v>0</v>
      </c>
      <c r="R431" s="41">
        <f ca="1">IF(BD_DETALLE!$C431&gt;0,(IF(BD_DETALLE!$N431=0,TODAY()-BD_DETALLE!$C431,BD_DETALLE!$N431-BD_DETALLE!$C431)),"")</f>
        <v>33</v>
      </c>
    </row>
    <row r="432" spans="2:18" x14ac:dyDescent="0.25">
      <c r="B432" s="15" t="str">
        <f t="shared" si="52"/>
        <v>2103-170-314431</v>
      </c>
      <c r="C432" s="7">
        <v>44272</v>
      </c>
      <c r="D432" s="5" t="str">
        <f>IF(BD_DETALLE!$E432&gt;=1,CONCATENATE(TEXT(BD_DETALLE!$C432,"YY"),TEXT(BD_DETALLE!$C432,"MM"),"-",BD_DETALLE!$E432),"")</f>
        <v>2103-170</v>
      </c>
      <c r="E432" s="12">
        <v>170</v>
      </c>
      <c r="F432" s="21">
        <v>314431</v>
      </c>
      <c r="G432" s="4" t="str">
        <f>IFERROR(VLOOKUP(BD_DETALLE!$B432,Tabla9[],6,0),"")</f>
        <v>RULIMAN 6009-2RS</v>
      </c>
      <c r="H432" s="6">
        <f>IFERROR(VLOOKUP(BD_DETALLE!$B432,Tabla9[],4,0),0)</f>
        <v>8</v>
      </c>
      <c r="I432" s="19" t="s">
        <v>19</v>
      </c>
      <c r="J432" s="20" t="s">
        <v>2039</v>
      </c>
      <c r="K432" s="10">
        <f>IFERROR(VLOOKUP(BD_DETALLE!B432,Tabla9[],7,0),"")</f>
        <v>44273</v>
      </c>
      <c r="L432" s="11">
        <f>IFERROR(VLOOKUP(BD_DETALLE!B432,Tabla9[],8,0),"")</f>
        <v>52176</v>
      </c>
      <c r="M432" s="9">
        <f>IFERROR(SUMIFS(Tabla9[CANTIDAD2],Tabla9[BUSQUEDA],Tabla3[[#This Row],[BUSQUEDA]],Tabla9[CODIGO],Tabla3[[#This Row],[CODIGO]],Tabla9[ORDEN No.],Tabla3[[#This Row],[ORDEN de COMPRA]]),0)</f>
        <v>8</v>
      </c>
      <c r="N432" s="27">
        <f>IFERROR(IF(BD_DETALLE!B432&gt;0,VLOOKUP(BD_DETALLE!B432,Tabla9[],10,0),""),"")</f>
        <v>44274</v>
      </c>
      <c r="O432" s="28">
        <f>IFERROR(VLOOKUP(BD_DETALLE!B432,Tabla9[],11,0),0)</f>
        <v>11576</v>
      </c>
      <c r="P432" s="26">
        <f>IFERROR(SUMIFS(Tabla9[CANTIDAD3],Tabla9[BUSQUEDA],Tabla3[[#This Row],[BUSQUEDA]],Tabla9[CODIGO],Tabla3[[#This Row],[CODIGO]]),0)</f>
        <v>8</v>
      </c>
      <c r="Q432" s="25">
        <f>IF(BD_DETALLE!P432&lt;=0,0,IF(BD_DETALLE!P432=BD_DETALLE!H432,2,1))</f>
        <v>2</v>
      </c>
      <c r="R432" s="41">
        <f ca="1">IF(BD_DETALLE!$C432&gt;0,(IF(BD_DETALLE!$N432=0,TODAY()-BD_DETALLE!$C432,BD_DETALLE!$N432-BD_DETALLE!$C432)),"")</f>
        <v>2</v>
      </c>
    </row>
    <row r="433" spans="2:18" x14ac:dyDescent="0.25">
      <c r="B433" s="15" t="str">
        <f t="shared" si="52"/>
        <v>2103-170-320928</v>
      </c>
      <c r="C433" s="7">
        <v>44272</v>
      </c>
      <c r="D433" s="5" t="str">
        <f>IF(BD_DETALLE!$E433&gt;=1,CONCATENATE(TEXT(BD_DETALLE!$C433,"YY"),TEXT(BD_DETALLE!$C433,"MM"),"-",BD_DETALLE!$E433),"")</f>
        <v>2103-170</v>
      </c>
      <c r="E433" s="12">
        <v>170</v>
      </c>
      <c r="F433" s="21">
        <v>320928</v>
      </c>
      <c r="G433" s="4" t="str">
        <f>IFERROR(VLOOKUP(BD_DETALLE!$B433,Tabla9[],6,0),"")</f>
        <v>RULIMAN 608 - 2RS</v>
      </c>
      <c r="H433" s="6">
        <f>IFERROR(VLOOKUP(BD_DETALLE!$B433,Tabla9[],4,0),0)</f>
        <v>4</v>
      </c>
      <c r="I433" s="19" t="s">
        <v>19</v>
      </c>
      <c r="J433" s="20" t="s">
        <v>2039</v>
      </c>
      <c r="K433" s="10">
        <f>IFERROR(VLOOKUP(BD_DETALLE!B433,Tabla9[],7,0),"")</f>
        <v>44273</v>
      </c>
      <c r="L433" s="11">
        <f>IFERROR(VLOOKUP(BD_DETALLE!B433,Tabla9[],8,0),"")</f>
        <v>52176</v>
      </c>
      <c r="M433" s="9">
        <f>IFERROR(SUMIFS(Tabla9[CANTIDAD2],Tabla9[BUSQUEDA],Tabla3[[#This Row],[BUSQUEDA]],Tabla9[CODIGO],Tabla3[[#This Row],[CODIGO]],Tabla9[ORDEN No.],Tabla3[[#This Row],[ORDEN de COMPRA]]),0)</f>
        <v>4</v>
      </c>
      <c r="N433" s="27">
        <f>IFERROR(IF(BD_DETALLE!B433&gt;0,VLOOKUP(BD_DETALLE!B433,Tabla9[],10,0),""),"")</f>
        <v>44274</v>
      </c>
      <c r="O433" s="28">
        <f>IFERROR(VLOOKUP(BD_DETALLE!B433,Tabla9[],11,0),0)</f>
        <v>11576</v>
      </c>
      <c r="P433" s="26">
        <f>IFERROR(SUMIFS(Tabla9[CANTIDAD3],Tabla9[BUSQUEDA],Tabla3[[#This Row],[BUSQUEDA]],Tabla9[CODIGO],Tabla3[[#This Row],[CODIGO]]),0)</f>
        <v>4</v>
      </c>
      <c r="Q433" s="25">
        <f>IF(BD_DETALLE!P433&lt;=0,0,IF(BD_DETALLE!P433=BD_DETALLE!H433,2,1))</f>
        <v>2</v>
      </c>
      <c r="R433" s="41">
        <f ca="1">IF(BD_DETALLE!$C433&gt;0,(IF(BD_DETALLE!$N433=0,TODAY()-BD_DETALLE!$C433,BD_DETALLE!$N433-BD_DETALLE!$C433)),"")</f>
        <v>2</v>
      </c>
    </row>
    <row r="434" spans="2:18" x14ac:dyDescent="0.25">
      <c r="B434" s="15" t="str">
        <f t="shared" si="52"/>
        <v>2103-170-320929</v>
      </c>
      <c r="C434" s="7">
        <v>44272</v>
      </c>
      <c r="D434" s="5" t="str">
        <f>IF(BD_DETALLE!$E434&gt;=1,CONCATENATE(TEXT(BD_DETALLE!$C434,"YY"),TEXT(BD_DETALLE!$C434,"MM"),"-",BD_DETALLE!$E434),"")</f>
        <v>2103-170</v>
      </c>
      <c r="E434" s="12">
        <v>170</v>
      </c>
      <c r="F434" s="21">
        <v>320929</v>
      </c>
      <c r="G434" s="4" t="str">
        <f>IFERROR(VLOOKUP(BD_DETALLE!$B434,Tabla9[],6,0),"")</f>
        <v>RETENEDOR 7/16 x 7/8 x 3/16</v>
      </c>
      <c r="H434" s="6">
        <f>IFERROR(VLOOKUP(BD_DETALLE!$B434,Tabla9[],4,0),0)</f>
        <v>2</v>
      </c>
      <c r="I434" s="19" t="s">
        <v>19</v>
      </c>
      <c r="J434" s="20" t="s">
        <v>2039</v>
      </c>
      <c r="K434" s="10">
        <f>IFERROR(VLOOKUP(BD_DETALLE!B434,Tabla9[],7,0),"")</f>
        <v>0</v>
      </c>
      <c r="L434" s="11">
        <f>IFERROR(VLOOKUP(BD_DETALLE!B434,Tabla9[],8,0),"")</f>
        <v>0</v>
      </c>
      <c r="M434" s="9">
        <f>IFERROR(SUMIFS(Tabla9[CANTIDAD2],Tabla9[BUSQUEDA],Tabla3[[#This Row],[BUSQUEDA]],Tabla9[CODIGO],Tabla3[[#This Row],[CODIGO]],Tabla9[ORDEN No.],Tabla3[[#This Row],[ORDEN de COMPRA]]),0)</f>
        <v>0</v>
      </c>
      <c r="N434" s="27">
        <f>IFERROR(IF(BD_DETALLE!B434&gt;0,VLOOKUP(BD_DETALLE!B434,Tabla9[],10,0),""),"")</f>
        <v>0</v>
      </c>
      <c r="O434" s="28">
        <f>IFERROR(VLOOKUP(BD_DETALLE!B434,Tabla9[],11,0),0)</f>
        <v>0</v>
      </c>
      <c r="P434" s="26">
        <f>IFERROR(SUMIFS(Tabla9[CANTIDAD3],Tabla9[BUSQUEDA],Tabla3[[#This Row],[BUSQUEDA]],Tabla9[CODIGO],Tabla3[[#This Row],[CODIGO]]),0)</f>
        <v>0</v>
      </c>
      <c r="Q434" s="25">
        <f>IF(BD_DETALLE!P434&lt;=0,0,IF(BD_DETALLE!P434=BD_DETALLE!H434,2,1))</f>
        <v>0</v>
      </c>
      <c r="R434" s="41">
        <f ca="1">IF(BD_DETALLE!$C434&gt;0,(IF(BD_DETALLE!$N434=0,TODAY()-BD_DETALLE!$C434,BD_DETALLE!$N434-BD_DETALLE!$C434)),"")</f>
        <v>33</v>
      </c>
    </row>
    <row r="435" spans="2:18" x14ac:dyDescent="0.25">
      <c r="B435" s="15" t="str">
        <f t="shared" si="52"/>
        <v>2103-177-320932</v>
      </c>
      <c r="C435" s="7">
        <v>44272</v>
      </c>
      <c r="D435" s="5" t="str">
        <f>IF(BD_DETALLE!$E435&gt;=1,CONCATENATE(TEXT(BD_DETALLE!$C435,"YY"),TEXT(BD_DETALLE!$C435,"MM"),"-",BD_DETALLE!$E435),"")</f>
        <v>2103-177</v>
      </c>
      <c r="E435" s="12">
        <v>177</v>
      </c>
      <c r="F435" s="21">
        <v>320932</v>
      </c>
      <c r="G435" s="4" t="str">
        <f>IFERROR(VLOOKUP(BD_DETALLE!$B435,Tabla9[],6,0),"")</f>
        <v>POSICIONADOR BURKERT  SIDECONTROL NAMUR</v>
      </c>
      <c r="H435" s="6">
        <f>IFERROR(VLOOKUP(BD_DETALLE!$B435,Tabla9[],4,0),0)</f>
        <v>2</v>
      </c>
      <c r="I435" s="19" t="s">
        <v>20</v>
      </c>
      <c r="J435" s="20" t="s">
        <v>1043</v>
      </c>
      <c r="K435" s="10">
        <f>IFERROR(VLOOKUP(BD_DETALLE!B435,Tabla9[],7,0),"")</f>
        <v>44284</v>
      </c>
      <c r="L435" s="11">
        <f>IFERROR(VLOOKUP(BD_DETALLE!B435,Tabla9[],8,0),"")</f>
        <v>52296</v>
      </c>
      <c r="M435" s="9">
        <f>IFERROR(SUMIFS(Tabla9[CANTIDAD2],Tabla9[BUSQUEDA],Tabla3[[#This Row],[BUSQUEDA]],Tabla9[CODIGO],Tabla3[[#This Row],[CODIGO]],Tabla9[ORDEN No.],Tabla3[[#This Row],[ORDEN de COMPRA]]),0)</f>
        <v>2</v>
      </c>
      <c r="N435" s="27">
        <f>IFERROR(IF(BD_DETALLE!B435&gt;0,VLOOKUP(BD_DETALLE!B435,Tabla9[],10,0),""),"")</f>
        <v>0</v>
      </c>
      <c r="O435" s="28">
        <f>IFERROR(VLOOKUP(BD_DETALLE!B435,Tabla9[],11,0),0)</f>
        <v>0</v>
      </c>
      <c r="P435" s="26">
        <f>IFERROR(SUMIFS(Tabla9[CANTIDAD3],Tabla9[BUSQUEDA],Tabla3[[#This Row],[BUSQUEDA]],Tabla9[CODIGO],Tabla3[[#This Row],[CODIGO]]),0)</f>
        <v>0</v>
      </c>
      <c r="Q435" s="25">
        <f>IF(BD_DETALLE!P435&lt;=0,0,IF(BD_DETALLE!P435=BD_DETALLE!H435,2,1))</f>
        <v>0</v>
      </c>
      <c r="R435" s="41">
        <f ca="1">IF(BD_DETALLE!$C435&gt;0,(IF(BD_DETALLE!$N435=0,TODAY()-BD_DETALLE!$C435,BD_DETALLE!$N435-BD_DETALLE!$C435)),"")</f>
        <v>33</v>
      </c>
    </row>
    <row r="436" spans="2:18" x14ac:dyDescent="0.25">
      <c r="B436" s="15" t="str">
        <f t="shared" si="52"/>
        <v>2103-177-320933</v>
      </c>
      <c r="C436" s="7">
        <v>44272</v>
      </c>
      <c r="D436" s="5" t="str">
        <f>IF(BD_DETALLE!$E436&gt;=1,CONCATENATE(TEXT(BD_DETALLE!$C436,"YY"),TEXT(BD_DETALLE!$C436,"MM"),"-",BD_DETALLE!$E436),"")</f>
        <v>2103-177</v>
      </c>
      <c r="E436" s="12">
        <v>177</v>
      </c>
      <c r="F436" s="21">
        <v>320933</v>
      </c>
      <c r="G436" s="4" t="str">
        <f>IFERROR(VLOOKUP(BD_DETALLE!$B436,Tabla9[],6,0),"")</f>
        <v>KIT ADAPTADOR POSICIONADOR NAMUR/ENCODER NAMUR</v>
      </c>
      <c r="H436" s="6">
        <f>IFERROR(VLOOKUP(BD_DETALLE!$B436,Tabla9[],4,0),0)</f>
        <v>2</v>
      </c>
      <c r="I436" s="19" t="s">
        <v>20</v>
      </c>
      <c r="J436" s="20" t="s">
        <v>1043</v>
      </c>
      <c r="K436" s="10">
        <f>IFERROR(VLOOKUP(BD_DETALLE!B436,Tabla9[],7,0),"")</f>
        <v>44284</v>
      </c>
      <c r="L436" s="11">
        <f>IFERROR(VLOOKUP(BD_DETALLE!B436,Tabla9[],8,0),"")</f>
        <v>52296</v>
      </c>
      <c r="M436" s="9">
        <f>IFERROR(SUMIFS(Tabla9[CANTIDAD2],Tabla9[BUSQUEDA],Tabla3[[#This Row],[BUSQUEDA]],Tabla9[CODIGO],Tabla3[[#This Row],[CODIGO]],Tabla9[ORDEN No.],Tabla3[[#This Row],[ORDEN de COMPRA]]),0)</f>
        <v>2</v>
      </c>
      <c r="N436" s="27">
        <f>IFERROR(IF(BD_DETALLE!B436&gt;0,VLOOKUP(BD_DETALLE!B436,Tabla9[],10,0),""),"")</f>
        <v>0</v>
      </c>
      <c r="O436" s="28">
        <f>IFERROR(VLOOKUP(BD_DETALLE!B436,Tabla9[],11,0),0)</f>
        <v>0</v>
      </c>
      <c r="P436" s="26">
        <f>IFERROR(SUMIFS(Tabla9[CANTIDAD3],Tabla9[BUSQUEDA],Tabla3[[#This Row],[BUSQUEDA]],Tabla9[CODIGO],Tabla3[[#This Row],[CODIGO]]),0)</f>
        <v>0</v>
      </c>
      <c r="Q436" s="25">
        <f>IF(BD_DETALLE!P436&lt;=0,0,IF(BD_DETALLE!P436=BD_DETALLE!H436,2,1))</f>
        <v>0</v>
      </c>
      <c r="R436" s="41">
        <f ca="1">IF(BD_DETALLE!$C436&gt;0,(IF(BD_DETALLE!$N436=0,TODAY()-BD_DETALLE!$C436,BD_DETALLE!$N436-BD_DETALLE!$C436)),"")</f>
        <v>33</v>
      </c>
    </row>
    <row r="437" spans="2:18" x14ac:dyDescent="0.25">
      <c r="B437" s="15" t="str">
        <f t="shared" si="52"/>
        <v>2103-177-320934</v>
      </c>
      <c r="C437" s="7">
        <v>44272</v>
      </c>
      <c r="D437" s="5" t="str">
        <f>IF(BD_DETALLE!$E437&gt;=1,CONCATENATE(TEXT(BD_DETALLE!$C437,"YY"),TEXT(BD_DETALLE!$C437,"MM"),"-",BD_DETALLE!$E437),"")</f>
        <v>2103-177</v>
      </c>
      <c r="E437" s="12">
        <v>177</v>
      </c>
      <c r="F437" s="21">
        <v>320934</v>
      </c>
      <c r="G437" s="4" t="str">
        <f>IFERROR(VLOOKUP(BD_DETALLE!$B437,Tabla9[],6,0),"")</f>
        <v>PUENTE DE MONTAJE POSICIONADOR NAMUR / ENCODER NAMUR</v>
      </c>
      <c r="H437" s="6">
        <f>IFERROR(VLOOKUP(BD_DETALLE!$B437,Tabla9[],4,0),0)</f>
        <v>2</v>
      </c>
      <c r="I437" s="19" t="s">
        <v>20</v>
      </c>
      <c r="J437" s="20" t="s">
        <v>1043</v>
      </c>
      <c r="K437" s="10">
        <f>IFERROR(VLOOKUP(BD_DETALLE!B437,Tabla9[],7,0),"")</f>
        <v>44284</v>
      </c>
      <c r="L437" s="11">
        <f>IFERROR(VLOOKUP(BD_DETALLE!B437,Tabla9[],8,0),"")</f>
        <v>52296</v>
      </c>
      <c r="M437" s="9">
        <f>IFERROR(SUMIFS(Tabla9[CANTIDAD2],Tabla9[BUSQUEDA],Tabla3[[#This Row],[BUSQUEDA]],Tabla9[CODIGO],Tabla3[[#This Row],[CODIGO]],Tabla9[ORDEN No.],Tabla3[[#This Row],[ORDEN de COMPRA]]),0)</f>
        <v>2</v>
      </c>
      <c r="N437" s="27">
        <f>IFERROR(IF(BD_DETALLE!B437&gt;0,VLOOKUP(BD_DETALLE!B437,Tabla9[],10,0),""),"")</f>
        <v>0</v>
      </c>
      <c r="O437" s="28">
        <f>IFERROR(VLOOKUP(BD_DETALLE!B437,Tabla9[],11,0),0)</f>
        <v>0</v>
      </c>
      <c r="P437" s="26">
        <f>IFERROR(SUMIFS(Tabla9[CANTIDAD3],Tabla9[BUSQUEDA],Tabla3[[#This Row],[BUSQUEDA]],Tabla9[CODIGO],Tabla3[[#This Row],[CODIGO]]),0)</f>
        <v>0</v>
      </c>
      <c r="Q437" s="25">
        <f>IF(BD_DETALLE!P437&lt;=0,0,IF(BD_DETALLE!P437=BD_DETALLE!H437,2,1))</f>
        <v>0</v>
      </c>
      <c r="R437" s="41">
        <f ca="1">IF(BD_DETALLE!$C437&gt;0,(IF(BD_DETALLE!$N437=0,TODAY()-BD_DETALLE!$C437,BD_DETALLE!$N437-BD_DETALLE!$C437)),"")</f>
        <v>33</v>
      </c>
    </row>
    <row r="438" spans="2:18" x14ac:dyDescent="0.25">
      <c r="B438" s="15" t="str">
        <f t="shared" si="52"/>
        <v>2103-177-320935</v>
      </c>
      <c r="C438" s="7">
        <v>44272</v>
      </c>
      <c r="D438" s="5" t="str">
        <f>IF(BD_DETALLE!$E438&gt;=1,CONCATENATE(TEXT(BD_DETALLE!$C438,"YY"),TEXT(BD_DETALLE!$C438,"MM"),"-",BD_DETALLE!$E438),"")</f>
        <v>2103-177</v>
      </c>
      <c r="E438" s="12">
        <v>177</v>
      </c>
      <c r="F438" s="21">
        <v>320935</v>
      </c>
      <c r="G438" s="4" t="str">
        <f>IFERROR(VLOOKUP(BD_DETALLE!$B438,Tabla9[],6,0),"")</f>
        <v>CABLE CONECTOR HEMBRA ANGULAR APANTALLADO M12 5PIN 20M</v>
      </c>
      <c r="H438" s="6">
        <f>IFERROR(VLOOKUP(BD_DETALLE!$B438,Tabla9[],4,0),0)</f>
        <v>3</v>
      </c>
      <c r="I438" s="19" t="s">
        <v>20</v>
      </c>
      <c r="J438" s="20" t="s">
        <v>1043</v>
      </c>
      <c r="K438" s="10">
        <f>IFERROR(VLOOKUP(BD_DETALLE!B438,Tabla9[],7,0),"")</f>
        <v>44284</v>
      </c>
      <c r="L438" s="11">
        <f>IFERROR(VLOOKUP(BD_DETALLE!B438,Tabla9[],8,0),"")</f>
        <v>52296</v>
      </c>
      <c r="M438" s="9">
        <f>IFERROR(SUMIFS(Tabla9[CANTIDAD2],Tabla9[BUSQUEDA],Tabla3[[#This Row],[BUSQUEDA]],Tabla9[CODIGO],Tabla3[[#This Row],[CODIGO]],Tabla9[ORDEN No.],Tabla3[[#This Row],[ORDEN de COMPRA]]),0)</f>
        <v>3</v>
      </c>
      <c r="N438" s="27">
        <f>IFERROR(IF(BD_DETALLE!B438&gt;0,VLOOKUP(BD_DETALLE!B438,Tabla9[],10,0),""),"")</f>
        <v>0</v>
      </c>
      <c r="O438" s="28">
        <f>IFERROR(VLOOKUP(BD_DETALLE!B438,Tabla9[],11,0),0)</f>
        <v>0</v>
      </c>
      <c r="P438" s="26">
        <f>IFERROR(SUMIFS(Tabla9[CANTIDAD3],Tabla9[BUSQUEDA],Tabla3[[#This Row],[BUSQUEDA]],Tabla9[CODIGO],Tabla3[[#This Row],[CODIGO]]),0)</f>
        <v>0</v>
      </c>
      <c r="Q438" s="25">
        <f>IF(BD_DETALLE!P438&lt;=0,0,IF(BD_DETALLE!P438=BD_DETALLE!H438,2,1))</f>
        <v>0</v>
      </c>
      <c r="R438" s="41">
        <f ca="1">IF(BD_DETALLE!$C438&gt;0,(IF(BD_DETALLE!$N438=0,TODAY()-BD_DETALLE!$C438,BD_DETALLE!$N438-BD_DETALLE!$C438)),"")</f>
        <v>33</v>
      </c>
    </row>
    <row r="439" spans="2:18" x14ac:dyDescent="0.25">
      <c r="B439" s="15" t="str">
        <f t="shared" si="52"/>
        <v>2103-177-320936</v>
      </c>
      <c r="C439" s="7">
        <v>44272</v>
      </c>
      <c r="D439" s="5" t="str">
        <f>IF(BD_DETALLE!$E439&gt;=1,CONCATENATE(TEXT(BD_DETALLE!$C439,"YY"),TEXT(BD_DETALLE!$C439,"MM"),"-",BD_DETALLE!$E439),"")</f>
        <v>2103-177</v>
      </c>
      <c r="E439" s="12">
        <v>177</v>
      </c>
      <c r="F439" s="21">
        <v>320936</v>
      </c>
      <c r="G439" s="4" t="str">
        <f>IFERROR(VLOOKUP(BD_DETALLE!$B439,Tabla9[],6,0),"")</f>
        <v>CONECTOR RECTO MACHO M12 EXTERIOR 5 PIN</v>
      </c>
      <c r="H439" s="6">
        <f>IFERROR(VLOOKUP(BD_DETALLE!$B439,Tabla9[],4,0),0)</f>
        <v>15</v>
      </c>
      <c r="I439" s="19" t="s">
        <v>20</v>
      </c>
      <c r="J439" s="20" t="s">
        <v>1043</v>
      </c>
      <c r="K439" s="10">
        <f>IFERROR(VLOOKUP(BD_DETALLE!B439,Tabla9[],7,0),"")</f>
        <v>44284</v>
      </c>
      <c r="L439" s="11">
        <f>IFERROR(VLOOKUP(BD_DETALLE!B439,Tabla9[],8,0),"")</f>
        <v>52296</v>
      </c>
      <c r="M439" s="9">
        <f>IFERROR(SUMIFS(Tabla9[CANTIDAD2],Tabla9[BUSQUEDA],Tabla3[[#This Row],[BUSQUEDA]],Tabla9[CODIGO],Tabla3[[#This Row],[CODIGO]],Tabla9[ORDEN No.],Tabla3[[#This Row],[ORDEN de COMPRA]]),0)</f>
        <v>15</v>
      </c>
      <c r="N439" s="27">
        <f>IFERROR(IF(BD_DETALLE!B439&gt;0,VLOOKUP(BD_DETALLE!B439,Tabla9[],10,0),""),"")</f>
        <v>0</v>
      </c>
      <c r="O439" s="28">
        <f>IFERROR(VLOOKUP(BD_DETALLE!B439,Tabla9[],11,0),0)</f>
        <v>0</v>
      </c>
      <c r="P439" s="26">
        <f>IFERROR(SUMIFS(Tabla9[CANTIDAD3],Tabla9[BUSQUEDA],Tabla3[[#This Row],[BUSQUEDA]],Tabla9[CODIGO],Tabla3[[#This Row],[CODIGO]]),0)</f>
        <v>0</v>
      </c>
      <c r="Q439" s="25">
        <f>IF(BD_DETALLE!P439&lt;=0,0,IF(BD_DETALLE!P439=BD_DETALLE!H439,2,1))</f>
        <v>0</v>
      </c>
      <c r="R439" s="41">
        <f ca="1">IF(BD_DETALLE!$C439&gt;0,(IF(BD_DETALLE!$N439=0,TODAY()-BD_DETALLE!$C439,BD_DETALLE!$N439-BD_DETALLE!$C439)),"")</f>
        <v>33</v>
      </c>
    </row>
    <row r="440" spans="2:18" x14ac:dyDescent="0.25">
      <c r="B440" s="15" t="str">
        <f t="shared" si="52"/>
        <v>2103-177-320937</v>
      </c>
      <c r="C440" s="7">
        <v>44272</v>
      </c>
      <c r="D440" s="5" t="str">
        <f>IF(BD_DETALLE!$E440&gt;=1,CONCATENATE(TEXT(BD_DETALLE!$C440,"YY"),TEXT(BD_DETALLE!$C440,"MM"),"-",BD_DETALLE!$E440),"")</f>
        <v>2103-177</v>
      </c>
      <c r="E440" s="12">
        <v>177</v>
      </c>
      <c r="F440" s="21">
        <v>320937</v>
      </c>
      <c r="G440" s="4" t="str">
        <f>IFERROR(VLOOKUP(BD_DETALLE!$B440,Tabla9[],6,0),"")</f>
        <v>CONECTOR RECTO HEMBRA M12 EXTERIOR 5 PIN</v>
      </c>
      <c r="H440" s="6">
        <f>IFERROR(VLOOKUP(BD_DETALLE!$B440,Tabla9[],4,0),0)</f>
        <v>15</v>
      </c>
      <c r="I440" s="19" t="s">
        <v>20</v>
      </c>
      <c r="J440" s="20" t="s">
        <v>1043</v>
      </c>
      <c r="K440" s="10">
        <f>IFERROR(VLOOKUP(BD_DETALLE!B440,Tabla9[],7,0),"")</f>
        <v>44284</v>
      </c>
      <c r="L440" s="11">
        <f>IFERROR(VLOOKUP(BD_DETALLE!B440,Tabla9[],8,0),"")</f>
        <v>52296</v>
      </c>
      <c r="M440" s="9">
        <f>IFERROR(SUMIFS(Tabla9[CANTIDAD2],Tabla9[BUSQUEDA],Tabla3[[#This Row],[BUSQUEDA]],Tabla9[CODIGO],Tabla3[[#This Row],[CODIGO]],Tabla9[ORDEN No.],Tabla3[[#This Row],[ORDEN de COMPRA]]),0)</f>
        <v>15</v>
      </c>
      <c r="N440" s="27">
        <f>IFERROR(IF(BD_DETALLE!B440&gt;0,VLOOKUP(BD_DETALLE!B440,Tabla9[],10,0),""),"")</f>
        <v>0</v>
      </c>
      <c r="O440" s="28">
        <f>IFERROR(VLOOKUP(BD_DETALLE!B440,Tabla9[],11,0),0)</f>
        <v>0</v>
      </c>
      <c r="P440" s="26">
        <f>IFERROR(SUMIFS(Tabla9[CANTIDAD3],Tabla9[BUSQUEDA],Tabla3[[#This Row],[BUSQUEDA]],Tabla9[CODIGO],Tabla3[[#This Row],[CODIGO]]),0)</f>
        <v>0</v>
      </c>
      <c r="Q440" s="25">
        <f>IF(BD_DETALLE!P440&lt;=0,0,IF(BD_DETALLE!P440=BD_DETALLE!H440,2,1))</f>
        <v>0</v>
      </c>
      <c r="R440" s="41">
        <f ca="1">IF(BD_DETALLE!$C440&gt;0,(IF(BD_DETALLE!$N440=0,TODAY()-BD_DETALLE!$C440,BD_DETALLE!$N440-BD_DETALLE!$C440)),"")</f>
        <v>33</v>
      </c>
    </row>
    <row r="441" spans="2:18" x14ac:dyDescent="0.25">
      <c r="B441" s="15" t="str">
        <f t="shared" si="52"/>
        <v>2103-177-320938</v>
      </c>
      <c r="C441" s="7">
        <v>44272</v>
      </c>
      <c r="D441" s="5" t="str">
        <f>IF(BD_DETALLE!$E441&gt;=1,CONCATENATE(TEXT(BD_DETALLE!$C441,"YY"),TEXT(BD_DETALLE!$C441,"MM"),"-",BD_DETALLE!$E441),"")</f>
        <v>2103-177</v>
      </c>
      <c r="E441" s="12">
        <v>177</v>
      </c>
      <c r="F441" s="21">
        <v>320938</v>
      </c>
      <c r="G441" s="4" t="str">
        <f>IFERROR(VLOOKUP(BD_DETALLE!$B441,Tabla9[],6,0),"")</f>
        <v>ELECTROVALVULA FESTO 5/2 MONOESTABLE G14 BOBINA 24VDC</v>
      </c>
      <c r="H441" s="6">
        <f>IFERROR(VLOOKUP(BD_DETALLE!$B441,Tabla9[],4,0),0)</f>
        <v>5</v>
      </c>
      <c r="I441" s="19" t="s">
        <v>20</v>
      </c>
      <c r="J441" s="20" t="s">
        <v>1043</v>
      </c>
      <c r="K441" s="10">
        <f>IFERROR(VLOOKUP(BD_DETALLE!B441,Tabla9[],7,0),"")</f>
        <v>44284</v>
      </c>
      <c r="L441" s="11">
        <f>IFERROR(VLOOKUP(BD_DETALLE!B441,Tabla9[],8,0),"")</f>
        <v>52296</v>
      </c>
      <c r="M441" s="9">
        <f>IFERROR(SUMIFS(Tabla9[CANTIDAD2],Tabla9[BUSQUEDA],Tabla3[[#This Row],[BUSQUEDA]],Tabla9[CODIGO],Tabla3[[#This Row],[CODIGO]],Tabla9[ORDEN No.],Tabla3[[#This Row],[ORDEN de COMPRA]]),0)</f>
        <v>5</v>
      </c>
      <c r="N441" s="27">
        <f>IFERROR(IF(BD_DETALLE!B441&gt;0,VLOOKUP(BD_DETALLE!B441,Tabla9[],10,0),""),"")</f>
        <v>0</v>
      </c>
      <c r="O441" s="28">
        <f>IFERROR(VLOOKUP(BD_DETALLE!B441,Tabla9[],11,0),0)</f>
        <v>0</v>
      </c>
      <c r="P441" s="26">
        <f>IFERROR(SUMIFS(Tabla9[CANTIDAD3],Tabla9[BUSQUEDA],Tabla3[[#This Row],[BUSQUEDA]],Tabla9[CODIGO],Tabla3[[#This Row],[CODIGO]]),0)</f>
        <v>0</v>
      </c>
      <c r="Q441" s="25">
        <f>IF(BD_DETALLE!P441&lt;=0,0,IF(BD_DETALLE!P441=BD_DETALLE!H441,2,1))</f>
        <v>0</v>
      </c>
      <c r="R441" s="41">
        <f ca="1">IF(BD_DETALLE!$C441&gt;0,(IF(BD_DETALLE!$N441=0,TODAY()-BD_DETALLE!$C441,BD_DETALLE!$N441-BD_DETALLE!$C441)),"")</f>
        <v>33</v>
      </c>
    </row>
    <row r="442" spans="2:18" x14ac:dyDescent="0.25">
      <c r="B442" s="15" t="str">
        <f t="shared" si="52"/>
        <v>2103-177-320939</v>
      </c>
      <c r="C442" s="7">
        <v>44272</v>
      </c>
      <c r="D442" s="5" t="str">
        <f>IF(BD_DETALLE!$E442&gt;=1,CONCATENATE(TEXT(BD_DETALLE!$C442,"YY"),TEXT(BD_DETALLE!$C442,"MM"),"-",BD_DETALLE!$E442),"")</f>
        <v>2103-177</v>
      </c>
      <c r="E442" s="12">
        <v>177</v>
      </c>
      <c r="F442" s="21">
        <v>320939</v>
      </c>
      <c r="G442" s="4" t="str">
        <f>IFERROR(VLOOKUP(BD_DETALLE!$B442,Tabla9[],6,0),"")</f>
        <v>TAPON CIEGO CASQUILLO ENCHUFABLE QS-6</v>
      </c>
      <c r="H442" s="6">
        <f>IFERROR(VLOOKUP(BD_DETALLE!$B442,Tabla9[],4,0),0)</f>
        <v>15</v>
      </c>
      <c r="I442" s="19" t="s">
        <v>20</v>
      </c>
      <c r="J442" s="20" t="s">
        <v>1043</v>
      </c>
      <c r="K442" s="10">
        <f>IFERROR(VLOOKUP(BD_DETALLE!B442,Tabla9[],7,0),"")</f>
        <v>44284</v>
      </c>
      <c r="L442" s="11">
        <f>IFERROR(VLOOKUP(BD_DETALLE!B442,Tabla9[],8,0),"")</f>
        <v>52296</v>
      </c>
      <c r="M442" s="9">
        <f>IFERROR(SUMIFS(Tabla9[CANTIDAD2],Tabla9[BUSQUEDA],Tabla3[[#This Row],[BUSQUEDA]],Tabla9[CODIGO],Tabla3[[#This Row],[CODIGO]],Tabla9[ORDEN No.],Tabla3[[#This Row],[ORDEN de COMPRA]]),0)</f>
        <v>15</v>
      </c>
      <c r="N442" s="27">
        <f>IFERROR(IF(BD_DETALLE!B442&gt;0,VLOOKUP(BD_DETALLE!B442,Tabla9[],10,0),""),"")</f>
        <v>0</v>
      </c>
      <c r="O442" s="28">
        <f>IFERROR(VLOOKUP(BD_DETALLE!B442,Tabla9[],11,0),0)</f>
        <v>0</v>
      </c>
      <c r="P442" s="26">
        <f>IFERROR(SUMIFS(Tabla9[CANTIDAD3],Tabla9[BUSQUEDA],Tabla3[[#This Row],[BUSQUEDA]],Tabla9[CODIGO],Tabla3[[#This Row],[CODIGO]]),0)</f>
        <v>0</v>
      </c>
      <c r="Q442" s="25">
        <f>IF(BD_DETALLE!P442&lt;=0,0,IF(BD_DETALLE!P442=BD_DETALLE!H442,2,1))</f>
        <v>0</v>
      </c>
      <c r="R442" s="41">
        <f ca="1">IF(BD_DETALLE!$C442&gt;0,(IF(BD_DETALLE!$N442=0,TODAY()-BD_DETALLE!$C442,BD_DETALLE!$N442-BD_DETALLE!$C442)),"")</f>
        <v>33</v>
      </c>
    </row>
    <row r="443" spans="2:18" x14ac:dyDescent="0.25">
      <c r="B443" s="15" t="str">
        <f t="shared" si="52"/>
        <v>2103-177-320940</v>
      </c>
      <c r="C443" s="7">
        <v>44272</v>
      </c>
      <c r="D443" s="5" t="str">
        <f>IF(BD_DETALLE!$E443&gt;=1,CONCATENATE(TEXT(BD_DETALLE!$C443,"YY"),TEXT(BD_DETALLE!$C443,"MM"),"-",BD_DETALLE!$E443),"")</f>
        <v>2103-177</v>
      </c>
      <c r="E443" s="12">
        <v>177</v>
      </c>
      <c r="F443" s="21">
        <v>320940</v>
      </c>
      <c r="G443" s="4" t="str">
        <f>IFERROR(VLOOKUP(BD_DETALLE!$B443,Tabla9[],6,0),"")</f>
        <v>TABLERO A/INOX. 600 x 600 x 200mm USO EXTERIOR IP66K</v>
      </c>
      <c r="H443" s="6">
        <f>IFERROR(VLOOKUP(BD_DETALLE!$B443,Tabla9[],4,0),0)</f>
        <v>2</v>
      </c>
      <c r="I443" s="19" t="s">
        <v>20</v>
      </c>
      <c r="J443" s="20" t="s">
        <v>1043</v>
      </c>
      <c r="K443" s="10">
        <f>IFERROR(VLOOKUP(BD_DETALLE!B443,Tabla9[],7,0),"")</f>
        <v>0</v>
      </c>
      <c r="L443" s="11">
        <f>IFERROR(VLOOKUP(BD_DETALLE!B443,Tabla9[],8,0),"")</f>
        <v>0</v>
      </c>
      <c r="M443" s="9">
        <f>IFERROR(SUMIFS(Tabla9[CANTIDAD2],Tabla9[BUSQUEDA],Tabla3[[#This Row],[BUSQUEDA]],Tabla9[CODIGO],Tabla3[[#This Row],[CODIGO]],Tabla9[ORDEN No.],Tabla3[[#This Row],[ORDEN de COMPRA]]),0)</f>
        <v>0</v>
      </c>
      <c r="N443" s="27">
        <f>IFERROR(IF(BD_DETALLE!B443&gt;0,VLOOKUP(BD_DETALLE!B443,Tabla9[],10,0),""),"")</f>
        <v>0</v>
      </c>
      <c r="O443" s="28">
        <f>IFERROR(VLOOKUP(BD_DETALLE!B443,Tabla9[],11,0),0)</f>
        <v>0</v>
      </c>
      <c r="P443" s="26">
        <f>IFERROR(SUMIFS(Tabla9[CANTIDAD3],Tabla9[BUSQUEDA],Tabla3[[#This Row],[BUSQUEDA]],Tabla9[CODIGO],Tabla3[[#This Row],[CODIGO]]),0)</f>
        <v>0</v>
      </c>
      <c r="Q443" s="25">
        <f>IF(BD_DETALLE!P443&lt;=0,0,IF(BD_DETALLE!P443=BD_DETALLE!H443,2,1))</f>
        <v>0</v>
      </c>
      <c r="R443" s="41">
        <f ca="1">IF(BD_DETALLE!$C443&gt;0,(IF(BD_DETALLE!$N443=0,TODAY()-BD_DETALLE!$C443,BD_DETALLE!$N443-BD_DETALLE!$C443)),"")</f>
        <v>33</v>
      </c>
    </row>
    <row r="444" spans="2:18" x14ac:dyDescent="0.25">
      <c r="B444" s="15" t="str">
        <f t="shared" si="52"/>
        <v>2103-178-204978</v>
      </c>
      <c r="C444" s="7">
        <v>44273</v>
      </c>
      <c r="D444" s="5" t="str">
        <f>IF(BD_DETALLE!$E444&gt;=1,CONCATENATE(TEXT(BD_DETALLE!$C444,"YY"),TEXT(BD_DETALLE!$C444,"MM"),"-",BD_DETALLE!$E444),"")</f>
        <v>2103-178</v>
      </c>
      <c r="E444" s="12">
        <v>178</v>
      </c>
      <c r="F444" s="21">
        <v>204978</v>
      </c>
      <c r="G444" s="4" t="str">
        <f>IFERROR(VLOOKUP(BD_DETALLE!$B444,Tabla9[],6,0),"")</f>
        <v>BASE DE CABINA 1924</v>
      </c>
      <c r="H444" s="6">
        <f>IFERROR(VLOOKUP(BD_DETALLE!$B444,Tabla9[],4,0),0)</f>
        <v>2</v>
      </c>
      <c r="I444" s="19" t="s">
        <v>5</v>
      </c>
      <c r="J444" s="20" t="s">
        <v>2041</v>
      </c>
      <c r="K444" s="10">
        <f>IFERROR(VLOOKUP(BD_DETALLE!B444,Tabla9[],7,0),"")</f>
        <v>0</v>
      </c>
      <c r="L444" s="11">
        <f>IFERROR(VLOOKUP(BD_DETALLE!B444,Tabla9[],8,0),"")</f>
        <v>0</v>
      </c>
      <c r="M444" s="9">
        <f>IFERROR(SUMIFS(Tabla9[CANTIDAD2],Tabla9[BUSQUEDA],Tabla3[[#This Row],[BUSQUEDA]],Tabla9[CODIGO],Tabla3[[#This Row],[CODIGO]],Tabla9[ORDEN No.],Tabla3[[#This Row],[ORDEN de COMPRA]]),0)</f>
        <v>0</v>
      </c>
      <c r="N444" s="27">
        <f>IFERROR(IF(BD_DETALLE!B444&gt;0,VLOOKUP(BD_DETALLE!B444,Tabla9[],10,0),""),"")</f>
        <v>0</v>
      </c>
      <c r="O444" s="28">
        <f>IFERROR(VLOOKUP(BD_DETALLE!B444,Tabla9[],11,0),0)</f>
        <v>0</v>
      </c>
      <c r="P444" s="26">
        <f>IFERROR(SUMIFS(Tabla9[CANTIDAD3],Tabla9[BUSQUEDA],Tabla3[[#This Row],[BUSQUEDA]],Tabla9[CODIGO],Tabla3[[#This Row],[CODIGO]]),0)</f>
        <v>0</v>
      </c>
      <c r="Q444" s="25">
        <f>IF(BD_DETALLE!P444&lt;=0,0,IF(BD_DETALLE!P444=BD_DETALLE!H444,2,1))</f>
        <v>0</v>
      </c>
      <c r="R444" s="41">
        <f ca="1">IF(BD_DETALLE!$C444&gt;0,(IF(BD_DETALLE!$N444=0,TODAY()-BD_DETALLE!$C444,BD_DETALLE!$N444-BD_DETALLE!$C444)),"")</f>
        <v>32</v>
      </c>
    </row>
    <row r="445" spans="2:18" x14ac:dyDescent="0.25">
      <c r="B445" s="15" t="str">
        <f t="shared" si="52"/>
        <v>2103-179-106771</v>
      </c>
      <c r="C445" s="7">
        <v>44273</v>
      </c>
      <c r="D445" s="5" t="str">
        <f>IF(BD_DETALLE!$E445&gt;=1,CONCATENATE(TEXT(BD_DETALLE!$C445,"YY"),TEXT(BD_DETALLE!$C445,"MM"),"-",BD_DETALLE!$E445),"")</f>
        <v>2103-179</v>
      </c>
      <c r="E445" s="12">
        <v>179</v>
      </c>
      <c r="F445" s="21">
        <v>106771</v>
      </c>
      <c r="G445" s="4" t="str">
        <f>IFERROR(VLOOKUP(BD_DETALLE!$B445,Tabla9[],6,0),"")</f>
        <v>CORNETA DE 24 V.</v>
      </c>
      <c r="H445" s="6">
        <f>IFERROR(VLOOKUP(BD_DETALLE!$B445,Tabla9[],4,0),0)</f>
        <v>1</v>
      </c>
      <c r="I445" s="19" t="s">
        <v>5</v>
      </c>
      <c r="J445" s="20" t="s">
        <v>2042</v>
      </c>
      <c r="K445" s="10">
        <f>IFERROR(VLOOKUP(BD_DETALLE!B445,Tabla9[],7,0),"")</f>
        <v>0</v>
      </c>
      <c r="L445" s="11">
        <f>IFERROR(VLOOKUP(BD_DETALLE!B445,Tabla9[],8,0),"")</f>
        <v>0</v>
      </c>
      <c r="M445" s="9">
        <f>IFERROR(SUMIFS(Tabla9[CANTIDAD2],Tabla9[BUSQUEDA],Tabla3[[#This Row],[BUSQUEDA]],Tabla9[CODIGO],Tabla3[[#This Row],[CODIGO]],Tabla9[ORDEN No.],Tabla3[[#This Row],[ORDEN de COMPRA]]),0)</f>
        <v>0</v>
      </c>
      <c r="N445" s="27">
        <f>IFERROR(IF(BD_DETALLE!B445&gt;0,VLOOKUP(BD_DETALLE!B445,Tabla9[],10,0),""),"")</f>
        <v>0</v>
      </c>
      <c r="O445" s="28">
        <f>IFERROR(VLOOKUP(BD_DETALLE!B445,Tabla9[],11,0),0)</f>
        <v>0</v>
      </c>
      <c r="P445" s="26">
        <f>IFERROR(SUMIFS(Tabla9[CANTIDAD3],Tabla9[BUSQUEDA],Tabla3[[#This Row],[BUSQUEDA]],Tabla9[CODIGO],Tabla3[[#This Row],[CODIGO]]),0)</f>
        <v>0</v>
      </c>
      <c r="Q445" s="25">
        <f>IF(BD_DETALLE!P445&lt;=0,0,IF(BD_DETALLE!P445=BD_DETALLE!H445,2,1))</f>
        <v>0</v>
      </c>
      <c r="R445" s="41">
        <f ca="1">IF(BD_DETALLE!$C445&gt;0,(IF(BD_DETALLE!$N445=0,TODAY()-BD_DETALLE!$C445,BD_DETALLE!$N445-BD_DETALLE!$C445)),"")</f>
        <v>32</v>
      </c>
    </row>
    <row r="446" spans="2:18" x14ac:dyDescent="0.25">
      <c r="B446" s="15" t="str">
        <f t="shared" si="52"/>
        <v>2103-179-205146</v>
      </c>
      <c r="C446" s="7">
        <v>44273</v>
      </c>
      <c r="D446" s="5" t="str">
        <f>IF(BD_DETALLE!$E446&gt;=1,CONCATENATE(TEXT(BD_DETALLE!$C446,"YY"),TEXT(BD_DETALLE!$C446,"MM"),"-",BD_DETALLE!$E446),"")</f>
        <v>2103-179</v>
      </c>
      <c r="E446" s="12">
        <v>179</v>
      </c>
      <c r="F446" s="21">
        <v>205146</v>
      </c>
      <c r="G446" s="4" t="str">
        <f>IFERROR(VLOOKUP(BD_DETALLE!$B446,Tabla9[],6,0),"")</f>
        <v>PITO</v>
      </c>
      <c r="H446" s="6">
        <f>IFERROR(VLOOKUP(BD_DETALLE!$B446,Tabla9[],4,0),0)</f>
        <v>2</v>
      </c>
      <c r="I446" s="19" t="s">
        <v>5</v>
      </c>
      <c r="J446" s="20" t="s">
        <v>2042</v>
      </c>
      <c r="K446" s="10">
        <f>IFERROR(VLOOKUP(BD_DETALLE!B446,Tabla9[],7,0),"")</f>
        <v>0</v>
      </c>
      <c r="L446" s="11">
        <f>IFERROR(VLOOKUP(BD_DETALLE!B446,Tabla9[],8,0),"")</f>
        <v>0</v>
      </c>
      <c r="M446" s="9">
        <f>IFERROR(SUMIFS(Tabla9[CANTIDAD2],Tabla9[BUSQUEDA],Tabla3[[#This Row],[BUSQUEDA]],Tabla9[CODIGO],Tabla3[[#This Row],[CODIGO]],Tabla9[ORDEN No.],Tabla3[[#This Row],[ORDEN de COMPRA]]),0)</f>
        <v>0</v>
      </c>
      <c r="N446" s="27">
        <f>IFERROR(IF(BD_DETALLE!B446&gt;0,VLOOKUP(BD_DETALLE!B446,Tabla9[],10,0),""),"")</f>
        <v>0</v>
      </c>
      <c r="O446" s="28">
        <f>IFERROR(VLOOKUP(BD_DETALLE!B446,Tabla9[],11,0),0)</f>
        <v>0</v>
      </c>
      <c r="P446" s="26">
        <f>IFERROR(SUMIFS(Tabla9[CANTIDAD3],Tabla9[BUSQUEDA],Tabla3[[#This Row],[BUSQUEDA]],Tabla9[CODIGO],Tabla3[[#This Row],[CODIGO]]),0)</f>
        <v>0</v>
      </c>
      <c r="Q446" s="25">
        <f>IF(BD_DETALLE!P446&lt;=0,0,IF(BD_DETALLE!P446=BD_DETALLE!H446,2,1))</f>
        <v>0</v>
      </c>
      <c r="R446" s="41">
        <f ca="1">IF(BD_DETALLE!$C446&gt;0,(IF(BD_DETALLE!$N446=0,TODAY()-BD_DETALLE!$C446,BD_DETALLE!$N446-BD_DETALLE!$C446)),"")</f>
        <v>32</v>
      </c>
    </row>
    <row r="447" spans="2:18" x14ac:dyDescent="0.25">
      <c r="B447" s="15" t="str">
        <f t="shared" ref="B447:B481" si="53">IFERROR(TEXT(C447,"yy") &amp; TEXT(C447,"mm") &amp;"-"&amp;(E447) &amp;"-"&amp;(F447),"")</f>
        <v>2103-179-203627</v>
      </c>
      <c r="C447" s="7">
        <v>44273</v>
      </c>
      <c r="D447" s="5" t="str">
        <f>IF(BD_DETALLE!$E447&gt;=1,CONCATENATE(TEXT(BD_DETALLE!$C447,"YY"),TEXT(BD_DETALLE!$C447,"MM"),"-",BD_DETALLE!$E447),"")</f>
        <v>2103-179</v>
      </c>
      <c r="E447" s="12">
        <v>179</v>
      </c>
      <c r="F447" s="21">
        <v>203627</v>
      </c>
      <c r="G447" s="4" t="str">
        <f>IFERROR(VLOOKUP(BD_DETALLE!$B447,Tabla9[],6,0),"")</f>
        <v>RELAY DE 24 V</v>
      </c>
      <c r="H447" s="6">
        <f>IFERROR(VLOOKUP(BD_DETALLE!$B447,Tabla9[],4,0),0)</f>
        <v>1</v>
      </c>
      <c r="I447" s="19" t="s">
        <v>5</v>
      </c>
      <c r="J447" s="20" t="s">
        <v>2042</v>
      </c>
      <c r="K447" s="10">
        <f>IFERROR(VLOOKUP(BD_DETALLE!B447,Tabla9[],7,0),"")</f>
        <v>0</v>
      </c>
      <c r="L447" s="11">
        <f>IFERROR(VLOOKUP(BD_DETALLE!B447,Tabla9[],8,0),"")</f>
        <v>0</v>
      </c>
      <c r="M447" s="9">
        <f>IFERROR(SUMIFS(Tabla9[CANTIDAD2],Tabla9[BUSQUEDA],Tabla3[[#This Row],[BUSQUEDA]],Tabla9[CODIGO],Tabla3[[#This Row],[CODIGO]],Tabla9[ORDEN No.],Tabla3[[#This Row],[ORDEN de COMPRA]]),0)</f>
        <v>0</v>
      </c>
      <c r="N447" s="27">
        <f>IFERROR(IF(BD_DETALLE!B447&gt;0,VLOOKUP(BD_DETALLE!B447,Tabla9[],10,0),""),"")</f>
        <v>0</v>
      </c>
      <c r="O447" s="28">
        <f>IFERROR(VLOOKUP(BD_DETALLE!B447,Tabla9[],11,0),0)</f>
        <v>0</v>
      </c>
      <c r="P447" s="26">
        <f>IFERROR(SUMIFS(Tabla9[CANTIDAD3],Tabla9[BUSQUEDA],Tabla3[[#This Row],[BUSQUEDA]],Tabla9[CODIGO],Tabla3[[#This Row],[CODIGO]]),0)</f>
        <v>0</v>
      </c>
      <c r="Q447" s="25">
        <f>IF(BD_DETALLE!P447&lt;=0,0,IF(BD_DETALLE!P447=BD_DETALLE!H447,2,1))</f>
        <v>0</v>
      </c>
      <c r="R447" s="41">
        <f ca="1">IF(BD_DETALLE!$C447&gt;0,(IF(BD_DETALLE!$N447=0,TODAY()-BD_DETALLE!$C447,BD_DETALLE!$N447-BD_DETALLE!$C447)),"")</f>
        <v>32</v>
      </c>
    </row>
    <row r="448" spans="2:18" x14ac:dyDescent="0.25">
      <c r="B448" s="15" t="str">
        <f t="shared" si="53"/>
        <v>2103-179-206290</v>
      </c>
      <c r="C448" s="7">
        <v>44273</v>
      </c>
      <c r="D448" s="5" t="str">
        <f>IF(BD_DETALLE!$E448&gt;=1,CONCATENATE(TEXT(BD_DETALLE!$C448,"YY"),TEXT(BD_DETALLE!$C448,"MM"),"-",BD_DETALLE!$E448),"")</f>
        <v>2103-179</v>
      </c>
      <c r="E448" s="12">
        <v>179</v>
      </c>
      <c r="F448" s="21">
        <v>206290</v>
      </c>
      <c r="G448" s="4" t="str">
        <f>IFERROR(VLOOKUP(BD_DETALLE!$B448,Tabla9[],6,0),"")</f>
        <v>SOQUE DE PITO</v>
      </c>
      <c r="H448" s="6">
        <f>IFERROR(VLOOKUP(BD_DETALLE!$B448,Tabla9[],4,0),0)</f>
        <v>1</v>
      </c>
      <c r="I448" s="19" t="s">
        <v>5</v>
      </c>
      <c r="J448" s="20" t="s">
        <v>2042</v>
      </c>
      <c r="K448" s="10">
        <f>IFERROR(VLOOKUP(BD_DETALLE!B448,Tabla9[],7,0),"")</f>
        <v>0</v>
      </c>
      <c r="L448" s="11">
        <f>IFERROR(VLOOKUP(BD_DETALLE!B448,Tabla9[],8,0),"")</f>
        <v>0</v>
      </c>
      <c r="M448" s="9">
        <f>IFERROR(SUMIFS(Tabla9[CANTIDAD2],Tabla9[BUSQUEDA],Tabla3[[#This Row],[BUSQUEDA]],Tabla9[CODIGO],Tabla3[[#This Row],[CODIGO]],Tabla9[ORDEN No.],Tabla3[[#This Row],[ORDEN de COMPRA]]),0)</f>
        <v>0</v>
      </c>
      <c r="N448" s="27">
        <f>IFERROR(IF(BD_DETALLE!B448&gt;0,VLOOKUP(BD_DETALLE!B448,Tabla9[],10,0),""),"")</f>
        <v>0</v>
      </c>
      <c r="O448" s="28">
        <f>IFERROR(VLOOKUP(BD_DETALLE!B448,Tabla9[],11,0),0)</f>
        <v>0</v>
      </c>
      <c r="P448" s="26">
        <f>IFERROR(SUMIFS(Tabla9[CANTIDAD3],Tabla9[BUSQUEDA],Tabla3[[#This Row],[BUSQUEDA]],Tabla9[CODIGO],Tabla3[[#This Row],[CODIGO]]),0)</f>
        <v>0</v>
      </c>
      <c r="Q448" s="25">
        <f>IF(BD_DETALLE!P448&lt;=0,0,IF(BD_DETALLE!P448=BD_DETALLE!H448,2,1))</f>
        <v>0</v>
      </c>
      <c r="R448" s="41">
        <f ca="1">IF(BD_DETALLE!$C448&gt;0,(IF(BD_DETALLE!$N448=0,TODAY()-BD_DETALLE!$C448,BD_DETALLE!$N448-BD_DETALLE!$C448)),"")</f>
        <v>32</v>
      </c>
    </row>
    <row r="449" spans="2:18" x14ac:dyDescent="0.25">
      <c r="B449" s="15" t="str">
        <f t="shared" si="53"/>
        <v>2103-179-205827</v>
      </c>
      <c r="C449" s="7">
        <v>44273</v>
      </c>
      <c r="D449" s="5" t="str">
        <f>IF(BD_DETALLE!$E449&gt;=1,CONCATENATE(TEXT(BD_DETALLE!$C449,"YY"),TEXT(BD_DETALLE!$C449,"MM"),"-",BD_DETALLE!$E449),"")</f>
        <v>2103-179</v>
      </c>
      <c r="E449" s="12">
        <v>179</v>
      </c>
      <c r="F449" s="21">
        <v>205827</v>
      </c>
      <c r="G449" s="4" t="str">
        <f>IFERROR(VLOOKUP(BD_DETALLE!$B449,Tabla9[],6,0),"")</f>
        <v>SWICHT OJO DE CANGREJO</v>
      </c>
      <c r="H449" s="6">
        <f>IFERROR(VLOOKUP(BD_DETALLE!$B449,Tabla9[],4,0),0)</f>
        <v>1</v>
      </c>
      <c r="I449" s="19" t="s">
        <v>5</v>
      </c>
      <c r="J449" s="20" t="s">
        <v>2042</v>
      </c>
      <c r="K449" s="10">
        <f>IFERROR(VLOOKUP(BD_DETALLE!B449,Tabla9[],7,0),"")</f>
        <v>0</v>
      </c>
      <c r="L449" s="11">
        <f>IFERROR(VLOOKUP(BD_DETALLE!B449,Tabla9[],8,0),"")</f>
        <v>0</v>
      </c>
      <c r="M449" s="9">
        <f>IFERROR(SUMIFS(Tabla9[CANTIDAD2],Tabla9[BUSQUEDA],Tabla3[[#This Row],[BUSQUEDA]],Tabla9[CODIGO],Tabla3[[#This Row],[CODIGO]],Tabla9[ORDEN No.],Tabla3[[#This Row],[ORDEN de COMPRA]]),0)</f>
        <v>0</v>
      </c>
      <c r="N449" s="27">
        <f>IFERROR(IF(BD_DETALLE!B449&gt;0,VLOOKUP(BD_DETALLE!B449,Tabla9[],10,0),""),"")</f>
        <v>0</v>
      </c>
      <c r="O449" s="28">
        <f>IFERROR(VLOOKUP(BD_DETALLE!B449,Tabla9[],11,0),0)</f>
        <v>0</v>
      </c>
      <c r="P449" s="26">
        <f>IFERROR(SUMIFS(Tabla9[CANTIDAD3],Tabla9[BUSQUEDA],Tabla3[[#This Row],[BUSQUEDA]],Tabla9[CODIGO],Tabla3[[#This Row],[CODIGO]]),0)</f>
        <v>0</v>
      </c>
      <c r="Q449" s="25">
        <f>IF(BD_DETALLE!P449&lt;=0,0,IF(BD_DETALLE!P449=BD_DETALLE!H449,2,1))</f>
        <v>0</v>
      </c>
      <c r="R449" s="41">
        <f ca="1">IF(BD_DETALLE!$C449&gt;0,(IF(BD_DETALLE!$N449=0,TODAY()-BD_DETALLE!$C449,BD_DETALLE!$N449-BD_DETALLE!$C449)),"")</f>
        <v>32</v>
      </c>
    </row>
    <row r="450" spans="2:18" x14ac:dyDescent="0.25">
      <c r="B450" s="15" t="str">
        <f t="shared" si="53"/>
        <v>2103-179-204816</v>
      </c>
      <c r="C450" s="7">
        <v>44273</v>
      </c>
      <c r="D450" s="5" t="str">
        <f>IF(BD_DETALLE!$E450&gt;=1,CONCATENATE(TEXT(BD_DETALLE!$C450,"YY"),TEXT(BD_DETALLE!$C450,"MM"),"-",BD_DETALLE!$E450),"")</f>
        <v>2103-179</v>
      </c>
      <c r="E450" s="12">
        <v>179</v>
      </c>
      <c r="F450" s="21">
        <v>204816</v>
      </c>
      <c r="G450" s="4" t="str">
        <f>IFERROR(VLOOKUP(BD_DETALLE!$B450,Tabla9[],6,0),"")</f>
        <v>TERMINAL DE ENCHUFE HEMBRA</v>
      </c>
      <c r="H450" s="6">
        <f>IFERROR(VLOOKUP(BD_DETALLE!$B450,Tabla9[],4,0),0)</f>
        <v>12</v>
      </c>
      <c r="I450" s="19" t="s">
        <v>5</v>
      </c>
      <c r="J450" s="20" t="s">
        <v>2042</v>
      </c>
      <c r="K450" s="10">
        <f>IFERROR(VLOOKUP(BD_DETALLE!B450,Tabla9[],7,0),"")</f>
        <v>0</v>
      </c>
      <c r="L450" s="11">
        <f>IFERROR(VLOOKUP(BD_DETALLE!B450,Tabla9[],8,0),"")</f>
        <v>0</v>
      </c>
      <c r="M450" s="9">
        <f>IFERROR(SUMIFS(Tabla9[CANTIDAD2],Tabla9[BUSQUEDA],Tabla3[[#This Row],[BUSQUEDA]],Tabla9[CODIGO],Tabla3[[#This Row],[CODIGO]],Tabla9[ORDEN No.],Tabla3[[#This Row],[ORDEN de COMPRA]]),0)</f>
        <v>0</v>
      </c>
      <c r="N450" s="27">
        <f>IFERROR(IF(BD_DETALLE!B450&gt;0,VLOOKUP(BD_DETALLE!B450,Tabla9[],10,0),""),"")</f>
        <v>0</v>
      </c>
      <c r="O450" s="28">
        <f>IFERROR(VLOOKUP(BD_DETALLE!B450,Tabla9[],11,0),0)</f>
        <v>0</v>
      </c>
      <c r="P450" s="26">
        <f>IFERROR(SUMIFS(Tabla9[CANTIDAD3],Tabla9[BUSQUEDA],Tabla3[[#This Row],[BUSQUEDA]],Tabla9[CODIGO],Tabla3[[#This Row],[CODIGO]]),0)</f>
        <v>0</v>
      </c>
      <c r="Q450" s="25">
        <f>IF(BD_DETALLE!P450&lt;=0,0,IF(BD_DETALLE!P450=BD_DETALLE!H450,2,1))</f>
        <v>0</v>
      </c>
      <c r="R450" s="41">
        <f ca="1">IF(BD_DETALLE!$C450&gt;0,(IF(BD_DETALLE!$N450=0,TODAY()-BD_DETALLE!$C450,BD_DETALLE!$N450-BD_DETALLE!$C450)),"")</f>
        <v>32</v>
      </c>
    </row>
    <row r="451" spans="2:18" x14ac:dyDescent="0.25">
      <c r="B451" s="15" t="str">
        <f t="shared" si="53"/>
        <v>2103-179-100140</v>
      </c>
      <c r="C451" s="7">
        <v>44273</v>
      </c>
      <c r="D451" s="5" t="str">
        <f>IF(BD_DETALLE!$E451&gt;=1,CONCATENATE(TEXT(BD_DETALLE!$C451,"YY"),TEXT(BD_DETALLE!$C451,"MM"),"-",BD_DETALLE!$E451),"")</f>
        <v>2103-179</v>
      </c>
      <c r="E451" s="12">
        <v>179</v>
      </c>
      <c r="F451" s="21">
        <v>100140</v>
      </c>
      <c r="G451" s="4" t="str">
        <f>IFERROR(VLOOKUP(BD_DETALLE!$B451,Tabla9[],6,0),"")</f>
        <v>TERMINAL DE OJO 1/4" (VF-2-6)</v>
      </c>
      <c r="H451" s="6">
        <f>IFERROR(VLOOKUP(BD_DETALLE!$B451,Tabla9[],4,0),0)</f>
        <v>12</v>
      </c>
      <c r="I451" s="19" t="s">
        <v>5</v>
      </c>
      <c r="J451" s="20" t="s">
        <v>2042</v>
      </c>
      <c r="K451" s="10">
        <f>IFERROR(VLOOKUP(BD_DETALLE!B451,Tabla9[],7,0),"")</f>
        <v>0</v>
      </c>
      <c r="L451" s="11">
        <f>IFERROR(VLOOKUP(BD_DETALLE!B451,Tabla9[],8,0),"")</f>
        <v>0</v>
      </c>
      <c r="M451" s="9">
        <f>IFERROR(SUMIFS(Tabla9[CANTIDAD2],Tabla9[BUSQUEDA],Tabla3[[#This Row],[BUSQUEDA]],Tabla9[CODIGO],Tabla3[[#This Row],[CODIGO]],Tabla9[ORDEN No.],Tabla3[[#This Row],[ORDEN de COMPRA]]),0)</f>
        <v>0</v>
      </c>
      <c r="N451" s="27">
        <f>IFERROR(IF(BD_DETALLE!B451&gt;0,VLOOKUP(BD_DETALLE!B451,Tabla9[],10,0),""),"")</f>
        <v>0</v>
      </c>
      <c r="O451" s="28">
        <f>IFERROR(VLOOKUP(BD_DETALLE!B451,Tabla9[],11,0),0)</f>
        <v>0</v>
      </c>
      <c r="P451" s="26">
        <f>IFERROR(SUMIFS(Tabla9[CANTIDAD3],Tabla9[BUSQUEDA],Tabla3[[#This Row],[BUSQUEDA]],Tabla9[CODIGO],Tabla3[[#This Row],[CODIGO]]),0)</f>
        <v>0</v>
      </c>
      <c r="Q451" s="25">
        <f>IF(BD_DETALLE!P451&lt;=0,0,IF(BD_DETALLE!P451=BD_DETALLE!H451,2,1))</f>
        <v>0</v>
      </c>
      <c r="R451" s="41">
        <f ca="1">IF(BD_DETALLE!$C451&gt;0,(IF(BD_DETALLE!$N451=0,TODAY()-BD_DETALLE!$C451,BD_DETALLE!$N451-BD_DETALLE!$C451)),"")</f>
        <v>32</v>
      </c>
    </row>
    <row r="452" spans="2:18" x14ac:dyDescent="0.25">
      <c r="B452" s="15" t="str">
        <f t="shared" si="53"/>
        <v>2103-179-300285</v>
      </c>
      <c r="C452" s="7">
        <v>44273</v>
      </c>
      <c r="D452" s="5" t="str">
        <f>IF(BD_DETALLE!$E452&gt;=1,CONCATENATE(TEXT(BD_DETALLE!$C452,"YY"),TEXT(BD_DETALLE!$C452,"MM"),"-",BD_DETALLE!$E452),"")</f>
        <v>2103-179</v>
      </c>
      <c r="E452" s="12">
        <v>179</v>
      </c>
      <c r="F452" s="21">
        <v>300285</v>
      </c>
      <c r="G452" s="4" t="str">
        <f>IFERROR(VLOOKUP(BD_DETALLE!$B452,Tabla9[],6,0),"")</f>
        <v>PALANCA DE CAMBIO DE LUCES</v>
      </c>
      <c r="H452" s="6">
        <f>IFERROR(VLOOKUP(BD_DETALLE!$B452,Tabla9[],4,0),0)</f>
        <v>1</v>
      </c>
      <c r="I452" s="19" t="s">
        <v>5</v>
      </c>
      <c r="J452" s="20" t="s">
        <v>2042</v>
      </c>
      <c r="K452" s="10">
        <f>IFERROR(VLOOKUP(BD_DETALLE!B452,Tabla9[],7,0),"")</f>
        <v>0</v>
      </c>
      <c r="L452" s="11">
        <f>IFERROR(VLOOKUP(BD_DETALLE!B452,Tabla9[],8,0),"")</f>
        <v>0</v>
      </c>
      <c r="M452" s="9">
        <f>IFERROR(SUMIFS(Tabla9[CANTIDAD2],Tabla9[BUSQUEDA],Tabla3[[#This Row],[BUSQUEDA]],Tabla9[CODIGO],Tabla3[[#This Row],[CODIGO]],Tabla9[ORDEN No.],Tabla3[[#This Row],[ORDEN de COMPRA]]),0)</f>
        <v>0</v>
      </c>
      <c r="N452" s="27">
        <f>IFERROR(IF(BD_DETALLE!B452&gt;0,VLOOKUP(BD_DETALLE!B452,Tabla9[],10,0),""),"")</f>
        <v>44299</v>
      </c>
      <c r="O452" s="28">
        <f>IFERROR(VLOOKUP(BD_DETALLE!B452,Tabla9[],11,0),0)</f>
        <v>11819</v>
      </c>
      <c r="P452" s="26">
        <f>IFERROR(SUMIFS(Tabla9[CANTIDAD3],Tabla9[BUSQUEDA],Tabla3[[#This Row],[BUSQUEDA]],Tabla9[CODIGO],Tabla3[[#This Row],[CODIGO]]),0)</f>
        <v>1</v>
      </c>
      <c r="Q452" s="25">
        <f>IF(BD_DETALLE!P452&lt;=0,0,IF(BD_DETALLE!P452=BD_DETALLE!H452,2,1))</f>
        <v>2</v>
      </c>
      <c r="R452" s="41">
        <f ca="1">IF(BD_DETALLE!$C452&gt;0,(IF(BD_DETALLE!$N452=0,TODAY()-BD_DETALLE!$C452,BD_DETALLE!$N452-BD_DETALLE!$C452)),"")</f>
        <v>26</v>
      </c>
    </row>
    <row r="453" spans="2:18" x14ac:dyDescent="0.25">
      <c r="B453" s="15" t="str">
        <f t="shared" si="53"/>
        <v>2103-180-106644</v>
      </c>
      <c r="C453" s="7">
        <v>44273</v>
      </c>
      <c r="D453" s="5" t="str">
        <f>IF(BD_DETALLE!$E453&gt;=1,CONCATENATE(TEXT(BD_DETALLE!$C453,"YY"),TEXT(BD_DETALLE!$C453,"MM"),"-",BD_DETALLE!$E453),"")</f>
        <v>2103-180</v>
      </c>
      <c r="E453" s="12">
        <v>180</v>
      </c>
      <c r="F453" s="21">
        <v>106644</v>
      </c>
      <c r="G453" s="4" t="str">
        <f>IFERROR(VLOOKUP(BD_DETALLE!$B453,Tabla9[],6,0),"")</f>
        <v>PERNO A/INOX DE 3/8" x 1-1/2" COMPLETO</v>
      </c>
      <c r="H453" s="6">
        <f>IFERROR(VLOOKUP(BD_DETALLE!$B453,Tabla9[],4,0),0)</f>
        <v>80</v>
      </c>
      <c r="I453" s="19" t="s">
        <v>12</v>
      </c>
      <c r="J453" s="20" t="s">
        <v>2043</v>
      </c>
      <c r="K453" s="10">
        <f>IFERROR(VLOOKUP(BD_DETALLE!B453,Tabla9[],7,0),"")</f>
        <v>44293</v>
      </c>
      <c r="L453" s="11">
        <f>IFERROR(VLOOKUP(BD_DETALLE!B453,Tabla9[],8,0),"")</f>
        <v>52384</v>
      </c>
      <c r="M453" s="9">
        <f>IFERROR(SUMIFS(Tabla9[CANTIDAD2],Tabla9[BUSQUEDA],Tabla3[[#This Row],[BUSQUEDA]],Tabla9[CODIGO],Tabla3[[#This Row],[CODIGO]],Tabla9[ORDEN No.],Tabla3[[#This Row],[ORDEN de COMPRA]]),0)</f>
        <v>80</v>
      </c>
      <c r="N453" s="27">
        <f>IFERROR(IF(BD_DETALLE!B453&gt;0,VLOOKUP(BD_DETALLE!B453,Tabla9[],10,0),""),"")</f>
        <v>44298</v>
      </c>
      <c r="O453" s="28">
        <f>IFERROR(VLOOKUP(BD_DETALLE!B453,Tabla9[],11,0),0)</f>
        <v>11787</v>
      </c>
      <c r="P453" s="26">
        <f>IFERROR(SUMIFS(Tabla9[CANTIDAD3],Tabla9[BUSQUEDA],Tabla3[[#This Row],[BUSQUEDA]],Tabla9[CODIGO],Tabla3[[#This Row],[CODIGO]]),0)</f>
        <v>80</v>
      </c>
      <c r="Q453" s="25">
        <f>IF(BD_DETALLE!P453&lt;=0,0,IF(BD_DETALLE!P453=BD_DETALLE!H453,2,1))</f>
        <v>2</v>
      </c>
      <c r="R453" s="41">
        <f ca="1">IF(BD_DETALLE!$C453&gt;0,(IF(BD_DETALLE!$N453=0,TODAY()-BD_DETALLE!$C453,BD_DETALLE!$N453-BD_DETALLE!$C453)),"")</f>
        <v>25</v>
      </c>
    </row>
    <row r="454" spans="2:18" x14ac:dyDescent="0.25">
      <c r="B454" s="15" t="str">
        <f t="shared" si="53"/>
        <v>2103-180-205657</v>
      </c>
      <c r="C454" s="7">
        <v>44273</v>
      </c>
      <c r="D454" s="5" t="str">
        <f>IF(BD_DETALLE!$E454&gt;=1,CONCATENATE(TEXT(BD_DETALLE!$C454,"YY"),TEXT(BD_DETALLE!$C454,"MM"),"-",BD_DETALLE!$E454),"")</f>
        <v>2103-180</v>
      </c>
      <c r="E454" s="12">
        <v>180</v>
      </c>
      <c r="F454" s="21">
        <v>205657</v>
      </c>
      <c r="G454" s="4" t="str">
        <f>IFERROR(VLOOKUP(BD_DETALLE!$B454,Tabla9[],6,0),"")</f>
        <v>VALVULA A/INOX A/RAPIDA DE 1/2"</v>
      </c>
      <c r="H454" s="6">
        <f>IFERROR(VLOOKUP(BD_DETALLE!$B454,Tabla9[],4,0),0)</f>
        <v>4</v>
      </c>
      <c r="I454" s="19" t="s">
        <v>12</v>
      </c>
      <c r="J454" s="20" t="s">
        <v>2043</v>
      </c>
      <c r="K454" s="10">
        <f>IFERROR(VLOOKUP(BD_DETALLE!B454,Tabla9[],7,0),"")</f>
        <v>44293</v>
      </c>
      <c r="L454" s="11">
        <f>IFERROR(VLOOKUP(BD_DETALLE!B454,Tabla9[],8,0),"")</f>
        <v>52387</v>
      </c>
      <c r="M454" s="9">
        <f>IFERROR(SUMIFS(Tabla9[CANTIDAD2],Tabla9[BUSQUEDA],Tabla3[[#This Row],[BUSQUEDA]],Tabla9[CODIGO],Tabla3[[#This Row],[CODIGO]],Tabla9[ORDEN No.],Tabla3[[#This Row],[ORDEN de COMPRA]]),0)</f>
        <v>4</v>
      </c>
      <c r="N454" s="27">
        <f>IFERROR(IF(BD_DETALLE!B454&gt;0,VLOOKUP(BD_DETALLE!B454,Tabla9[],10,0),""),"")</f>
        <v>0</v>
      </c>
      <c r="O454" s="28">
        <f>IFERROR(VLOOKUP(BD_DETALLE!B454,Tabla9[],11,0),0)</f>
        <v>0</v>
      </c>
      <c r="P454" s="26">
        <f>IFERROR(SUMIFS(Tabla9[CANTIDAD3],Tabla9[BUSQUEDA],Tabla3[[#This Row],[BUSQUEDA]],Tabla9[CODIGO],Tabla3[[#This Row],[CODIGO]]),0)</f>
        <v>0</v>
      </c>
      <c r="Q454" s="25">
        <f>IF(BD_DETALLE!P454&lt;=0,0,IF(BD_DETALLE!P454=BD_DETALLE!H454,2,1))</f>
        <v>0</v>
      </c>
      <c r="R454" s="41">
        <f ca="1">IF(BD_DETALLE!$C454&gt;0,(IF(BD_DETALLE!$N454=0,TODAY()-BD_DETALLE!$C454,BD_DETALLE!$N454-BD_DETALLE!$C454)),"")</f>
        <v>32</v>
      </c>
    </row>
    <row r="455" spans="2:18" x14ac:dyDescent="0.25">
      <c r="B455" s="15" t="str">
        <f t="shared" si="53"/>
        <v>2103-180-320942</v>
      </c>
      <c r="C455" s="7">
        <v>44273</v>
      </c>
      <c r="D455" s="5" t="str">
        <f>IF(BD_DETALLE!$E455&gt;=1,CONCATENATE(TEXT(BD_DETALLE!$C455,"YY"),TEXT(BD_DETALLE!$C455,"MM"),"-",BD_DETALLE!$E455),"")</f>
        <v>2103-180</v>
      </c>
      <c r="E455" s="12">
        <v>180</v>
      </c>
      <c r="F455" s="21">
        <v>320942</v>
      </c>
      <c r="G455" s="4" t="str">
        <f>IFERROR(VLOOKUP(BD_DETALLE!$B455,Tabla9[],6,0),"")</f>
        <v>PLANCHA DE EMPAQUE CAUCHO Y LONA DE 1/2" x 1 x 2.44mtr</v>
      </c>
      <c r="H455" s="6">
        <f>IFERROR(VLOOKUP(BD_DETALLE!$B455,Tabla9[],4,0),0)</f>
        <v>2</v>
      </c>
      <c r="I455" s="19" t="s">
        <v>12</v>
      </c>
      <c r="J455" s="20" t="s">
        <v>2043</v>
      </c>
      <c r="K455" s="10">
        <f>IFERROR(VLOOKUP(BD_DETALLE!B455,Tabla9[],7,0),"")</f>
        <v>44293</v>
      </c>
      <c r="L455" s="11">
        <f>IFERROR(VLOOKUP(BD_DETALLE!B455,Tabla9[],8,0),"")</f>
        <v>52383</v>
      </c>
      <c r="M455" s="9">
        <f>IFERROR(SUMIFS(Tabla9[CANTIDAD2],Tabla9[BUSQUEDA],Tabla3[[#This Row],[BUSQUEDA]],Tabla9[CODIGO],Tabla3[[#This Row],[CODIGO]],Tabla9[ORDEN No.],Tabla3[[#This Row],[ORDEN de COMPRA]]),0)</f>
        <v>2</v>
      </c>
      <c r="N455" s="27">
        <f>IFERROR(IF(BD_DETALLE!B455&gt;0,VLOOKUP(BD_DETALLE!B455,Tabla9[],10,0),""),"")</f>
        <v>44295</v>
      </c>
      <c r="O455" s="28">
        <f>IFERROR(VLOOKUP(BD_DETALLE!B455,Tabla9[],11,0),0)</f>
        <v>11775</v>
      </c>
      <c r="P455" s="26">
        <f>IFERROR(SUMIFS(Tabla9[CANTIDAD3],Tabla9[BUSQUEDA],Tabla3[[#This Row],[BUSQUEDA]],Tabla9[CODIGO],Tabla3[[#This Row],[CODIGO]]),0)</f>
        <v>2</v>
      </c>
      <c r="Q455" s="25">
        <f>IF(BD_DETALLE!P455&lt;=0,0,IF(BD_DETALLE!P455=BD_DETALLE!H455,2,1))</f>
        <v>2</v>
      </c>
      <c r="R455" s="41">
        <f ca="1">IF(BD_DETALLE!$C455&gt;0,(IF(BD_DETALLE!$N455=0,TODAY()-BD_DETALLE!$C455,BD_DETALLE!$N455-BD_DETALLE!$C455)),"")</f>
        <v>22</v>
      </c>
    </row>
    <row r="456" spans="2:18" x14ac:dyDescent="0.25">
      <c r="B456" s="15" t="str">
        <f t="shared" si="53"/>
        <v>2103-182-315008</v>
      </c>
      <c r="C456" s="7">
        <v>44273</v>
      </c>
      <c r="D456" s="5" t="str">
        <f>IF(BD_DETALLE!$E456&gt;=1,CONCATENATE(TEXT(BD_DETALLE!$C456,"YY"),TEXT(BD_DETALLE!$C456,"MM"),"-",BD_DETALLE!$E456),"")</f>
        <v>2103-182</v>
      </c>
      <c r="E456" s="12">
        <v>182</v>
      </c>
      <c r="F456" s="21">
        <v>315008</v>
      </c>
      <c r="G456" s="4" t="str">
        <f>IFERROR(VLOOKUP(BD_DETALLE!$B456,Tabla9[],6,0),"")</f>
        <v>EJE ACERO 705 DE 3.1/2" DIAMETRO</v>
      </c>
      <c r="H456" s="6">
        <f>IFERROR(VLOOKUP(BD_DETALLE!$B456,Tabla9[],4,0),0)</f>
        <v>1.2</v>
      </c>
      <c r="I456" s="19" t="s">
        <v>19</v>
      </c>
      <c r="J456" s="20" t="s">
        <v>2044</v>
      </c>
      <c r="K456" s="10">
        <f>IFERROR(VLOOKUP(BD_DETALLE!B456,Tabla9[],7,0),"")</f>
        <v>0</v>
      </c>
      <c r="L456" s="11">
        <f>IFERROR(VLOOKUP(BD_DETALLE!B456,Tabla9[],8,0),"")</f>
        <v>0</v>
      </c>
      <c r="M456" s="9">
        <f>IFERROR(SUMIFS(Tabla9[CANTIDAD2],Tabla9[BUSQUEDA],Tabla3[[#This Row],[BUSQUEDA]],Tabla9[CODIGO],Tabla3[[#This Row],[CODIGO]],Tabla9[ORDEN No.],Tabla3[[#This Row],[ORDEN de COMPRA]]),0)</f>
        <v>0</v>
      </c>
      <c r="N456" s="27">
        <f>IFERROR(IF(BD_DETALLE!B456&gt;0,VLOOKUP(BD_DETALLE!B456,Tabla9[],10,0),""),"")</f>
        <v>0</v>
      </c>
      <c r="O456" s="28">
        <f>IFERROR(VLOOKUP(BD_DETALLE!B456,Tabla9[],11,0),0)</f>
        <v>0</v>
      </c>
      <c r="P456" s="26">
        <f>IFERROR(SUMIFS(Tabla9[CANTIDAD3],Tabla9[BUSQUEDA],Tabla3[[#This Row],[BUSQUEDA]],Tabla9[CODIGO],Tabla3[[#This Row],[CODIGO]]),0)</f>
        <v>0</v>
      </c>
      <c r="Q456" s="25">
        <f>IF(BD_DETALLE!P456&lt;=0,0,IF(BD_DETALLE!P456=BD_DETALLE!H456,2,1))</f>
        <v>0</v>
      </c>
      <c r="R456" s="41">
        <f ca="1">IF(BD_DETALLE!$C456&gt;0,(IF(BD_DETALLE!$N456=0,TODAY()-BD_DETALLE!$C456,BD_DETALLE!$N456-BD_DETALLE!$C456)),"")</f>
        <v>32</v>
      </c>
    </row>
    <row r="457" spans="2:18" x14ac:dyDescent="0.25">
      <c r="B457" s="15" t="str">
        <f t="shared" si="53"/>
        <v>2103-182-302261</v>
      </c>
      <c r="C457" s="7">
        <v>44273</v>
      </c>
      <c r="D457" s="5" t="str">
        <f>IF(BD_DETALLE!$E457&gt;=1,CONCATENATE(TEXT(BD_DETALLE!$C457,"YY"),TEXT(BD_DETALLE!$C457,"MM"),"-",BD_DETALLE!$E457),"")</f>
        <v>2103-182</v>
      </c>
      <c r="E457" s="12">
        <v>182</v>
      </c>
      <c r="F457" s="21">
        <v>302261</v>
      </c>
      <c r="G457" s="4" t="str">
        <f>IFERROR(VLOOKUP(BD_DETALLE!$B457,Tabla9[],6,0),"")</f>
        <v>JUEGO DE MACHUELO 1/2"</v>
      </c>
      <c r="H457" s="6">
        <f>IFERROR(VLOOKUP(BD_DETALLE!$B457,Tabla9[],4,0),0)</f>
        <v>1</v>
      </c>
      <c r="I457" s="19" t="s">
        <v>19</v>
      </c>
      <c r="J457" s="20" t="s">
        <v>2044</v>
      </c>
      <c r="K457" s="10">
        <f>IFERROR(VLOOKUP(BD_DETALLE!B457,Tabla9[],7,0),"")</f>
        <v>0</v>
      </c>
      <c r="L457" s="11">
        <f>IFERROR(VLOOKUP(BD_DETALLE!B457,Tabla9[],8,0),"")</f>
        <v>0</v>
      </c>
      <c r="M457" s="9">
        <f>IFERROR(SUMIFS(Tabla9[CANTIDAD2],Tabla9[BUSQUEDA],Tabla3[[#This Row],[BUSQUEDA]],Tabla9[CODIGO],Tabla3[[#This Row],[CODIGO]],Tabla9[ORDEN No.],Tabla3[[#This Row],[ORDEN de COMPRA]]),0)</f>
        <v>0</v>
      </c>
      <c r="N457" s="27">
        <f>IFERROR(IF(BD_DETALLE!B457&gt;0,VLOOKUP(BD_DETALLE!B457,Tabla9[],10,0),""),"")</f>
        <v>0</v>
      </c>
      <c r="O457" s="28">
        <f>IFERROR(VLOOKUP(BD_DETALLE!B457,Tabla9[],11,0),0)</f>
        <v>0</v>
      </c>
      <c r="P457" s="26">
        <f>IFERROR(SUMIFS(Tabla9[CANTIDAD3],Tabla9[BUSQUEDA],Tabla3[[#This Row],[BUSQUEDA]],Tabla9[CODIGO],Tabla3[[#This Row],[CODIGO]]),0)</f>
        <v>0</v>
      </c>
      <c r="Q457" s="25">
        <f>IF(BD_DETALLE!P457&lt;=0,0,IF(BD_DETALLE!P457=BD_DETALLE!H457,2,1))</f>
        <v>0</v>
      </c>
      <c r="R457" s="41">
        <f ca="1">IF(BD_DETALLE!$C457&gt;0,(IF(BD_DETALLE!$N457=0,TODAY()-BD_DETALLE!$C457,BD_DETALLE!$N457-BD_DETALLE!$C457)),"")</f>
        <v>32</v>
      </c>
    </row>
    <row r="458" spans="2:18" x14ac:dyDescent="0.25">
      <c r="B458" s="15" t="str">
        <f t="shared" si="53"/>
        <v>2103-182-301821</v>
      </c>
      <c r="C458" s="7">
        <v>44273</v>
      </c>
      <c r="D458" s="5" t="str">
        <f>IF(BD_DETALLE!$E458&gt;=1,CONCATENATE(TEXT(BD_DETALLE!$C458,"YY"),TEXT(BD_DETALLE!$C458,"MM"),"-",BD_DETALLE!$E458),"")</f>
        <v>2103-182</v>
      </c>
      <c r="E458" s="12">
        <v>182</v>
      </c>
      <c r="F458" s="21">
        <v>301821</v>
      </c>
      <c r="G458" s="4" t="str">
        <f>IFERROR(VLOOKUP(BD_DETALLE!$B458,Tabla9[],6,0),"")</f>
        <v>JUEGO MACHUELO DE 3/8"NC</v>
      </c>
      <c r="H458" s="6">
        <f>IFERROR(VLOOKUP(BD_DETALLE!$B458,Tabla9[],4,0),0)</f>
        <v>1</v>
      </c>
      <c r="I458" s="19" t="s">
        <v>19</v>
      </c>
      <c r="J458" s="20" t="s">
        <v>2044</v>
      </c>
      <c r="K458" s="10">
        <f>IFERROR(VLOOKUP(BD_DETALLE!B458,Tabla9[],7,0),"")</f>
        <v>0</v>
      </c>
      <c r="L458" s="11">
        <f>IFERROR(VLOOKUP(BD_DETALLE!B458,Tabla9[],8,0),"")</f>
        <v>0</v>
      </c>
      <c r="M458" s="9">
        <f>IFERROR(SUMIFS(Tabla9[CANTIDAD2],Tabla9[BUSQUEDA],Tabla3[[#This Row],[BUSQUEDA]],Tabla9[CODIGO],Tabla3[[#This Row],[CODIGO]],Tabla9[ORDEN No.],Tabla3[[#This Row],[ORDEN de COMPRA]]),0)</f>
        <v>0</v>
      </c>
      <c r="N458" s="27">
        <f>IFERROR(IF(BD_DETALLE!B458&gt;0,VLOOKUP(BD_DETALLE!B458,Tabla9[],10,0),""),"")</f>
        <v>0</v>
      </c>
      <c r="O458" s="28">
        <f>IFERROR(VLOOKUP(BD_DETALLE!B458,Tabla9[],11,0),0)</f>
        <v>0</v>
      </c>
      <c r="P458" s="26">
        <f>IFERROR(SUMIFS(Tabla9[CANTIDAD3],Tabla9[BUSQUEDA],Tabla3[[#This Row],[BUSQUEDA]],Tabla9[CODIGO],Tabla3[[#This Row],[CODIGO]]),0)</f>
        <v>0</v>
      </c>
      <c r="Q458" s="25">
        <f>IF(BD_DETALLE!P458&lt;=0,0,IF(BD_DETALLE!P458=BD_DETALLE!H458,2,1))</f>
        <v>0</v>
      </c>
      <c r="R458" s="41">
        <f ca="1">IF(BD_DETALLE!$C458&gt;0,(IF(BD_DETALLE!$N458=0,TODAY()-BD_DETALLE!$C458,BD_DETALLE!$N458-BD_DETALLE!$C458)),"")</f>
        <v>32</v>
      </c>
    </row>
    <row r="459" spans="2:18" x14ac:dyDescent="0.25">
      <c r="B459" s="15" t="str">
        <f t="shared" si="53"/>
        <v>2103-182-204108</v>
      </c>
      <c r="C459" s="7">
        <v>44273</v>
      </c>
      <c r="D459" s="5" t="str">
        <f>IF(BD_DETALLE!$E459&gt;=1,CONCATENATE(TEXT(BD_DETALLE!$C459,"YY"),TEXT(BD_DETALLE!$C459,"MM"),"-",BD_DETALLE!$E459),"")</f>
        <v>2103-182</v>
      </c>
      <c r="E459" s="12">
        <v>182</v>
      </c>
      <c r="F459" s="21">
        <v>204108</v>
      </c>
      <c r="G459" s="4" t="str">
        <f>IFERROR(VLOOKUP(BD_DETALLE!$B459,Tabla9[],6,0),"")</f>
        <v>JUEGO DE MACHUELO 5/8" NC</v>
      </c>
      <c r="H459" s="6">
        <f>IFERROR(VLOOKUP(BD_DETALLE!$B459,Tabla9[],4,0),0)</f>
        <v>1</v>
      </c>
      <c r="I459" s="19" t="s">
        <v>19</v>
      </c>
      <c r="J459" s="20" t="s">
        <v>2044</v>
      </c>
      <c r="K459" s="10">
        <f>IFERROR(VLOOKUP(BD_DETALLE!B459,Tabla9[],7,0),"")</f>
        <v>0</v>
      </c>
      <c r="L459" s="11">
        <f>IFERROR(VLOOKUP(BD_DETALLE!B459,Tabla9[],8,0),"")</f>
        <v>0</v>
      </c>
      <c r="M459" s="9">
        <f>IFERROR(SUMIFS(Tabla9[CANTIDAD2],Tabla9[BUSQUEDA],Tabla3[[#This Row],[BUSQUEDA]],Tabla9[CODIGO],Tabla3[[#This Row],[CODIGO]],Tabla9[ORDEN No.],Tabla3[[#This Row],[ORDEN de COMPRA]]),0)</f>
        <v>0</v>
      </c>
      <c r="N459" s="27">
        <f>IFERROR(IF(BD_DETALLE!B459&gt;0,VLOOKUP(BD_DETALLE!B459,Tabla9[],10,0),""),"")</f>
        <v>0</v>
      </c>
      <c r="O459" s="28">
        <f>IFERROR(VLOOKUP(BD_DETALLE!B459,Tabla9[],11,0),0)</f>
        <v>0</v>
      </c>
      <c r="P459" s="26">
        <f>IFERROR(SUMIFS(Tabla9[CANTIDAD3],Tabla9[BUSQUEDA],Tabla3[[#This Row],[BUSQUEDA]],Tabla9[CODIGO],Tabla3[[#This Row],[CODIGO]]),0)</f>
        <v>0</v>
      </c>
      <c r="Q459" s="25">
        <f>IF(BD_DETALLE!P459&lt;=0,0,IF(BD_DETALLE!P459=BD_DETALLE!H459,2,1))</f>
        <v>0</v>
      </c>
      <c r="R459" s="41">
        <f ca="1">IF(BD_DETALLE!$C459&gt;0,(IF(BD_DETALLE!$N459=0,TODAY()-BD_DETALLE!$C459,BD_DETALLE!$N459-BD_DETALLE!$C459)),"")</f>
        <v>32</v>
      </c>
    </row>
    <row r="460" spans="2:18" x14ac:dyDescent="0.25">
      <c r="B460" s="15" t="str">
        <f t="shared" si="53"/>
        <v>2103-191-206617</v>
      </c>
      <c r="C460" s="7">
        <v>44274</v>
      </c>
      <c r="D460" s="5" t="str">
        <f>IF(BD_DETALLE!$E460&gt;=1,CONCATENATE(TEXT(BD_DETALLE!$C460,"YY"),TEXT(BD_DETALLE!$C460,"MM"),"-",BD_DETALLE!$E460),"")</f>
        <v>2103-191</v>
      </c>
      <c r="E460" s="12">
        <v>191</v>
      </c>
      <c r="F460" s="21">
        <v>206617</v>
      </c>
      <c r="G460" s="4" t="str">
        <f>IFERROR(VLOOKUP(BD_DETALLE!$B460,Tabla9[],6,0),"")</f>
        <v>VALVULA H/N A/RAPIDA DE 1/2" P/VAPOR</v>
      </c>
      <c r="H460" s="6">
        <f>IFERROR(VLOOKUP(BD_DETALLE!$B460,Tabla9[],4,0),0)</f>
        <v>4</v>
      </c>
      <c r="I460" s="19" t="s">
        <v>12</v>
      </c>
      <c r="J460" s="20" t="s">
        <v>2045</v>
      </c>
      <c r="K460" s="10">
        <f>IFERROR(VLOOKUP(BD_DETALLE!B460,Tabla9[],7,0),"")</f>
        <v>44281</v>
      </c>
      <c r="L460" s="11">
        <f>IFERROR(VLOOKUP(BD_DETALLE!B460,Tabla9[],8,0),"")</f>
        <v>52275</v>
      </c>
      <c r="M460" s="9">
        <f>IFERROR(SUMIFS(Tabla9[CANTIDAD2],Tabla9[BUSQUEDA],Tabla3[[#This Row],[BUSQUEDA]],Tabla9[CODIGO],Tabla3[[#This Row],[CODIGO]],Tabla9[ORDEN No.],Tabla3[[#This Row],[ORDEN de COMPRA]]),0)</f>
        <v>4</v>
      </c>
      <c r="N460" s="27">
        <f>IFERROR(IF(BD_DETALLE!B460&gt;0,VLOOKUP(BD_DETALLE!B460,Tabla9[],10,0),""),"")</f>
        <v>44292</v>
      </c>
      <c r="O460" s="28">
        <f>IFERROR(VLOOKUP(BD_DETALLE!B460,Tabla9[],11,0),0)</f>
        <v>11735</v>
      </c>
      <c r="P460" s="26">
        <f>IFERROR(SUMIFS(Tabla9[CANTIDAD3],Tabla9[BUSQUEDA],Tabla3[[#This Row],[BUSQUEDA]],Tabla9[CODIGO],Tabla3[[#This Row],[CODIGO]]),0)</f>
        <v>4</v>
      </c>
      <c r="Q460" s="25">
        <f>IF(BD_DETALLE!P460&lt;=0,0,IF(BD_DETALLE!P460=BD_DETALLE!H460,2,1))</f>
        <v>2</v>
      </c>
      <c r="R460" s="41">
        <f ca="1">IF(BD_DETALLE!$C460&gt;0,(IF(BD_DETALLE!$N460=0,TODAY()-BD_DETALLE!$C460,BD_DETALLE!$N460-BD_DETALLE!$C460)),"")</f>
        <v>18</v>
      </c>
    </row>
    <row r="461" spans="2:18" x14ac:dyDescent="0.25">
      <c r="B461" s="15" t="str">
        <f t="shared" si="53"/>
        <v>2103-191-312511</v>
      </c>
      <c r="C461" s="7">
        <v>44274</v>
      </c>
      <c r="D461" s="5" t="str">
        <f>IF(BD_DETALLE!$E461&gt;=1,CONCATENATE(TEXT(BD_DETALLE!$C461,"YY"),TEXT(BD_DETALLE!$C461,"MM"),"-",BD_DETALLE!$E461),"")</f>
        <v>2103-191</v>
      </c>
      <c r="E461" s="12">
        <v>191</v>
      </c>
      <c r="F461" s="21">
        <v>312511</v>
      </c>
      <c r="G461" s="4" t="str">
        <f>IFERROR(VLOOKUP(BD_DETALLE!$B461,Tabla9[],6,0),"")</f>
        <v>PLANCHA H/N DE 1/2" x 1.22MTS x 2.44MTS</v>
      </c>
      <c r="H461" s="6">
        <f>IFERROR(VLOOKUP(BD_DETALLE!$B461,Tabla9[],4,0),0)</f>
        <v>1</v>
      </c>
      <c r="I461" s="19" t="s">
        <v>12</v>
      </c>
      <c r="J461" s="20" t="s">
        <v>2045</v>
      </c>
      <c r="K461" s="10">
        <f>IFERROR(VLOOKUP(BD_DETALLE!B461,Tabla9[],7,0),"")</f>
        <v>44281</v>
      </c>
      <c r="L461" s="11">
        <f>IFERROR(VLOOKUP(BD_DETALLE!B461,Tabla9[],8,0),"")</f>
        <v>52275</v>
      </c>
      <c r="M461" s="9">
        <f>IFERROR(SUMIFS(Tabla9[CANTIDAD2],Tabla9[BUSQUEDA],Tabla3[[#This Row],[BUSQUEDA]],Tabla9[CODIGO],Tabla3[[#This Row],[CODIGO]],Tabla9[ORDEN No.],Tabla3[[#This Row],[ORDEN de COMPRA]]),0)</f>
        <v>1</v>
      </c>
      <c r="N461" s="27">
        <f>IFERROR(IF(BD_DETALLE!B461&gt;0,VLOOKUP(BD_DETALLE!B461,Tabla9[],10,0),""),"")</f>
        <v>44292</v>
      </c>
      <c r="O461" s="28">
        <f>IFERROR(VLOOKUP(BD_DETALLE!B461,Tabla9[],11,0),0)</f>
        <v>11735</v>
      </c>
      <c r="P461" s="26">
        <f>IFERROR(SUMIFS(Tabla9[CANTIDAD3],Tabla9[BUSQUEDA],Tabla3[[#This Row],[BUSQUEDA]],Tabla9[CODIGO],Tabla3[[#This Row],[CODIGO]]),0)</f>
        <v>1</v>
      </c>
      <c r="Q461" s="25">
        <f>IF(BD_DETALLE!P461&lt;=0,0,IF(BD_DETALLE!P461=BD_DETALLE!H461,2,1))</f>
        <v>2</v>
      </c>
      <c r="R461" s="41">
        <f ca="1">IF(BD_DETALLE!$C461&gt;0,(IF(BD_DETALLE!$N461=0,TODAY()-BD_DETALLE!$C461,BD_DETALLE!$N461-BD_DETALLE!$C461)),"")</f>
        <v>18</v>
      </c>
    </row>
    <row r="462" spans="2:18" x14ac:dyDescent="0.25">
      <c r="B462" s="15" t="str">
        <f t="shared" si="53"/>
        <v>2103-191-302908</v>
      </c>
      <c r="C462" s="7">
        <v>44274</v>
      </c>
      <c r="D462" s="5" t="str">
        <f>IF(BD_DETALLE!$E462&gt;=1,CONCATENATE(TEXT(BD_DETALLE!$C462,"YY"),TEXT(BD_DETALLE!$C462,"MM"),"-",BD_DETALLE!$E462),"")</f>
        <v>2103-191</v>
      </c>
      <c r="E462" s="12">
        <v>191</v>
      </c>
      <c r="F462" s="21">
        <v>302908</v>
      </c>
      <c r="G462" s="4" t="str">
        <f>IFERROR(VLOOKUP(BD_DETALLE!$B462,Tabla9[],6,0),"")</f>
        <v>PLANCHA H/N DE 25MM X 1,2M X 2,4M</v>
      </c>
      <c r="H462" s="6">
        <f>IFERROR(VLOOKUP(BD_DETALLE!$B462,Tabla9[],4,0),0)</f>
        <v>2</v>
      </c>
      <c r="I462" s="19" t="s">
        <v>12</v>
      </c>
      <c r="J462" s="20" t="s">
        <v>2045</v>
      </c>
      <c r="K462" s="10">
        <f>IFERROR(VLOOKUP(BD_DETALLE!B462,Tabla9[],7,0),"")</f>
        <v>44281</v>
      </c>
      <c r="L462" s="11">
        <f>IFERROR(VLOOKUP(BD_DETALLE!B462,Tabla9[],8,0),"")</f>
        <v>52275</v>
      </c>
      <c r="M462" s="9">
        <f>IFERROR(SUMIFS(Tabla9[CANTIDAD2],Tabla9[BUSQUEDA],Tabla3[[#This Row],[BUSQUEDA]],Tabla9[CODIGO],Tabla3[[#This Row],[CODIGO]],Tabla9[ORDEN No.],Tabla3[[#This Row],[ORDEN de COMPRA]]),0)</f>
        <v>2</v>
      </c>
      <c r="N462" s="27">
        <f>IFERROR(IF(BD_DETALLE!B462&gt;0,VLOOKUP(BD_DETALLE!B462,Tabla9[],10,0),""),"")</f>
        <v>44292</v>
      </c>
      <c r="O462" s="28">
        <f>IFERROR(VLOOKUP(BD_DETALLE!B462,Tabla9[],11,0),0)</f>
        <v>11735</v>
      </c>
      <c r="P462" s="26">
        <f>IFERROR(SUMIFS(Tabla9[CANTIDAD3],Tabla9[BUSQUEDA],Tabla3[[#This Row],[BUSQUEDA]],Tabla9[CODIGO],Tabla3[[#This Row],[CODIGO]]),0)</f>
        <v>2</v>
      </c>
      <c r="Q462" s="25">
        <f>IF(BD_DETALLE!P462&lt;=0,0,IF(BD_DETALLE!P462=BD_DETALLE!H462,2,1))</f>
        <v>2</v>
      </c>
      <c r="R462" s="41">
        <f ca="1">IF(BD_DETALLE!$C462&gt;0,(IF(BD_DETALLE!$N462=0,TODAY()-BD_DETALLE!$C462,BD_DETALLE!$N462-BD_DETALLE!$C462)),"")</f>
        <v>18</v>
      </c>
    </row>
    <row r="463" spans="2:18" x14ac:dyDescent="0.25">
      <c r="B463" s="15" t="str">
        <f t="shared" si="53"/>
        <v>2103-191-301324</v>
      </c>
      <c r="C463" s="7">
        <v>44274</v>
      </c>
      <c r="D463" s="5" t="str">
        <f>IF(BD_DETALLE!$E463&gt;=1,CONCATENATE(TEXT(BD_DETALLE!$C463,"YY"),TEXT(BD_DETALLE!$C463,"MM"),"-",BD_DETALLE!$E463),"")</f>
        <v>2103-191</v>
      </c>
      <c r="E463" s="12">
        <v>191</v>
      </c>
      <c r="F463" s="21">
        <v>301324</v>
      </c>
      <c r="G463" s="4" t="str">
        <f>IFERROR(VLOOKUP(BD_DETALLE!$B463,Tabla9[],6,0),"")</f>
        <v>CODO A/INOX ROSCABLE DE 1/2" x 90║</v>
      </c>
      <c r="H463" s="6">
        <f>IFERROR(VLOOKUP(BD_DETALLE!$B463,Tabla9[],4,0),0)</f>
        <v>10</v>
      </c>
      <c r="I463" s="19" t="s">
        <v>12</v>
      </c>
      <c r="J463" s="20" t="s">
        <v>2045</v>
      </c>
      <c r="K463" s="10">
        <f>IFERROR(VLOOKUP(BD_DETALLE!B463,Tabla9[],7,0),"")</f>
        <v>44281</v>
      </c>
      <c r="L463" s="11">
        <f>IFERROR(VLOOKUP(BD_DETALLE!B463,Tabla9[],8,0),"")</f>
        <v>52275</v>
      </c>
      <c r="M463" s="9">
        <f>IFERROR(SUMIFS(Tabla9[CANTIDAD2],Tabla9[BUSQUEDA],Tabla3[[#This Row],[BUSQUEDA]],Tabla9[CODIGO],Tabla3[[#This Row],[CODIGO]],Tabla9[ORDEN No.],Tabla3[[#This Row],[ORDEN de COMPRA]]),0)</f>
        <v>10</v>
      </c>
      <c r="N463" s="27">
        <f>IFERROR(IF(BD_DETALLE!B463&gt;0,VLOOKUP(BD_DETALLE!B463,Tabla9[],10,0),""),"")</f>
        <v>44292</v>
      </c>
      <c r="O463" s="28">
        <f>IFERROR(VLOOKUP(BD_DETALLE!B463,Tabla9[],11,0),0)</f>
        <v>11735</v>
      </c>
      <c r="P463" s="26">
        <f>IFERROR(SUMIFS(Tabla9[CANTIDAD3],Tabla9[BUSQUEDA],Tabla3[[#This Row],[BUSQUEDA]],Tabla9[CODIGO],Tabla3[[#This Row],[CODIGO]]),0)</f>
        <v>10</v>
      </c>
      <c r="Q463" s="25">
        <f>IF(BD_DETALLE!P463&lt;=0,0,IF(BD_DETALLE!P463=BD_DETALLE!H463,2,1))</f>
        <v>2</v>
      </c>
      <c r="R463" s="41">
        <f ca="1">IF(BD_DETALLE!$C463&gt;0,(IF(BD_DETALLE!$N463=0,TODAY()-BD_DETALLE!$C463,BD_DETALLE!$N463-BD_DETALLE!$C463)),"")</f>
        <v>18</v>
      </c>
    </row>
    <row r="464" spans="2:18" x14ac:dyDescent="0.25">
      <c r="B464" s="15" t="str">
        <f t="shared" si="53"/>
        <v>2103-191-302025</v>
      </c>
      <c r="C464" s="7">
        <v>44274</v>
      </c>
      <c r="D464" s="5" t="str">
        <f>IF(BD_DETALLE!$E464&gt;=1,CONCATENATE(TEXT(BD_DETALLE!$C464,"YY"),TEXT(BD_DETALLE!$C464,"MM"),"-",BD_DETALLE!$E464),"")</f>
        <v>2103-191</v>
      </c>
      <c r="E464" s="12">
        <v>191</v>
      </c>
      <c r="F464" s="21">
        <v>302025</v>
      </c>
      <c r="G464" s="4" t="str">
        <f>IFERROR(VLOOKUP(BD_DETALLE!$B464,Tabla9[],6,0),"")</f>
        <v>CODO A/INOX ROSCABLE DE 1" x 90║</v>
      </c>
      <c r="H464" s="6">
        <f>IFERROR(VLOOKUP(BD_DETALLE!$B464,Tabla9[],4,0),0)</f>
        <v>10</v>
      </c>
      <c r="I464" s="19" t="s">
        <v>12</v>
      </c>
      <c r="J464" s="20" t="s">
        <v>2045</v>
      </c>
      <c r="K464" s="10">
        <f>IFERROR(VLOOKUP(BD_DETALLE!B464,Tabla9[],7,0),"")</f>
        <v>44281</v>
      </c>
      <c r="L464" s="11">
        <f>IFERROR(VLOOKUP(BD_DETALLE!B464,Tabla9[],8,0),"")</f>
        <v>52275</v>
      </c>
      <c r="M464" s="9">
        <f>IFERROR(SUMIFS(Tabla9[CANTIDAD2],Tabla9[BUSQUEDA],Tabla3[[#This Row],[BUSQUEDA]],Tabla9[CODIGO],Tabla3[[#This Row],[CODIGO]],Tabla9[ORDEN No.],Tabla3[[#This Row],[ORDEN de COMPRA]]),0)</f>
        <v>10</v>
      </c>
      <c r="N464" s="27">
        <f>IFERROR(IF(BD_DETALLE!B464&gt;0,VLOOKUP(BD_DETALLE!B464,Tabla9[],10,0),""),"")</f>
        <v>44292</v>
      </c>
      <c r="O464" s="28">
        <f>IFERROR(VLOOKUP(BD_DETALLE!B464,Tabla9[],11,0),0)</f>
        <v>11735</v>
      </c>
      <c r="P464" s="26">
        <f>IFERROR(SUMIFS(Tabla9[CANTIDAD3],Tabla9[BUSQUEDA],Tabla3[[#This Row],[BUSQUEDA]],Tabla9[CODIGO],Tabla3[[#This Row],[CODIGO]]),0)</f>
        <v>10</v>
      </c>
      <c r="Q464" s="25">
        <f>IF(BD_DETALLE!P464&lt;=0,0,IF(BD_DETALLE!P464=BD_DETALLE!H464,2,1))</f>
        <v>2</v>
      </c>
      <c r="R464" s="41">
        <f ca="1">IF(BD_DETALLE!$C464&gt;0,(IF(BD_DETALLE!$N464=0,TODAY()-BD_DETALLE!$C464,BD_DETALLE!$N464-BD_DETALLE!$C464)),"")</f>
        <v>18</v>
      </c>
    </row>
    <row r="465" spans="2:18" x14ac:dyDescent="0.25">
      <c r="B465" s="15" t="str">
        <f t="shared" si="53"/>
        <v>2103-191-302026</v>
      </c>
      <c r="C465" s="7">
        <v>44274</v>
      </c>
      <c r="D465" s="5" t="str">
        <f>IF(BD_DETALLE!$E465&gt;=1,CONCATENATE(TEXT(BD_DETALLE!$C465,"YY"),TEXT(BD_DETALLE!$C465,"MM"),"-",BD_DETALLE!$E465),"")</f>
        <v>2103-191</v>
      </c>
      <c r="E465" s="12">
        <v>191</v>
      </c>
      <c r="F465" s="21">
        <v>302026</v>
      </c>
      <c r="G465" s="4" t="str">
        <f>IFERROR(VLOOKUP(BD_DETALLE!$B465,Tabla9[],6,0),"")</f>
        <v>UNION SIMPLE A/INOX DE 1"</v>
      </c>
      <c r="H465" s="6">
        <f>IFERROR(VLOOKUP(BD_DETALLE!$B465,Tabla9[],4,0),0)</f>
        <v>6</v>
      </c>
      <c r="I465" s="19" t="s">
        <v>12</v>
      </c>
      <c r="J465" s="20" t="s">
        <v>2045</v>
      </c>
      <c r="K465" s="10">
        <f>IFERROR(VLOOKUP(BD_DETALLE!B465,Tabla9[],7,0),"")</f>
        <v>44281</v>
      </c>
      <c r="L465" s="11">
        <f>IFERROR(VLOOKUP(BD_DETALLE!B465,Tabla9[],8,0),"")</f>
        <v>52275</v>
      </c>
      <c r="M465" s="9">
        <f>IFERROR(SUMIFS(Tabla9[CANTIDAD2],Tabla9[BUSQUEDA],Tabla3[[#This Row],[BUSQUEDA]],Tabla9[CODIGO],Tabla3[[#This Row],[CODIGO]],Tabla9[ORDEN No.],Tabla3[[#This Row],[ORDEN de COMPRA]]),0)</f>
        <v>6</v>
      </c>
      <c r="N465" s="27">
        <f>IFERROR(IF(BD_DETALLE!B465&gt;0,VLOOKUP(BD_DETALLE!B465,Tabla9[],10,0),""),"")</f>
        <v>44292</v>
      </c>
      <c r="O465" s="28">
        <f>IFERROR(VLOOKUP(BD_DETALLE!B465,Tabla9[],11,0),0)</f>
        <v>11735</v>
      </c>
      <c r="P465" s="26">
        <f>IFERROR(SUMIFS(Tabla9[CANTIDAD3],Tabla9[BUSQUEDA],Tabla3[[#This Row],[BUSQUEDA]],Tabla9[CODIGO],Tabla3[[#This Row],[CODIGO]]),0)</f>
        <v>6</v>
      </c>
      <c r="Q465" s="25">
        <f>IF(BD_DETALLE!P465&lt;=0,0,IF(BD_DETALLE!P465=BD_DETALLE!H465,2,1))</f>
        <v>2</v>
      </c>
      <c r="R465" s="41">
        <f ca="1">IF(BD_DETALLE!$C465&gt;0,(IF(BD_DETALLE!$N465=0,TODAY()-BD_DETALLE!$C465,BD_DETALLE!$N465-BD_DETALLE!$C465)),"")</f>
        <v>18</v>
      </c>
    </row>
    <row r="466" spans="2:18" x14ac:dyDescent="0.25">
      <c r="B466" s="15" t="str">
        <f t="shared" si="53"/>
        <v>2103-191-301219</v>
      </c>
      <c r="C466" s="7">
        <v>44274</v>
      </c>
      <c r="D466" s="5" t="str">
        <f>IF(BD_DETALLE!$E466&gt;=1,CONCATENATE(TEXT(BD_DETALLE!$C466,"YY"),TEXT(BD_DETALLE!$C466,"MM"),"-",BD_DETALLE!$E466),"")</f>
        <v>2103-191</v>
      </c>
      <c r="E466" s="12">
        <v>191</v>
      </c>
      <c r="F466" s="21">
        <v>301219</v>
      </c>
      <c r="G466" s="4" t="str">
        <f>IFERROR(VLOOKUP(BD_DETALLE!$B466,Tabla9[],6,0),"")</f>
        <v>TUBO A/INOX DE 1" x 6MTS - CED. 40</v>
      </c>
      <c r="H466" s="6">
        <f>IFERROR(VLOOKUP(BD_DETALLE!$B466,Tabla9[],4,0),0)</f>
        <v>2</v>
      </c>
      <c r="I466" s="19" t="s">
        <v>12</v>
      </c>
      <c r="J466" s="20" t="s">
        <v>2045</v>
      </c>
      <c r="K466" s="10">
        <f>IFERROR(VLOOKUP(BD_DETALLE!B466,Tabla9[],7,0),"")</f>
        <v>44281</v>
      </c>
      <c r="L466" s="11">
        <f>IFERROR(VLOOKUP(BD_DETALLE!B466,Tabla9[],8,0),"")</f>
        <v>52275</v>
      </c>
      <c r="M466" s="9">
        <f>IFERROR(SUMIFS(Tabla9[CANTIDAD2],Tabla9[BUSQUEDA],Tabla3[[#This Row],[BUSQUEDA]],Tabla9[CODIGO],Tabla3[[#This Row],[CODIGO]],Tabla9[ORDEN No.],Tabla3[[#This Row],[ORDEN de COMPRA]]),0)</f>
        <v>2</v>
      </c>
      <c r="N466" s="27">
        <f>IFERROR(IF(BD_DETALLE!B466&gt;0,VLOOKUP(BD_DETALLE!B466,Tabla9[],10,0),""),"")</f>
        <v>44291</v>
      </c>
      <c r="O466" s="28">
        <f>IFERROR(VLOOKUP(BD_DETALLE!B466,Tabla9[],11,0),0)</f>
        <v>11696</v>
      </c>
      <c r="P466" s="26">
        <f>IFERROR(SUMIFS(Tabla9[CANTIDAD3],Tabla9[BUSQUEDA],Tabla3[[#This Row],[BUSQUEDA]],Tabla9[CODIGO],Tabla3[[#This Row],[CODIGO]]),0)</f>
        <v>2</v>
      </c>
      <c r="Q466" s="25">
        <f>IF(BD_DETALLE!P466&lt;=0,0,IF(BD_DETALLE!P466=BD_DETALLE!H466,2,1))</f>
        <v>2</v>
      </c>
      <c r="R466" s="41">
        <f ca="1">IF(BD_DETALLE!$C466&gt;0,(IF(BD_DETALLE!$N466=0,TODAY()-BD_DETALLE!$C466,BD_DETALLE!$N466-BD_DETALLE!$C466)),"")</f>
        <v>17</v>
      </c>
    </row>
    <row r="467" spans="2:18" x14ac:dyDescent="0.25">
      <c r="B467" s="15" t="str">
        <f t="shared" si="53"/>
        <v>2103-191-301162</v>
      </c>
      <c r="C467" s="7">
        <v>44274</v>
      </c>
      <c r="D467" s="5" t="str">
        <f>IF(BD_DETALLE!$E467&gt;=1,CONCATENATE(TEXT(BD_DETALLE!$C467,"YY"),TEXT(BD_DETALLE!$C467,"MM"),"-",BD_DETALLE!$E467),"")</f>
        <v>2103-191</v>
      </c>
      <c r="E467" s="12">
        <v>191</v>
      </c>
      <c r="F467" s="21">
        <v>301162</v>
      </c>
      <c r="G467" s="4" t="str">
        <f>IFERROR(VLOOKUP(BD_DETALLE!$B467,Tabla9[],6,0),"")</f>
        <v>TUBO A/INOX DE 1/2" x 6MTS - CED. 40</v>
      </c>
      <c r="H467" s="6">
        <f>IFERROR(VLOOKUP(BD_DETALLE!$B467,Tabla9[],4,0),0)</f>
        <v>2</v>
      </c>
      <c r="I467" s="19" t="s">
        <v>12</v>
      </c>
      <c r="J467" s="20" t="s">
        <v>2045</v>
      </c>
      <c r="K467" s="10">
        <f>IFERROR(VLOOKUP(BD_DETALLE!B467,Tabla9[],7,0),"")</f>
        <v>44281</v>
      </c>
      <c r="L467" s="11">
        <f>IFERROR(VLOOKUP(BD_DETALLE!B467,Tabla9[],8,0),"")</f>
        <v>52275</v>
      </c>
      <c r="M467" s="9">
        <f>IFERROR(SUMIFS(Tabla9[CANTIDAD2],Tabla9[BUSQUEDA],Tabla3[[#This Row],[BUSQUEDA]],Tabla9[CODIGO],Tabla3[[#This Row],[CODIGO]],Tabla9[ORDEN No.],Tabla3[[#This Row],[ORDEN de COMPRA]]),0)</f>
        <v>2</v>
      </c>
      <c r="N467" s="27">
        <f>IFERROR(IF(BD_DETALLE!B467&gt;0,VLOOKUP(BD_DETALLE!B467,Tabla9[],10,0),""),"")</f>
        <v>44292</v>
      </c>
      <c r="O467" s="28">
        <f>IFERROR(VLOOKUP(BD_DETALLE!B467,Tabla9[],11,0),0)</f>
        <v>11735</v>
      </c>
      <c r="P467" s="26">
        <f>IFERROR(SUMIFS(Tabla9[CANTIDAD3],Tabla9[BUSQUEDA],Tabla3[[#This Row],[BUSQUEDA]],Tabla9[CODIGO],Tabla3[[#This Row],[CODIGO]]),0)</f>
        <v>2</v>
      </c>
      <c r="Q467" s="25">
        <f>IF(BD_DETALLE!P467&lt;=0,0,IF(BD_DETALLE!P467=BD_DETALLE!H467,2,1))</f>
        <v>2</v>
      </c>
      <c r="R467" s="41">
        <f ca="1">IF(BD_DETALLE!$C467&gt;0,(IF(BD_DETALLE!$N467=0,TODAY()-BD_DETALLE!$C467,BD_DETALLE!$N467-BD_DETALLE!$C467)),"")</f>
        <v>18</v>
      </c>
    </row>
    <row r="468" spans="2:18" x14ac:dyDescent="0.25">
      <c r="B468" s="15" t="str">
        <f t="shared" si="53"/>
        <v>2103-193-206013</v>
      </c>
      <c r="C468" s="7">
        <v>44274</v>
      </c>
      <c r="D468" s="5" t="str">
        <f>IF(BD_DETALLE!$E468&gt;=1,CONCATENATE(TEXT(BD_DETALLE!$C468,"YY"),TEXT(BD_DETALLE!$C468,"MM"),"-",BD_DETALLE!$E468),"")</f>
        <v>2103-193</v>
      </c>
      <c r="E468" s="12">
        <v>193</v>
      </c>
      <c r="F468" s="21">
        <v>206013</v>
      </c>
      <c r="G468" s="4" t="str">
        <f>IFERROR(VLOOKUP(BD_DETALLE!$B468,Tabla9[],6,0),"")</f>
        <v>ARO PARA ARAÐA 22.5</v>
      </c>
      <c r="H468" s="6">
        <f>IFERROR(VLOOKUP(BD_DETALLE!$B468,Tabla9[],4,0),0)</f>
        <v>4</v>
      </c>
      <c r="I468" s="19" t="s">
        <v>5</v>
      </c>
      <c r="J468" s="20" t="s">
        <v>1484</v>
      </c>
      <c r="K468" s="10">
        <f>IFERROR(VLOOKUP(BD_DETALLE!B468,Tabla9[],7,0),"")</f>
        <v>44286</v>
      </c>
      <c r="L468" s="11">
        <f>IFERROR(VLOOKUP(BD_DETALLE!B468,Tabla9[],8,0),"")</f>
        <v>52335</v>
      </c>
      <c r="M468" s="9">
        <f>IFERROR(SUMIFS(Tabla9[CANTIDAD2],Tabla9[BUSQUEDA],Tabla3[[#This Row],[BUSQUEDA]],Tabla9[CODIGO],Tabla3[[#This Row],[CODIGO]],Tabla9[ORDEN No.],Tabla3[[#This Row],[ORDEN de COMPRA]]),0)</f>
        <v>4</v>
      </c>
      <c r="N468" s="27">
        <f>IFERROR(IF(BD_DETALLE!B468&gt;0,VLOOKUP(BD_DETALLE!B468,Tabla9[],10,0),""),"")</f>
        <v>44295</v>
      </c>
      <c r="O468" s="28">
        <f>IFERROR(VLOOKUP(BD_DETALLE!B468,Tabla9[],11,0),0)</f>
        <v>11772</v>
      </c>
      <c r="P468" s="26">
        <f>IFERROR(SUMIFS(Tabla9[CANTIDAD3],Tabla9[BUSQUEDA],Tabla3[[#This Row],[BUSQUEDA]],Tabla9[CODIGO],Tabla3[[#This Row],[CODIGO]]),0)</f>
        <v>4</v>
      </c>
      <c r="Q468" s="25">
        <f>IF(BD_DETALLE!P468&lt;=0,0,IF(BD_DETALLE!P468=BD_DETALLE!H468,2,1))</f>
        <v>2</v>
      </c>
      <c r="R468" s="41">
        <f ca="1">IF(BD_DETALLE!$C468&gt;0,(IF(BD_DETALLE!$N468=0,TODAY()-BD_DETALLE!$C468,BD_DETALLE!$N468-BD_DETALLE!$C468)),"")</f>
        <v>21</v>
      </c>
    </row>
    <row r="469" spans="2:18" x14ac:dyDescent="0.25">
      <c r="B469" s="15" t="str">
        <f t="shared" si="53"/>
        <v>2103-194-106590</v>
      </c>
      <c r="C469" s="7">
        <v>44274</v>
      </c>
      <c r="D469" s="5" t="str">
        <f>IF(BD_DETALLE!$E469&gt;=1,CONCATENATE(TEXT(BD_DETALLE!$C469,"YY"),TEXT(BD_DETALLE!$C469,"MM"),"-",BD_DETALLE!$E469),"")</f>
        <v>2103-194</v>
      </c>
      <c r="E469" s="12">
        <v>194</v>
      </c>
      <c r="F469" s="21">
        <v>106590</v>
      </c>
      <c r="G469" s="4" t="str">
        <f>IFERROR(VLOOKUP(BD_DETALLE!$B469,Tabla9[],6,0),"")</f>
        <v>MOTOR DE ARRANQUE 12V</v>
      </c>
      <c r="H469" s="6">
        <f>IFERROR(VLOOKUP(BD_DETALLE!$B469,Tabla9[],4,0),0)</f>
        <v>1</v>
      </c>
      <c r="I469" s="19" t="s">
        <v>5</v>
      </c>
      <c r="J469" s="20" t="s">
        <v>959</v>
      </c>
      <c r="K469" s="10">
        <f>IFERROR(VLOOKUP(BD_DETALLE!B469,Tabla9[],7,0),"")</f>
        <v>44286</v>
      </c>
      <c r="L469" s="11">
        <f>IFERROR(VLOOKUP(BD_DETALLE!B469,Tabla9[],8,0),"")</f>
        <v>52330</v>
      </c>
      <c r="M469" s="9">
        <f>IFERROR(SUMIFS(Tabla9[CANTIDAD2],Tabla9[BUSQUEDA],Tabla3[[#This Row],[BUSQUEDA]],Tabla9[CODIGO],Tabla3[[#This Row],[CODIGO]],Tabla9[ORDEN No.],Tabla3[[#This Row],[ORDEN de COMPRA]]),0)</f>
        <v>1</v>
      </c>
      <c r="N469" s="27">
        <f>IFERROR(IF(BD_DETALLE!B469&gt;0,VLOOKUP(BD_DETALLE!B469,Tabla9[],10,0),""),"")</f>
        <v>0</v>
      </c>
      <c r="O469" s="28">
        <f>IFERROR(VLOOKUP(BD_DETALLE!B469,Tabla9[],11,0),0)</f>
        <v>0</v>
      </c>
      <c r="P469" s="26">
        <f>IFERROR(SUMIFS(Tabla9[CANTIDAD3],Tabla9[BUSQUEDA],Tabla3[[#This Row],[BUSQUEDA]],Tabla9[CODIGO],Tabla3[[#This Row],[CODIGO]]),0)</f>
        <v>0</v>
      </c>
      <c r="Q469" s="25">
        <f>IF(BD_DETALLE!P469&lt;=0,0,IF(BD_DETALLE!P469=BD_DETALLE!H469,2,1))</f>
        <v>0</v>
      </c>
      <c r="R469" s="41">
        <f ca="1">IF(BD_DETALLE!$C469&gt;0,(IF(BD_DETALLE!$N469=0,TODAY()-BD_DETALLE!$C469,BD_DETALLE!$N469-BD_DETALLE!$C469)),"")</f>
        <v>31</v>
      </c>
    </row>
    <row r="470" spans="2:18" x14ac:dyDescent="0.25">
      <c r="B470" s="15" t="str">
        <f t="shared" si="53"/>
        <v>2103-195-204126</v>
      </c>
      <c r="C470" s="7">
        <v>44277</v>
      </c>
      <c r="D470" s="5" t="str">
        <f>IF(BD_DETALLE!$E470&gt;=1,CONCATENATE(TEXT(BD_DETALLE!$C470,"YY"),TEXT(BD_DETALLE!$C470,"MM"),"-",BD_DETALLE!$E470),"")</f>
        <v>2103-195</v>
      </c>
      <c r="E470" s="12">
        <v>195</v>
      </c>
      <c r="F470" s="21">
        <v>204126</v>
      </c>
      <c r="G470" s="4" t="str">
        <f>IFERROR(VLOOKUP(BD_DETALLE!$B470,Tabla9[],6,0),"")</f>
        <v>BOTAS INDUSTRIALES # 38</v>
      </c>
      <c r="H470" s="6">
        <f>IFERROR(VLOOKUP(BD_DETALLE!$B470,Tabla9[],4,0),0)</f>
        <v>3</v>
      </c>
      <c r="I470" s="19" t="s">
        <v>1059</v>
      </c>
      <c r="J470" s="20" t="s">
        <v>2036</v>
      </c>
      <c r="K470" s="10">
        <f>IFERROR(VLOOKUP(BD_DETALLE!B470,Tabla9[],7,0),"")</f>
        <v>44286</v>
      </c>
      <c r="L470" s="11">
        <f>IFERROR(VLOOKUP(BD_DETALLE!B470,Tabla9[],8,0),"")</f>
        <v>52331</v>
      </c>
      <c r="M470" s="9">
        <f>IFERROR(SUMIFS(Tabla9[CANTIDAD2],Tabla9[BUSQUEDA],Tabla3[[#This Row],[BUSQUEDA]],Tabla9[CODIGO],Tabla3[[#This Row],[CODIGO]],Tabla9[ORDEN No.],Tabla3[[#This Row],[ORDEN de COMPRA]]),0)</f>
        <v>3</v>
      </c>
      <c r="N470" s="27">
        <f>IFERROR(IF(BD_DETALLE!B470&gt;0,VLOOKUP(BD_DETALLE!B470,Tabla9[],10,0),""),"")</f>
        <v>44299</v>
      </c>
      <c r="O470" s="28">
        <f>IFERROR(VLOOKUP(BD_DETALLE!B470,Tabla9[],11,0),0)</f>
        <v>11804</v>
      </c>
      <c r="P470" s="26">
        <f>IFERROR(SUMIFS(Tabla9[CANTIDAD3],Tabla9[BUSQUEDA],Tabla3[[#This Row],[BUSQUEDA]],Tabla9[CODIGO],Tabla3[[#This Row],[CODIGO]]),0)</f>
        <v>3</v>
      </c>
      <c r="Q470" s="25">
        <f>IF(BD_DETALLE!P470&lt;=0,0,IF(BD_DETALLE!P470=BD_DETALLE!H470,2,1))</f>
        <v>2</v>
      </c>
      <c r="R470" s="41">
        <f ca="1">IF(BD_DETALLE!$C470&gt;0,(IF(BD_DETALLE!$N470=0,TODAY()-BD_DETALLE!$C470,BD_DETALLE!$N470-BD_DETALLE!$C470)),"")</f>
        <v>22</v>
      </c>
    </row>
    <row r="471" spans="2:18" x14ac:dyDescent="0.25">
      <c r="B471" s="15" t="str">
        <f t="shared" si="53"/>
        <v>2103-195-204127</v>
      </c>
      <c r="C471" s="7">
        <v>44277</v>
      </c>
      <c r="D471" s="5" t="str">
        <f>IF(BD_DETALLE!$E471&gt;=1,CONCATENATE(TEXT(BD_DETALLE!$C471,"YY"),TEXT(BD_DETALLE!$C471,"MM"),"-",BD_DETALLE!$E471),"")</f>
        <v>2103-195</v>
      </c>
      <c r="E471" s="12">
        <v>195</v>
      </c>
      <c r="F471" s="21">
        <v>204127</v>
      </c>
      <c r="G471" s="4" t="str">
        <f>IFERROR(VLOOKUP(BD_DETALLE!$B471,Tabla9[],6,0),"")</f>
        <v>BOTAS INDUSTRIALES # 39</v>
      </c>
      <c r="H471" s="6">
        <f>IFERROR(VLOOKUP(BD_DETALLE!$B471,Tabla9[],4,0),0)</f>
        <v>2</v>
      </c>
      <c r="I471" s="19" t="s">
        <v>1059</v>
      </c>
      <c r="J471" s="20" t="s">
        <v>2036</v>
      </c>
      <c r="K471" s="10">
        <f>IFERROR(VLOOKUP(BD_DETALLE!B471,Tabla9[],7,0),"")</f>
        <v>44286</v>
      </c>
      <c r="L471" s="11">
        <f>IFERROR(VLOOKUP(BD_DETALLE!B471,Tabla9[],8,0),"")</f>
        <v>52331</v>
      </c>
      <c r="M471" s="9">
        <f>IFERROR(SUMIFS(Tabla9[CANTIDAD2],Tabla9[BUSQUEDA],Tabla3[[#This Row],[BUSQUEDA]],Tabla9[CODIGO],Tabla3[[#This Row],[CODIGO]],Tabla9[ORDEN No.],Tabla3[[#This Row],[ORDEN de COMPRA]]),0)</f>
        <v>2</v>
      </c>
      <c r="N471" s="27">
        <f>IFERROR(IF(BD_DETALLE!B471&gt;0,VLOOKUP(BD_DETALLE!B471,Tabla9[],10,0),""),"")</f>
        <v>44299</v>
      </c>
      <c r="O471" s="28">
        <f>IFERROR(VLOOKUP(BD_DETALLE!B471,Tabla9[],11,0),0)</f>
        <v>11804</v>
      </c>
      <c r="P471" s="26">
        <f>IFERROR(SUMIFS(Tabla9[CANTIDAD3],Tabla9[BUSQUEDA],Tabla3[[#This Row],[BUSQUEDA]],Tabla9[CODIGO],Tabla3[[#This Row],[CODIGO]]),0)</f>
        <v>2</v>
      </c>
      <c r="Q471" s="25">
        <f>IF(BD_DETALLE!P471&lt;=0,0,IF(BD_DETALLE!P471=BD_DETALLE!H471,2,1))</f>
        <v>2</v>
      </c>
      <c r="R471" s="41">
        <f ca="1">IF(BD_DETALLE!$C471&gt;0,(IF(BD_DETALLE!$N471=0,TODAY()-BD_DETALLE!$C471,BD_DETALLE!$N471-BD_DETALLE!$C471)),"")</f>
        <v>22</v>
      </c>
    </row>
    <row r="472" spans="2:18" x14ac:dyDescent="0.25">
      <c r="B472" s="15" t="str">
        <f t="shared" si="53"/>
        <v>2103-195-204128</v>
      </c>
      <c r="C472" s="7">
        <v>44277</v>
      </c>
      <c r="D472" s="5" t="str">
        <f>IF(BD_DETALLE!$E472&gt;=1,CONCATENATE(TEXT(BD_DETALLE!$C472,"YY"),TEXT(BD_DETALLE!$C472,"MM"),"-",BD_DETALLE!$E472),"")</f>
        <v>2103-195</v>
      </c>
      <c r="E472" s="12">
        <v>195</v>
      </c>
      <c r="F472" s="21">
        <v>204128</v>
      </c>
      <c r="G472" s="4" t="str">
        <f>IFERROR(VLOOKUP(BD_DETALLE!$B472,Tabla9[],6,0),"")</f>
        <v>BOTAS INDUSTRIALES # 40</v>
      </c>
      <c r="H472" s="6">
        <f>IFERROR(VLOOKUP(BD_DETALLE!$B472,Tabla9[],4,0),0)</f>
        <v>9</v>
      </c>
      <c r="I472" s="19" t="s">
        <v>1059</v>
      </c>
      <c r="J472" s="20" t="s">
        <v>2036</v>
      </c>
      <c r="K472" s="10">
        <f>IFERROR(VLOOKUP(BD_DETALLE!B472,Tabla9[],7,0),"")</f>
        <v>44286</v>
      </c>
      <c r="L472" s="11">
        <f>IFERROR(VLOOKUP(BD_DETALLE!B472,Tabla9[],8,0),"")</f>
        <v>52331</v>
      </c>
      <c r="M472" s="9">
        <f>IFERROR(SUMIFS(Tabla9[CANTIDAD2],Tabla9[BUSQUEDA],Tabla3[[#This Row],[BUSQUEDA]],Tabla9[CODIGO],Tabla3[[#This Row],[CODIGO]],Tabla9[ORDEN No.],Tabla3[[#This Row],[ORDEN de COMPRA]]),0)</f>
        <v>9</v>
      </c>
      <c r="N472" s="27">
        <f>IFERROR(IF(BD_DETALLE!B472&gt;0,VLOOKUP(BD_DETALLE!B472,Tabla9[],10,0),""),"")</f>
        <v>44299</v>
      </c>
      <c r="O472" s="28">
        <f>IFERROR(VLOOKUP(BD_DETALLE!B472,Tabla9[],11,0),0)</f>
        <v>11804</v>
      </c>
      <c r="P472" s="26">
        <f>IFERROR(SUMIFS(Tabla9[CANTIDAD3],Tabla9[BUSQUEDA],Tabla3[[#This Row],[BUSQUEDA]],Tabla9[CODIGO],Tabla3[[#This Row],[CODIGO]]),0)</f>
        <v>9</v>
      </c>
      <c r="Q472" s="25">
        <f>IF(BD_DETALLE!P472&lt;=0,0,IF(BD_DETALLE!P472=BD_DETALLE!H472,2,1))</f>
        <v>2</v>
      </c>
      <c r="R472" s="41">
        <f ca="1">IF(BD_DETALLE!$C472&gt;0,(IF(BD_DETALLE!$N472=0,TODAY()-BD_DETALLE!$C472,BD_DETALLE!$N472-BD_DETALLE!$C472)),"")</f>
        <v>22</v>
      </c>
    </row>
    <row r="473" spans="2:18" x14ac:dyDescent="0.25">
      <c r="B473" s="15" t="str">
        <f t="shared" si="53"/>
        <v>2103-196-314855</v>
      </c>
      <c r="C473" s="7">
        <v>44277</v>
      </c>
      <c r="D473" s="5" t="str">
        <f>IF(BD_DETALLE!$E473&gt;=1,CONCATENATE(TEXT(BD_DETALLE!$C473,"YY"),TEXT(BD_DETALLE!$C473,"MM"),"-",BD_DETALLE!$E473),"")</f>
        <v>2103-196</v>
      </c>
      <c r="E473" s="12">
        <v>196</v>
      </c>
      <c r="F473" s="21">
        <v>314855</v>
      </c>
      <c r="G473" s="4" t="str">
        <f>IFERROR(VLOOKUP(BD_DETALLE!$B473,Tabla9[],6,0),"")</f>
        <v>BOTA CUERO PTA. DIELECTRICA # 39</v>
      </c>
      <c r="H473" s="6">
        <f>IFERROR(VLOOKUP(BD_DETALLE!$B473,Tabla9[],4,0),0)</f>
        <v>2</v>
      </c>
      <c r="I473" s="19" t="s">
        <v>1059</v>
      </c>
      <c r="J473" s="20" t="s">
        <v>2036</v>
      </c>
      <c r="K473" s="10">
        <f>IFERROR(VLOOKUP(BD_DETALLE!B473,Tabla9[],7,0),"")</f>
        <v>44286</v>
      </c>
      <c r="L473" s="11">
        <f>IFERROR(VLOOKUP(BD_DETALLE!B473,Tabla9[],8,0),"")</f>
        <v>52333</v>
      </c>
      <c r="M473" s="9">
        <f>IFERROR(SUMIFS(Tabla9[CANTIDAD2],Tabla9[BUSQUEDA],Tabla3[[#This Row],[BUSQUEDA]],Tabla9[CODIGO],Tabla3[[#This Row],[CODIGO]],Tabla9[ORDEN No.],Tabla3[[#This Row],[ORDEN de COMPRA]]),0)</f>
        <v>4</v>
      </c>
      <c r="N473" s="27">
        <f>IFERROR(IF(BD_DETALLE!B473&gt;0,VLOOKUP(BD_DETALLE!B473,Tabla9[],10,0),""),"")</f>
        <v>44299</v>
      </c>
      <c r="O473" s="28">
        <f>IFERROR(VLOOKUP(BD_DETALLE!B473,Tabla9[],11,0),0)</f>
        <v>11805</v>
      </c>
      <c r="P473" s="26">
        <f>IFERROR(SUMIFS(Tabla9[CANTIDAD3],Tabla9[BUSQUEDA],Tabla3[[#This Row],[BUSQUEDA]],Tabla9[CODIGO],Tabla3[[#This Row],[CODIGO]]),0)</f>
        <v>4</v>
      </c>
      <c r="Q473" s="25">
        <f>IF(BD_DETALLE!P473&lt;=0,0,IF(BD_DETALLE!P473=BD_DETALLE!H473,2,1))</f>
        <v>1</v>
      </c>
      <c r="R473" s="41">
        <f ca="1">IF(BD_DETALLE!$C473&gt;0,(IF(BD_DETALLE!$N473=0,TODAY()-BD_DETALLE!$C473,BD_DETALLE!$N473-BD_DETALLE!$C473)),"")</f>
        <v>22</v>
      </c>
    </row>
    <row r="474" spans="2:18" x14ac:dyDescent="0.25">
      <c r="B474" s="15" t="str">
        <f t="shared" si="53"/>
        <v>2103-196-305714</v>
      </c>
      <c r="C474" s="7">
        <v>44277</v>
      </c>
      <c r="D474" s="5" t="str">
        <f>IF(BD_DETALLE!$E474&gt;=1,CONCATENATE(TEXT(BD_DETALLE!$C474,"YY"),TEXT(BD_DETALLE!$C474,"MM"),"-",BD_DETALLE!$E474),"")</f>
        <v>2103-196</v>
      </c>
      <c r="E474" s="12">
        <v>196</v>
      </c>
      <c r="F474" s="21">
        <v>305714</v>
      </c>
      <c r="G474" s="4" t="str">
        <f>IFERROR(VLOOKUP(BD_DETALLE!$B474,Tabla9[],6,0),"")</f>
        <v>BOTA CUERO PTA. DIELECTRICA # 40</v>
      </c>
      <c r="H474" s="6">
        <f>IFERROR(VLOOKUP(BD_DETALLE!$B474,Tabla9[],4,0),0)</f>
        <v>1</v>
      </c>
      <c r="I474" s="19" t="s">
        <v>1059</v>
      </c>
      <c r="J474" s="20" t="s">
        <v>2036</v>
      </c>
      <c r="K474" s="10">
        <f>IFERROR(VLOOKUP(BD_DETALLE!B474,Tabla9[],7,0),"")</f>
        <v>44286</v>
      </c>
      <c r="L474" s="11">
        <f>IFERROR(VLOOKUP(BD_DETALLE!B474,Tabla9[],8,0),"")</f>
        <v>52333</v>
      </c>
      <c r="M474" s="9">
        <f>IFERROR(SUMIFS(Tabla9[CANTIDAD2],Tabla9[BUSQUEDA],Tabla3[[#This Row],[BUSQUEDA]],Tabla9[CODIGO],Tabla3[[#This Row],[CODIGO]],Tabla9[ORDEN No.],Tabla3[[#This Row],[ORDEN de COMPRA]]),0)</f>
        <v>3</v>
      </c>
      <c r="N474" s="27">
        <f>IFERROR(IF(BD_DETALLE!B474&gt;0,VLOOKUP(BD_DETALLE!B474,Tabla9[],10,0),""),"")</f>
        <v>44299</v>
      </c>
      <c r="O474" s="28">
        <f>IFERROR(VLOOKUP(BD_DETALLE!B474,Tabla9[],11,0),0)</f>
        <v>11805</v>
      </c>
      <c r="P474" s="26">
        <f>IFERROR(SUMIFS(Tabla9[CANTIDAD3],Tabla9[BUSQUEDA],Tabla3[[#This Row],[BUSQUEDA]],Tabla9[CODIGO],Tabla3[[#This Row],[CODIGO]]),0)</f>
        <v>3</v>
      </c>
      <c r="Q474" s="25">
        <f>IF(BD_DETALLE!P474&lt;=0,0,IF(BD_DETALLE!P474=BD_DETALLE!H474,2,1))</f>
        <v>1</v>
      </c>
      <c r="R474" s="41">
        <f ca="1">IF(BD_DETALLE!$C474&gt;0,(IF(BD_DETALLE!$N474=0,TODAY()-BD_DETALLE!$C474,BD_DETALLE!$N474-BD_DETALLE!$C474)),"")</f>
        <v>22</v>
      </c>
    </row>
    <row r="475" spans="2:18" x14ac:dyDescent="0.25">
      <c r="B475" s="15" t="str">
        <f t="shared" si="53"/>
        <v>2103-196-309868</v>
      </c>
      <c r="C475" s="7">
        <v>44277</v>
      </c>
      <c r="D475" s="5" t="str">
        <f>IF(BD_DETALLE!$E475&gt;=1,CONCATENATE(TEXT(BD_DETALLE!$C475,"YY"),TEXT(BD_DETALLE!$C475,"MM"),"-",BD_DETALLE!$E475),"")</f>
        <v>2103-196</v>
      </c>
      <c r="E475" s="12">
        <v>196</v>
      </c>
      <c r="F475" s="21">
        <v>309868</v>
      </c>
      <c r="G475" s="4" t="str">
        <f>IFERROR(VLOOKUP(BD_DETALLE!$B475,Tabla9[],6,0),"")</f>
        <v>BOTA CUERO PTA. DIELECTRICA # 41</v>
      </c>
      <c r="H475" s="6">
        <f>IFERROR(VLOOKUP(BD_DETALLE!$B475,Tabla9[],4,0),0)</f>
        <v>1</v>
      </c>
      <c r="I475" s="19" t="s">
        <v>1059</v>
      </c>
      <c r="J475" s="20" t="s">
        <v>2036</v>
      </c>
      <c r="K475" s="10">
        <f>IFERROR(VLOOKUP(BD_DETALLE!B475,Tabla9[],7,0),"")</f>
        <v>44286</v>
      </c>
      <c r="L475" s="11">
        <f>IFERROR(VLOOKUP(BD_DETALLE!B475,Tabla9[],8,0),"")</f>
        <v>52333</v>
      </c>
      <c r="M475" s="9">
        <f>IFERROR(SUMIFS(Tabla9[CANTIDAD2],Tabla9[BUSQUEDA],Tabla3[[#This Row],[BUSQUEDA]],Tabla9[CODIGO],Tabla3[[#This Row],[CODIGO]],Tabla9[ORDEN No.],Tabla3[[#This Row],[ORDEN de COMPRA]]),0)</f>
        <v>1</v>
      </c>
      <c r="N475" s="27">
        <f>IFERROR(IF(BD_DETALLE!B475&gt;0,VLOOKUP(BD_DETALLE!B475,Tabla9[],10,0),""),"")</f>
        <v>44299</v>
      </c>
      <c r="O475" s="28">
        <f>IFERROR(VLOOKUP(BD_DETALLE!B475,Tabla9[],11,0),0)</f>
        <v>11805</v>
      </c>
      <c r="P475" s="26">
        <f>IFERROR(SUMIFS(Tabla9[CANTIDAD3],Tabla9[BUSQUEDA],Tabla3[[#This Row],[BUSQUEDA]],Tabla9[CODIGO],Tabla3[[#This Row],[CODIGO]]),0)</f>
        <v>1</v>
      </c>
      <c r="Q475" s="25">
        <f>IF(BD_DETALLE!P475&lt;=0,0,IF(BD_DETALLE!P475=BD_DETALLE!H475,2,1))</f>
        <v>2</v>
      </c>
      <c r="R475" s="41">
        <f ca="1">IF(BD_DETALLE!$C475&gt;0,(IF(BD_DETALLE!$N475=0,TODAY()-BD_DETALLE!$C475,BD_DETALLE!$N475-BD_DETALLE!$C475)),"")</f>
        <v>22</v>
      </c>
    </row>
    <row r="476" spans="2:18" x14ac:dyDescent="0.25">
      <c r="B476" s="15" t="str">
        <f t="shared" si="53"/>
        <v>2103-196-314855</v>
      </c>
      <c r="C476" s="7">
        <v>44277</v>
      </c>
      <c r="D476" s="5" t="str">
        <f>IF(BD_DETALLE!$E476&gt;=1,CONCATENATE(TEXT(BD_DETALLE!$C476,"YY"),TEXT(BD_DETALLE!$C476,"MM"),"-",BD_DETALLE!$E476),"")</f>
        <v>2103-196</v>
      </c>
      <c r="E476" s="12">
        <v>196</v>
      </c>
      <c r="F476" s="21">
        <v>314855</v>
      </c>
      <c r="G476" s="4" t="str">
        <f>IFERROR(VLOOKUP(BD_DETALLE!$B476,Tabla9[],6,0),"")</f>
        <v>BOTA CUERO PTA. DIELECTRICA # 39</v>
      </c>
      <c r="H476" s="6">
        <f>IFERROR(VLOOKUP(BD_DETALLE!$B476,Tabla9[],4,0),0)</f>
        <v>2</v>
      </c>
      <c r="I476" s="19" t="s">
        <v>1059</v>
      </c>
      <c r="J476" s="20" t="s">
        <v>2036</v>
      </c>
      <c r="K476" s="10">
        <f>IFERROR(VLOOKUP(BD_DETALLE!B476,Tabla9[],7,0),"")</f>
        <v>44286</v>
      </c>
      <c r="L476" s="11">
        <f>IFERROR(VLOOKUP(BD_DETALLE!B476,Tabla9[],8,0),"")</f>
        <v>52333</v>
      </c>
      <c r="M476" s="9">
        <f>IFERROR(SUMIFS(Tabla9[CANTIDAD2],Tabla9[BUSQUEDA],Tabla3[[#This Row],[BUSQUEDA]],Tabla9[CODIGO],Tabla3[[#This Row],[CODIGO]],Tabla9[ORDEN No.],Tabla3[[#This Row],[ORDEN de COMPRA]]),0)</f>
        <v>4</v>
      </c>
      <c r="N476" s="27">
        <f>IFERROR(IF(BD_DETALLE!B476&gt;0,VLOOKUP(BD_DETALLE!B476,Tabla9[],10,0),""),"")</f>
        <v>44299</v>
      </c>
      <c r="O476" s="28">
        <f>IFERROR(VLOOKUP(BD_DETALLE!B476,Tabla9[],11,0),0)</f>
        <v>11805</v>
      </c>
      <c r="P476" s="26">
        <f>IFERROR(SUMIFS(Tabla9[CANTIDAD3],Tabla9[BUSQUEDA],Tabla3[[#This Row],[BUSQUEDA]],Tabla9[CODIGO],Tabla3[[#This Row],[CODIGO]]),0)</f>
        <v>4</v>
      </c>
      <c r="Q476" s="25">
        <f>IF(BD_DETALLE!P476&lt;=0,0,IF(BD_DETALLE!P476=BD_DETALLE!H476,2,1))</f>
        <v>1</v>
      </c>
      <c r="R476" s="41">
        <f ca="1">IF(BD_DETALLE!$C476&gt;0,(IF(BD_DETALLE!$N476=0,TODAY()-BD_DETALLE!$C476,BD_DETALLE!$N476-BD_DETALLE!$C476)),"")</f>
        <v>22</v>
      </c>
    </row>
    <row r="477" spans="2:18" x14ac:dyDescent="0.25">
      <c r="B477" s="15" t="str">
        <f t="shared" si="53"/>
        <v>2103-196-305714</v>
      </c>
      <c r="C477" s="7">
        <v>44277</v>
      </c>
      <c r="D477" s="5" t="str">
        <f>IF(BD_DETALLE!$E477&gt;=1,CONCATENATE(TEXT(BD_DETALLE!$C477,"YY"),TEXT(BD_DETALLE!$C477,"MM"),"-",BD_DETALLE!$E477),"")</f>
        <v>2103-196</v>
      </c>
      <c r="E477" s="12">
        <v>196</v>
      </c>
      <c r="F477" s="21">
        <v>305714</v>
      </c>
      <c r="G477" s="4" t="str">
        <f>IFERROR(VLOOKUP(BD_DETALLE!$B477,Tabla9[],6,0),"")</f>
        <v>BOTA CUERO PTA. DIELECTRICA # 40</v>
      </c>
      <c r="H477" s="6">
        <f>IFERROR(VLOOKUP(BD_DETALLE!$B477,Tabla9[],4,0),0)</f>
        <v>1</v>
      </c>
      <c r="I477" s="19" t="s">
        <v>1059</v>
      </c>
      <c r="J477" s="20" t="s">
        <v>2036</v>
      </c>
      <c r="K477" s="10">
        <f>IFERROR(VLOOKUP(BD_DETALLE!B477,Tabla9[],7,0),"")</f>
        <v>44286</v>
      </c>
      <c r="L477" s="11">
        <f>IFERROR(VLOOKUP(BD_DETALLE!B477,Tabla9[],8,0),"")</f>
        <v>52333</v>
      </c>
      <c r="M477" s="9">
        <f>IFERROR(SUMIFS(Tabla9[CANTIDAD2],Tabla9[BUSQUEDA],Tabla3[[#This Row],[BUSQUEDA]],Tabla9[CODIGO],Tabla3[[#This Row],[CODIGO]],Tabla9[ORDEN No.],Tabla3[[#This Row],[ORDEN de COMPRA]]),0)</f>
        <v>3</v>
      </c>
      <c r="N477" s="27">
        <f>IFERROR(IF(BD_DETALLE!B477&gt;0,VLOOKUP(BD_DETALLE!B477,Tabla9[],10,0),""),"")</f>
        <v>44299</v>
      </c>
      <c r="O477" s="28">
        <f>IFERROR(VLOOKUP(BD_DETALLE!B477,Tabla9[],11,0),0)</f>
        <v>11805</v>
      </c>
      <c r="P477" s="26">
        <f>IFERROR(SUMIFS(Tabla9[CANTIDAD3],Tabla9[BUSQUEDA],Tabla3[[#This Row],[BUSQUEDA]],Tabla9[CODIGO],Tabla3[[#This Row],[CODIGO]]),0)</f>
        <v>3</v>
      </c>
      <c r="Q477" s="25">
        <f>IF(BD_DETALLE!P477&lt;=0,0,IF(BD_DETALLE!P477=BD_DETALLE!H477,2,1))</f>
        <v>1</v>
      </c>
      <c r="R477" s="41">
        <f ca="1">IF(BD_DETALLE!$C477&gt;0,(IF(BD_DETALLE!$N477=0,TODAY()-BD_DETALLE!$C477,BD_DETALLE!$N477-BD_DETALLE!$C477)),"")</f>
        <v>22</v>
      </c>
    </row>
    <row r="478" spans="2:18" x14ac:dyDescent="0.25">
      <c r="B478" s="15" t="str">
        <f t="shared" si="53"/>
        <v>2103-198-100240</v>
      </c>
      <c r="C478" s="7">
        <v>44277</v>
      </c>
      <c r="D478" s="5" t="str">
        <f>IF(BD_DETALLE!$E478&gt;=1,CONCATENATE(TEXT(BD_DETALLE!$C478,"YY"),TEXT(BD_DETALLE!$C478,"MM"),"-",BD_DETALLE!$E478),"")</f>
        <v>2103-198</v>
      </c>
      <c r="E478" s="12">
        <v>198</v>
      </c>
      <c r="F478" s="21">
        <v>100240</v>
      </c>
      <c r="G478" s="4" t="str">
        <f>IFERROR(VLOOKUP(BD_DETALLE!$B478,Tabla9[],6,0),"")</f>
        <v>CALIBRADOR DIGITAL STAINLESS</v>
      </c>
      <c r="H478" s="6">
        <f>IFERROR(VLOOKUP(BD_DETALLE!$B478,Tabla9[],4,0),0)</f>
        <v>1</v>
      </c>
      <c r="I478" s="19" t="s">
        <v>1</v>
      </c>
      <c r="J478" s="20" t="s">
        <v>2046</v>
      </c>
      <c r="K478" s="10">
        <f>IFERROR(VLOOKUP(BD_DETALLE!B478,Tabla9[],7,0),"")</f>
        <v>44295</v>
      </c>
      <c r="L478" s="11">
        <f>IFERROR(VLOOKUP(BD_DETALLE!B478,Tabla9[],8,0),"")</f>
        <v>52434</v>
      </c>
      <c r="M478" s="9">
        <f>IFERROR(SUMIFS(Tabla9[CANTIDAD2],Tabla9[BUSQUEDA],Tabla3[[#This Row],[BUSQUEDA]],Tabla9[CODIGO],Tabla3[[#This Row],[CODIGO]],Tabla9[ORDEN No.],Tabla3[[#This Row],[ORDEN de COMPRA]]),0)</f>
        <v>1</v>
      </c>
      <c r="N478" s="27">
        <f>IFERROR(IF(BD_DETALLE!B478&gt;0,VLOOKUP(BD_DETALLE!B478,Tabla9[],10,0),""),"")</f>
        <v>44300</v>
      </c>
      <c r="O478" s="28">
        <f>IFERROR(VLOOKUP(BD_DETALLE!B478,Tabla9[],11,0),0)</f>
        <v>11822</v>
      </c>
      <c r="P478" s="26">
        <f>IFERROR(SUMIFS(Tabla9[CANTIDAD3],Tabla9[BUSQUEDA],Tabla3[[#This Row],[BUSQUEDA]],Tabla9[CODIGO],Tabla3[[#This Row],[CODIGO]]),0)</f>
        <v>1</v>
      </c>
      <c r="Q478" s="25">
        <f>IF(BD_DETALLE!P478&lt;=0,0,IF(BD_DETALLE!P478=BD_DETALLE!H478,2,1))</f>
        <v>2</v>
      </c>
      <c r="R478" s="41">
        <f ca="1">IF(BD_DETALLE!$C478&gt;0,(IF(BD_DETALLE!$N478=0,TODAY()-BD_DETALLE!$C478,BD_DETALLE!$N478-BD_DETALLE!$C478)),"")</f>
        <v>23</v>
      </c>
    </row>
    <row r="479" spans="2:18" x14ac:dyDescent="0.25">
      <c r="B479" s="15" t="str">
        <f t="shared" si="53"/>
        <v>2103-198-307839</v>
      </c>
      <c r="C479" s="7">
        <v>44277</v>
      </c>
      <c r="D479" s="5" t="str">
        <f>IF(BD_DETALLE!$E479&gt;=1,CONCATENATE(TEXT(BD_DETALLE!$C479,"YY"),TEXT(BD_DETALLE!$C479,"MM"),"-",BD_DETALLE!$E479),"")</f>
        <v>2103-198</v>
      </c>
      <c r="E479" s="12">
        <v>198</v>
      </c>
      <c r="F479" s="21">
        <v>307839</v>
      </c>
      <c r="G479" s="4" t="str">
        <f>IFERROR(VLOOKUP(BD_DETALLE!$B479,Tabla9[],6,0),"")</f>
        <v>RELOJ COMPARADOR</v>
      </c>
      <c r="H479" s="6">
        <f>IFERROR(VLOOKUP(BD_DETALLE!$B479,Tabla9[],4,0),0)</f>
        <v>1</v>
      </c>
      <c r="I479" s="19" t="s">
        <v>1</v>
      </c>
      <c r="J479" s="20" t="s">
        <v>2046</v>
      </c>
      <c r="K479" s="10">
        <f>IFERROR(VLOOKUP(BD_DETALLE!B479,Tabla9[],7,0),"")</f>
        <v>44295</v>
      </c>
      <c r="L479" s="11">
        <f>IFERROR(VLOOKUP(BD_DETALLE!B479,Tabla9[],8,0),"")</f>
        <v>52435</v>
      </c>
      <c r="M479" s="9">
        <f>IFERROR(SUMIFS(Tabla9[CANTIDAD2],Tabla9[BUSQUEDA],Tabla3[[#This Row],[BUSQUEDA]],Tabla9[CODIGO],Tabla3[[#This Row],[CODIGO]],Tabla9[ORDEN No.],Tabla3[[#This Row],[ORDEN de COMPRA]]),0)</f>
        <v>1</v>
      </c>
      <c r="N479" s="27">
        <f>IFERROR(IF(BD_DETALLE!B479&gt;0,VLOOKUP(BD_DETALLE!B479,Tabla9[],10,0),""),"")</f>
        <v>44300</v>
      </c>
      <c r="O479" s="28">
        <f>IFERROR(VLOOKUP(BD_DETALLE!B479,Tabla9[],11,0),0)</f>
        <v>11822</v>
      </c>
      <c r="P479" s="26">
        <f>IFERROR(SUMIFS(Tabla9[CANTIDAD3],Tabla9[BUSQUEDA],Tabla3[[#This Row],[BUSQUEDA]],Tabla9[CODIGO],Tabla3[[#This Row],[CODIGO]]),0)</f>
        <v>1</v>
      </c>
      <c r="Q479" s="25">
        <f>IF(BD_DETALLE!P479&lt;=0,0,IF(BD_DETALLE!P479=BD_DETALLE!H479,2,1))</f>
        <v>2</v>
      </c>
      <c r="R479" s="41">
        <f ca="1">IF(BD_DETALLE!$C479&gt;0,(IF(BD_DETALLE!$N479=0,TODAY()-BD_DETALLE!$C479,BD_DETALLE!$N479-BD_DETALLE!$C479)),"")</f>
        <v>23</v>
      </c>
    </row>
    <row r="480" spans="2:18" x14ac:dyDescent="0.25">
      <c r="B480" s="15" t="str">
        <f t="shared" si="53"/>
        <v>2103-198-310114</v>
      </c>
      <c r="C480" s="7">
        <v>44277</v>
      </c>
      <c r="D480" s="5" t="str">
        <f>IF(BD_DETALLE!$E480&gt;=1,CONCATENATE(TEXT(BD_DETALLE!$C480,"YY"),TEXT(BD_DETALLE!$C480,"MM"),"-",BD_DETALLE!$E480),"")</f>
        <v>2103-198</v>
      </c>
      <c r="E480" s="12">
        <v>198</v>
      </c>
      <c r="F480" s="21">
        <v>310114</v>
      </c>
      <c r="G480" s="4" t="str">
        <f>IFERROR(VLOOKUP(BD_DETALLE!$B480,Tabla9[],6,0),"")</f>
        <v>BASE MAGNETICA PARA RELOJ COMPARADOR</v>
      </c>
      <c r="H480" s="6">
        <f>IFERROR(VLOOKUP(BD_DETALLE!$B480,Tabla9[],4,0),0)</f>
        <v>1</v>
      </c>
      <c r="I480" s="19" t="s">
        <v>1</v>
      </c>
      <c r="J480" s="20" t="s">
        <v>2046</v>
      </c>
      <c r="K480" s="10">
        <f>IFERROR(VLOOKUP(BD_DETALLE!B480,Tabla9[],7,0),"")</f>
        <v>44295</v>
      </c>
      <c r="L480" s="11">
        <f>IFERROR(VLOOKUP(BD_DETALLE!B480,Tabla9[],8,0),"")</f>
        <v>52436</v>
      </c>
      <c r="M480" s="9">
        <f>IFERROR(SUMIFS(Tabla9[CANTIDAD2],Tabla9[BUSQUEDA],Tabla3[[#This Row],[BUSQUEDA]],Tabla9[CODIGO],Tabla3[[#This Row],[CODIGO]],Tabla9[ORDEN No.],Tabla3[[#This Row],[ORDEN de COMPRA]]),0)</f>
        <v>1</v>
      </c>
      <c r="N480" s="27">
        <f>IFERROR(IF(BD_DETALLE!B480&gt;0,VLOOKUP(BD_DETALLE!B480,Tabla9[],10,0),""),"")</f>
        <v>44299</v>
      </c>
      <c r="O480" s="28">
        <f>IFERROR(VLOOKUP(BD_DETALLE!B480,Tabla9[],11,0),0)</f>
        <v>11801</v>
      </c>
      <c r="P480" s="26">
        <f>IFERROR(SUMIFS(Tabla9[CANTIDAD3],Tabla9[BUSQUEDA],Tabla3[[#This Row],[BUSQUEDA]],Tabla9[CODIGO],Tabla3[[#This Row],[CODIGO]]),0)</f>
        <v>1</v>
      </c>
      <c r="Q480" s="25">
        <f>IF(BD_DETALLE!P480&lt;=0,0,IF(BD_DETALLE!P480=BD_DETALLE!H480,2,1))</f>
        <v>2</v>
      </c>
      <c r="R480" s="41">
        <f ca="1">IF(BD_DETALLE!$C480&gt;0,(IF(BD_DETALLE!$N480=0,TODAY()-BD_DETALLE!$C480,BD_DETALLE!$N480-BD_DETALLE!$C480)),"")</f>
        <v>22</v>
      </c>
    </row>
    <row r="481" spans="2:18" x14ac:dyDescent="0.25">
      <c r="B481" s="15" t="str">
        <f t="shared" si="53"/>
        <v>2103-198-315723</v>
      </c>
      <c r="C481" s="7">
        <v>44277</v>
      </c>
      <c r="D481" s="5" t="str">
        <f>IF(BD_DETALLE!$E481&gt;=1,CONCATENATE(TEXT(BD_DETALLE!$C481,"YY"),TEXT(BD_DETALLE!$C481,"MM"),"-",BD_DETALLE!$E481),"")</f>
        <v>2103-198</v>
      </c>
      <c r="E481" s="12">
        <v>198</v>
      </c>
      <c r="F481" s="21">
        <v>315723</v>
      </c>
      <c r="G481" s="4" t="str">
        <f>IFERROR(VLOOKUP(BD_DETALLE!$B481,Tabla9[],6,0),"")</f>
        <v>CALIBRADOR PIE D/REY DE 12" (300MM)</v>
      </c>
      <c r="H481" s="6">
        <f>IFERROR(VLOOKUP(BD_DETALLE!$B481,Tabla9[],4,0),0)</f>
        <v>1</v>
      </c>
      <c r="I481" s="19" t="s">
        <v>1</v>
      </c>
      <c r="J481" s="20" t="s">
        <v>2046</v>
      </c>
      <c r="K481" s="10">
        <f>IFERROR(VLOOKUP(BD_DETALLE!B481,Tabla9[],7,0),"")</f>
        <v>44295</v>
      </c>
      <c r="L481" s="11">
        <f>IFERROR(VLOOKUP(BD_DETALLE!B481,Tabla9[],8,0),"")</f>
        <v>52435</v>
      </c>
      <c r="M481" s="9">
        <f>IFERROR(SUMIFS(Tabla9[CANTIDAD2],Tabla9[BUSQUEDA],Tabla3[[#This Row],[BUSQUEDA]],Tabla9[CODIGO],Tabla3[[#This Row],[CODIGO]],Tabla9[ORDEN No.],Tabla3[[#This Row],[ORDEN de COMPRA]]),0)</f>
        <v>1</v>
      </c>
      <c r="N481" s="27">
        <f>IFERROR(IF(BD_DETALLE!B481&gt;0,VLOOKUP(BD_DETALLE!B481,Tabla9[],10,0),""),"")</f>
        <v>44299</v>
      </c>
      <c r="O481" s="28">
        <f>IFERROR(VLOOKUP(BD_DETALLE!B481,Tabla9[],11,0),0)</f>
        <v>11807</v>
      </c>
      <c r="P481" s="26">
        <f>IFERROR(SUMIFS(Tabla9[CANTIDAD3],Tabla9[BUSQUEDA],Tabla3[[#This Row],[BUSQUEDA]],Tabla9[CODIGO],Tabla3[[#This Row],[CODIGO]]),0)</f>
        <v>1</v>
      </c>
      <c r="Q481" s="25">
        <f>IF(BD_DETALLE!P481&lt;=0,0,IF(BD_DETALLE!P481=BD_DETALLE!H481,2,1))</f>
        <v>2</v>
      </c>
      <c r="R481" s="41">
        <f ca="1">IF(BD_DETALLE!$C481&gt;0,(IF(BD_DETALLE!$N481=0,TODAY()-BD_DETALLE!$C481,BD_DETALLE!$N481-BD_DETALLE!$C481)),"")</f>
        <v>22</v>
      </c>
    </row>
    <row r="482" spans="2:18" x14ac:dyDescent="0.25">
      <c r="B482" s="15" t="str">
        <f t="shared" ref="B482:B509" si="54">IFERROR(TEXT(C482,"yy") &amp; TEXT(C482,"mm") &amp;"-"&amp;(E482) &amp;"-"&amp;(F482),"")</f>
        <v>2103-212-312128</v>
      </c>
      <c r="C482" s="7">
        <v>44277</v>
      </c>
      <c r="D482" s="5" t="str">
        <f>IF(BD_DETALLE!$E482&gt;=1,CONCATENATE(TEXT(BD_DETALLE!$C482,"YY"),TEXT(BD_DETALLE!$C482,"MM"),"-",BD_DETALLE!$E482),"")</f>
        <v>2103-212</v>
      </c>
      <c r="E482" s="12">
        <v>212</v>
      </c>
      <c r="F482" s="21">
        <v>312128</v>
      </c>
      <c r="G482" s="4" t="str">
        <f>IFERROR(VLOOKUP(BD_DETALLE!$B482,Tabla9[],6,0),"")</f>
        <v>VOLANTE Y CINTA DE 15"  VL5789</v>
      </c>
      <c r="H482" s="6">
        <f>IFERROR(VLOOKUP(BD_DETALLE!$B482,Tabla9[],4,0),0)</f>
        <v>1</v>
      </c>
      <c r="I482" s="19" t="s">
        <v>5</v>
      </c>
      <c r="J482" s="20" t="s">
        <v>1947</v>
      </c>
      <c r="K482" s="10">
        <f>IFERROR(VLOOKUP(BD_DETALLE!B482,Tabla9[],7,0),"")</f>
        <v>44302</v>
      </c>
      <c r="L482" s="11">
        <f>IFERROR(VLOOKUP(BD_DETALLE!B482,Tabla9[],8,0),"")</f>
        <v>52492</v>
      </c>
      <c r="M482" s="9">
        <f>IFERROR(SUMIFS(Tabla9[CANTIDAD2],Tabla9[BUSQUEDA],Tabla3[[#This Row],[BUSQUEDA]],Tabla9[CODIGO],Tabla3[[#This Row],[CODIGO]],Tabla9[ORDEN No.],Tabla3[[#This Row],[ORDEN de COMPRA]]),0)</f>
        <v>1</v>
      </c>
      <c r="N482" s="27">
        <f>IFERROR(IF(BD_DETALLE!B482&gt;0,VLOOKUP(BD_DETALLE!B482,Tabla9[],10,0),""),"")</f>
        <v>0</v>
      </c>
      <c r="O482" s="28">
        <f>IFERROR(VLOOKUP(BD_DETALLE!B482,Tabla9[],11,0),0)</f>
        <v>0</v>
      </c>
      <c r="P482" s="26">
        <f>IFERROR(SUMIFS(Tabla9[CANTIDAD3],Tabla9[BUSQUEDA],Tabla3[[#This Row],[BUSQUEDA]],Tabla9[CODIGO],Tabla3[[#This Row],[CODIGO]]),0)</f>
        <v>0</v>
      </c>
      <c r="Q482" s="25">
        <f>IF(BD_DETALLE!P482&lt;=0,0,IF(BD_DETALLE!P482=BD_DETALLE!H482,2,1))</f>
        <v>0</v>
      </c>
      <c r="R482" s="41">
        <f ca="1">IF(BD_DETALLE!$C482&gt;0,(IF(BD_DETALLE!$N482=0,TODAY()-BD_DETALLE!$C482,BD_DETALLE!$N482-BD_DETALLE!$C482)),"")</f>
        <v>28</v>
      </c>
    </row>
    <row r="483" spans="2:18" x14ac:dyDescent="0.25">
      <c r="B483" s="15" t="str">
        <f t="shared" si="54"/>
        <v>2103-213-320954</v>
      </c>
      <c r="C483" s="7">
        <v>44277</v>
      </c>
      <c r="D483" s="5" t="str">
        <f>IF(BD_DETALLE!$E483&gt;=1,CONCATENATE(TEXT(BD_DETALLE!$C483,"YY"),TEXT(BD_DETALLE!$C483,"MM"),"-",BD_DETALLE!$E483),"")</f>
        <v>2103-213</v>
      </c>
      <c r="E483" s="12">
        <v>213</v>
      </c>
      <c r="F483" s="21">
        <v>320954</v>
      </c>
      <c r="G483" s="4" t="str">
        <f>IFERROR(VLOOKUP(BD_DETALLE!$B483,Tabla9[],6,0),"")</f>
        <v>MANGUERA CAUCHO Y LONA DE 3" TIPO ABRASIVA (SODA Y ACIDO)</v>
      </c>
      <c r="H483" s="6">
        <f>IFERROR(VLOOKUP(BD_DETALLE!$B483,Tabla9[],4,0),0)</f>
        <v>3</v>
      </c>
      <c r="I483" s="19" t="s">
        <v>19</v>
      </c>
      <c r="J483" s="20"/>
      <c r="K483" s="10">
        <f>IFERROR(VLOOKUP(BD_DETALLE!B483,Tabla9[],7,0),"")</f>
        <v>44301</v>
      </c>
      <c r="L483" s="11">
        <f>IFERROR(VLOOKUP(BD_DETALLE!B483,Tabla9[],8,0),"")</f>
        <v>52489</v>
      </c>
      <c r="M483" s="9">
        <f>IFERROR(SUMIFS(Tabla9[CANTIDAD2],Tabla9[BUSQUEDA],Tabla3[[#This Row],[BUSQUEDA]],Tabla9[CODIGO],Tabla3[[#This Row],[CODIGO]],Tabla9[ORDEN No.],Tabla3[[#This Row],[ORDEN de COMPRA]]),0)</f>
        <v>3</v>
      </c>
      <c r="N483" s="27">
        <f>IFERROR(IF(BD_DETALLE!B483&gt;0,VLOOKUP(BD_DETALLE!B483,Tabla9[],10,0),""),"")</f>
        <v>0</v>
      </c>
      <c r="O483" s="28">
        <f>IFERROR(VLOOKUP(BD_DETALLE!B483,Tabla9[],11,0),0)</f>
        <v>0</v>
      </c>
      <c r="P483" s="26">
        <f>IFERROR(SUMIFS(Tabla9[CANTIDAD3],Tabla9[BUSQUEDA],Tabla3[[#This Row],[BUSQUEDA]],Tabla9[CODIGO],Tabla3[[#This Row],[CODIGO]]),0)</f>
        <v>0</v>
      </c>
      <c r="Q483" s="25">
        <f>IF(BD_DETALLE!P483&lt;=0,0,IF(BD_DETALLE!P483=BD_DETALLE!H483,2,1))</f>
        <v>0</v>
      </c>
      <c r="R483" s="41">
        <f ca="1">IF(BD_DETALLE!$C483&gt;0,(IF(BD_DETALLE!$N483=0,TODAY()-BD_DETALLE!$C483,BD_DETALLE!$N483-BD_DETALLE!$C483)),"")</f>
        <v>28</v>
      </c>
    </row>
    <row r="484" spans="2:18" x14ac:dyDescent="0.25">
      <c r="B484" s="15" t="str">
        <f t="shared" si="54"/>
        <v>2103-214-320955</v>
      </c>
      <c r="C484" s="7">
        <v>44277</v>
      </c>
      <c r="D484" s="5" t="str">
        <f>IF(BD_DETALLE!$E484&gt;=1,CONCATENATE(TEXT(BD_DETALLE!$C484,"YY"),TEXT(BD_DETALLE!$C484,"MM"),"-",BD_DETALLE!$E484),"")</f>
        <v>2103-214</v>
      </c>
      <c r="E484" s="12">
        <v>214</v>
      </c>
      <c r="F484" s="21">
        <v>320955</v>
      </c>
      <c r="G484" s="4" t="str">
        <f>IFERROR(VLOOKUP(BD_DETALLE!$B484,Tabla9[],6,0),"")</f>
        <v>TERMOMETRO DIAL 5" DE 0 - 150░ CONEXIËN POST. 1/2 NPT</v>
      </c>
      <c r="H484" s="6">
        <f>IFERROR(VLOOKUP(BD_DETALLE!$B484,Tabla9[],4,0),0)</f>
        <v>2</v>
      </c>
      <c r="I484" s="19" t="s">
        <v>12</v>
      </c>
      <c r="J484" s="20" t="s">
        <v>2134</v>
      </c>
      <c r="K484" s="10">
        <f>IFERROR(VLOOKUP(BD_DETALLE!B484,Tabla9[],7,0),"")</f>
        <v>0</v>
      </c>
      <c r="L484" s="11">
        <f>IFERROR(VLOOKUP(BD_DETALLE!B484,Tabla9[],8,0),"")</f>
        <v>0</v>
      </c>
      <c r="M484" s="9">
        <f>IFERROR(SUMIFS(Tabla9[CANTIDAD2],Tabla9[BUSQUEDA],Tabla3[[#This Row],[BUSQUEDA]],Tabla9[CODIGO],Tabla3[[#This Row],[CODIGO]],Tabla9[ORDEN No.],Tabla3[[#This Row],[ORDEN de COMPRA]]),0)</f>
        <v>0</v>
      </c>
      <c r="N484" s="27">
        <f>IFERROR(IF(BD_DETALLE!B484&gt;0,VLOOKUP(BD_DETALLE!B484,Tabla9[],10,0),""),"")</f>
        <v>0</v>
      </c>
      <c r="O484" s="28">
        <f>IFERROR(VLOOKUP(BD_DETALLE!B484,Tabla9[],11,0),0)</f>
        <v>0</v>
      </c>
      <c r="P484" s="26">
        <f>IFERROR(SUMIFS(Tabla9[CANTIDAD3],Tabla9[BUSQUEDA],Tabla3[[#This Row],[BUSQUEDA]],Tabla9[CODIGO],Tabla3[[#This Row],[CODIGO]]),0)</f>
        <v>0</v>
      </c>
      <c r="Q484" s="25">
        <f>IF(BD_DETALLE!P484&lt;=0,0,IF(BD_DETALLE!P484=BD_DETALLE!H484,2,1))</f>
        <v>0</v>
      </c>
      <c r="R484" s="41">
        <f ca="1">IF(BD_DETALLE!$C484&gt;0,(IF(BD_DETALLE!$N484=0,TODAY()-BD_DETALLE!$C484,BD_DETALLE!$N484-BD_DETALLE!$C484)),"")</f>
        <v>28</v>
      </c>
    </row>
    <row r="485" spans="2:18" x14ac:dyDescent="0.25">
      <c r="B485" s="15" t="str">
        <f t="shared" si="54"/>
        <v>2103-214-320956</v>
      </c>
      <c r="C485" s="7">
        <v>44277</v>
      </c>
      <c r="D485" s="5" t="str">
        <f>IF(BD_DETALLE!$E485&gt;=1,CONCATENATE(TEXT(BD_DETALLE!$C485,"YY"),TEXT(BD_DETALLE!$C485,"MM"),"-",BD_DETALLE!$E485),"")</f>
        <v>2103-214</v>
      </c>
      <c r="E485" s="12">
        <v>214</v>
      </c>
      <c r="F485" s="21">
        <v>320956</v>
      </c>
      <c r="G485" s="4" t="str">
        <f>IFERROR(VLOOKUP(BD_DETALLE!$B485,Tabla9[],6,0),"")</f>
        <v>TERMOMETRO DIAL 5" DE 0 - 150░ CONEXIËN VERTICAL. 1/2 NPT</v>
      </c>
      <c r="H485" s="6">
        <f>IFERROR(VLOOKUP(BD_DETALLE!$B485,Tabla9[],4,0),0)</f>
        <v>2</v>
      </c>
      <c r="I485" s="19" t="s">
        <v>12</v>
      </c>
      <c r="J485" s="20" t="s">
        <v>2134</v>
      </c>
      <c r="K485" s="10">
        <f>IFERROR(VLOOKUP(BD_DETALLE!B485,Tabla9[],7,0),"")</f>
        <v>0</v>
      </c>
      <c r="L485" s="11">
        <f>IFERROR(VLOOKUP(BD_DETALLE!B485,Tabla9[],8,0),"")</f>
        <v>0</v>
      </c>
      <c r="M485" s="9">
        <f>IFERROR(SUMIFS(Tabla9[CANTIDAD2],Tabla9[BUSQUEDA],Tabla3[[#This Row],[BUSQUEDA]],Tabla9[CODIGO],Tabla3[[#This Row],[CODIGO]],Tabla9[ORDEN No.],Tabla3[[#This Row],[ORDEN de COMPRA]]),0)</f>
        <v>0</v>
      </c>
      <c r="N485" s="27">
        <f>IFERROR(IF(BD_DETALLE!B485&gt;0,VLOOKUP(BD_DETALLE!B485,Tabla9[],10,0),""),"")</f>
        <v>0</v>
      </c>
      <c r="O485" s="28">
        <f>IFERROR(VLOOKUP(BD_DETALLE!B485,Tabla9[],11,0),0)</f>
        <v>0</v>
      </c>
      <c r="P485" s="26">
        <f>IFERROR(SUMIFS(Tabla9[CANTIDAD3],Tabla9[BUSQUEDA],Tabla3[[#This Row],[BUSQUEDA]],Tabla9[CODIGO],Tabla3[[#This Row],[CODIGO]]),0)</f>
        <v>0</v>
      </c>
      <c r="Q485" s="25">
        <f>IF(BD_DETALLE!P485&lt;=0,0,IF(BD_DETALLE!P485=BD_DETALLE!H485,2,1))</f>
        <v>0</v>
      </c>
      <c r="R485" s="41">
        <f ca="1">IF(BD_DETALLE!$C485&gt;0,(IF(BD_DETALLE!$N485=0,TODAY()-BD_DETALLE!$C485,BD_DETALLE!$N485-BD_DETALLE!$C485)),"")</f>
        <v>28</v>
      </c>
    </row>
    <row r="486" spans="2:18" x14ac:dyDescent="0.25">
      <c r="B486" s="15" t="str">
        <f t="shared" si="54"/>
        <v>2103-216-204518</v>
      </c>
      <c r="C486" s="7">
        <v>44278</v>
      </c>
      <c r="D486" s="5" t="str">
        <f>IF(BD_DETALLE!$E486&gt;=1,CONCATENATE(TEXT(BD_DETALLE!$C486,"YY"),TEXT(BD_DETALLE!$C486,"MM"),"-",BD_DETALLE!$E486),"")</f>
        <v>2103-216</v>
      </c>
      <c r="E486" s="12">
        <v>216</v>
      </c>
      <c r="F486" s="21">
        <v>204518</v>
      </c>
      <c r="G486" s="4" t="str">
        <f>IFERROR(VLOOKUP(BD_DETALLE!$B486,Tabla9[],6,0),"")</f>
        <v>PAPEL HIGIENICO JUMBO 250MTRS</v>
      </c>
      <c r="H486" s="6">
        <f>IFERROR(VLOOKUP(BD_DETALLE!$B486,Tabla9[],4,0),0)</f>
        <v>60</v>
      </c>
      <c r="I486" s="19" t="s">
        <v>15</v>
      </c>
      <c r="J486" s="20" t="s">
        <v>385</v>
      </c>
      <c r="K486" s="10">
        <f>IFERROR(VLOOKUP(BD_DETALLE!B486,Tabla9[],7,0),"")</f>
        <v>44293</v>
      </c>
      <c r="L486" s="11">
        <f>IFERROR(VLOOKUP(BD_DETALLE!B486,Tabla9[],8,0),"")</f>
        <v>52389</v>
      </c>
      <c r="M486" s="9">
        <f>IFERROR(SUMIFS(Tabla9[CANTIDAD2],Tabla9[BUSQUEDA],Tabla3[[#This Row],[BUSQUEDA]],Tabla9[CODIGO],Tabla3[[#This Row],[CODIGO]],Tabla9[ORDEN No.],Tabla3[[#This Row],[ORDEN de COMPRA]]),0)</f>
        <v>60</v>
      </c>
      <c r="N486" s="27">
        <f>IFERROR(IF(BD_DETALLE!B486&gt;0,VLOOKUP(BD_DETALLE!B486,Tabla9[],10,0),""),"")</f>
        <v>44299</v>
      </c>
      <c r="O486" s="28">
        <f>IFERROR(VLOOKUP(BD_DETALLE!B486,Tabla9[],11,0),0)</f>
        <v>11799</v>
      </c>
      <c r="P486" s="26">
        <f>IFERROR(SUMIFS(Tabla9[CANTIDAD3],Tabla9[BUSQUEDA],Tabla3[[#This Row],[BUSQUEDA]],Tabla9[CODIGO],Tabla3[[#This Row],[CODIGO]]),0)</f>
        <v>60</v>
      </c>
      <c r="Q486" s="25">
        <f>IF(BD_DETALLE!P486&lt;=0,0,IF(BD_DETALLE!P486=BD_DETALLE!H486,2,1))</f>
        <v>2</v>
      </c>
      <c r="R486" s="41">
        <f ca="1">IF(BD_DETALLE!$C486&gt;0,(IF(BD_DETALLE!$N486=0,TODAY()-BD_DETALLE!$C486,BD_DETALLE!$N486-BD_DETALLE!$C486)),"")</f>
        <v>21</v>
      </c>
    </row>
    <row r="487" spans="2:18" x14ac:dyDescent="0.25">
      <c r="B487" s="15" t="str">
        <f t="shared" si="54"/>
        <v>2103-216-305492</v>
      </c>
      <c r="C487" s="7">
        <v>44278</v>
      </c>
      <c r="D487" s="5" t="str">
        <f>IF(BD_DETALLE!$E487&gt;=1,CONCATENATE(TEXT(BD_DETALLE!$C487,"YY"),TEXT(BD_DETALLE!$C487,"MM"),"-",BD_DETALLE!$E487),"")</f>
        <v>2103-216</v>
      </c>
      <c r="E487" s="12">
        <v>216</v>
      </c>
      <c r="F487" s="21">
        <v>305492</v>
      </c>
      <c r="G487" s="4" t="str">
        <f>IFERROR(VLOOKUP(BD_DETALLE!$B487,Tabla9[],6,0),"")</f>
        <v>ESCOBAS DE PLASTICO</v>
      </c>
      <c r="H487" s="6">
        <f>IFERROR(VLOOKUP(BD_DETALLE!$B487,Tabla9[],4,0),0)</f>
        <v>20</v>
      </c>
      <c r="I487" s="19" t="s">
        <v>15</v>
      </c>
      <c r="J487" s="20" t="s">
        <v>385</v>
      </c>
      <c r="K487" s="10">
        <f>IFERROR(VLOOKUP(BD_DETALLE!B487,Tabla9[],7,0),"")</f>
        <v>44293</v>
      </c>
      <c r="L487" s="11">
        <f>IFERROR(VLOOKUP(BD_DETALLE!B487,Tabla9[],8,0),"")</f>
        <v>52389</v>
      </c>
      <c r="M487" s="9">
        <f>IFERROR(SUMIFS(Tabla9[CANTIDAD2],Tabla9[BUSQUEDA],Tabla3[[#This Row],[BUSQUEDA]],Tabla9[CODIGO],Tabla3[[#This Row],[CODIGO]],Tabla9[ORDEN No.],Tabla3[[#This Row],[ORDEN de COMPRA]]),0)</f>
        <v>20</v>
      </c>
      <c r="N487" s="27">
        <f>IFERROR(IF(BD_DETALLE!B487&gt;0,VLOOKUP(BD_DETALLE!B487,Tabla9[],10,0),""),"")</f>
        <v>44299</v>
      </c>
      <c r="O487" s="28">
        <f>IFERROR(VLOOKUP(BD_DETALLE!B487,Tabla9[],11,0),0)</f>
        <v>11799</v>
      </c>
      <c r="P487" s="26">
        <f>IFERROR(SUMIFS(Tabla9[CANTIDAD3],Tabla9[BUSQUEDA],Tabla3[[#This Row],[BUSQUEDA]],Tabla9[CODIGO],Tabla3[[#This Row],[CODIGO]]),0)</f>
        <v>20</v>
      </c>
      <c r="Q487" s="25">
        <f>IF(BD_DETALLE!P487&lt;=0,0,IF(BD_DETALLE!P487=BD_DETALLE!H487,2,1))</f>
        <v>2</v>
      </c>
      <c r="R487" s="41">
        <f ca="1">IF(BD_DETALLE!$C487&gt;0,(IF(BD_DETALLE!$N487=0,TODAY()-BD_DETALLE!$C487,BD_DETALLE!$N487-BD_DETALLE!$C487)),"")</f>
        <v>21</v>
      </c>
    </row>
    <row r="488" spans="2:18" x14ac:dyDescent="0.25">
      <c r="B488" s="15" t="str">
        <f t="shared" si="54"/>
        <v>2103-216-200225</v>
      </c>
      <c r="C488" s="7">
        <v>44278</v>
      </c>
      <c r="D488" s="5" t="str">
        <f>IF(BD_DETALLE!$E488&gt;=1,CONCATENATE(TEXT(BD_DETALLE!$C488,"YY"),TEXT(BD_DETALLE!$C488,"MM"),"-",BD_DETALLE!$E488),"")</f>
        <v>2103-216</v>
      </c>
      <c r="E488" s="12">
        <v>216</v>
      </c>
      <c r="F488" s="21">
        <v>200225</v>
      </c>
      <c r="G488" s="4" t="str">
        <f>IFERROR(VLOOKUP(BD_DETALLE!$B488,Tabla9[],6,0),"")</f>
        <v>ESCOBA</v>
      </c>
      <c r="H488" s="6">
        <f>IFERROR(VLOOKUP(BD_DETALLE!$B488,Tabla9[],4,0),0)</f>
        <v>30</v>
      </c>
      <c r="I488" s="19" t="s">
        <v>15</v>
      </c>
      <c r="J488" s="20" t="s">
        <v>385</v>
      </c>
      <c r="K488" s="10">
        <f>IFERROR(VLOOKUP(BD_DETALLE!B488,Tabla9[],7,0),"")</f>
        <v>44293</v>
      </c>
      <c r="L488" s="11">
        <f>IFERROR(VLOOKUP(BD_DETALLE!B488,Tabla9[],8,0),"")</f>
        <v>52389</v>
      </c>
      <c r="M488" s="9">
        <f>IFERROR(SUMIFS(Tabla9[CANTIDAD2],Tabla9[BUSQUEDA],Tabla3[[#This Row],[BUSQUEDA]],Tabla9[CODIGO],Tabla3[[#This Row],[CODIGO]],Tabla9[ORDEN No.],Tabla3[[#This Row],[ORDEN de COMPRA]]),0)</f>
        <v>30</v>
      </c>
      <c r="N488" s="27">
        <f>IFERROR(IF(BD_DETALLE!B488&gt;0,VLOOKUP(BD_DETALLE!B488,Tabla9[],10,0),""),"")</f>
        <v>44299</v>
      </c>
      <c r="O488" s="28">
        <f>IFERROR(VLOOKUP(BD_DETALLE!B488,Tabla9[],11,0),0)</f>
        <v>11799</v>
      </c>
      <c r="P488" s="26">
        <f>IFERROR(SUMIFS(Tabla9[CANTIDAD3],Tabla9[BUSQUEDA],Tabla3[[#This Row],[BUSQUEDA]],Tabla9[CODIGO],Tabla3[[#This Row],[CODIGO]]),0)</f>
        <v>30</v>
      </c>
      <c r="Q488" s="25">
        <f>IF(BD_DETALLE!P488&lt;=0,0,IF(BD_DETALLE!P488=BD_DETALLE!H488,2,1))</f>
        <v>2</v>
      </c>
      <c r="R488" s="41">
        <f ca="1">IF(BD_DETALLE!$C488&gt;0,(IF(BD_DETALLE!$N488=0,TODAY()-BD_DETALLE!$C488,BD_DETALLE!$N488-BD_DETALLE!$C488)),"")</f>
        <v>21</v>
      </c>
    </row>
    <row r="489" spans="2:18" x14ac:dyDescent="0.25">
      <c r="B489" s="15" t="str">
        <f t="shared" si="54"/>
        <v>2103-216-107280</v>
      </c>
      <c r="C489" s="7">
        <v>44278</v>
      </c>
      <c r="D489" s="5" t="str">
        <f>IF(BD_DETALLE!$E489&gt;=1,CONCATENATE(TEXT(BD_DETALLE!$C489,"YY"),TEXT(BD_DETALLE!$C489,"MM"),"-",BD_DETALLE!$E489),"")</f>
        <v>2103-216</v>
      </c>
      <c r="E489" s="12">
        <v>216</v>
      </c>
      <c r="F489" s="21">
        <v>107280</v>
      </c>
      <c r="G489" s="4" t="str">
        <f>IFERROR(VLOOKUP(BD_DETALLE!$B489,Tabla9[],6,0),"")</f>
        <v>VASOS DESECHABLES</v>
      </c>
      <c r="H489" s="6">
        <f>IFERROR(VLOOKUP(BD_DETALLE!$B489,Tabla9[],4,0),0)</f>
        <v>6000</v>
      </c>
      <c r="I489" s="19" t="s">
        <v>15</v>
      </c>
      <c r="J489" s="20" t="s">
        <v>385</v>
      </c>
      <c r="K489" s="10">
        <f>IFERROR(VLOOKUP(BD_DETALLE!B489,Tabla9[],7,0),"")</f>
        <v>44293</v>
      </c>
      <c r="L489" s="11">
        <f>IFERROR(VLOOKUP(BD_DETALLE!B489,Tabla9[],8,0),"")</f>
        <v>52389</v>
      </c>
      <c r="M489" s="9">
        <f>IFERROR(SUMIFS(Tabla9[CANTIDAD2],Tabla9[BUSQUEDA],Tabla3[[#This Row],[BUSQUEDA]],Tabla9[CODIGO],Tabla3[[#This Row],[CODIGO]],Tabla9[ORDEN No.],Tabla3[[#This Row],[ORDEN de COMPRA]]),0)</f>
        <v>6000</v>
      </c>
      <c r="N489" s="27">
        <f>IFERROR(IF(BD_DETALLE!B489&gt;0,VLOOKUP(BD_DETALLE!B489,Tabla9[],10,0),""),"")</f>
        <v>44299</v>
      </c>
      <c r="O489" s="28">
        <f>IFERROR(VLOOKUP(BD_DETALLE!B489,Tabla9[],11,0),0)</f>
        <v>11799</v>
      </c>
      <c r="P489" s="26">
        <f>IFERROR(SUMIFS(Tabla9[CANTIDAD3],Tabla9[BUSQUEDA],Tabla3[[#This Row],[BUSQUEDA]],Tabla9[CODIGO],Tabla3[[#This Row],[CODIGO]]),0)</f>
        <v>6000</v>
      </c>
      <c r="Q489" s="25">
        <f>IF(BD_DETALLE!P489&lt;=0,0,IF(BD_DETALLE!P489=BD_DETALLE!H489,2,1))</f>
        <v>2</v>
      </c>
      <c r="R489" s="41">
        <f ca="1">IF(BD_DETALLE!$C489&gt;0,(IF(BD_DETALLE!$N489=0,TODAY()-BD_DETALLE!$C489,BD_DETALLE!$N489-BD_DETALLE!$C489)),"")</f>
        <v>21</v>
      </c>
    </row>
    <row r="490" spans="2:18" x14ac:dyDescent="0.25">
      <c r="B490" s="15" t="str">
        <f t="shared" si="54"/>
        <v>2103-225-314082</v>
      </c>
      <c r="C490" s="7">
        <v>44278</v>
      </c>
      <c r="D490" s="5" t="str">
        <f>IF(BD_DETALLE!$E490&gt;=1,CONCATENATE(TEXT(BD_DETALLE!$C490,"YY"),TEXT(BD_DETALLE!$C490,"MM"),"-",BD_DETALLE!$E490),"")</f>
        <v>2103-225</v>
      </c>
      <c r="E490" s="12">
        <v>225</v>
      </c>
      <c r="F490" s="21">
        <v>314082</v>
      </c>
      <c r="G490" s="4" t="str">
        <f>IFERROR(VLOOKUP(BD_DETALLE!$B490,Tabla9[],6,0),"")</f>
        <v>RELE ENTRADA  3RQ3038-1AF01</v>
      </c>
      <c r="H490" s="6">
        <f>IFERROR(VLOOKUP(BD_DETALLE!$B490,Tabla9[],4,0),0)</f>
        <v>30</v>
      </c>
      <c r="I490" s="19" t="s">
        <v>14</v>
      </c>
      <c r="J490" s="20" t="s">
        <v>2135</v>
      </c>
      <c r="K490" s="10">
        <f>IFERROR(VLOOKUP(BD_DETALLE!B490,Tabla9[],7,0),"")</f>
        <v>0</v>
      </c>
      <c r="L490" s="11">
        <f>IFERROR(VLOOKUP(BD_DETALLE!B490,Tabla9[],8,0),"")</f>
        <v>0</v>
      </c>
      <c r="M490" s="9">
        <f>IFERROR(SUMIFS(Tabla9[CANTIDAD2],Tabla9[BUSQUEDA],Tabla3[[#This Row],[BUSQUEDA]],Tabla9[CODIGO],Tabla3[[#This Row],[CODIGO]],Tabla9[ORDEN No.],Tabla3[[#This Row],[ORDEN de COMPRA]]),0)</f>
        <v>0</v>
      </c>
      <c r="N490" s="27">
        <f>IFERROR(IF(BD_DETALLE!B490&gt;0,VLOOKUP(BD_DETALLE!B490,Tabla9[],10,0),""),"")</f>
        <v>0</v>
      </c>
      <c r="O490" s="28">
        <f>IFERROR(VLOOKUP(BD_DETALLE!B490,Tabla9[],11,0),0)</f>
        <v>0</v>
      </c>
      <c r="P490" s="26">
        <f>IFERROR(SUMIFS(Tabla9[CANTIDAD3],Tabla9[BUSQUEDA],Tabla3[[#This Row],[BUSQUEDA]],Tabla9[CODIGO],Tabla3[[#This Row],[CODIGO]]),0)</f>
        <v>0</v>
      </c>
      <c r="Q490" s="25">
        <f>IF(BD_DETALLE!P490&lt;=0,0,IF(BD_DETALLE!P490=BD_DETALLE!H490,2,1))</f>
        <v>0</v>
      </c>
      <c r="R490" s="41">
        <f ca="1">IF(BD_DETALLE!$C490&gt;0,(IF(BD_DETALLE!$N490=0,TODAY()-BD_DETALLE!$C490,BD_DETALLE!$N490-BD_DETALLE!$C490)),"")</f>
        <v>27</v>
      </c>
    </row>
    <row r="491" spans="2:18" x14ac:dyDescent="0.25">
      <c r="B491" s="15" t="str">
        <f t="shared" si="54"/>
        <v>2103-225-320960</v>
      </c>
      <c r="C491" s="7">
        <v>44278</v>
      </c>
      <c r="D491" s="5" t="str">
        <f>IF(BD_DETALLE!$E491&gt;=1,CONCATENATE(TEXT(BD_DETALLE!$C491,"YY"),TEXT(BD_DETALLE!$C491,"MM"),"-",BD_DETALLE!$E491),"")</f>
        <v>2103-225</v>
      </c>
      <c r="E491" s="12">
        <v>225</v>
      </c>
      <c r="F491" s="21">
        <v>320960</v>
      </c>
      <c r="G491" s="4" t="str">
        <f>IFERROR(VLOOKUP(BD_DETALLE!$B491,Tabla9[],6,0),"")</f>
        <v>CONVERTIDOR DE CORRIENTE KLEMSAN SP3-AC-24V</v>
      </c>
      <c r="H491" s="6">
        <f>IFERROR(VLOOKUP(BD_DETALLE!$B491,Tabla9[],4,0),0)</f>
        <v>1</v>
      </c>
      <c r="I491" s="19" t="s">
        <v>14</v>
      </c>
      <c r="J491" s="20" t="s">
        <v>2135</v>
      </c>
      <c r="K491" s="10">
        <f>IFERROR(VLOOKUP(BD_DETALLE!B491,Tabla9[],7,0),"")</f>
        <v>0</v>
      </c>
      <c r="L491" s="11">
        <f>IFERROR(VLOOKUP(BD_DETALLE!B491,Tabla9[],8,0),"")</f>
        <v>0</v>
      </c>
      <c r="M491" s="9">
        <f>IFERROR(SUMIFS(Tabla9[CANTIDAD2],Tabla9[BUSQUEDA],Tabla3[[#This Row],[BUSQUEDA]],Tabla9[CODIGO],Tabla3[[#This Row],[CODIGO]],Tabla9[ORDEN No.],Tabla3[[#This Row],[ORDEN de COMPRA]]),0)</f>
        <v>0</v>
      </c>
      <c r="N491" s="27">
        <f>IFERROR(IF(BD_DETALLE!B491&gt;0,VLOOKUP(BD_DETALLE!B491,Tabla9[],10,0),""),"")</f>
        <v>0</v>
      </c>
      <c r="O491" s="28">
        <f>IFERROR(VLOOKUP(BD_DETALLE!B491,Tabla9[],11,0),0)</f>
        <v>0</v>
      </c>
      <c r="P491" s="26">
        <f>IFERROR(SUMIFS(Tabla9[CANTIDAD3],Tabla9[BUSQUEDA],Tabla3[[#This Row],[BUSQUEDA]],Tabla9[CODIGO],Tabla3[[#This Row],[CODIGO]]),0)</f>
        <v>0</v>
      </c>
      <c r="Q491" s="25">
        <f>IF(BD_DETALLE!P491&lt;=0,0,IF(BD_DETALLE!P491=BD_DETALLE!H491,2,1))</f>
        <v>0</v>
      </c>
      <c r="R491" s="41">
        <f ca="1">IF(BD_DETALLE!$C491&gt;0,(IF(BD_DETALLE!$N491=0,TODAY()-BD_DETALLE!$C491,BD_DETALLE!$N491-BD_DETALLE!$C491)),"")</f>
        <v>27</v>
      </c>
    </row>
    <row r="492" spans="2:18" x14ac:dyDescent="0.25">
      <c r="B492" s="15" t="str">
        <f t="shared" si="54"/>
        <v>2103-225-320111</v>
      </c>
      <c r="C492" s="7">
        <v>44278</v>
      </c>
      <c r="D492" s="5" t="str">
        <f>IF(BD_DETALLE!$E492&gt;=1,CONCATENATE(TEXT(BD_DETALLE!$C492,"YY"),TEXT(BD_DETALLE!$C492,"MM"),"-",BD_DETALLE!$E492),"")</f>
        <v>2103-225</v>
      </c>
      <c r="E492" s="12">
        <v>225</v>
      </c>
      <c r="F492" s="21">
        <v>320111</v>
      </c>
      <c r="G492" s="4" t="str">
        <f>IFERROR(VLOOKUP(BD_DETALLE!$B492,Tabla9[],6,0),"")</f>
        <v>BORNERA 2 NIVELES WAG100284 P/CABLE DE CONTROL</v>
      </c>
      <c r="H492" s="6">
        <f>IFERROR(VLOOKUP(BD_DETALLE!$B492,Tabla9[],4,0),0)</f>
        <v>30</v>
      </c>
      <c r="I492" s="19" t="s">
        <v>14</v>
      </c>
      <c r="J492" s="20" t="s">
        <v>2135</v>
      </c>
      <c r="K492" s="10">
        <f>IFERROR(VLOOKUP(BD_DETALLE!B492,Tabla9[],7,0),"")</f>
        <v>0</v>
      </c>
      <c r="L492" s="11">
        <f>IFERROR(VLOOKUP(BD_DETALLE!B492,Tabla9[],8,0),"")</f>
        <v>0</v>
      </c>
      <c r="M492" s="9">
        <f>IFERROR(SUMIFS(Tabla9[CANTIDAD2],Tabla9[BUSQUEDA],Tabla3[[#This Row],[BUSQUEDA]],Tabla9[CODIGO],Tabla3[[#This Row],[CODIGO]],Tabla9[ORDEN No.],Tabla3[[#This Row],[ORDEN de COMPRA]]),0)</f>
        <v>0</v>
      </c>
      <c r="N492" s="27">
        <f>IFERROR(IF(BD_DETALLE!B492&gt;0,VLOOKUP(BD_DETALLE!B492,Tabla9[],10,0),""),"")</f>
        <v>0</v>
      </c>
      <c r="O492" s="28">
        <f>IFERROR(VLOOKUP(BD_DETALLE!B492,Tabla9[],11,0),0)</f>
        <v>0</v>
      </c>
      <c r="P492" s="26">
        <f>IFERROR(SUMIFS(Tabla9[CANTIDAD3],Tabla9[BUSQUEDA],Tabla3[[#This Row],[BUSQUEDA]],Tabla9[CODIGO],Tabla3[[#This Row],[CODIGO]]),0)</f>
        <v>0</v>
      </c>
      <c r="Q492" s="25">
        <f>IF(BD_DETALLE!P492&lt;=0,0,IF(BD_DETALLE!P492=BD_DETALLE!H492,2,1))</f>
        <v>0</v>
      </c>
      <c r="R492" s="41">
        <f ca="1">IF(BD_DETALLE!$C492&gt;0,(IF(BD_DETALLE!$N492=0,TODAY()-BD_DETALLE!$C492,BD_DETALLE!$N492-BD_DETALLE!$C492)),"")</f>
        <v>27</v>
      </c>
    </row>
    <row r="493" spans="2:18" x14ac:dyDescent="0.25">
      <c r="B493" s="15" t="str">
        <f t="shared" si="54"/>
        <v>2103-225-314080</v>
      </c>
      <c r="C493" s="7">
        <v>44278</v>
      </c>
      <c r="D493" s="5" t="str">
        <f>IF(BD_DETALLE!$E493&gt;=1,CONCATENATE(TEXT(BD_DETALLE!$C493,"YY"),TEXT(BD_DETALLE!$C493,"MM"),"-",BD_DETALLE!$E493),"")</f>
        <v>2103-225</v>
      </c>
      <c r="E493" s="12">
        <v>225</v>
      </c>
      <c r="F493" s="21">
        <v>314080</v>
      </c>
      <c r="G493" s="4" t="str">
        <f>IFERROR(VLOOKUP(BD_DETALLE!$B493,Tabla9[],6,0),"")</f>
        <v>TERMINAL DE COMPRESION P/CABLE # 18</v>
      </c>
      <c r="H493" s="6">
        <f>IFERROR(VLOOKUP(BD_DETALLE!$B493,Tabla9[],4,0),0)</f>
        <v>200</v>
      </c>
      <c r="I493" s="19" t="s">
        <v>14</v>
      </c>
      <c r="J493" s="20" t="s">
        <v>2135</v>
      </c>
      <c r="K493" s="10">
        <f>IFERROR(VLOOKUP(BD_DETALLE!B493,Tabla9[],7,0),"")</f>
        <v>0</v>
      </c>
      <c r="L493" s="11">
        <f>IFERROR(VLOOKUP(BD_DETALLE!B493,Tabla9[],8,0),"")</f>
        <v>0</v>
      </c>
      <c r="M493" s="9">
        <f>IFERROR(SUMIFS(Tabla9[CANTIDAD2],Tabla9[BUSQUEDA],Tabla3[[#This Row],[BUSQUEDA]],Tabla9[CODIGO],Tabla3[[#This Row],[CODIGO]],Tabla9[ORDEN No.],Tabla3[[#This Row],[ORDEN de COMPRA]]),0)</f>
        <v>0</v>
      </c>
      <c r="N493" s="27">
        <f>IFERROR(IF(BD_DETALLE!B493&gt;0,VLOOKUP(BD_DETALLE!B493,Tabla9[],10,0),""),"")</f>
        <v>0</v>
      </c>
      <c r="O493" s="28">
        <f>IFERROR(VLOOKUP(BD_DETALLE!B493,Tabla9[],11,0),0)</f>
        <v>0</v>
      </c>
      <c r="P493" s="26">
        <f>IFERROR(SUMIFS(Tabla9[CANTIDAD3],Tabla9[BUSQUEDA],Tabla3[[#This Row],[BUSQUEDA]],Tabla9[CODIGO],Tabla3[[#This Row],[CODIGO]]),0)</f>
        <v>0</v>
      </c>
      <c r="Q493" s="25">
        <f>IF(BD_DETALLE!P493&lt;=0,0,IF(BD_DETALLE!P493=BD_DETALLE!H493,2,1))</f>
        <v>0</v>
      </c>
      <c r="R493" s="41">
        <f ca="1">IF(BD_DETALLE!$C493&gt;0,(IF(BD_DETALLE!$N493=0,TODAY()-BD_DETALLE!$C493,BD_DETALLE!$N493-BD_DETALLE!$C493)),"")</f>
        <v>27</v>
      </c>
    </row>
    <row r="494" spans="2:18" x14ac:dyDescent="0.25">
      <c r="B494" s="15" t="str">
        <f t="shared" si="54"/>
        <v>2103-225-314081</v>
      </c>
      <c r="C494" s="7">
        <v>44278</v>
      </c>
      <c r="D494" s="5" t="str">
        <f>IF(BD_DETALLE!$E494&gt;=1,CONCATENATE(TEXT(BD_DETALLE!$C494,"YY"),TEXT(BD_DETALLE!$C494,"MM"),"-",BD_DETALLE!$E494),"")</f>
        <v>2103-225</v>
      </c>
      <c r="E494" s="12">
        <v>225</v>
      </c>
      <c r="F494" s="21">
        <v>314081</v>
      </c>
      <c r="G494" s="4" t="str">
        <f>IFERROR(VLOOKUP(BD_DETALLE!$B494,Tabla9[],6,0),"")</f>
        <v>TERMINAL DOBLE COMPRESION P/CABLE # 18</v>
      </c>
      <c r="H494" s="6">
        <f>IFERROR(VLOOKUP(BD_DETALLE!$B494,Tabla9[],4,0),0)</f>
        <v>100</v>
      </c>
      <c r="I494" s="19" t="s">
        <v>14</v>
      </c>
      <c r="J494" s="20" t="s">
        <v>2135</v>
      </c>
      <c r="K494" s="10">
        <f>IFERROR(VLOOKUP(BD_DETALLE!B494,Tabla9[],7,0),"")</f>
        <v>0</v>
      </c>
      <c r="L494" s="11">
        <f>IFERROR(VLOOKUP(BD_DETALLE!B494,Tabla9[],8,0),"")</f>
        <v>0</v>
      </c>
      <c r="M494" s="9">
        <f>IFERROR(SUMIFS(Tabla9[CANTIDAD2],Tabla9[BUSQUEDA],Tabla3[[#This Row],[BUSQUEDA]],Tabla9[CODIGO],Tabla3[[#This Row],[CODIGO]],Tabla9[ORDEN No.],Tabla3[[#This Row],[ORDEN de COMPRA]]),0)</f>
        <v>0</v>
      </c>
      <c r="N494" s="27">
        <f>IFERROR(IF(BD_DETALLE!B494&gt;0,VLOOKUP(BD_DETALLE!B494,Tabla9[],10,0),""),"")</f>
        <v>0</v>
      </c>
      <c r="O494" s="28">
        <f>IFERROR(VLOOKUP(BD_DETALLE!B494,Tabla9[],11,0),0)</f>
        <v>0</v>
      </c>
      <c r="P494" s="26">
        <f>IFERROR(SUMIFS(Tabla9[CANTIDAD3],Tabla9[BUSQUEDA],Tabla3[[#This Row],[BUSQUEDA]],Tabla9[CODIGO],Tabla3[[#This Row],[CODIGO]]),0)</f>
        <v>0</v>
      </c>
      <c r="Q494" s="25">
        <f>IF(BD_DETALLE!P494&lt;=0,0,IF(BD_DETALLE!P494=BD_DETALLE!H494,2,1))</f>
        <v>0</v>
      </c>
      <c r="R494" s="41">
        <f ca="1">IF(BD_DETALLE!$C494&gt;0,(IF(BD_DETALLE!$N494=0,TODAY()-BD_DETALLE!$C494,BD_DETALLE!$N494-BD_DETALLE!$C494)),"")</f>
        <v>27</v>
      </c>
    </row>
    <row r="495" spans="2:18" x14ac:dyDescent="0.25">
      <c r="B495" s="15" t="str">
        <f t="shared" si="54"/>
        <v>2103-225-320107</v>
      </c>
      <c r="C495" s="7">
        <v>44278</v>
      </c>
      <c r="D495" s="5" t="str">
        <f>IF(BD_DETALLE!$E495&gt;=1,CONCATENATE(TEXT(BD_DETALLE!$C495,"YY"),TEXT(BD_DETALLE!$C495,"MM"),"-",BD_DETALLE!$E495),"")</f>
        <v>2103-225</v>
      </c>
      <c r="E495" s="12">
        <v>225</v>
      </c>
      <c r="F495" s="21">
        <v>320107</v>
      </c>
      <c r="G495" s="4" t="str">
        <f>IFERROR(VLOOKUP(BD_DETALLE!$B495,Tabla9[],6,0),"")</f>
        <v>BREAKER REGULABLE DE 175/250</v>
      </c>
      <c r="H495" s="6">
        <f>IFERROR(VLOOKUP(BD_DETALLE!$B495,Tabla9[],4,0),0)</f>
        <v>1</v>
      </c>
      <c r="I495" s="19" t="s">
        <v>14</v>
      </c>
      <c r="J495" s="20" t="s">
        <v>2135</v>
      </c>
      <c r="K495" s="10">
        <f>IFERROR(VLOOKUP(BD_DETALLE!B495,Tabla9[],7,0),"")</f>
        <v>0</v>
      </c>
      <c r="L495" s="11">
        <f>IFERROR(VLOOKUP(BD_DETALLE!B495,Tabla9[],8,0),"")</f>
        <v>0</v>
      </c>
      <c r="M495" s="9">
        <f>IFERROR(SUMIFS(Tabla9[CANTIDAD2],Tabla9[BUSQUEDA],Tabla3[[#This Row],[BUSQUEDA]],Tabla9[CODIGO],Tabla3[[#This Row],[CODIGO]],Tabla9[ORDEN No.],Tabla3[[#This Row],[ORDEN de COMPRA]]),0)</f>
        <v>0</v>
      </c>
      <c r="N495" s="27">
        <f>IFERROR(IF(BD_DETALLE!B495&gt;0,VLOOKUP(BD_DETALLE!B495,Tabla9[],10,0),""),"")</f>
        <v>0</v>
      </c>
      <c r="O495" s="28">
        <f>IFERROR(VLOOKUP(BD_DETALLE!B495,Tabla9[],11,0),0)</f>
        <v>0</v>
      </c>
      <c r="P495" s="26">
        <f>IFERROR(SUMIFS(Tabla9[CANTIDAD3],Tabla9[BUSQUEDA],Tabla3[[#This Row],[BUSQUEDA]],Tabla9[CODIGO],Tabla3[[#This Row],[CODIGO]]),0)</f>
        <v>0</v>
      </c>
      <c r="Q495" s="25">
        <f>IF(BD_DETALLE!P495&lt;=0,0,IF(BD_DETALLE!P495=BD_DETALLE!H495,2,1))</f>
        <v>0</v>
      </c>
      <c r="R495" s="41">
        <f ca="1">IF(BD_DETALLE!$C495&gt;0,(IF(BD_DETALLE!$N495=0,TODAY()-BD_DETALLE!$C495,BD_DETALLE!$N495-BD_DETALLE!$C495)),"")</f>
        <v>27</v>
      </c>
    </row>
    <row r="496" spans="2:18" x14ac:dyDescent="0.25">
      <c r="B496" s="15" t="str">
        <f t="shared" si="54"/>
        <v>2103-225-205073</v>
      </c>
      <c r="C496" s="7">
        <v>44278</v>
      </c>
      <c r="D496" s="5" t="str">
        <f>IF(BD_DETALLE!$E496&gt;=1,CONCATENATE(TEXT(BD_DETALLE!$C496,"YY"),TEXT(BD_DETALLE!$C496,"MM"),"-",BD_DETALLE!$E496),"")</f>
        <v>2103-225</v>
      </c>
      <c r="E496" s="12">
        <v>225</v>
      </c>
      <c r="F496" s="21">
        <v>205073</v>
      </c>
      <c r="G496" s="4" t="str">
        <f>IFERROR(VLOOKUP(BD_DETALLE!$B496,Tabla9[],6,0),"")</f>
        <v>CONTACTOR DLC1-D95 DE 95 A 125AMP</v>
      </c>
      <c r="H496" s="6">
        <f>IFERROR(VLOOKUP(BD_DETALLE!$B496,Tabla9[],4,0),0)</f>
        <v>2</v>
      </c>
      <c r="I496" s="19" t="s">
        <v>14</v>
      </c>
      <c r="J496" s="20" t="s">
        <v>2135</v>
      </c>
      <c r="K496" s="10">
        <f>IFERROR(VLOOKUP(BD_DETALLE!B496,Tabla9[],7,0),"")</f>
        <v>0</v>
      </c>
      <c r="L496" s="11">
        <f>IFERROR(VLOOKUP(BD_DETALLE!B496,Tabla9[],8,0),"")</f>
        <v>0</v>
      </c>
      <c r="M496" s="9">
        <f>IFERROR(SUMIFS(Tabla9[CANTIDAD2],Tabla9[BUSQUEDA],Tabla3[[#This Row],[BUSQUEDA]],Tabla9[CODIGO],Tabla3[[#This Row],[CODIGO]],Tabla9[ORDEN No.],Tabla3[[#This Row],[ORDEN de COMPRA]]),0)</f>
        <v>0</v>
      </c>
      <c r="N496" s="27">
        <f>IFERROR(IF(BD_DETALLE!B496&gt;0,VLOOKUP(BD_DETALLE!B496,Tabla9[],10,0),""),"")</f>
        <v>0</v>
      </c>
      <c r="O496" s="28">
        <f>IFERROR(VLOOKUP(BD_DETALLE!B496,Tabla9[],11,0),0)</f>
        <v>0</v>
      </c>
      <c r="P496" s="26">
        <f>IFERROR(SUMIFS(Tabla9[CANTIDAD3],Tabla9[BUSQUEDA],Tabla3[[#This Row],[BUSQUEDA]],Tabla9[CODIGO],Tabla3[[#This Row],[CODIGO]]),0)</f>
        <v>0</v>
      </c>
      <c r="Q496" s="25">
        <f>IF(BD_DETALLE!P496&lt;=0,0,IF(BD_DETALLE!P496=BD_DETALLE!H496,2,1))</f>
        <v>0</v>
      </c>
      <c r="R496" s="41">
        <f ca="1">IF(BD_DETALLE!$C496&gt;0,(IF(BD_DETALLE!$N496=0,TODAY()-BD_DETALLE!$C496,BD_DETALLE!$N496-BD_DETALLE!$C496)),"")</f>
        <v>27</v>
      </c>
    </row>
    <row r="497" spans="2:18" x14ac:dyDescent="0.25">
      <c r="B497" s="15" t="str">
        <f t="shared" si="54"/>
        <v>2103-225-300366</v>
      </c>
      <c r="C497" s="7">
        <v>44278</v>
      </c>
      <c r="D497" s="5" t="str">
        <f>IF(BD_DETALLE!$E497&gt;=1,CONCATENATE(TEXT(BD_DETALLE!$C497,"YY"),TEXT(BD_DETALLE!$C497,"MM"),"-",BD_DETALLE!$E497),"")</f>
        <v>2103-225</v>
      </c>
      <c r="E497" s="12">
        <v>225</v>
      </c>
      <c r="F497" s="21">
        <v>300366</v>
      </c>
      <c r="G497" s="4" t="str">
        <f>IFERROR(VLOOKUP(BD_DETALLE!$B497,Tabla9[],6,0),"")</f>
        <v>CONTACTOR LC1-D80 DE 80 A 125AMP / 220V</v>
      </c>
      <c r="H497" s="6">
        <f>IFERROR(VLOOKUP(BD_DETALLE!$B497,Tabla9[],4,0),0)</f>
        <v>1</v>
      </c>
      <c r="I497" s="19" t="s">
        <v>14</v>
      </c>
      <c r="J497" s="20" t="s">
        <v>2135</v>
      </c>
      <c r="K497" s="10">
        <f>IFERROR(VLOOKUP(BD_DETALLE!B497,Tabla9[],7,0),"")</f>
        <v>0</v>
      </c>
      <c r="L497" s="11">
        <f>IFERROR(VLOOKUP(BD_DETALLE!B497,Tabla9[],8,0),"")</f>
        <v>0</v>
      </c>
      <c r="M497" s="9">
        <f>IFERROR(SUMIFS(Tabla9[CANTIDAD2],Tabla9[BUSQUEDA],Tabla3[[#This Row],[BUSQUEDA]],Tabla9[CODIGO],Tabla3[[#This Row],[CODIGO]],Tabla9[ORDEN No.],Tabla3[[#This Row],[ORDEN de COMPRA]]),0)</f>
        <v>0</v>
      </c>
      <c r="N497" s="27">
        <f>IFERROR(IF(BD_DETALLE!B497&gt;0,VLOOKUP(BD_DETALLE!B497,Tabla9[],10,0),""),"")</f>
        <v>0</v>
      </c>
      <c r="O497" s="28">
        <f>IFERROR(VLOOKUP(BD_DETALLE!B497,Tabla9[],11,0),0)</f>
        <v>0</v>
      </c>
      <c r="P497" s="26">
        <f>IFERROR(SUMIFS(Tabla9[CANTIDAD3],Tabla9[BUSQUEDA],Tabla3[[#This Row],[BUSQUEDA]],Tabla9[CODIGO],Tabla3[[#This Row],[CODIGO]]),0)</f>
        <v>0</v>
      </c>
      <c r="Q497" s="25">
        <f>IF(BD_DETALLE!P497&lt;=0,0,IF(BD_DETALLE!P497=BD_DETALLE!H497,2,1))</f>
        <v>0</v>
      </c>
      <c r="R497" s="41">
        <f ca="1">IF(BD_DETALLE!$C497&gt;0,(IF(BD_DETALLE!$N497=0,TODAY()-BD_DETALLE!$C497,BD_DETALLE!$N497-BD_DETALLE!$C497)),"")</f>
        <v>27</v>
      </c>
    </row>
    <row r="498" spans="2:18" x14ac:dyDescent="0.25">
      <c r="B498" s="15" t="str">
        <f t="shared" si="54"/>
        <v>2103-225-106367</v>
      </c>
      <c r="C498" s="7">
        <v>44278</v>
      </c>
      <c r="D498" s="5" t="str">
        <f>IF(BD_DETALLE!$E498&gt;=1,CONCATENATE(TEXT(BD_DETALLE!$C498,"YY"),TEXT(BD_DETALLE!$C498,"MM"),"-",BD_DETALLE!$E498),"")</f>
        <v>2103-225</v>
      </c>
      <c r="E498" s="12">
        <v>225</v>
      </c>
      <c r="F498" s="21">
        <v>106367</v>
      </c>
      <c r="G498" s="4" t="str">
        <f>IFERROR(VLOOKUP(BD_DETALLE!$B498,Tabla9[],6,0),"")</f>
        <v>RELAY TERMICO DE 63 A 100 AMP. TRIFASICO</v>
      </c>
      <c r="H498" s="6">
        <f>IFERROR(VLOOKUP(BD_DETALLE!$B498,Tabla9[],4,0),0)</f>
        <v>1</v>
      </c>
      <c r="I498" s="19" t="s">
        <v>14</v>
      </c>
      <c r="J498" s="20" t="s">
        <v>2135</v>
      </c>
      <c r="K498" s="10">
        <f>IFERROR(VLOOKUP(BD_DETALLE!B498,Tabla9[],7,0),"")</f>
        <v>0</v>
      </c>
      <c r="L498" s="11">
        <f>IFERROR(VLOOKUP(BD_DETALLE!B498,Tabla9[],8,0),"")</f>
        <v>0</v>
      </c>
      <c r="M498" s="9">
        <f>IFERROR(SUMIFS(Tabla9[CANTIDAD2],Tabla9[BUSQUEDA],Tabla3[[#This Row],[BUSQUEDA]],Tabla9[CODIGO],Tabla3[[#This Row],[CODIGO]],Tabla9[ORDEN No.],Tabla3[[#This Row],[ORDEN de COMPRA]]),0)</f>
        <v>0</v>
      </c>
      <c r="N498" s="27">
        <f>IFERROR(IF(BD_DETALLE!B498&gt;0,VLOOKUP(BD_DETALLE!B498,Tabla9[],10,0),""),"")</f>
        <v>0</v>
      </c>
      <c r="O498" s="28">
        <f>IFERROR(VLOOKUP(BD_DETALLE!B498,Tabla9[],11,0),0)</f>
        <v>0</v>
      </c>
      <c r="P498" s="26">
        <f>IFERROR(SUMIFS(Tabla9[CANTIDAD3],Tabla9[BUSQUEDA],Tabla3[[#This Row],[BUSQUEDA]],Tabla9[CODIGO],Tabla3[[#This Row],[CODIGO]]),0)</f>
        <v>0</v>
      </c>
      <c r="Q498" s="25">
        <f>IF(BD_DETALLE!P498&lt;=0,0,IF(BD_DETALLE!P498=BD_DETALLE!H498,2,1))</f>
        <v>0</v>
      </c>
      <c r="R498" s="41">
        <f ca="1">IF(BD_DETALLE!$C498&gt;0,(IF(BD_DETALLE!$N498=0,TODAY()-BD_DETALLE!$C498,BD_DETALLE!$N498-BD_DETALLE!$C498)),"")</f>
        <v>27</v>
      </c>
    </row>
    <row r="499" spans="2:18" x14ac:dyDescent="0.25">
      <c r="B499" s="15" t="str">
        <f t="shared" si="54"/>
        <v>2103-225-311492</v>
      </c>
      <c r="C499" s="7">
        <v>44278</v>
      </c>
      <c r="D499" s="5" t="str">
        <f>IF(BD_DETALLE!$E499&gt;=1,CONCATENATE(TEXT(BD_DETALLE!$C499,"YY"),TEXT(BD_DETALLE!$C499,"MM"),"-",BD_DETALLE!$E499),"")</f>
        <v>2103-225</v>
      </c>
      <c r="E499" s="12">
        <v>225</v>
      </c>
      <c r="F499" s="21">
        <v>311492</v>
      </c>
      <c r="G499" s="4" t="str">
        <f>IFERROR(VLOOKUP(BD_DETALLE!$B499,Tabla9[],6,0),"")</f>
        <v>TEMPORIZADOR DEL 0 A 60 MINUTO</v>
      </c>
      <c r="H499" s="6">
        <f>IFERROR(VLOOKUP(BD_DETALLE!$B499,Tabla9[],4,0),0)</f>
        <v>1</v>
      </c>
      <c r="I499" s="19" t="s">
        <v>14</v>
      </c>
      <c r="J499" s="20" t="s">
        <v>2135</v>
      </c>
      <c r="K499" s="10">
        <f>IFERROR(VLOOKUP(BD_DETALLE!B499,Tabla9[],7,0),"")</f>
        <v>0</v>
      </c>
      <c r="L499" s="11">
        <f>IFERROR(VLOOKUP(BD_DETALLE!B499,Tabla9[],8,0),"")</f>
        <v>0</v>
      </c>
      <c r="M499" s="9">
        <f>IFERROR(SUMIFS(Tabla9[CANTIDAD2],Tabla9[BUSQUEDA],Tabla3[[#This Row],[BUSQUEDA]],Tabla9[CODIGO],Tabla3[[#This Row],[CODIGO]],Tabla9[ORDEN No.],Tabla3[[#This Row],[ORDEN de COMPRA]]),0)</f>
        <v>0</v>
      </c>
      <c r="N499" s="27">
        <f>IFERROR(IF(BD_DETALLE!B499&gt;0,VLOOKUP(BD_DETALLE!B499,Tabla9[],10,0),""),"")</f>
        <v>0</v>
      </c>
      <c r="O499" s="28">
        <f>IFERROR(VLOOKUP(BD_DETALLE!B499,Tabla9[],11,0),0)</f>
        <v>0</v>
      </c>
      <c r="P499" s="26">
        <f>IFERROR(SUMIFS(Tabla9[CANTIDAD3],Tabla9[BUSQUEDA],Tabla3[[#This Row],[BUSQUEDA]],Tabla9[CODIGO],Tabla3[[#This Row],[CODIGO]]),0)</f>
        <v>0</v>
      </c>
      <c r="Q499" s="25">
        <f>IF(BD_DETALLE!P499&lt;=0,0,IF(BD_DETALLE!P499=BD_DETALLE!H499,2,1))</f>
        <v>0</v>
      </c>
      <c r="R499" s="41">
        <f ca="1">IF(BD_DETALLE!$C499&gt;0,(IF(BD_DETALLE!$N499=0,TODAY()-BD_DETALLE!$C499,BD_DETALLE!$N499-BD_DETALLE!$C499)),"")</f>
        <v>27</v>
      </c>
    </row>
    <row r="500" spans="2:18" x14ac:dyDescent="0.25">
      <c r="B500" s="15" t="str">
        <f t="shared" si="54"/>
        <v>2103-225-304195</v>
      </c>
      <c r="C500" s="7">
        <v>44278</v>
      </c>
      <c r="D500" s="5" t="str">
        <f>IF(BD_DETALLE!$E500&gt;=1,CONCATENATE(TEXT(BD_DETALLE!$C500,"YY"),TEXT(BD_DETALLE!$C500,"MM"),"-",BD_DETALLE!$E500),"")</f>
        <v>2103-225</v>
      </c>
      <c r="E500" s="12">
        <v>225</v>
      </c>
      <c r="F500" s="21">
        <v>304195</v>
      </c>
      <c r="G500" s="4" t="str">
        <f>IFERROR(VLOOKUP(BD_DETALLE!$B500,Tabla9[],6,0),"")</f>
        <v>CABLE FLEXIBLE 2/0</v>
      </c>
      <c r="H500" s="6">
        <f>IFERROR(VLOOKUP(BD_DETALLE!$B500,Tabla9[],4,0),0)</f>
        <v>10</v>
      </c>
      <c r="I500" s="19" t="s">
        <v>14</v>
      </c>
      <c r="J500" s="20" t="s">
        <v>2135</v>
      </c>
      <c r="K500" s="10">
        <f>IFERROR(VLOOKUP(BD_DETALLE!B500,Tabla9[],7,0),"")</f>
        <v>0</v>
      </c>
      <c r="L500" s="11">
        <f>IFERROR(VLOOKUP(BD_DETALLE!B500,Tabla9[],8,0),"")</f>
        <v>0</v>
      </c>
      <c r="M500" s="9">
        <f>IFERROR(SUMIFS(Tabla9[CANTIDAD2],Tabla9[BUSQUEDA],Tabla3[[#This Row],[BUSQUEDA]],Tabla9[CODIGO],Tabla3[[#This Row],[CODIGO]],Tabla9[ORDEN No.],Tabla3[[#This Row],[ORDEN de COMPRA]]),0)</f>
        <v>0</v>
      </c>
      <c r="N500" s="27">
        <f>IFERROR(IF(BD_DETALLE!B500&gt;0,VLOOKUP(BD_DETALLE!B500,Tabla9[],10,0),""),"")</f>
        <v>0</v>
      </c>
      <c r="O500" s="28">
        <f>IFERROR(VLOOKUP(BD_DETALLE!B500,Tabla9[],11,0),0)</f>
        <v>0</v>
      </c>
      <c r="P500" s="26">
        <f>IFERROR(SUMIFS(Tabla9[CANTIDAD3],Tabla9[BUSQUEDA],Tabla3[[#This Row],[BUSQUEDA]],Tabla9[CODIGO],Tabla3[[#This Row],[CODIGO]]),0)</f>
        <v>0</v>
      </c>
      <c r="Q500" s="25">
        <f>IF(BD_DETALLE!P500&lt;=0,0,IF(BD_DETALLE!P500=BD_DETALLE!H500,2,1))</f>
        <v>0</v>
      </c>
      <c r="R500" s="41">
        <f ca="1">IF(BD_DETALLE!$C500&gt;0,(IF(BD_DETALLE!$N500=0,TODAY()-BD_DETALLE!$C500,BD_DETALLE!$N500-BD_DETALLE!$C500)),"")</f>
        <v>27</v>
      </c>
    </row>
    <row r="501" spans="2:18" x14ac:dyDescent="0.25">
      <c r="B501" s="15" t="str">
        <f t="shared" si="54"/>
        <v>2103-225-307560</v>
      </c>
      <c r="C501" s="7">
        <v>44278</v>
      </c>
      <c r="D501" s="5" t="str">
        <f>IF(BD_DETALLE!$E501&gt;=1,CONCATENATE(TEXT(BD_DETALLE!$C501,"YY"),TEXT(BD_DETALLE!$C501,"MM"),"-",BD_DETALLE!$E501),"")</f>
        <v>2103-225</v>
      </c>
      <c r="E501" s="12">
        <v>225</v>
      </c>
      <c r="F501" s="21">
        <v>307560</v>
      </c>
      <c r="G501" s="4" t="str">
        <f>IFERROR(VLOOKUP(BD_DETALLE!$B501,Tabla9[],6,0),"")</f>
        <v>TERMINAL DE OJO P/CABLE 2/0</v>
      </c>
      <c r="H501" s="6">
        <f>IFERROR(VLOOKUP(BD_DETALLE!$B501,Tabla9[],4,0),0)</f>
        <v>12</v>
      </c>
      <c r="I501" s="19" t="s">
        <v>14</v>
      </c>
      <c r="J501" s="20" t="s">
        <v>2135</v>
      </c>
      <c r="K501" s="10">
        <f>IFERROR(VLOOKUP(BD_DETALLE!B501,Tabla9[],7,0),"")</f>
        <v>0</v>
      </c>
      <c r="L501" s="11">
        <f>IFERROR(VLOOKUP(BD_DETALLE!B501,Tabla9[],8,0),"")</f>
        <v>0</v>
      </c>
      <c r="M501" s="9">
        <f>IFERROR(SUMIFS(Tabla9[CANTIDAD2],Tabla9[BUSQUEDA],Tabla3[[#This Row],[BUSQUEDA]],Tabla9[CODIGO],Tabla3[[#This Row],[CODIGO]],Tabla9[ORDEN No.],Tabla3[[#This Row],[ORDEN de COMPRA]]),0)</f>
        <v>0</v>
      </c>
      <c r="N501" s="27">
        <f>IFERROR(IF(BD_DETALLE!B501&gt;0,VLOOKUP(BD_DETALLE!B501,Tabla9[],10,0),""),"")</f>
        <v>0</v>
      </c>
      <c r="O501" s="28">
        <f>IFERROR(VLOOKUP(BD_DETALLE!B501,Tabla9[],11,0),0)</f>
        <v>0</v>
      </c>
      <c r="P501" s="26">
        <f>IFERROR(SUMIFS(Tabla9[CANTIDAD3],Tabla9[BUSQUEDA],Tabla3[[#This Row],[BUSQUEDA]],Tabla9[CODIGO],Tabla3[[#This Row],[CODIGO]]),0)</f>
        <v>0</v>
      </c>
      <c r="Q501" s="25">
        <f>IF(BD_DETALLE!P501&lt;=0,0,IF(BD_DETALLE!P501=BD_DETALLE!H501,2,1))</f>
        <v>0</v>
      </c>
      <c r="R501" s="41">
        <f ca="1">IF(BD_DETALLE!$C501&gt;0,(IF(BD_DETALLE!$N501=0,TODAY()-BD_DETALLE!$C501,BD_DETALLE!$N501-BD_DETALLE!$C501)),"")</f>
        <v>27</v>
      </c>
    </row>
    <row r="502" spans="2:18" x14ac:dyDescent="0.25">
      <c r="B502" s="15" t="str">
        <f t="shared" si="54"/>
        <v>2103-225-302771</v>
      </c>
      <c r="C502" s="7">
        <v>44278</v>
      </c>
      <c r="D502" s="5" t="str">
        <f>IF(BD_DETALLE!$E502&gt;=1,CONCATENATE(TEXT(BD_DETALLE!$C502,"YY"),TEXT(BD_DETALLE!$C502,"MM"),"-",BD_DETALLE!$E502),"")</f>
        <v>2103-225</v>
      </c>
      <c r="E502" s="12">
        <v>225</v>
      </c>
      <c r="F502" s="21">
        <v>302771</v>
      </c>
      <c r="G502" s="4" t="str">
        <f>IFERROR(VLOOKUP(BD_DETALLE!$B502,Tabla9[],6,0),"")</f>
        <v>PERNO CADMIADO DE 3/8" x 1" COMPLETO</v>
      </c>
      <c r="H502" s="6">
        <f>IFERROR(VLOOKUP(BD_DETALLE!$B502,Tabla9[],4,0),0)</f>
        <v>9</v>
      </c>
      <c r="I502" s="19" t="s">
        <v>14</v>
      </c>
      <c r="J502" s="20" t="s">
        <v>2135</v>
      </c>
      <c r="K502" s="10">
        <f>IFERROR(VLOOKUP(BD_DETALLE!B502,Tabla9[],7,0),"")</f>
        <v>0</v>
      </c>
      <c r="L502" s="11">
        <f>IFERROR(VLOOKUP(BD_DETALLE!B502,Tabla9[],8,0),"")</f>
        <v>0</v>
      </c>
      <c r="M502" s="9">
        <f>IFERROR(SUMIFS(Tabla9[CANTIDAD2],Tabla9[BUSQUEDA],Tabla3[[#This Row],[BUSQUEDA]],Tabla9[CODIGO],Tabla3[[#This Row],[CODIGO]],Tabla9[ORDEN No.],Tabla3[[#This Row],[ORDEN de COMPRA]]),0)</f>
        <v>0</v>
      </c>
      <c r="N502" s="27">
        <f>IFERROR(IF(BD_DETALLE!B502&gt;0,VLOOKUP(BD_DETALLE!B502,Tabla9[],10,0),""),"")</f>
        <v>0</v>
      </c>
      <c r="O502" s="28">
        <f>IFERROR(VLOOKUP(BD_DETALLE!B502,Tabla9[],11,0),0)</f>
        <v>0</v>
      </c>
      <c r="P502" s="26">
        <f>IFERROR(SUMIFS(Tabla9[CANTIDAD3],Tabla9[BUSQUEDA],Tabla3[[#This Row],[BUSQUEDA]],Tabla9[CODIGO],Tabla3[[#This Row],[CODIGO]]),0)</f>
        <v>0</v>
      </c>
      <c r="Q502" s="25">
        <f>IF(BD_DETALLE!P502&lt;=0,0,IF(BD_DETALLE!P502=BD_DETALLE!H502,2,1))</f>
        <v>0</v>
      </c>
      <c r="R502" s="41">
        <f ca="1">IF(BD_DETALLE!$C502&gt;0,(IF(BD_DETALLE!$N502=0,TODAY()-BD_DETALLE!$C502,BD_DETALLE!$N502-BD_DETALLE!$C502)),"")</f>
        <v>27</v>
      </c>
    </row>
    <row r="503" spans="2:18" x14ac:dyDescent="0.25">
      <c r="B503" s="15" t="str">
        <f t="shared" si="54"/>
        <v>2103-225-204039</v>
      </c>
      <c r="C503" s="7">
        <v>44278</v>
      </c>
      <c r="D503" s="5" t="str">
        <f>IF(BD_DETALLE!$E503&gt;=1,CONCATENATE(TEXT(BD_DETALLE!$C503,"YY"),TEXT(BD_DETALLE!$C503,"MM"),"-",BD_DETALLE!$E503),"")</f>
        <v>2103-225</v>
      </c>
      <c r="E503" s="12">
        <v>225</v>
      </c>
      <c r="F503" s="21">
        <v>204039</v>
      </c>
      <c r="G503" s="4" t="str">
        <f>IFERROR(VLOOKUP(BD_DETALLE!$B503,Tabla9[],6,0),"")</f>
        <v>TRANSFORMADOR DE CORRIENTE 150/5A</v>
      </c>
      <c r="H503" s="6">
        <f>IFERROR(VLOOKUP(BD_DETALLE!$B503,Tabla9[],4,0),0)</f>
        <v>1</v>
      </c>
      <c r="I503" s="19" t="s">
        <v>14</v>
      </c>
      <c r="J503" s="20" t="s">
        <v>2135</v>
      </c>
      <c r="K503" s="10">
        <f>IFERROR(VLOOKUP(BD_DETALLE!B503,Tabla9[],7,0),"")</f>
        <v>0</v>
      </c>
      <c r="L503" s="11">
        <f>IFERROR(VLOOKUP(BD_DETALLE!B503,Tabla9[],8,0),"")</f>
        <v>0</v>
      </c>
      <c r="M503" s="9">
        <f>IFERROR(SUMIFS(Tabla9[CANTIDAD2],Tabla9[BUSQUEDA],Tabla3[[#This Row],[BUSQUEDA]],Tabla9[CODIGO],Tabla3[[#This Row],[CODIGO]],Tabla9[ORDEN No.],Tabla3[[#This Row],[ORDEN de COMPRA]]),0)</f>
        <v>0</v>
      </c>
      <c r="N503" s="27">
        <f>IFERROR(IF(BD_DETALLE!B503&gt;0,VLOOKUP(BD_DETALLE!B503,Tabla9[],10,0),""),"")</f>
        <v>0</v>
      </c>
      <c r="O503" s="28">
        <f>IFERROR(VLOOKUP(BD_DETALLE!B503,Tabla9[],11,0),0)</f>
        <v>0</v>
      </c>
      <c r="P503" s="26">
        <f>IFERROR(SUMIFS(Tabla9[CANTIDAD3],Tabla9[BUSQUEDA],Tabla3[[#This Row],[BUSQUEDA]],Tabla9[CODIGO],Tabla3[[#This Row],[CODIGO]]),0)</f>
        <v>0</v>
      </c>
      <c r="Q503" s="25">
        <f>IF(BD_DETALLE!P503&lt;=0,0,IF(BD_DETALLE!P503=BD_DETALLE!H503,2,1))</f>
        <v>0</v>
      </c>
      <c r="R503" s="41">
        <f ca="1">IF(BD_DETALLE!$C503&gt;0,(IF(BD_DETALLE!$N503=0,TODAY()-BD_DETALLE!$C503,BD_DETALLE!$N503-BD_DETALLE!$C503)),"")</f>
        <v>27</v>
      </c>
    </row>
    <row r="504" spans="2:18" x14ac:dyDescent="0.25">
      <c r="B504" s="15" t="str">
        <f t="shared" si="54"/>
        <v>2103-225-304779</v>
      </c>
      <c r="C504" s="7">
        <v>44278</v>
      </c>
      <c r="D504" s="5" t="str">
        <f>IF(BD_DETALLE!$E504&gt;=1,CONCATENATE(TEXT(BD_DETALLE!$C504,"YY"),TEXT(BD_DETALLE!$C504,"MM"),"-",BD_DETALLE!$E504),"")</f>
        <v>2103-225</v>
      </c>
      <c r="E504" s="12">
        <v>225</v>
      </c>
      <c r="F504" s="21">
        <v>304779</v>
      </c>
      <c r="G504" s="4" t="str">
        <f>IFERROR(VLOOKUP(BD_DETALLE!$B504,Tabla9[],6,0),"")</f>
        <v>TERMINALES TIPO OJO PARA CABLE 1/0</v>
      </c>
      <c r="H504" s="6">
        <f>IFERROR(VLOOKUP(BD_DETALLE!$B504,Tabla9[],4,0),0)</f>
        <v>12</v>
      </c>
      <c r="I504" s="19" t="s">
        <v>14</v>
      </c>
      <c r="J504" s="20" t="s">
        <v>2135</v>
      </c>
      <c r="K504" s="10">
        <f>IFERROR(VLOOKUP(BD_DETALLE!B504,Tabla9[],7,0),"")</f>
        <v>0</v>
      </c>
      <c r="L504" s="11">
        <f>IFERROR(VLOOKUP(BD_DETALLE!B504,Tabla9[],8,0),"")</f>
        <v>0</v>
      </c>
      <c r="M504" s="9">
        <f>IFERROR(SUMIFS(Tabla9[CANTIDAD2],Tabla9[BUSQUEDA],Tabla3[[#This Row],[BUSQUEDA]],Tabla9[CODIGO],Tabla3[[#This Row],[CODIGO]],Tabla9[ORDEN No.],Tabla3[[#This Row],[ORDEN de COMPRA]]),0)</f>
        <v>0</v>
      </c>
      <c r="N504" s="27">
        <f>IFERROR(IF(BD_DETALLE!B504&gt;0,VLOOKUP(BD_DETALLE!B504,Tabla9[],10,0),""),"")</f>
        <v>0</v>
      </c>
      <c r="O504" s="28">
        <f>IFERROR(VLOOKUP(BD_DETALLE!B504,Tabla9[],11,0),0)</f>
        <v>0</v>
      </c>
      <c r="P504" s="26">
        <f>IFERROR(SUMIFS(Tabla9[CANTIDAD3],Tabla9[BUSQUEDA],Tabla3[[#This Row],[BUSQUEDA]],Tabla9[CODIGO],Tabla3[[#This Row],[CODIGO]]),0)</f>
        <v>0</v>
      </c>
      <c r="Q504" s="25">
        <f>IF(BD_DETALLE!P504&lt;=0,0,IF(BD_DETALLE!P504=BD_DETALLE!H504,2,1))</f>
        <v>0</v>
      </c>
      <c r="R504" s="41">
        <f ca="1">IF(BD_DETALLE!$C504&gt;0,(IF(BD_DETALLE!$N504=0,TODAY()-BD_DETALLE!$C504,BD_DETALLE!$N504-BD_DETALLE!$C504)),"")</f>
        <v>27</v>
      </c>
    </row>
    <row r="505" spans="2:18" x14ac:dyDescent="0.25">
      <c r="B505" s="15" t="str">
        <f t="shared" si="54"/>
        <v>2103-225-305178</v>
      </c>
      <c r="C505" s="7">
        <v>44278</v>
      </c>
      <c r="D505" s="5" t="str">
        <f>IF(BD_DETALLE!$E505&gt;=1,CONCATENATE(TEXT(BD_DETALLE!$C505,"YY"),TEXT(BD_DETALLE!$C505,"MM"),"-",BD_DETALLE!$E505),"")</f>
        <v>2103-225</v>
      </c>
      <c r="E505" s="12">
        <v>225</v>
      </c>
      <c r="F505" s="21">
        <v>305178</v>
      </c>
      <c r="G505" s="4" t="str">
        <f>IFERROR(VLOOKUP(BD_DETALLE!$B505,Tabla9[],6,0),"")</f>
        <v>TUBO DE EMT DE 2"</v>
      </c>
      <c r="H505" s="6">
        <f>IFERROR(VLOOKUP(BD_DETALLE!$B505,Tabla9[],4,0),0)</f>
        <v>3</v>
      </c>
      <c r="I505" s="19" t="s">
        <v>14</v>
      </c>
      <c r="J505" s="20" t="s">
        <v>2135</v>
      </c>
      <c r="K505" s="10">
        <f>IFERROR(VLOOKUP(BD_DETALLE!B505,Tabla9[],7,0),"")</f>
        <v>0</v>
      </c>
      <c r="L505" s="11">
        <f>IFERROR(VLOOKUP(BD_DETALLE!B505,Tabla9[],8,0),"")</f>
        <v>0</v>
      </c>
      <c r="M505" s="9">
        <f>IFERROR(SUMIFS(Tabla9[CANTIDAD2],Tabla9[BUSQUEDA],Tabla3[[#This Row],[BUSQUEDA]],Tabla9[CODIGO],Tabla3[[#This Row],[CODIGO]],Tabla9[ORDEN No.],Tabla3[[#This Row],[ORDEN de COMPRA]]),0)</f>
        <v>0</v>
      </c>
      <c r="N505" s="27">
        <f>IFERROR(IF(BD_DETALLE!B505&gt;0,VLOOKUP(BD_DETALLE!B505,Tabla9[],10,0),""),"")</f>
        <v>0</v>
      </c>
      <c r="O505" s="28">
        <f>IFERROR(VLOOKUP(BD_DETALLE!B505,Tabla9[],11,0),0)</f>
        <v>0</v>
      </c>
      <c r="P505" s="26">
        <f>IFERROR(SUMIFS(Tabla9[CANTIDAD3],Tabla9[BUSQUEDA],Tabla3[[#This Row],[BUSQUEDA]],Tabla9[CODIGO],Tabla3[[#This Row],[CODIGO]]),0)</f>
        <v>0</v>
      </c>
      <c r="Q505" s="25">
        <f>IF(BD_DETALLE!P505&lt;=0,0,IF(BD_DETALLE!P505=BD_DETALLE!H505,2,1))</f>
        <v>0</v>
      </c>
      <c r="R505" s="41">
        <f ca="1">IF(BD_DETALLE!$C505&gt;0,(IF(BD_DETALLE!$N505=0,TODAY()-BD_DETALLE!$C505,BD_DETALLE!$N505-BD_DETALLE!$C505)),"")</f>
        <v>27</v>
      </c>
    </row>
    <row r="506" spans="2:18" x14ac:dyDescent="0.25">
      <c r="B506" s="15" t="str">
        <f t="shared" si="54"/>
        <v>2103-225-302338</v>
      </c>
      <c r="C506" s="7">
        <v>44278</v>
      </c>
      <c r="D506" s="5" t="str">
        <f>IF(BD_DETALLE!$E506&gt;=1,CONCATENATE(TEXT(BD_DETALLE!$C506,"YY"),TEXT(BD_DETALLE!$C506,"MM"),"-",BD_DETALLE!$E506),"")</f>
        <v>2103-225</v>
      </c>
      <c r="E506" s="12">
        <v>225</v>
      </c>
      <c r="F506" s="21">
        <v>302338</v>
      </c>
      <c r="G506" s="4" t="str">
        <f>IFERROR(VLOOKUP(BD_DETALLE!$B506,Tabla9[],6,0),"")</f>
        <v>CONECTOR EMT DE 2"</v>
      </c>
      <c r="H506" s="6">
        <f>IFERROR(VLOOKUP(BD_DETALLE!$B506,Tabla9[],4,0),0)</f>
        <v>4</v>
      </c>
      <c r="I506" s="19" t="s">
        <v>14</v>
      </c>
      <c r="J506" s="20" t="s">
        <v>2135</v>
      </c>
      <c r="K506" s="10">
        <f>IFERROR(VLOOKUP(BD_DETALLE!B506,Tabla9[],7,0),"")</f>
        <v>0</v>
      </c>
      <c r="L506" s="11">
        <f>IFERROR(VLOOKUP(BD_DETALLE!B506,Tabla9[],8,0),"")</f>
        <v>0</v>
      </c>
      <c r="M506" s="9">
        <f>IFERROR(SUMIFS(Tabla9[CANTIDAD2],Tabla9[BUSQUEDA],Tabla3[[#This Row],[BUSQUEDA]],Tabla9[CODIGO],Tabla3[[#This Row],[CODIGO]],Tabla9[ORDEN No.],Tabla3[[#This Row],[ORDEN de COMPRA]]),0)</f>
        <v>0</v>
      </c>
      <c r="N506" s="27">
        <f>IFERROR(IF(BD_DETALLE!B506&gt;0,VLOOKUP(BD_DETALLE!B506,Tabla9[],10,0),""),"")</f>
        <v>0</v>
      </c>
      <c r="O506" s="28">
        <f>IFERROR(VLOOKUP(BD_DETALLE!B506,Tabla9[],11,0),0)</f>
        <v>0</v>
      </c>
      <c r="P506" s="26">
        <f>IFERROR(SUMIFS(Tabla9[CANTIDAD3],Tabla9[BUSQUEDA],Tabla3[[#This Row],[BUSQUEDA]],Tabla9[CODIGO],Tabla3[[#This Row],[CODIGO]]),0)</f>
        <v>0</v>
      </c>
      <c r="Q506" s="25">
        <f>IF(BD_DETALLE!P506&lt;=0,0,IF(BD_DETALLE!P506=BD_DETALLE!H506,2,1))</f>
        <v>0</v>
      </c>
      <c r="R506" s="41">
        <f ca="1">IF(BD_DETALLE!$C506&gt;0,(IF(BD_DETALLE!$N506=0,TODAY()-BD_DETALLE!$C506,BD_DETALLE!$N506-BD_DETALLE!$C506)),"")</f>
        <v>27</v>
      </c>
    </row>
    <row r="507" spans="2:18" x14ac:dyDescent="0.25">
      <c r="B507" s="15" t="str">
        <f t="shared" si="54"/>
        <v>2103-225-315745</v>
      </c>
      <c r="C507" s="7">
        <v>44278</v>
      </c>
      <c r="D507" s="5" t="str">
        <f>IF(BD_DETALLE!$E507&gt;=1,CONCATENATE(TEXT(BD_DETALLE!$C507,"YY"),TEXT(BD_DETALLE!$C507,"MM"),"-",BD_DETALLE!$E507),"")</f>
        <v>2103-225</v>
      </c>
      <c r="E507" s="12">
        <v>225</v>
      </c>
      <c r="F507" s="21">
        <v>315745</v>
      </c>
      <c r="G507" s="4" t="str">
        <f>IFERROR(VLOOKUP(BD_DETALLE!$B507,Tabla9[],6,0),"")</f>
        <v>RIEL CHANEL</v>
      </c>
      <c r="H507" s="6">
        <f>IFERROR(VLOOKUP(BD_DETALLE!$B507,Tabla9[],4,0),0)</f>
        <v>4</v>
      </c>
      <c r="I507" s="19" t="s">
        <v>14</v>
      </c>
      <c r="J507" s="20" t="s">
        <v>2135</v>
      </c>
      <c r="K507" s="10">
        <f>IFERROR(VLOOKUP(BD_DETALLE!B507,Tabla9[],7,0),"")</f>
        <v>0</v>
      </c>
      <c r="L507" s="11">
        <f>IFERROR(VLOOKUP(BD_DETALLE!B507,Tabla9[],8,0),"")</f>
        <v>0</v>
      </c>
      <c r="M507" s="9">
        <f>IFERROR(SUMIFS(Tabla9[CANTIDAD2],Tabla9[BUSQUEDA],Tabla3[[#This Row],[BUSQUEDA]],Tabla9[CODIGO],Tabla3[[#This Row],[CODIGO]],Tabla9[ORDEN No.],Tabla3[[#This Row],[ORDEN de COMPRA]]),0)</f>
        <v>0</v>
      </c>
      <c r="N507" s="27">
        <f>IFERROR(IF(BD_DETALLE!B507&gt;0,VLOOKUP(BD_DETALLE!B507,Tabla9[],10,0),""),"")</f>
        <v>0</v>
      </c>
      <c r="O507" s="28">
        <f>IFERROR(VLOOKUP(BD_DETALLE!B507,Tabla9[],11,0),0)</f>
        <v>0</v>
      </c>
      <c r="P507" s="26">
        <f>IFERROR(SUMIFS(Tabla9[CANTIDAD3],Tabla9[BUSQUEDA],Tabla3[[#This Row],[BUSQUEDA]],Tabla9[CODIGO],Tabla3[[#This Row],[CODIGO]]),0)</f>
        <v>0</v>
      </c>
      <c r="Q507" s="25">
        <f>IF(BD_DETALLE!P507&lt;=0,0,IF(BD_DETALLE!P507=BD_DETALLE!H507,2,1))</f>
        <v>0</v>
      </c>
      <c r="R507" s="41">
        <f ca="1">IF(BD_DETALLE!$C507&gt;0,(IF(BD_DETALLE!$N507=0,TODAY()-BD_DETALLE!$C507,BD_DETALLE!$N507-BD_DETALLE!$C507)),"")</f>
        <v>27</v>
      </c>
    </row>
    <row r="508" spans="2:18" x14ac:dyDescent="0.25">
      <c r="B508" s="15" t="str">
        <f t="shared" si="54"/>
        <v>2103-225-303398</v>
      </c>
      <c r="C508" s="7">
        <v>44278</v>
      </c>
      <c r="D508" s="5" t="str">
        <f>IF(BD_DETALLE!$E508&gt;=1,CONCATENATE(TEXT(BD_DETALLE!$C508,"YY"),TEXT(BD_DETALLE!$C508,"MM"),"-",BD_DETALLE!$E508),"")</f>
        <v>2103-225</v>
      </c>
      <c r="E508" s="12">
        <v>225</v>
      </c>
      <c r="F508" s="21">
        <v>303398</v>
      </c>
      <c r="G508" s="4" t="str">
        <f>IFERROR(VLOOKUP(BD_DETALLE!$B508,Tabla9[],6,0),"")</f>
        <v>CABLE CONCENTRICO 2 x 16</v>
      </c>
      <c r="H508" s="6">
        <f>IFERROR(VLOOKUP(BD_DETALLE!$B508,Tabla9[],4,0),0)</f>
        <v>150</v>
      </c>
      <c r="I508" s="19" t="s">
        <v>14</v>
      </c>
      <c r="J508" s="20" t="s">
        <v>2135</v>
      </c>
      <c r="K508" s="10">
        <f>IFERROR(VLOOKUP(BD_DETALLE!B508,Tabla9[],7,0),"")</f>
        <v>0</v>
      </c>
      <c r="L508" s="11">
        <f>IFERROR(VLOOKUP(BD_DETALLE!B508,Tabla9[],8,0),"")</f>
        <v>0</v>
      </c>
      <c r="M508" s="9">
        <f>IFERROR(SUMIFS(Tabla9[CANTIDAD2],Tabla9[BUSQUEDA],Tabla3[[#This Row],[BUSQUEDA]],Tabla9[CODIGO],Tabla3[[#This Row],[CODIGO]],Tabla9[ORDEN No.],Tabla3[[#This Row],[ORDEN de COMPRA]]),0)</f>
        <v>0</v>
      </c>
      <c r="N508" s="27">
        <f>IFERROR(IF(BD_DETALLE!B508&gt;0,VLOOKUP(BD_DETALLE!B508,Tabla9[],10,0),""),"")</f>
        <v>0</v>
      </c>
      <c r="O508" s="28">
        <f>IFERROR(VLOOKUP(BD_DETALLE!B508,Tabla9[],11,0),0)</f>
        <v>0</v>
      </c>
      <c r="P508" s="26">
        <f>IFERROR(SUMIFS(Tabla9[CANTIDAD3],Tabla9[BUSQUEDA],Tabla3[[#This Row],[BUSQUEDA]],Tabla9[CODIGO],Tabla3[[#This Row],[CODIGO]]),0)</f>
        <v>0</v>
      </c>
      <c r="Q508" s="25">
        <f>IF(BD_DETALLE!P508&lt;=0,0,IF(BD_DETALLE!P508=BD_DETALLE!H508,2,1))</f>
        <v>0</v>
      </c>
      <c r="R508" s="41">
        <f ca="1">IF(BD_DETALLE!$C508&gt;0,(IF(BD_DETALLE!$N508=0,TODAY()-BD_DETALLE!$C508,BD_DETALLE!$N508-BD_DETALLE!$C508)),"")</f>
        <v>27</v>
      </c>
    </row>
    <row r="509" spans="2:18" x14ac:dyDescent="0.25">
      <c r="B509" s="15" t="str">
        <f t="shared" si="54"/>
        <v>2103-225-204410</v>
      </c>
      <c r="C509" s="7">
        <v>44278</v>
      </c>
      <c r="D509" s="5" t="str">
        <f>IF(BD_DETALLE!$E509&gt;=1,CONCATENATE(TEXT(BD_DETALLE!$C509,"YY"),TEXT(BD_DETALLE!$C509,"MM"),"-",BD_DETALLE!$E509),"")</f>
        <v>2103-225</v>
      </c>
      <c r="E509" s="12">
        <v>225</v>
      </c>
      <c r="F509" s="21">
        <v>204410</v>
      </c>
      <c r="G509" s="4" t="str">
        <f>IFERROR(VLOOKUP(BD_DETALLE!$B509,Tabla9[],6,0),"")</f>
        <v>TUBO EMT DE 3/4" x 3MTS</v>
      </c>
      <c r="H509" s="6">
        <f>IFERROR(VLOOKUP(BD_DETALLE!$B509,Tabla9[],4,0),0)</f>
        <v>2</v>
      </c>
      <c r="I509" s="19" t="s">
        <v>14</v>
      </c>
      <c r="J509" s="20" t="s">
        <v>2135</v>
      </c>
      <c r="K509" s="10">
        <f>IFERROR(VLOOKUP(BD_DETALLE!B509,Tabla9[],7,0),"")</f>
        <v>0</v>
      </c>
      <c r="L509" s="11">
        <f>IFERROR(VLOOKUP(BD_DETALLE!B509,Tabla9[],8,0),"")</f>
        <v>0</v>
      </c>
      <c r="M509" s="9">
        <f>IFERROR(SUMIFS(Tabla9[CANTIDAD2],Tabla9[BUSQUEDA],Tabla3[[#This Row],[BUSQUEDA]],Tabla9[CODIGO],Tabla3[[#This Row],[CODIGO]],Tabla9[ORDEN No.],Tabla3[[#This Row],[ORDEN de COMPRA]]),0)</f>
        <v>0</v>
      </c>
      <c r="N509" s="27">
        <f>IFERROR(IF(BD_DETALLE!B509&gt;0,VLOOKUP(BD_DETALLE!B509,Tabla9[],10,0),""),"")</f>
        <v>0</v>
      </c>
      <c r="O509" s="28">
        <f>IFERROR(VLOOKUP(BD_DETALLE!B509,Tabla9[],11,0),0)</f>
        <v>0</v>
      </c>
      <c r="P509" s="26">
        <f>IFERROR(SUMIFS(Tabla9[CANTIDAD3],Tabla9[BUSQUEDA],Tabla3[[#This Row],[BUSQUEDA]],Tabla9[CODIGO],Tabla3[[#This Row],[CODIGO]]),0)</f>
        <v>0</v>
      </c>
      <c r="Q509" s="25">
        <f>IF(BD_DETALLE!P509&lt;=0,0,IF(BD_DETALLE!P509=BD_DETALLE!H509,2,1))</f>
        <v>0</v>
      </c>
      <c r="R509" s="41">
        <f ca="1">IF(BD_DETALLE!$C509&gt;0,(IF(BD_DETALLE!$N509=0,TODAY()-BD_DETALLE!$C509,BD_DETALLE!$N509-BD_DETALLE!$C509)),"")</f>
        <v>27</v>
      </c>
    </row>
    <row r="510" spans="2:18" x14ac:dyDescent="0.25">
      <c r="B510" s="15" t="str">
        <f t="shared" ref="B510:B547" si="55">IFERROR(TEXT(C510,"yy") &amp; TEXT(C510,"mm") &amp;"-"&amp;(E510) &amp;"-"&amp;(F510),"")</f>
        <v>2103-225-300915</v>
      </c>
      <c r="C510" s="7">
        <v>44278</v>
      </c>
      <c r="D510" s="5" t="str">
        <f>IF(BD_DETALLE!$E510&gt;=1,CONCATENATE(TEXT(BD_DETALLE!$C510,"YY"),TEXT(BD_DETALLE!$C510,"MM"),"-",BD_DETALLE!$E510),"")</f>
        <v>2103-225</v>
      </c>
      <c r="E510" s="12">
        <v>225</v>
      </c>
      <c r="F510" s="21">
        <v>300915</v>
      </c>
      <c r="G510" s="4" t="str">
        <f>IFERROR(VLOOKUP(BD_DETALLE!$B510,Tabla9[],6,0),"")</f>
        <v>TUBO EMT DE 1/2" x 3MTR</v>
      </c>
      <c r="H510" s="6">
        <f>IFERROR(VLOOKUP(BD_DETALLE!$B510,Tabla9[],4,0),0)</f>
        <v>1</v>
      </c>
      <c r="I510" s="19" t="s">
        <v>14</v>
      </c>
      <c r="J510" s="20" t="s">
        <v>2135</v>
      </c>
      <c r="K510" s="10">
        <f>IFERROR(VLOOKUP(BD_DETALLE!B510,Tabla9[],7,0),"")</f>
        <v>0</v>
      </c>
      <c r="L510" s="11">
        <f>IFERROR(VLOOKUP(BD_DETALLE!B510,Tabla9[],8,0),"")</f>
        <v>0</v>
      </c>
      <c r="M510" s="9">
        <f>IFERROR(SUMIFS(Tabla9[CANTIDAD2],Tabla9[BUSQUEDA],Tabla3[[#This Row],[BUSQUEDA]],Tabla9[CODIGO],Tabla3[[#This Row],[CODIGO]],Tabla9[ORDEN No.],Tabla3[[#This Row],[ORDEN de COMPRA]]),0)</f>
        <v>0</v>
      </c>
      <c r="N510" s="27">
        <f>IFERROR(IF(BD_DETALLE!B510&gt;0,VLOOKUP(BD_DETALLE!B510,Tabla9[],10,0),""),"")</f>
        <v>0</v>
      </c>
      <c r="O510" s="28">
        <f>IFERROR(VLOOKUP(BD_DETALLE!B510,Tabla9[],11,0),0)</f>
        <v>0</v>
      </c>
      <c r="P510" s="26">
        <f>IFERROR(SUMIFS(Tabla9[CANTIDAD3],Tabla9[BUSQUEDA],Tabla3[[#This Row],[BUSQUEDA]],Tabla9[CODIGO],Tabla3[[#This Row],[CODIGO]]),0)</f>
        <v>0</v>
      </c>
      <c r="Q510" s="25">
        <f>IF(BD_DETALLE!P510&lt;=0,0,IF(BD_DETALLE!P510=BD_DETALLE!H510,2,1))</f>
        <v>0</v>
      </c>
      <c r="R510" s="41">
        <f ca="1">IF(BD_DETALLE!$C510&gt;0,(IF(BD_DETALLE!$N510=0,TODAY()-BD_DETALLE!$C510,BD_DETALLE!$N510-BD_DETALLE!$C510)),"")</f>
        <v>27</v>
      </c>
    </row>
    <row r="511" spans="2:18" x14ac:dyDescent="0.25">
      <c r="B511" s="15" t="str">
        <f t="shared" si="55"/>
        <v>2103-225-302525</v>
      </c>
      <c r="C511" s="7">
        <v>44278</v>
      </c>
      <c r="D511" s="5" t="str">
        <f>IF(BD_DETALLE!$E511&gt;=1,CONCATENATE(TEXT(BD_DETALLE!$C511,"YY"),TEXT(BD_DETALLE!$C511,"MM"),"-",BD_DETALLE!$E511),"")</f>
        <v>2103-225</v>
      </c>
      <c r="E511" s="12">
        <v>225</v>
      </c>
      <c r="F511" s="21">
        <v>302525</v>
      </c>
      <c r="G511" s="4" t="str">
        <f>IFERROR(VLOOKUP(BD_DETALLE!$B511,Tabla9[],6,0),"")</f>
        <v>CONDULEC TIPO T DE 3/4"</v>
      </c>
      <c r="H511" s="6">
        <f>IFERROR(VLOOKUP(BD_DETALLE!$B511,Tabla9[],4,0),0)</f>
        <v>1</v>
      </c>
      <c r="I511" s="19" t="s">
        <v>14</v>
      </c>
      <c r="J511" s="20" t="s">
        <v>2135</v>
      </c>
      <c r="K511" s="10">
        <f>IFERROR(VLOOKUP(BD_DETALLE!B511,Tabla9[],7,0),"")</f>
        <v>0</v>
      </c>
      <c r="L511" s="11">
        <f>IFERROR(VLOOKUP(BD_DETALLE!B511,Tabla9[],8,0),"")</f>
        <v>0</v>
      </c>
      <c r="M511" s="9">
        <f>IFERROR(SUMIFS(Tabla9[CANTIDAD2],Tabla9[BUSQUEDA],Tabla3[[#This Row],[BUSQUEDA]],Tabla9[CODIGO],Tabla3[[#This Row],[CODIGO]],Tabla9[ORDEN No.],Tabla3[[#This Row],[ORDEN de COMPRA]]),0)</f>
        <v>0</v>
      </c>
      <c r="N511" s="27">
        <f>IFERROR(IF(BD_DETALLE!B511&gt;0,VLOOKUP(BD_DETALLE!B511,Tabla9[],10,0),""),"")</f>
        <v>0</v>
      </c>
      <c r="O511" s="28">
        <f>IFERROR(VLOOKUP(BD_DETALLE!B511,Tabla9[],11,0),0)</f>
        <v>0</v>
      </c>
      <c r="P511" s="26">
        <f>IFERROR(SUMIFS(Tabla9[CANTIDAD3],Tabla9[BUSQUEDA],Tabla3[[#This Row],[BUSQUEDA]],Tabla9[CODIGO],Tabla3[[#This Row],[CODIGO]]),0)</f>
        <v>0</v>
      </c>
      <c r="Q511" s="25">
        <f>IF(BD_DETALLE!P511&lt;=0,0,IF(BD_DETALLE!P511=BD_DETALLE!H511,2,1))</f>
        <v>0</v>
      </c>
      <c r="R511" s="41">
        <f ca="1">IF(BD_DETALLE!$C511&gt;0,(IF(BD_DETALLE!$N511=0,TODAY()-BD_DETALLE!$C511,BD_DETALLE!$N511-BD_DETALLE!$C511)),"")</f>
        <v>27</v>
      </c>
    </row>
    <row r="512" spans="2:18" x14ac:dyDescent="0.25">
      <c r="B512" s="15" t="str">
        <f t="shared" si="55"/>
        <v>2103-225-202691</v>
      </c>
      <c r="C512" s="7">
        <v>44278</v>
      </c>
      <c r="D512" s="5" t="str">
        <f>IF(BD_DETALLE!$E512&gt;=1,CONCATENATE(TEXT(BD_DETALLE!$C512,"YY"),TEXT(BD_DETALLE!$C512,"MM"),"-",BD_DETALLE!$E512),"")</f>
        <v>2103-225</v>
      </c>
      <c r="E512" s="12">
        <v>225</v>
      </c>
      <c r="F512" s="21">
        <v>202691</v>
      </c>
      <c r="G512" s="4" t="str">
        <f>IFERROR(VLOOKUP(BD_DETALLE!$B512,Tabla9[],6,0),"")</f>
        <v>CONECTOR  EMT  3/4"</v>
      </c>
      <c r="H512" s="6">
        <f>IFERROR(VLOOKUP(BD_DETALLE!$B512,Tabla9[],4,0),0)</f>
        <v>2</v>
      </c>
      <c r="I512" s="19" t="s">
        <v>14</v>
      </c>
      <c r="J512" s="20" t="s">
        <v>2135</v>
      </c>
      <c r="K512" s="10">
        <f>IFERROR(VLOOKUP(BD_DETALLE!B512,Tabla9[],7,0),"")</f>
        <v>0</v>
      </c>
      <c r="L512" s="11">
        <f>IFERROR(VLOOKUP(BD_DETALLE!B512,Tabla9[],8,0),"")</f>
        <v>0</v>
      </c>
      <c r="M512" s="9">
        <f>IFERROR(SUMIFS(Tabla9[CANTIDAD2],Tabla9[BUSQUEDA],Tabla3[[#This Row],[BUSQUEDA]],Tabla9[CODIGO],Tabla3[[#This Row],[CODIGO]],Tabla9[ORDEN No.],Tabla3[[#This Row],[ORDEN de COMPRA]]),0)</f>
        <v>0</v>
      </c>
      <c r="N512" s="27">
        <f>IFERROR(IF(BD_DETALLE!B512&gt;0,VLOOKUP(BD_DETALLE!B512,Tabla9[],10,0),""),"")</f>
        <v>0</v>
      </c>
      <c r="O512" s="28">
        <f>IFERROR(VLOOKUP(BD_DETALLE!B512,Tabla9[],11,0),0)</f>
        <v>0</v>
      </c>
      <c r="P512" s="26">
        <f>IFERROR(SUMIFS(Tabla9[CANTIDAD3],Tabla9[BUSQUEDA],Tabla3[[#This Row],[BUSQUEDA]],Tabla9[CODIGO],Tabla3[[#This Row],[CODIGO]]),0)</f>
        <v>0</v>
      </c>
      <c r="Q512" s="25">
        <f>IF(BD_DETALLE!P512&lt;=0,0,IF(BD_DETALLE!P512=BD_DETALLE!H512,2,1))</f>
        <v>0</v>
      </c>
      <c r="R512" s="41">
        <f ca="1">IF(BD_DETALLE!$C512&gt;0,(IF(BD_DETALLE!$N512=0,TODAY()-BD_DETALLE!$C512,BD_DETALLE!$N512-BD_DETALLE!$C512)),"")</f>
        <v>27</v>
      </c>
    </row>
    <row r="513" spans="2:18" x14ac:dyDescent="0.25">
      <c r="B513" s="15" t="str">
        <f t="shared" si="55"/>
        <v>2103-225-301712</v>
      </c>
      <c r="C513" s="7">
        <v>44278</v>
      </c>
      <c r="D513" s="5" t="str">
        <f>IF(BD_DETALLE!$E513&gt;=1,CONCATENATE(TEXT(BD_DETALLE!$C513,"YY"),TEXT(BD_DETALLE!$C513,"MM"),"-",BD_DETALLE!$E513),"")</f>
        <v>2103-225</v>
      </c>
      <c r="E513" s="12">
        <v>225</v>
      </c>
      <c r="F513" s="21">
        <v>301712</v>
      </c>
      <c r="G513" s="4" t="str">
        <f>IFERROR(VLOOKUP(BD_DETALLE!$B513,Tabla9[],6,0),"")</f>
        <v>CONECTOR EMT DE 1/2"</v>
      </c>
      <c r="H513" s="6">
        <f>IFERROR(VLOOKUP(BD_DETALLE!$B513,Tabla9[],4,0),0)</f>
        <v>2</v>
      </c>
      <c r="I513" s="19" t="s">
        <v>14</v>
      </c>
      <c r="J513" s="20" t="s">
        <v>2135</v>
      </c>
      <c r="K513" s="10">
        <f>IFERROR(VLOOKUP(BD_DETALLE!B513,Tabla9[],7,0),"")</f>
        <v>0</v>
      </c>
      <c r="L513" s="11">
        <f>IFERROR(VLOOKUP(BD_DETALLE!B513,Tabla9[],8,0),"")</f>
        <v>0</v>
      </c>
      <c r="M513" s="9">
        <f>IFERROR(SUMIFS(Tabla9[CANTIDAD2],Tabla9[BUSQUEDA],Tabla3[[#This Row],[BUSQUEDA]],Tabla9[CODIGO],Tabla3[[#This Row],[CODIGO]],Tabla9[ORDEN No.],Tabla3[[#This Row],[ORDEN de COMPRA]]),0)</f>
        <v>0</v>
      </c>
      <c r="N513" s="27">
        <f>IFERROR(IF(BD_DETALLE!B513&gt;0,VLOOKUP(BD_DETALLE!B513,Tabla9[],10,0),""),"")</f>
        <v>0</v>
      </c>
      <c r="O513" s="28">
        <f>IFERROR(VLOOKUP(BD_DETALLE!B513,Tabla9[],11,0),0)</f>
        <v>0</v>
      </c>
      <c r="P513" s="26">
        <f>IFERROR(SUMIFS(Tabla9[CANTIDAD3],Tabla9[BUSQUEDA],Tabla3[[#This Row],[BUSQUEDA]],Tabla9[CODIGO],Tabla3[[#This Row],[CODIGO]]),0)</f>
        <v>0</v>
      </c>
      <c r="Q513" s="25">
        <f>IF(BD_DETALLE!P513&lt;=0,0,IF(BD_DETALLE!P513=BD_DETALLE!H513,2,1))</f>
        <v>0</v>
      </c>
      <c r="R513" s="41">
        <f ca="1">IF(BD_DETALLE!$C513&gt;0,(IF(BD_DETALLE!$N513=0,TODAY()-BD_DETALLE!$C513,BD_DETALLE!$N513-BD_DETALLE!$C513)),"")</f>
        <v>27</v>
      </c>
    </row>
    <row r="514" spans="2:18" x14ac:dyDescent="0.25">
      <c r="B514" s="15" t="str">
        <f t="shared" si="55"/>
        <v>2103-225-307067</v>
      </c>
      <c r="C514" s="7">
        <v>44278</v>
      </c>
      <c r="D514" s="5" t="str">
        <f>IF(BD_DETALLE!$E514&gt;=1,CONCATENATE(TEXT(BD_DETALLE!$C514,"YY"),TEXT(BD_DETALLE!$C514,"MM"),"-",BD_DETALLE!$E514),"")</f>
        <v>2103-225</v>
      </c>
      <c r="E514" s="12">
        <v>225</v>
      </c>
      <c r="F514" s="21">
        <v>307067</v>
      </c>
      <c r="G514" s="4" t="str">
        <f>IFERROR(VLOOKUP(BD_DETALLE!$B514,Tabla9[],6,0),"")</f>
        <v>PRESOSTOPA DE 1/2"</v>
      </c>
      <c r="H514" s="6">
        <f>IFERROR(VLOOKUP(BD_DETALLE!$B514,Tabla9[],4,0),0)</f>
        <v>5</v>
      </c>
      <c r="I514" s="19" t="s">
        <v>14</v>
      </c>
      <c r="J514" s="20" t="s">
        <v>2135</v>
      </c>
      <c r="K514" s="10">
        <f>IFERROR(VLOOKUP(BD_DETALLE!B514,Tabla9[],7,0),"")</f>
        <v>0</v>
      </c>
      <c r="L514" s="11">
        <f>IFERROR(VLOOKUP(BD_DETALLE!B514,Tabla9[],8,0),"")</f>
        <v>0</v>
      </c>
      <c r="M514" s="9">
        <f>IFERROR(SUMIFS(Tabla9[CANTIDAD2],Tabla9[BUSQUEDA],Tabla3[[#This Row],[BUSQUEDA]],Tabla9[CODIGO],Tabla3[[#This Row],[CODIGO]],Tabla9[ORDEN No.],Tabla3[[#This Row],[ORDEN de COMPRA]]),0)</f>
        <v>0</v>
      </c>
      <c r="N514" s="27">
        <f>IFERROR(IF(BD_DETALLE!B514&gt;0,VLOOKUP(BD_DETALLE!B514,Tabla9[],10,0),""),"")</f>
        <v>0</v>
      </c>
      <c r="O514" s="28">
        <f>IFERROR(VLOOKUP(BD_DETALLE!B514,Tabla9[],11,0),0)</f>
        <v>0</v>
      </c>
      <c r="P514" s="26">
        <f>IFERROR(SUMIFS(Tabla9[CANTIDAD3],Tabla9[BUSQUEDA],Tabla3[[#This Row],[BUSQUEDA]],Tabla9[CODIGO],Tabla3[[#This Row],[CODIGO]]),0)</f>
        <v>0</v>
      </c>
      <c r="Q514" s="25">
        <f>IF(BD_DETALLE!P514&lt;=0,0,IF(BD_DETALLE!P514=BD_DETALLE!H514,2,1))</f>
        <v>0</v>
      </c>
      <c r="R514" s="41">
        <f ca="1">IF(BD_DETALLE!$C514&gt;0,(IF(BD_DETALLE!$N514=0,TODAY()-BD_DETALLE!$C514,BD_DETALLE!$N514-BD_DETALLE!$C514)),"")</f>
        <v>27</v>
      </c>
    </row>
    <row r="515" spans="2:18" x14ac:dyDescent="0.25">
      <c r="B515" s="15" t="str">
        <f t="shared" si="55"/>
        <v>2103-225-205181</v>
      </c>
      <c r="C515" s="7">
        <v>44278</v>
      </c>
      <c r="D515" s="5" t="str">
        <f>IF(BD_DETALLE!$E515&gt;=1,CONCATENATE(TEXT(BD_DETALLE!$C515,"YY"),TEXT(BD_DETALLE!$C515,"MM"),"-",BD_DETALLE!$E515),"")</f>
        <v>2103-225</v>
      </c>
      <c r="E515" s="12">
        <v>225</v>
      </c>
      <c r="F515" s="21">
        <v>205181</v>
      </c>
      <c r="G515" s="4" t="str">
        <f>IFERROR(VLOOKUP(BD_DETALLE!$B515,Tabla9[],6,0),"")</f>
        <v>REDUCCION EMT DE 3/4" A 1/2"</v>
      </c>
      <c r="H515" s="6">
        <f>IFERROR(VLOOKUP(BD_DETALLE!$B515,Tabla9[],4,0),0)</f>
        <v>2</v>
      </c>
      <c r="I515" s="19" t="s">
        <v>14</v>
      </c>
      <c r="J515" s="20" t="s">
        <v>2135</v>
      </c>
      <c r="K515" s="10">
        <f>IFERROR(VLOOKUP(BD_DETALLE!B515,Tabla9[],7,0),"")</f>
        <v>0</v>
      </c>
      <c r="L515" s="11">
        <f>IFERROR(VLOOKUP(BD_DETALLE!B515,Tabla9[],8,0),"")</f>
        <v>0</v>
      </c>
      <c r="M515" s="9">
        <f>IFERROR(SUMIFS(Tabla9[CANTIDAD2],Tabla9[BUSQUEDA],Tabla3[[#This Row],[BUSQUEDA]],Tabla9[CODIGO],Tabla3[[#This Row],[CODIGO]],Tabla9[ORDEN No.],Tabla3[[#This Row],[ORDEN de COMPRA]]),0)</f>
        <v>0</v>
      </c>
      <c r="N515" s="27">
        <f>IFERROR(IF(BD_DETALLE!B515&gt;0,VLOOKUP(BD_DETALLE!B515,Tabla9[],10,0),""),"")</f>
        <v>0</v>
      </c>
      <c r="O515" s="28">
        <f>IFERROR(VLOOKUP(BD_DETALLE!B515,Tabla9[],11,0),0)</f>
        <v>0</v>
      </c>
      <c r="P515" s="26">
        <f>IFERROR(SUMIFS(Tabla9[CANTIDAD3],Tabla9[BUSQUEDA],Tabla3[[#This Row],[BUSQUEDA]],Tabla9[CODIGO],Tabla3[[#This Row],[CODIGO]]),0)</f>
        <v>0</v>
      </c>
      <c r="Q515" s="25">
        <f>IF(BD_DETALLE!P515&lt;=0,0,IF(BD_DETALLE!P515=BD_DETALLE!H515,2,1))</f>
        <v>0</v>
      </c>
      <c r="R515" s="41">
        <f ca="1">IF(BD_DETALLE!$C515&gt;0,(IF(BD_DETALLE!$N515=0,TODAY()-BD_DETALLE!$C515,BD_DETALLE!$N515-BD_DETALLE!$C515)),"")</f>
        <v>27</v>
      </c>
    </row>
    <row r="516" spans="2:18" x14ac:dyDescent="0.25">
      <c r="B516" s="15" t="str">
        <f t="shared" si="55"/>
        <v>2103-225-204417</v>
      </c>
      <c r="C516" s="7">
        <v>44278</v>
      </c>
      <c r="D516" s="5" t="str">
        <f>IF(BD_DETALLE!$E516&gt;=1,CONCATENATE(TEXT(BD_DETALLE!$C516,"YY"),TEXT(BD_DETALLE!$C516,"MM"),"-",BD_DETALLE!$E516),"")</f>
        <v>2103-225</v>
      </c>
      <c r="E516" s="12">
        <v>225</v>
      </c>
      <c r="F516" s="21">
        <v>204417</v>
      </c>
      <c r="G516" s="4" t="str">
        <f>IFERROR(VLOOKUP(BD_DETALLE!$B516,Tabla9[],6,0),"")</f>
        <v>ABRAZADERA DE TUBO DE 3/4" PARA CHANEL</v>
      </c>
      <c r="H516" s="6">
        <f>IFERROR(VLOOKUP(BD_DETALLE!$B516,Tabla9[],4,0),0)</f>
        <v>3</v>
      </c>
      <c r="I516" s="19" t="s">
        <v>14</v>
      </c>
      <c r="J516" s="20" t="s">
        <v>2135</v>
      </c>
      <c r="K516" s="10">
        <f>IFERROR(VLOOKUP(BD_DETALLE!B516,Tabla9[],7,0),"")</f>
        <v>0</v>
      </c>
      <c r="L516" s="11">
        <f>IFERROR(VLOOKUP(BD_DETALLE!B516,Tabla9[],8,0),"")</f>
        <v>0</v>
      </c>
      <c r="M516" s="9">
        <f>IFERROR(SUMIFS(Tabla9[CANTIDAD2],Tabla9[BUSQUEDA],Tabla3[[#This Row],[BUSQUEDA]],Tabla9[CODIGO],Tabla3[[#This Row],[CODIGO]],Tabla9[ORDEN No.],Tabla3[[#This Row],[ORDEN de COMPRA]]),0)</f>
        <v>0</v>
      </c>
      <c r="N516" s="27">
        <f>IFERROR(IF(BD_DETALLE!B516&gt;0,VLOOKUP(BD_DETALLE!B516,Tabla9[],10,0),""),"")</f>
        <v>0</v>
      </c>
      <c r="O516" s="28">
        <f>IFERROR(VLOOKUP(BD_DETALLE!B516,Tabla9[],11,0),0)</f>
        <v>0</v>
      </c>
      <c r="P516" s="26">
        <f>IFERROR(SUMIFS(Tabla9[CANTIDAD3],Tabla9[BUSQUEDA],Tabla3[[#This Row],[BUSQUEDA]],Tabla9[CODIGO],Tabla3[[#This Row],[CODIGO]]),0)</f>
        <v>0</v>
      </c>
      <c r="Q516" s="25">
        <f>IF(BD_DETALLE!P516&lt;=0,0,IF(BD_DETALLE!P516=BD_DETALLE!H516,2,1))</f>
        <v>0</v>
      </c>
      <c r="R516" s="41">
        <f ca="1">IF(BD_DETALLE!$C516&gt;0,(IF(BD_DETALLE!$N516=0,TODAY()-BD_DETALLE!$C516,BD_DETALLE!$N516-BD_DETALLE!$C516)),"")</f>
        <v>27</v>
      </c>
    </row>
    <row r="517" spans="2:18" x14ac:dyDescent="0.25">
      <c r="B517" s="15" t="str">
        <f t="shared" si="55"/>
        <v>2103-225-205091</v>
      </c>
      <c r="C517" s="7">
        <v>44278</v>
      </c>
      <c r="D517" s="5" t="str">
        <f>IF(BD_DETALLE!$E517&gt;=1,CONCATENATE(TEXT(BD_DETALLE!$C517,"YY"),TEXT(BD_DETALLE!$C517,"MM"),"-",BD_DETALLE!$E517),"")</f>
        <v>2103-225</v>
      </c>
      <c r="E517" s="12">
        <v>225</v>
      </c>
      <c r="F517" s="21">
        <v>205091</v>
      </c>
      <c r="G517" s="4" t="str">
        <f>IFERROR(VLOOKUP(BD_DETALLE!$B517,Tabla9[],6,0),"")</f>
        <v>ABRAZADERA DE TUBO DE 1/2" PARA CHANEL</v>
      </c>
      <c r="H517" s="6">
        <f>IFERROR(VLOOKUP(BD_DETALLE!$B517,Tabla9[],4,0),0)</f>
        <v>3</v>
      </c>
      <c r="I517" s="19" t="s">
        <v>14</v>
      </c>
      <c r="J517" s="20" t="s">
        <v>2135</v>
      </c>
      <c r="K517" s="10">
        <f>IFERROR(VLOOKUP(BD_DETALLE!B517,Tabla9[],7,0),"")</f>
        <v>0</v>
      </c>
      <c r="L517" s="11">
        <f>IFERROR(VLOOKUP(BD_DETALLE!B517,Tabla9[],8,0),"")</f>
        <v>0</v>
      </c>
      <c r="M517" s="9">
        <f>IFERROR(SUMIFS(Tabla9[CANTIDAD2],Tabla9[BUSQUEDA],Tabla3[[#This Row],[BUSQUEDA]],Tabla9[CODIGO],Tabla3[[#This Row],[CODIGO]],Tabla9[ORDEN No.],Tabla3[[#This Row],[ORDEN de COMPRA]]),0)</f>
        <v>0</v>
      </c>
      <c r="N517" s="27">
        <f>IFERROR(IF(BD_DETALLE!B517&gt;0,VLOOKUP(BD_DETALLE!B517,Tabla9[],10,0),""),"")</f>
        <v>0</v>
      </c>
      <c r="O517" s="28">
        <f>IFERROR(VLOOKUP(BD_DETALLE!B517,Tabla9[],11,0),0)</f>
        <v>0</v>
      </c>
      <c r="P517" s="26">
        <f>IFERROR(SUMIFS(Tabla9[CANTIDAD3],Tabla9[BUSQUEDA],Tabla3[[#This Row],[BUSQUEDA]],Tabla9[CODIGO],Tabla3[[#This Row],[CODIGO]]),0)</f>
        <v>0</v>
      </c>
      <c r="Q517" s="25">
        <f>IF(BD_DETALLE!P517&lt;=0,0,IF(BD_DETALLE!P517=BD_DETALLE!H517,2,1))</f>
        <v>0</v>
      </c>
      <c r="R517" s="41">
        <f ca="1">IF(BD_DETALLE!$C517&gt;0,(IF(BD_DETALLE!$N517=0,TODAY()-BD_DETALLE!$C517,BD_DETALLE!$N517-BD_DETALLE!$C517)),"")</f>
        <v>27</v>
      </c>
    </row>
    <row r="518" spans="2:18" x14ac:dyDescent="0.25">
      <c r="B518" s="15" t="str">
        <f t="shared" si="55"/>
        <v>2103-226-313520</v>
      </c>
      <c r="C518" s="7">
        <v>44278</v>
      </c>
      <c r="D518" s="5" t="str">
        <f>IF(BD_DETALLE!$E518&gt;=1,CONCATENATE(TEXT(BD_DETALLE!$C518,"YY"),TEXT(BD_DETALLE!$C518,"MM"),"-",BD_DETALLE!$E518),"")</f>
        <v>2103-226</v>
      </c>
      <c r="E518" s="12">
        <v>226</v>
      </c>
      <c r="F518" s="21">
        <v>313520</v>
      </c>
      <c r="G518" s="4" t="str">
        <f>IFERROR(VLOOKUP(BD_DETALLE!$B518,Tabla9[],6,0),"")</f>
        <v>GUARDAMOTOR GV2ME14   7 A 10AMP.</v>
      </c>
      <c r="H518" s="6">
        <f>IFERROR(VLOOKUP(BD_DETALLE!$B518,Tabla9[],4,0),0)</f>
        <v>1</v>
      </c>
      <c r="I518" s="19" t="s">
        <v>14</v>
      </c>
      <c r="J518" s="20" t="s">
        <v>2136</v>
      </c>
      <c r="K518" s="10">
        <f>IFERROR(VLOOKUP(BD_DETALLE!B518,Tabla9[],7,0),"")</f>
        <v>0</v>
      </c>
      <c r="L518" s="11">
        <f>IFERROR(VLOOKUP(BD_DETALLE!B518,Tabla9[],8,0),"")</f>
        <v>0</v>
      </c>
      <c r="M518" s="9">
        <f>IFERROR(SUMIFS(Tabla9[CANTIDAD2],Tabla9[BUSQUEDA],Tabla3[[#This Row],[BUSQUEDA]],Tabla9[CODIGO],Tabla3[[#This Row],[CODIGO]],Tabla9[ORDEN No.],Tabla3[[#This Row],[ORDEN de COMPRA]]),0)</f>
        <v>0</v>
      </c>
      <c r="N518" s="27">
        <f>IFERROR(IF(BD_DETALLE!B518&gt;0,VLOOKUP(BD_DETALLE!B518,Tabla9[],10,0),""),"")</f>
        <v>0</v>
      </c>
      <c r="O518" s="28">
        <f>IFERROR(VLOOKUP(BD_DETALLE!B518,Tabla9[],11,0),0)</f>
        <v>0</v>
      </c>
      <c r="P518" s="26">
        <f>IFERROR(SUMIFS(Tabla9[CANTIDAD3],Tabla9[BUSQUEDA],Tabla3[[#This Row],[BUSQUEDA]],Tabla9[CODIGO],Tabla3[[#This Row],[CODIGO]]),0)</f>
        <v>0</v>
      </c>
      <c r="Q518" s="25">
        <f>IF(BD_DETALLE!P518&lt;=0,0,IF(BD_DETALLE!P518=BD_DETALLE!H518,2,1))</f>
        <v>0</v>
      </c>
      <c r="R518" s="41">
        <f ca="1">IF(BD_DETALLE!$C518&gt;0,(IF(BD_DETALLE!$N518=0,TODAY()-BD_DETALLE!$C518,BD_DETALLE!$N518-BD_DETALLE!$C518)),"")</f>
        <v>27</v>
      </c>
    </row>
    <row r="519" spans="2:18" x14ac:dyDescent="0.25">
      <c r="B519" s="15" t="str">
        <f t="shared" si="55"/>
        <v>2103-226-205083</v>
      </c>
      <c r="C519" s="7">
        <v>44278</v>
      </c>
      <c r="D519" s="5" t="str">
        <f>IF(BD_DETALLE!$E519&gt;=1,CONCATENATE(TEXT(BD_DETALLE!$C519,"YY"),TEXT(BD_DETALLE!$C519,"MM"),"-",BD_DETALLE!$E519),"")</f>
        <v>2103-226</v>
      </c>
      <c r="E519" s="12">
        <v>226</v>
      </c>
      <c r="F519" s="21">
        <v>205083</v>
      </c>
      <c r="G519" s="4" t="str">
        <f>IFERROR(VLOOKUP(BD_DETALLE!$B519,Tabla9[],6,0),"")</f>
        <v>CONTACTOR LC1-D12 DE 12 A 25AMP / 220V</v>
      </c>
      <c r="H519" s="6">
        <f>IFERROR(VLOOKUP(BD_DETALLE!$B519,Tabla9[],4,0),0)</f>
        <v>1</v>
      </c>
      <c r="I519" s="19" t="s">
        <v>14</v>
      </c>
      <c r="J519" s="20" t="s">
        <v>2136</v>
      </c>
      <c r="K519" s="10">
        <f>IFERROR(VLOOKUP(BD_DETALLE!B519,Tabla9[],7,0),"")</f>
        <v>0</v>
      </c>
      <c r="L519" s="11">
        <f>IFERROR(VLOOKUP(BD_DETALLE!B519,Tabla9[],8,0),"")</f>
        <v>0</v>
      </c>
      <c r="M519" s="9">
        <f>IFERROR(SUMIFS(Tabla9[CANTIDAD2],Tabla9[BUSQUEDA],Tabla3[[#This Row],[BUSQUEDA]],Tabla9[CODIGO],Tabla3[[#This Row],[CODIGO]],Tabla9[ORDEN No.],Tabla3[[#This Row],[ORDEN de COMPRA]]),0)</f>
        <v>0</v>
      </c>
      <c r="N519" s="27">
        <f>IFERROR(IF(BD_DETALLE!B519&gt;0,VLOOKUP(BD_DETALLE!B519,Tabla9[],10,0),""),"")</f>
        <v>0</v>
      </c>
      <c r="O519" s="28">
        <f>IFERROR(VLOOKUP(BD_DETALLE!B519,Tabla9[],11,0),0)</f>
        <v>0</v>
      </c>
      <c r="P519" s="26">
        <f>IFERROR(SUMIFS(Tabla9[CANTIDAD3],Tabla9[BUSQUEDA],Tabla3[[#This Row],[BUSQUEDA]],Tabla9[CODIGO],Tabla3[[#This Row],[CODIGO]]),0)</f>
        <v>0</v>
      </c>
      <c r="Q519" s="25">
        <f>IF(BD_DETALLE!P519&lt;=0,0,IF(BD_DETALLE!P519=BD_DETALLE!H519,2,1))</f>
        <v>0</v>
      </c>
      <c r="R519" s="41">
        <f ca="1">IF(BD_DETALLE!$C519&gt;0,(IF(BD_DETALLE!$N519=0,TODAY()-BD_DETALLE!$C519,BD_DETALLE!$N519-BD_DETALLE!$C519)),"")</f>
        <v>27</v>
      </c>
    </row>
    <row r="520" spans="2:18" x14ac:dyDescent="0.25">
      <c r="B520" s="15" t="str">
        <f t="shared" si="55"/>
        <v>2103-226-203371</v>
      </c>
      <c r="C520" s="7">
        <v>44278</v>
      </c>
      <c r="D520" s="5" t="str">
        <f>IF(BD_DETALLE!$E520&gt;=1,CONCATENATE(TEXT(BD_DETALLE!$C520,"YY"),TEXT(BD_DETALLE!$C520,"MM"),"-",BD_DETALLE!$E520),"")</f>
        <v>2103-226</v>
      </c>
      <c r="E520" s="12">
        <v>226</v>
      </c>
      <c r="F520" s="21">
        <v>203371</v>
      </c>
      <c r="G520" s="4" t="str">
        <f>IFERROR(VLOOKUP(BD_DETALLE!$B520,Tabla9[],6,0),"")</f>
        <v>CABLE CONCENTRICO 4 x 12</v>
      </c>
      <c r="H520" s="6">
        <f>IFERROR(VLOOKUP(BD_DETALLE!$B520,Tabla9[],4,0),0)</f>
        <v>60</v>
      </c>
      <c r="I520" s="19" t="s">
        <v>14</v>
      </c>
      <c r="J520" s="20" t="s">
        <v>2136</v>
      </c>
      <c r="K520" s="10">
        <f>IFERROR(VLOOKUP(BD_DETALLE!B520,Tabla9[],7,0),"")</f>
        <v>0</v>
      </c>
      <c r="L520" s="11">
        <f>IFERROR(VLOOKUP(BD_DETALLE!B520,Tabla9[],8,0),"")</f>
        <v>0</v>
      </c>
      <c r="M520" s="9">
        <f>IFERROR(SUMIFS(Tabla9[CANTIDAD2],Tabla9[BUSQUEDA],Tabla3[[#This Row],[BUSQUEDA]],Tabla9[CODIGO],Tabla3[[#This Row],[CODIGO]],Tabla9[ORDEN No.],Tabla3[[#This Row],[ORDEN de COMPRA]]),0)</f>
        <v>0</v>
      </c>
      <c r="N520" s="27">
        <f>IFERROR(IF(BD_DETALLE!B520&gt;0,VLOOKUP(BD_DETALLE!B520,Tabla9[],10,0),""),"")</f>
        <v>0</v>
      </c>
      <c r="O520" s="28">
        <f>IFERROR(VLOOKUP(BD_DETALLE!B520,Tabla9[],11,0),0)</f>
        <v>0</v>
      </c>
      <c r="P520" s="26">
        <f>IFERROR(SUMIFS(Tabla9[CANTIDAD3],Tabla9[BUSQUEDA],Tabla3[[#This Row],[BUSQUEDA]],Tabla9[CODIGO],Tabla3[[#This Row],[CODIGO]]),0)</f>
        <v>0</v>
      </c>
      <c r="Q520" s="25">
        <f>IF(BD_DETALLE!P520&lt;=0,0,IF(BD_DETALLE!P520=BD_DETALLE!H520,2,1))</f>
        <v>0</v>
      </c>
      <c r="R520" s="41">
        <f ca="1">IF(BD_DETALLE!$C520&gt;0,(IF(BD_DETALLE!$N520=0,TODAY()-BD_DETALLE!$C520,BD_DETALLE!$N520-BD_DETALLE!$C520)),"")</f>
        <v>27</v>
      </c>
    </row>
    <row r="521" spans="2:18" x14ac:dyDescent="0.25">
      <c r="B521" s="15" t="str">
        <f t="shared" si="55"/>
        <v>2103-226-204410</v>
      </c>
      <c r="C521" s="7">
        <v>44278</v>
      </c>
      <c r="D521" s="5" t="str">
        <f>IF(BD_DETALLE!$E521&gt;=1,CONCATENATE(TEXT(BD_DETALLE!$C521,"YY"),TEXT(BD_DETALLE!$C521,"MM"),"-",BD_DETALLE!$E521),"")</f>
        <v>2103-226</v>
      </c>
      <c r="E521" s="12">
        <v>226</v>
      </c>
      <c r="F521" s="21">
        <v>204410</v>
      </c>
      <c r="G521" s="4" t="str">
        <f>IFERROR(VLOOKUP(BD_DETALLE!$B521,Tabla9[],6,0),"")</f>
        <v>TUBO EMT DE 3/4" x 3MTS</v>
      </c>
      <c r="H521" s="6">
        <f>IFERROR(VLOOKUP(BD_DETALLE!$B521,Tabla9[],4,0),0)</f>
        <v>4</v>
      </c>
      <c r="I521" s="19" t="s">
        <v>14</v>
      </c>
      <c r="J521" s="20" t="s">
        <v>2136</v>
      </c>
      <c r="K521" s="10">
        <f>IFERROR(VLOOKUP(BD_DETALLE!B521,Tabla9[],7,0),"")</f>
        <v>0</v>
      </c>
      <c r="L521" s="11">
        <f>IFERROR(VLOOKUP(BD_DETALLE!B521,Tabla9[],8,0),"")</f>
        <v>0</v>
      </c>
      <c r="M521" s="9">
        <f>IFERROR(SUMIFS(Tabla9[CANTIDAD2],Tabla9[BUSQUEDA],Tabla3[[#This Row],[BUSQUEDA]],Tabla9[CODIGO],Tabla3[[#This Row],[CODIGO]],Tabla9[ORDEN No.],Tabla3[[#This Row],[ORDEN de COMPRA]]),0)</f>
        <v>0</v>
      </c>
      <c r="N521" s="27">
        <f>IFERROR(IF(BD_DETALLE!B521&gt;0,VLOOKUP(BD_DETALLE!B521,Tabla9[],10,0),""),"")</f>
        <v>0</v>
      </c>
      <c r="O521" s="28">
        <f>IFERROR(VLOOKUP(BD_DETALLE!B521,Tabla9[],11,0),0)</f>
        <v>0</v>
      </c>
      <c r="P521" s="26">
        <f>IFERROR(SUMIFS(Tabla9[CANTIDAD3],Tabla9[BUSQUEDA],Tabla3[[#This Row],[BUSQUEDA]],Tabla9[CODIGO],Tabla3[[#This Row],[CODIGO]]),0)</f>
        <v>0</v>
      </c>
      <c r="Q521" s="25">
        <f>IF(BD_DETALLE!P521&lt;=0,0,IF(BD_DETALLE!P521=BD_DETALLE!H521,2,1))</f>
        <v>0</v>
      </c>
      <c r="R521" s="41">
        <f ca="1">IF(BD_DETALLE!$C521&gt;0,(IF(BD_DETALLE!$N521=0,TODAY()-BD_DETALLE!$C521,BD_DETALLE!$N521-BD_DETALLE!$C521)),"")</f>
        <v>27</v>
      </c>
    </row>
    <row r="522" spans="2:18" x14ac:dyDescent="0.25">
      <c r="B522" s="15" t="str">
        <f t="shared" si="55"/>
        <v>2103-226-301266</v>
      </c>
      <c r="C522" s="7">
        <v>44278</v>
      </c>
      <c r="D522" s="5" t="str">
        <f>IF(BD_DETALLE!$E522&gt;=1,CONCATENATE(TEXT(BD_DETALLE!$C522,"YY"),TEXT(BD_DETALLE!$C522,"MM"),"-",BD_DETALLE!$E522),"")</f>
        <v>2103-226</v>
      </c>
      <c r="E522" s="12">
        <v>226</v>
      </c>
      <c r="F522" s="21">
        <v>301266</v>
      </c>
      <c r="G522" s="4" t="str">
        <f>IFERROR(VLOOKUP(BD_DETALLE!$B522,Tabla9[],6,0),"")</f>
        <v>CONECTOR EMT DE 3/4"</v>
      </c>
      <c r="H522" s="6">
        <f>IFERROR(VLOOKUP(BD_DETALLE!$B522,Tabla9[],4,0),0)</f>
        <v>2</v>
      </c>
      <c r="I522" s="19" t="s">
        <v>14</v>
      </c>
      <c r="J522" s="20" t="s">
        <v>2136</v>
      </c>
      <c r="K522" s="10">
        <f>IFERROR(VLOOKUP(BD_DETALLE!B522,Tabla9[],7,0),"")</f>
        <v>0</v>
      </c>
      <c r="L522" s="11">
        <f>IFERROR(VLOOKUP(BD_DETALLE!B522,Tabla9[],8,0),"")</f>
        <v>0</v>
      </c>
      <c r="M522" s="9">
        <f>IFERROR(SUMIFS(Tabla9[CANTIDAD2],Tabla9[BUSQUEDA],Tabla3[[#This Row],[BUSQUEDA]],Tabla9[CODIGO],Tabla3[[#This Row],[CODIGO]],Tabla9[ORDEN No.],Tabla3[[#This Row],[ORDEN de COMPRA]]),0)</f>
        <v>0</v>
      </c>
      <c r="N522" s="27">
        <f>IFERROR(IF(BD_DETALLE!B522&gt;0,VLOOKUP(BD_DETALLE!B522,Tabla9[],10,0),""),"")</f>
        <v>0</v>
      </c>
      <c r="O522" s="28">
        <f>IFERROR(VLOOKUP(BD_DETALLE!B522,Tabla9[],11,0),0)</f>
        <v>0</v>
      </c>
      <c r="P522" s="26">
        <f>IFERROR(SUMIFS(Tabla9[CANTIDAD3],Tabla9[BUSQUEDA],Tabla3[[#This Row],[BUSQUEDA]],Tabla9[CODIGO],Tabla3[[#This Row],[CODIGO]]),0)</f>
        <v>0</v>
      </c>
      <c r="Q522" s="25">
        <f>IF(BD_DETALLE!P522&lt;=0,0,IF(BD_DETALLE!P522=BD_DETALLE!H522,2,1))</f>
        <v>0</v>
      </c>
      <c r="R522" s="41">
        <f ca="1">IF(BD_DETALLE!$C522&gt;0,(IF(BD_DETALLE!$N522=0,TODAY()-BD_DETALLE!$C522,BD_DETALLE!$N522-BD_DETALLE!$C522)),"")</f>
        <v>27</v>
      </c>
    </row>
    <row r="523" spans="2:18" x14ac:dyDescent="0.25">
      <c r="B523" s="15" t="str">
        <f t="shared" si="55"/>
        <v>2103-226-203259</v>
      </c>
      <c r="C523" s="7">
        <v>44278</v>
      </c>
      <c r="D523" s="5" t="str">
        <f>IF(BD_DETALLE!$E523&gt;=1,CONCATENATE(TEXT(BD_DETALLE!$C523,"YY"),TEXT(BD_DETALLE!$C523,"MM"),"-",BD_DETALLE!$E523),"")</f>
        <v>2103-226</v>
      </c>
      <c r="E523" s="12">
        <v>226</v>
      </c>
      <c r="F523" s="21">
        <v>203259</v>
      </c>
      <c r="G523" s="4" t="str">
        <f>IFERROR(VLOOKUP(BD_DETALLE!$B523,Tabla9[],6,0),"")</f>
        <v>CONECTOR DE 3/4" PARA FUNDA SELLADA</v>
      </c>
      <c r="H523" s="6">
        <f>IFERROR(VLOOKUP(BD_DETALLE!$B523,Tabla9[],4,0),0)</f>
        <v>2</v>
      </c>
      <c r="I523" s="19" t="s">
        <v>14</v>
      </c>
      <c r="J523" s="20" t="s">
        <v>2136</v>
      </c>
      <c r="K523" s="10">
        <f>IFERROR(VLOOKUP(BD_DETALLE!B523,Tabla9[],7,0),"")</f>
        <v>0</v>
      </c>
      <c r="L523" s="11">
        <f>IFERROR(VLOOKUP(BD_DETALLE!B523,Tabla9[],8,0),"")</f>
        <v>0</v>
      </c>
      <c r="M523" s="9">
        <f>IFERROR(SUMIFS(Tabla9[CANTIDAD2],Tabla9[BUSQUEDA],Tabla3[[#This Row],[BUSQUEDA]],Tabla9[CODIGO],Tabla3[[#This Row],[CODIGO]],Tabla9[ORDEN No.],Tabla3[[#This Row],[ORDEN de COMPRA]]),0)</f>
        <v>0</v>
      </c>
      <c r="N523" s="27">
        <f>IFERROR(IF(BD_DETALLE!B523&gt;0,VLOOKUP(BD_DETALLE!B523,Tabla9[],10,0),""),"")</f>
        <v>0</v>
      </c>
      <c r="O523" s="28">
        <f>IFERROR(VLOOKUP(BD_DETALLE!B523,Tabla9[],11,0),0)</f>
        <v>0</v>
      </c>
      <c r="P523" s="26">
        <f>IFERROR(SUMIFS(Tabla9[CANTIDAD3],Tabla9[BUSQUEDA],Tabla3[[#This Row],[BUSQUEDA]],Tabla9[CODIGO],Tabla3[[#This Row],[CODIGO]]),0)</f>
        <v>0</v>
      </c>
      <c r="Q523" s="25">
        <f>IF(BD_DETALLE!P523&lt;=0,0,IF(BD_DETALLE!P523=BD_DETALLE!H523,2,1))</f>
        <v>0</v>
      </c>
      <c r="R523" s="41">
        <f ca="1">IF(BD_DETALLE!$C523&gt;0,(IF(BD_DETALLE!$N523=0,TODAY()-BD_DETALLE!$C523,BD_DETALLE!$N523-BD_DETALLE!$C523)),"")</f>
        <v>27</v>
      </c>
    </row>
    <row r="524" spans="2:18" x14ac:dyDescent="0.25">
      <c r="B524" s="15" t="str">
        <f t="shared" si="55"/>
        <v>2103-226-203222</v>
      </c>
      <c r="C524" s="7">
        <v>44278</v>
      </c>
      <c r="D524" s="5" t="str">
        <f>IF(BD_DETALLE!$E524&gt;=1,CONCATENATE(TEXT(BD_DETALLE!$C524,"YY"),TEXT(BD_DETALLE!$C524,"MM"),"-",BD_DETALLE!$E524),"")</f>
        <v>2103-226</v>
      </c>
      <c r="E524" s="12">
        <v>226</v>
      </c>
      <c r="F524" s="21">
        <v>203222</v>
      </c>
      <c r="G524" s="4" t="str">
        <f>IFERROR(VLOOKUP(BD_DETALLE!$B524,Tabla9[],6,0),"")</f>
        <v>FUNDA SELLADA DE 3/4" PARA CABLE ELECTRICO</v>
      </c>
      <c r="H524" s="6">
        <f>IFERROR(VLOOKUP(BD_DETALLE!$B524,Tabla9[],4,0),0)</f>
        <v>3</v>
      </c>
      <c r="I524" s="19" t="s">
        <v>14</v>
      </c>
      <c r="J524" s="20" t="s">
        <v>2136</v>
      </c>
      <c r="K524" s="10">
        <f>IFERROR(VLOOKUP(BD_DETALLE!B524,Tabla9[],7,0),"")</f>
        <v>0</v>
      </c>
      <c r="L524" s="11">
        <f>IFERROR(VLOOKUP(BD_DETALLE!B524,Tabla9[],8,0),"")</f>
        <v>0</v>
      </c>
      <c r="M524" s="9">
        <f>IFERROR(SUMIFS(Tabla9[CANTIDAD2],Tabla9[BUSQUEDA],Tabla3[[#This Row],[BUSQUEDA]],Tabla9[CODIGO],Tabla3[[#This Row],[CODIGO]],Tabla9[ORDEN No.],Tabla3[[#This Row],[ORDEN de COMPRA]]),0)</f>
        <v>0</v>
      </c>
      <c r="N524" s="27">
        <f>IFERROR(IF(BD_DETALLE!B524&gt;0,VLOOKUP(BD_DETALLE!B524,Tabla9[],10,0),""),"")</f>
        <v>0</v>
      </c>
      <c r="O524" s="28">
        <f>IFERROR(VLOOKUP(BD_DETALLE!B524,Tabla9[],11,0),0)</f>
        <v>0</v>
      </c>
      <c r="P524" s="26">
        <f>IFERROR(SUMIFS(Tabla9[CANTIDAD3],Tabla9[BUSQUEDA],Tabla3[[#This Row],[BUSQUEDA]],Tabla9[CODIGO],Tabla3[[#This Row],[CODIGO]]),0)</f>
        <v>0</v>
      </c>
      <c r="Q524" s="25">
        <f>IF(BD_DETALLE!P524&lt;=0,0,IF(BD_DETALLE!P524=BD_DETALLE!H524,2,1))</f>
        <v>0</v>
      </c>
      <c r="R524" s="41">
        <f ca="1">IF(BD_DETALLE!$C524&gt;0,(IF(BD_DETALLE!$N524=0,TODAY()-BD_DETALLE!$C524,BD_DETALLE!$N524-BD_DETALLE!$C524)),"")</f>
        <v>27</v>
      </c>
    </row>
    <row r="525" spans="2:18" x14ac:dyDescent="0.25">
      <c r="B525" s="15" t="str">
        <f t="shared" si="55"/>
        <v>2103-226-204417</v>
      </c>
      <c r="C525" s="7">
        <v>44278</v>
      </c>
      <c r="D525" s="5" t="str">
        <f>IF(BD_DETALLE!$E525&gt;=1,CONCATENATE(TEXT(BD_DETALLE!$C525,"YY"),TEXT(BD_DETALLE!$C525,"MM"),"-",BD_DETALLE!$E525),"")</f>
        <v>2103-226</v>
      </c>
      <c r="E525" s="12">
        <v>226</v>
      </c>
      <c r="F525" s="21">
        <v>204417</v>
      </c>
      <c r="G525" s="4" t="str">
        <f>IFERROR(VLOOKUP(BD_DETALLE!$B525,Tabla9[],6,0),"")</f>
        <v>ABRAZADERA DE TUBO DE 3/4" PARA CHANEL</v>
      </c>
      <c r="H525" s="6">
        <f>IFERROR(VLOOKUP(BD_DETALLE!$B525,Tabla9[],4,0),0)</f>
        <v>12</v>
      </c>
      <c r="I525" s="19" t="s">
        <v>14</v>
      </c>
      <c r="J525" s="20" t="s">
        <v>2136</v>
      </c>
      <c r="K525" s="10">
        <f>IFERROR(VLOOKUP(BD_DETALLE!B525,Tabla9[],7,0),"")</f>
        <v>0</v>
      </c>
      <c r="L525" s="11">
        <f>IFERROR(VLOOKUP(BD_DETALLE!B525,Tabla9[],8,0),"")</f>
        <v>0</v>
      </c>
      <c r="M525" s="9">
        <f>IFERROR(SUMIFS(Tabla9[CANTIDAD2],Tabla9[BUSQUEDA],Tabla3[[#This Row],[BUSQUEDA]],Tabla9[CODIGO],Tabla3[[#This Row],[CODIGO]],Tabla9[ORDEN No.],Tabla3[[#This Row],[ORDEN de COMPRA]]),0)</f>
        <v>0</v>
      </c>
      <c r="N525" s="27">
        <f>IFERROR(IF(BD_DETALLE!B525&gt;0,VLOOKUP(BD_DETALLE!B525,Tabla9[],10,0),""),"")</f>
        <v>0</v>
      </c>
      <c r="O525" s="28">
        <f>IFERROR(VLOOKUP(BD_DETALLE!B525,Tabla9[],11,0),0)</f>
        <v>0</v>
      </c>
      <c r="P525" s="26">
        <f>IFERROR(SUMIFS(Tabla9[CANTIDAD3],Tabla9[BUSQUEDA],Tabla3[[#This Row],[BUSQUEDA]],Tabla9[CODIGO],Tabla3[[#This Row],[CODIGO]]),0)</f>
        <v>0</v>
      </c>
      <c r="Q525" s="25">
        <f>IF(BD_DETALLE!P525&lt;=0,0,IF(BD_DETALLE!P525=BD_DETALLE!H525,2,1))</f>
        <v>0</v>
      </c>
      <c r="R525" s="41">
        <f ca="1">IF(BD_DETALLE!$C525&gt;0,(IF(BD_DETALLE!$N525=0,TODAY()-BD_DETALLE!$C525,BD_DETALLE!$N525-BD_DETALLE!$C525)),"")</f>
        <v>27</v>
      </c>
    </row>
    <row r="526" spans="2:18" x14ac:dyDescent="0.25">
      <c r="B526" s="15" t="str">
        <f t="shared" si="55"/>
        <v>2103-228-204973</v>
      </c>
      <c r="C526" s="7">
        <v>44278</v>
      </c>
      <c r="D526" s="5" t="str">
        <f>IF(BD_DETALLE!$E526&gt;=1,CONCATENATE(TEXT(BD_DETALLE!$C526,"YY"),TEXT(BD_DETALLE!$C526,"MM"),"-",BD_DETALLE!$E526),"")</f>
        <v>2103-228</v>
      </c>
      <c r="E526" s="12">
        <v>228</v>
      </c>
      <c r="F526" s="21">
        <v>204973</v>
      </c>
      <c r="G526" s="4" t="str">
        <f>IFERROR(VLOOKUP(BD_DETALLE!$B526,Tabla9[],6,0),"")</f>
        <v>BRAZO DE PLUMA EXTERIOR</v>
      </c>
      <c r="H526" s="6">
        <f>IFERROR(VLOOKUP(BD_DETALLE!$B526,Tabla9[],4,0),0)</f>
        <v>2</v>
      </c>
      <c r="I526" s="19" t="s">
        <v>5</v>
      </c>
      <c r="J526" s="20" t="s">
        <v>2137</v>
      </c>
      <c r="K526" s="10">
        <f>IFERROR(VLOOKUP(BD_DETALLE!B526,Tabla9[],7,0),"")</f>
        <v>44278</v>
      </c>
      <c r="L526" s="11">
        <f>IFERROR(VLOOKUP(BD_DETALLE!B526,Tabla9[],8,0),"")</f>
        <v>52235</v>
      </c>
      <c r="M526" s="9">
        <f>IFERROR(SUMIFS(Tabla9[CANTIDAD2],Tabla9[BUSQUEDA],Tabla3[[#This Row],[BUSQUEDA]],Tabla9[CODIGO],Tabla3[[#This Row],[CODIGO]],Tabla9[ORDEN No.],Tabla3[[#This Row],[ORDEN de COMPRA]]),0)</f>
        <v>2</v>
      </c>
      <c r="N526" s="27">
        <f>IFERROR(IF(BD_DETALLE!B526&gt;0,VLOOKUP(BD_DETALLE!B526,Tabla9[],10,0),""),"")</f>
        <v>44278</v>
      </c>
      <c r="O526" s="28">
        <f>IFERROR(VLOOKUP(BD_DETALLE!B526,Tabla9[],11,0),0)</f>
        <v>11614</v>
      </c>
      <c r="P526" s="26">
        <f>IFERROR(SUMIFS(Tabla9[CANTIDAD3],Tabla9[BUSQUEDA],Tabla3[[#This Row],[BUSQUEDA]],Tabla9[CODIGO],Tabla3[[#This Row],[CODIGO]]),0)</f>
        <v>2</v>
      </c>
      <c r="Q526" s="25">
        <f>IF(BD_DETALLE!P526&lt;=0,0,IF(BD_DETALLE!P526=BD_DETALLE!H526,2,1))</f>
        <v>2</v>
      </c>
      <c r="R526" s="41">
        <f ca="1">IF(BD_DETALLE!$C526&gt;0,(IF(BD_DETALLE!$N526=0,TODAY()-BD_DETALLE!$C526,BD_DETALLE!$N526-BD_DETALLE!$C526)),"")</f>
        <v>0</v>
      </c>
    </row>
    <row r="527" spans="2:18" x14ac:dyDescent="0.25">
      <c r="B527" s="15" t="str">
        <f t="shared" si="55"/>
        <v>2103-228-302515</v>
      </c>
      <c r="C527" s="7">
        <v>44278</v>
      </c>
      <c r="D527" s="5" t="str">
        <f>IF(BD_DETALLE!$E527&gt;=1,CONCATENATE(TEXT(BD_DETALLE!$C527,"YY"),TEXT(BD_DETALLE!$C527,"MM"),"-",BD_DETALLE!$E527),"")</f>
        <v>2103-228</v>
      </c>
      <c r="E527" s="12">
        <v>228</v>
      </c>
      <c r="F527" s="21">
        <v>302515</v>
      </c>
      <c r="G527" s="4" t="str">
        <f>IFERROR(VLOOKUP(BD_DETALLE!$B527,Tabla9[],6,0),"")</f>
        <v>PLUMA LIMPIAPARABRISA</v>
      </c>
      <c r="H527" s="6">
        <f>IFERROR(VLOOKUP(BD_DETALLE!$B527,Tabla9[],4,0),0)</f>
        <v>1</v>
      </c>
      <c r="I527" s="19" t="s">
        <v>5</v>
      </c>
      <c r="J527" s="20" t="s">
        <v>2137</v>
      </c>
      <c r="K527" s="10">
        <f>IFERROR(VLOOKUP(BD_DETALLE!B527,Tabla9[],7,0),"")</f>
        <v>44278</v>
      </c>
      <c r="L527" s="11">
        <f>IFERROR(VLOOKUP(BD_DETALLE!B527,Tabla9[],8,0),"")</f>
        <v>52235</v>
      </c>
      <c r="M527" s="9">
        <f>IFERROR(SUMIFS(Tabla9[CANTIDAD2],Tabla9[BUSQUEDA],Tabla3[[#This Row],[BUSQUEDA]],Tabla9[CODIGO],Tabla3[[#This Row],[CODIGO]],Tabla9[ORDEN No.],Tabla3[[#This Row],[ORDEN de COMPRA]]),0)</f>
        <v>1</v>
      </c>
      <c r="N527" s="27">
        <f>IFERROR(IF(BD_DETALLE!B527&gt;0,VLOOKUP(BD_DETALLE!B527,Tabla9[],10,0),""),"")</f>
        <v>44278</v>
      </c>
      <c r="O527" s="28">
        <f>IFERROR(VLOOKUP(BD_DETALLE!B527,Tabla9[],11,0),0)</f>
        <v>11614</v>
      </c>
      <c r="P527" s="26">
        <f>IFERROR(SUMIFS(Tabla9[CANTIDAD3],Tabla9[BUSQUEDA],Tabla3[[#This Row],[BUSQUEDA]],Tabla9[CODIGO],Tabla3[[#This Row],[CODIGO]]),0)</f>
        <v>1</v>
      </c>
      <c r="Q527" s="25">
        <f>IF(BD_DETALLE!P527&lt;=0,0,IF(BD_DETALLE!P527=BD_DETALLE!H527,2,1))</f>
        <v>2</v>
      </c>
      <c r="R527" s="41">
        <f ca="1">IF(BD_DETALLE!$C527&gt;0,(IF(BD_DETALLE!$N527=0,TODAY()-BD_DETALLE!$C527,BD_DETALLE!$N527-BD_DETALLE!$C527)),"")</f>
        <v>0</v>
      </c>
    </row>
    <row r="528" spans="2:18" x14ac:dyDescent="0.25">
      <c r="B528" s="15" t="str">
        <f t="shared" si="55"/>
        <v>2103-229-105923</v>
      </c>
      <c r="C528" s="7">
        <v>44278</v>
      </c>
      <c r="D528" s="5" t="str">
        <f>IF(BD_DETALLE!$E528&gt;=1,CONCATENATE(TEXT(BD_DETALLE!$C528,"YY"),TEXT(BD_DETALLE!$C528,"MM"),"-",BD_DETALLE!$E528),"")</f>
        <v>2103-229</v>
      </c>
      <c r="E528" s="12">
        <v>229</v>
      </c>
      <c r="F528" s="21">
        <v>105923</v>
      </c>
      <c r="G528" s="4" t="str">
        <f>IFERROR(VLOOKUP(BD_DETALLE!$B528,Tabla9[],6,0),"")</f>
        <v>TUBO CUADRADO H/N DE 3MM x 50MM x 50MM x 6MTS</v>
      </c>
      <c r="H528" s="6">
        <f>IFERROR(VLOOKUP(BD_DETALLE!$B528,Tabla9[],4,0),0)</f>
        <v>6</v>
      </c>
      <c r="I528" s="19" t="s">
        <v>12</v>
      </c>
      <c r="J528" s="20" t="s">
        <v>2226</v>
      </c>
      <c r="K528" s="10">
        <f>IFERROR(VLOOKUP(BD_DETALLE!B528,Tabla9[],7,0),"")</f>
        <v>0</v>
      </c>
      <c r="L528" s="11">
        <f>IFERROR(VLOOKUP(BD_DETALLE!B528,Tabla9[],8,0),"")</f>
        <v>0</v>
      </c>
      <c r="M528" s="9">
        <f>IFERROR(SUMIFS(Tabla9[CANTIDAD2],Tabla9[BUSQUEDA],Tabla3[[#This Row],[BUSQUEDA]],Tabla9[CODIGO],Tabla3[[#This Row],[CODIGO]],Tabla9[ORDEN No.],Tabla3[[#This Row],[ORDEN de COMPRA]]),0)</f>
        <v>0</v>
      </c>
      <c r="N528" s="27">
        <f>IFERROR(IF(BD_DETALLE!B528&gt;0,VLOOKUP(BD_DETALLE!B528,Tabla9[],10,0),""),"")</f>
        <v>0</v>
      </c>
      <c r="O528" s="28">
        <f>IFERROR(VLOOKUP(BD_DETALLE!B528,Tabla9[],11,0),0)</f>
        <v>0</v>
      </c>
      <c r="P528" s="26">
        <f>IFERROR(SUMIFS(Tabla9[CANTIDAD3],Tabla9[BUSQUEDA],Tabla3[[#This Row],[BUSQUEDA]],Tabla9[CODIGO],Tabla3[[#This Row],[CODIGO]]),0)</f>
        <v>0</v>
      </c>
      <c r="Q528" s="25">
        <f>IF(BD_DETALLE!P528&lt;=0,0,IF(BD_DETALLE!P528=BD_DETALLE!H528,2,1))</f>
        <v>0</v>
      </c>
      <c r="R528" s="41">
        <f ca="1">IF(BD_DETALLE!$C528&gt;0,(IF(BD_DETALLE!$N528=0,TODAY()-BD_DETALLE!$C528,BD_DETALLE!$N528-BD_DETALLE!$C528)),"")</f>
        <v>27</v>
      </c>
    </row>
    <row r="529" spans="2:18" x14ac:dyDescent="0.25">
      <c r="B529" s="15" t="str">
        <f t="shared" si="55"/>
        <v>2103-229-308392</v>
      </c>
      <c r="C529" s="7">
        <v>44278</v>
      </c>
      <c r="D529" s="5" t="str">
        <f>IF(BD_DETALLE!$E529&gt;=1,CONCATENATE(TEXT(BD_DETALLE!$C529,"YY"),TEXT(BD_DETALLE!$C529,"MM"),"-",BD_DETALLE!$E529),"")</f>
        <v>2103-229</v>
      </c>
      <c r="E529" s="12">
        <v>229</v>
      </c>
      <c r="F529" s="21">
        <v>308392</v>
      </c>
      <c r="G529" s="4" t="str">
        <f>IFERROR(VLOOKUP(BD_DETALLE!$B529,Tabla9[],6,0),"")</f>
        <v>TUBO H/N DE 1-1/4" x 6MTS</v>
      </c>
      <c r="H529" s="6">
        <f>IFERROR(VLOOKUP(BD_DETALLE!$B529,Tabla9[],4,0),0)</f>
        <v>1</v>
      </c>
      <c r="I529" s="19" t="s">
        <v>12</v>
      </c>
      <c r="J529" s="20" t="s">
        <v>2226</v>
      </c>
      <c r="K529" s="10">
        <f>IFERROR(VLOOKUP(BD_DETALLE!B529,Tabla9[],7,0),"")</f>
        <v>0</v>
      </c>
      <c r="L529" s="11">
        <f>IFERROR(VLOOKUP(BD_DETALLE!B529,Tabla9[],8,0),"")</f>
        <v>0</v>
      </c>
      <c r="M529" s="9">
        <f>IFERROR(SUMIFS(Tabla9[CANTIDAD2],Tabla9[BUSQUEDA],Tabla3[[#This Row],[BUSQUEDA]],Tabla9[CODIGO],Tabla3[[#This Row],[CODIGO]],Tabla9[ORDEN No.],Tabla3[[#This Row],[ORDEN de COMPRA]]),0)</f>
        <v>0</v>
      </c>
      <c r="N529" s="27">
        <f>IFERROR(IF(BD_DETALLE!B529&gt;0,VLOOKUP(BD_DETALLE!B529,Tabla9[],10,0),""),"")</f>
        <v>0</v>
      </c>
      <c r="O529" s="28">
        <f>IFERROR(VLOOKUP(BD_DETALLE!B529,Tabla9[],11,0),0)</f>
        <v>0</v>
      </c>
      <c r="P529" s="26">
        <f>IFERROR(SUMIFS(Tabla9[CANTIDAD3],Tabla9[BUSQUEDA],Tabla3[[#This Row],[BUSQUEDA]],Tabla9[CODIGO],Tabla3[[#This Row],[CODIGO]]),0)</f>
        <v>0</v>
      </c>
      <c r="Q529" s="25">
        <f>IF(BD_DETALLE!P529&lt;=0,0,IF(BD_DETALLE!P529=BD_DETALLE!H529,2,1))</f>
        <v>0</v>
      </c>
      <c r="R529" s="41">
        <f ca="1">IF(BD_DETALLE!$C529&gt;0,(IF(BD_DETALLE!$N529=0,TODAY()-BD_DETALLE!$C529,BD_DETALLE!$N529-BD_DETALLE!$C529)),"")</f>
        <v>27</v>
      </c>
    </row>
    <row r="530" spans="2:18" x14ac:dyDescent="0.25">
      <c r="B530" s="15" t="str">
        <f t="shared" si="55"/>
        <v>2103-229-320961</v>
      </c>
      <c r="C530" s="7">
        <v>44278</v>
      </c>
      <c r="D530" s="5" t="str">
        <f>IF(BD_DETALLE!$E530&gt;=1,CONCATENATE(TEXT(BD_DETALLE!$C530,"YY"),TEXT(BD_DETALLE!$C530,"MM"),"-",BD_DETALLE!$E530),"")</f>
        <v>2103-229</v>
      </c>
      <c r="E530" s="12">
        <v>229</v>
      </c>
      <c r="F530" s="21">
        <v>320961</v>
      </c>
      <c r="G530" s="4" t="str">
        <f>IFERROR(VLOOKUP(BD_DETALLE!$B530,Tabla9[],6,0),"")</f>
        <v>PLATINA H/N DE 5/8 x 3"</v>
      </c>
      <c r="H530" s="6">
        <f>IFERROR(VLOOKUP(BD_DETALLE!$B530,Tabla9[],4,0),0)</f>
        <v>2</v>
      </c>
      <c r="I530" s="19" t="s">
        <v>12</v>
      </c>
      <c r="J530" s="20" t="s">
        <v>2226</v>
      </c>
      <c r="K530" s="10">
        <f>IFERROR(VLOOKUP(BD_DETALLE!B530,Tabla9[],7,0),"")</f>
        <v>0</v>
      </c>
      <c r="L530" s="11">
        <f>IFERROR(VLOOKUP(BD_DETALLE!B530,Tabla9[],8,0),"")</f>
        <v>0</v>
      </c>
      <c r="M530" s="9">
        <f>IFERROR(SUMIFS(Tabla9[CANTIDAD2],Tabla9[BUSQUEDA],Tabla3[[#This Row],[BUSQUEDA]],Tabla9[CODIGO],Tabla3[[#This Row],[CODIGO]],Tabla9[ORDEN No.],Tabla3[[#This Row],[ORDEN de COMPRA]]),0)</f>
        <v>0</v>
      </c>
      <c r="N530" s="27">
        <f>IFERROR(IF(BD_DETALLE!B530&gt;0,VLOOKUP(BD_DETALLE!B530,Tabla9[],10,0),""),"")</f>
        <v>0</v>
      </c>
      <c r="O530" s="28">
        <f>IFERROR(VLOOKUP(BD_DETALLE!B530,Tabla9[],11,0),0)</f>
        <v>0</v>
      </c>
      <c r="P530" s="26">
        <f>IFERROR(SUMIFS(Tabla9[CANTIDAD3],Tabla9[BUSQUEDA],Tabla3[[#This Row],[BUSQUEDA]],Tabla9[CODIGO],Tabla3[[#This Row],[CODIGO]]),0)</f>
        <v>0</v>
      </c>
      <c r="Q530" s="25">
        <f>IF(BD_DETALLE!P530&lt;=0,0,IF(BD_DETALLE!P530=BD_DETALLE!H530,2,1))</f>
        <v>0</v>
      </c>
      <c r="R530" s="41">
        <f ca="1">IF(BD_DETALLE!$C530&gt;0,(IF(BD_DETALLE!$N530=0,TODAY()-BD_DETALLE!$C530,BD_DETALLE!$N530-BD_DETALLE!$C530)),"")</f>
        <v>27</v>
      </c>
    </row>
    <row r="531" spans="2:18" x14ac:dyDescent="0.25">
      <c r="B531" s="15" t="str">
        <f t="shared" si="55"/>
        <v>2103-230-206122</v>
      </c>
      <c r="C531" s="7">
        <v>44278</v>
      </c>
      <c r="D531" s="5" t="str">
        <f>IF(BD_DETALLE!$E531&gt;=1,CONCATENATE(TEXT(BD_DETALLE!$C531,"YY"),TEXT(BD_DETALLE!$C531,"MM"),"-",BD_DETALLE!$E531),"")</f>
        <v>2103-230</v>
      </c>
      <c r="E531" s="12">
        <v>230</v>
      </c>
      <c r="F531" s="21">
        <v>206122</v>
      </c>
      <c r="G531" s="4" t="str">
        <f>IFERROR(VLOOKUP(BD_DETALLE!$B531,Tabla9[],6,0),"")</f>
        <v>MANOMETRO HORIZONTAL DIAL 2.5" DE 0-100PSI, C/TOMA DE 1/4"</v>
      </c>
      <c r="H531" s="6">
        <f>IFERROR(VLOOKUP(BD_DETALLE!$B531,Tabla9[],4,0),0)</f>
        <v>4</v>
      </c>
      <c r="I531" s="19" t="s">
        <v>12</v>
      </c>
      <c r="J531" s="20" t="s">
        <v>2138</v>
      </c>
      <c r="K531" s="10">
        <f>IFERROR(VLOOKUP(BD_DETALLE!B531,Tabla9[],7,0),"")</f>
        <v>0</v>
      </c>
      <c r="L531" s="11">
        <f>IFERROR(VLOOKUP(BD_DETALLE!B531,Tabla9[],8,0),"")</f>
        <v>0</v>
      </c>
      <c r="M531" s="9">
        <f>IFERROR(SUMIFS(Tabla9[CANTIDAD2],Tabla9[BUSQUEDA],Tabla3[[#This Row],[BUSQUEDA]],Tabla9[CODIGO],Tabla3[[#This Row],[CODIGO]],Tabla9[ORDEN No.],Tabla3[[#This Row],[ORDEN de COMPRA]]),0)</f>
        <v>0</v>
      </c>
      <c r="N531" s="27">
        <f>IFERROR(IF(BD_DETALLE!B531&gt;0,VLOOKUP(BD_DETALLE!B531,Tabla9[],10,0),""),"")</f>
        <v>0</v>
      </c>
      <c r="O531" s="28">
        <f>IFERROR(VLOOKUP(BD_DETALLE!B531,Tabla9[],11,0),0)</f>
        <v>0</v>
      </c>
      <c r="P531" s="26">
        <f>IFERROR(SUMIFS(Tabla9[CANTIDAD3],Tabla9[BUSQUEDA],Tabla3[[#This Row],[BUSQUEDA]],Tabla9[CODIGO],Tabla3[[#This Row],[CODIGO]]),0)</f>
        <v>0</v>
      </c>
      <c r="Q531" s="25">
        <f>IF(BD_DETALLE!P531&lt;=0,0,IF(BD_DETALLE!P531=BD_DETALLE!H531,2,1))</f>
        <v>0</v>
      </c>
      <c r="R531" s="41">
        <f ca="1">IF(BD_DETALLE!$C531&gt;0,(IF(BD_DETALLE!$N531=0,TODAY()-BD_DETALLE!$C531,BD_DETALLE!$N531-BD_DETALLE!$C531)),"")</f>
        <v>27</v>
      </c>
    </row>
    <row r="532" spans="2:18" x14ac:dyDescent="0.25">
      <c r="B532" s="15" t="str">
        <f t="shared" si="55"/>
        <v>2103-230-205602</v>
      </c>
      <c r="C532" s="7">
        <v>44278</v>
      </c>
      <c r="D532" s="5" t="str">
        <f>IF(BD_DETALLE!$E532&gt;=1,CONCATENATE(TEXT(BD_DETALLE!$C532,"YY"),TEXT(BD_DETALLE!$C532,"MM"),"-",BD_DETALLE!$E532),"")</f>
        <v>2103-230</v>
      </c>
      <c r="E532" s="12">
        <v>230</v>
      </c>
      <c r="F532" s="21">
        <v>205602</v>
      </c>
      <c r="G532" s="4" t="str">
        <f>IFERROR(VLOOKUP(BD_DETALLE!$B532,Tabla9[],6,0),"")</f>
        <v>TUBO H/N DE 1/2" CEL 40</v>
      </c>
      <c r="H532" s="6">
        <f>IFERROR(VLOOKUP(BD_DETALLE!$B532,Tabla9[],4,0),0)</f>
        <v>4</v>
      </c>
      <c r="I532" s="19" t="s">
        <v>12</v>
      </c>
      <c r="J532" s="20" t="s">
        <v>2138</v>
      </c>
      <c r="K532" s="10">
        <f>IFERROR(VLOOKUP(BD_DETALLE!B532,Tabla9[],7,0),"")</f>
        <v>0</v>
      </c>
      <c r="L532" s="11">
        <f>IFERROR(VLOOKUP(BD_DETALLE!B532,Tabla9[],8,0),"")</f>
        <v>0</v>
      </c>
      <c r="M532" s="9">
        <f>IFERROR(SUMIFS(Tabla9[CANTIDAD2],Tabla9[BUSQUEDA],Tabla3[[#This Row],[BUSQUEDA]],Tabla9[CODIGO],Tabla3[[#This Row],[CODIGO]],Tabla9[ORDEN No.],Tabla3[[#This Row],[ORDEN de COMPRA]]),0)</f>
        <v>0</v>
      </c>
      <c r="N532" s="27">
        <f>IFERROR(IF(BD_DETALLE!B532&gt;0,VLOOKUP(BD_DETALLE!B532,Tabla9[],10,0),""),"")</f>
        <v>0</v>
      </c>
      <c r="O532" s="28">
        <f>IFERROR(VLOOKUP(BD_DETALLE!B532,Tabla9[],11,0),0)</f>
        <v>0</v>
      </c>
      <c r="P532" s="26">
        <f>IFERROR(SUMIFS(Tabla9[CANTIDAD3],Tabla9[BUSQUEDA],Tabla3[[#This Row],[BUSQUEDA]],Tabla9[CODIGO],Tabla3[[#This Row],[CODIGO]]),0)</f>
        <v>0</v>
      </c>
      <c r="Q532" s="25">
        <f>IF(BD_DETALLE!P532&lt;=0,0,IF(BD_DETALLE!P532=BD_DETALLE!H532,2,1))</f>
        <v>0</v>
      </c>
      <c r="R532" s="41">
        <f ca="1">IF(BD_DETALLE!$C532&gt;0,(IF(BD_DETALLE!$N532=0,TODAY()-BD_DETALLE!$C532,BD_DETALLE!$N532-BD_DETALLE!$C532)),"")</f>
        <v>27</v>
      </c>
    </row>
    <row r="533" spans="2:18" x14ac:dyDescent="0.25">
      <c r="B533" s="15" t="str">
        <f t="shared" si="55"/>
        <v>2103-230-206617</v>
      </c>
      <c r="C533" s="7">
        <v>44278</v>
      </c>
      <c r="D533" s="5" t="str">
        <f>IF(BD_DETALLE!$E533&gt;=1,CONCATENATE(TEXT(BD_DETALLE!$C533,"YY"),TEXT(BD_DETALLE!$C533,"MM"),"-",BD_DETALLE!$E533),"")</f>
        <v>2103-230</v>
      </c>
      <c r="E533" s="12">
        <v>230</v>
      </c>
      <c r="F533" s="21">
        <v>206617</v>
      </c>
      <c r="G533" s="4" t="str">
        <f>IFERROR(VLOOKUP(BD_DETALLE!$B533,Tabla9[],6,0),"")</f>
        <v>VALVULA H/N A/RAPIDA DE 1/2" P/VAPOR</v>
      </c>
      <c r="H533" s="6">
        <f>IFERROR(VLOOKUP(BD_DETALLE!$B533,Tabla9[],4,0),0)</f>
        <v>4</v>
      </c>
      <c r="I533" s="19" t="s">
        <v>12</v>
      </c>
      <c r="J533" s="20" t="s">
        <v>2138</v>
      </c>
      <c r="K533" s="10">
        <f>IFERROR(VLOOKUP(BD_DETALLE!B533,Tabla9[],7,0),"")</f>
        <v>0</v>
      </c>
      <c r="L533" s="11">
        <f>IFERROR(VLOOKUP(BD_DETALLE!B533,Tabla9[],8,0),"")</f>
        <v>0</v>
      </c>
      <c r="M533" s="9">
        <f>IFERROR(SUMIFS(Tabla9[CANTIDAD2],Tabla9[BUSQUEDA],Tabla3[[#This Row],[BUSQUEDA]],Tabla9[CODIGO],Tabla3[[#This Row],[CODIGO]],Tabla9[ORDEN No.],Tabla3[[#This Row],[ORDEN de COMPRA]]),0)</f>
        <v>0</v>
      </c>
      <c r="N533" s="27">
        <f>IFERROR(IF(BD_DETALLE!B533&gt;0,VLOOKUP(BD_DETALLE!B533,Tabla9[],10,0),""),"")</f>
        <v>0</v>
      </c>
      <c r="O533" s="28">
        <f>IFERROR(VLOOKUP(BD_DETALLE!B533,Tabla9[],11,0),0)</f>
        <v>0</v>
      </c>
      <c r="P533" s="26">
        <f>IFERROR(SUMIFS(Tabla9[CANTIDAD3],Tabla9[BUSQUEDA],Tabla3[[#This Row],[BUSQUEDA]],Tabla9[CODIGO],Tabla3[[#This Row],[CODIGO]]),0)</f>
        <v>0</v>
      </c>
      <c r="Q533" s="25">
        <f>IF(BD_DETALLE!P533&lt;=0,0,IF(BD_DETALLE!P533=BD_DETALLE!H533,2,1))</f>
        <v>0</v>
      </c>
      <c r="R533" s="41">
        <f ca="1">IF(BD_DETALLE!$C533&gt;0,(IF(BD_DETALLE!$N533=0,TODAY()-BD_DETALLE!$C533,BD_DETALLE!$N533-BD_DETALLE!$C533)),"")</f>
        <v>27</v>
      </c>
    </row>
    <row r="534" spans="2:18" x14ac:dyDescent="0.25">
      <c r="B534" s="15" t="str">
        <f t="shared" si="55"/>
        <v>2103-230-320962</v>
      </c>
      <c r="C534" s="7">
        <v>44278</v>
      </c>
      <c r="D534" s="5" t="str">
        <f>IF(BD_DETALLE!$E534&gt;=1,CONCATENATE(TEXT(BD_DETALLE!$C534,"YY"),TEXT(BD_DETALLE!$C534,"MM"),"-",BD_DETALLE!$E534),"")</f>
        <v>2103-230</v>
      </c>
      <c r="E534" s="12">
        <v>230</v>
      </c>
      <c r="F534" s="21">
        <v>320962</v>
      </c>
      <c r="G534" s="4" t="str">
        <f>IFERROR(VLOOKUP(BD_DETALLE!$B534,Tabla9[],6,0),"")</f>
        <v>TERMOMETRO DE 0 - 100░ DIAL 2.1/2" BULBO 2" CONEXIËN POSTERIOR DE 1/2" NPT</v>
      </c>
      <c r="H534" s="6">
        <f>IFERROR(VLOOKUP(BD_DETALLE!$B534,Tabla9[],4,0),0)</f>
        <v>4</v>
      </c>
      <c r="I534" s="19" t="s">
        <v>12</v>
      </c>
      <c r="J534" s="20" t="s">
        <v>2138</v>
      </c>
      <c r="K534" s="10">
        <f>IFERROR(VLOOKUP(BD_DETALLE!B534,Tabla9[],7,0),"")</f>
        <v>0</v>
      </c>
      <c r="L534" s="11">
        <f>IFERROR(VLOOKUP(BD_DETALLE!B534,Tabla9[],8,0),"")</f>
        <v>0</v>
      </c>
      <c r="M534" s="9">
        <f>IFERROR(SUMIFS(Tabla9[CANTIDAD2],Tabla9[BUSQUEDA],Tabla3[[#This Row],[BUSQUEDA]],Tabla9[CODIGO],Tabla3[[#This Row],[CODIGO]],Tabla9[ORDEN No.],Tabla3[[#This Row],[ORDEN de COMPRA]]),0)</f>
        <v>0</v>
      </c>
      <c r="N534" s="27">
        <f>IFERROR(IF(BD_DETALLE!B534&gt;0,VLOOKUP(BD_DETALLE!B534,Tabla9[],10,0),""),"")</f>
        <v>0</v>
      </c>
      <c r="O534" s="28">
        <f>IFERROR(VLOOKUP(BD_DETALLE!B534,Tabla9[],11,0),0)</f>
        <v>0</v>
      </c>
      <c r="P534" s="26">
        <f>IFERROR(SUMIFS(Tabla9[CANTIDAD3],Tabla9[BUSQUEDA],Tabla3[[#This Row],[BUSQUEDA]],Tabla9[CODIGO],Tabla3[[#This Row],[CODIGO]]),0)</f>
        <v>0</v>
      </c>
      <c r="Q534" s="25">
        <f>IF(BD_DETALLE!P534&lt;=0,0,IF(BD_DETALLE!P534=BD_DETALLE!H534,2,1))</f>
        <v>0</v>
      </c>
      <c r="R534" s="41">
        <f ca="1">IF(BD_DETALLE!$C534&gt;0,(IF(BD_DETALLE!$N534=0,TODAY()-BD_DETALLE!$C534,BD_DETALLE!$N534-BD_DETALLE!$C534)),"")</f>
        <v>27</v>
      </c>
    </row>
    <row r="535" spans="2:18" x14ac:dyDescent="0.25">
      <c r="B535" s="15" t="str">
        <f t="shared" si="55"/>
        <v>2103-235-315711</v>
      </c>
      <c r="C535" s="7">
        <v>44278</v>
      </c>
      <c r="D535" s="5" t="str">
        <f>IF(BD_DETALLE!$E535&gt;=1,CONCATENATE(TEXT(BD_DETALLE!$C535,"YY"),TEXT(BD_DETALLE!$C535,"MM"),"-",BD_DETALLE!$E535),"")</f>
        <v>2103-235</v>
      </c>
      <c r="E535" s="12">
        <v>235</v>
      </c>
      <c r="F535" s="21">
        <v>315711</v>
      </c>
      <c r="G535" s="4" t="str">
        <f>IFERROR(VLOOKUP(BD_DETALLE!$B535,Tabla9[],6,0),"")</f>
        <v>TUBO FLUORESCENTE LED DE 18W</v>
      </c>
      <c r="H535" s="6">
        <f>IFERROR(VLOOKUP(BD_DETALLE!$B535,Tabla9[],4,0),0)</f>
        <v>40</v>
      </c>
      <c r="I535" s="19" t="s">
        <v>20</v>
      </c>
      <c r="J535" s="20" t="s">
        <v>1043</v>
      </c>
      <c r="K535" s="10">
        <f>IFERROR(VLOOKUP(BD_DETALLE!B535,Tabla9[],7,0),"")</f>
        <v>0</v>
      </c>
      <c r="L535" s="11">
        <f>IFERROR(VLOOKUP(BD_DETALLE!B535,Tabla9[],8,0),"")</f>
        <v>0</v>
      </c>
      <c r="M535" s="9">
        <f>IFERROR(SUMIFS(Tabla9[CANTIDAD2],Tabla9[BUSQUEDA],Tabla3[[#This Row],[BUSQUEDA]],Tabla9[CODIGO],Tabla3[[#This Row],[CODIGO]],Tabla9[ORDEN No.],Tabla3[[#This Row],[ORDEN de COMPRA]]),0)</f>
        <v>0</v>
      </c>
      <c r="N535" s="27">
        <f>IFERROR(IF(BD_DETALLE!B535&gt;0,VLOOKUP(BD_DETALLE!B535,Tabla9[],10,0),""),"")</f>
        <v>0</v>
      </c>
      <c r="O535" s="28">
        <f>IFERROR(VLOOKUP(BD_DETALLE!B535,Tabla9[],11,0),0)</f>
        <v>0</v>
      </c>
      <c r="P535" s="26">
        <f>IFERROR(SUMIFS(Tabla9[CANTIDAD3],Tabla9[BUSQUEDA],Tabla3[[#This Row],[BUSQUEDA]],Tabla9[CODIGO],Tabla3[[#This Row],[CODIGO]]),0)</f>
        <v>0</v>
      </c>
      <c r="Q535" s="25">
        <f>IF(BD_DETALLE!P535&lt;=0,0,IF(BD_DETALLE!P535=BD_DETALLE!H535,2,1))</f>
        <v>0</v>
      </c>
      <c r="R535" s="41">
        <f ca="1">IF(BD_DETALLE!$C535&gt;0,(IF(BD_DETALLE!$N535=0,TODAY()-BD_DETALLE!$C535,BD_DETALLE!$N535-BD_DETALLE!$C535)),"")</f>
        <v>27</v>
      </c>
    </row>
    <row r="536" spans="2:18" x14ac:dyDescent="0.25">
      <c r="B536" s="15" t="str">
        <f t="shared" si="55"/>
        <v>2103-235-315501</v>
      </c>
      <c r="C536" s="7">
        <v>44278</v>
      </c>
      <c r="D536" s="5" t="str">
        <f>IF(BD_DETALLE!$E536&gt;=1,CONCATENATE(TEXT(BD_DETALLE!$C536,"YY"),TEXT(BD_DETALLE!$C536,"MM"),"-",BD_DETALLE!$E536),"")</f>
        <v>2103-235</v>
      </c>
      <c r="E536" s="12">
        <v>235</v>
      </c>
      <c r="F536" s="21">
        <v>315501</v>
      </c>
      <c r="G536" s="4" t="str">
        <f>IFERROR(VLOOKUP(BD_DETALLE!$B536,Tabla9[],6,0),"")</f>
        <v>LAMPARA TUMBADO LED DE 2 x 18W</v>
      </c>
      <c r="H536" s="6">
        <f>IFERROR(VLOOKUP(BD_DETALLE!$B536,Tabla9[],4,0),0)</f>
        <v>3</v>
      </c>
      <c r="I536" s="19" t="s">
        <v>20</v>
      </c>
      <c r="J536" s="20" t="s">
        <v>1043</v>
      </c>
      <c r="K536" s="10">
        <f>IFERROR(VLOOKUP(BD_DETALLE!B536,Tabla9[],7,0),"")</f>
        <v>0</v>
      </c>
      <c r="L536" s="11">
        <f>IFERROR(VLOOKUP(BD_DETALLE!B536,Tabla9[],8,0),"")</f>
        <v>0</v>
      </c>
      <c r="M536" s="9">
        <f>IFERROR(SUMIFS(Tabla9[CANTIDAD2],Tabla9[BUSQUEDA],Tabla3[[#This Row],[BUSQUEDA]],Tabla9[CODIGO],Tabla3[[#This Row],[CODIGO]],Tabla9[ORDEN No.],Tabla3[[#This Row],[ORDEN de COMPRA]]),0)</f>
        <v>0</v>
      </c>
      <c r="N536" s="27">
        <f>IFERROR(IF(BD_DETALLE!B536&gt;0,VLOOKUP(BD_DETALLE!B536,Tabla9[],10,0),""),"")</f>
        <v>0</v>
      </c>
      <c r="O536" s="28">
        <f>IFERROR(VLOOKUP(BD_DETALLE!B536,Tabla9[],11,0),0)</f>
        <v>0</v>
      </c>
      <c r="P536" s="26">
        <f>IFERROR(SUMIFS(Tabla9[CANTIDAD3],Tabla9[BUSQUEDA],Tabla3[[#This Row],[BUSQUEDA]],Tabla9[CODIGO],Tabla3[[#This Row],[CODIGO]]),0)</f>
        <v>0</v>
      </c>
      <c r="Q536" s="25">
        <f>IF(BD_DETALLE!P536&lt;=0,0,IF(BD_DETALLE!P536=BD_DETALLE!H536,2,1))</f>
        <v>0</v>
      </c>
      <c r="R536" s="41">
        <f ca="1">IF(BD_DETALLE!$C536&gt;0,(IF(BD_DETALLE!$N536=0,TODAY()-BD_DETALLE!$C536,BD_DETALLE!$N536-BD_DETALLE!$C536)),"")</f>
        <v>27</v>
      </c>
    </row>
    <row r="537" spans="2:18" x14ac:dyDescent="0.25">
      <c r="B537" s="15" t="str">
        <f t="shared" si="55"/>
        <v>2103-235-203372</v>
      </c>
      <c r="C537" s="7">
        <v>44278</v>
      </c>
      <c r="D537" s="5" t="str">
        <f>IF(BD_DETALLE!$E537&gt;=1,CONCATENATE(TEXT(BD_DETALLE!$C537,"YY"),TEXT(BD_DETALLE!$C537,"MM"),"-",BD_DETALLE!$E537),"")</f>
        <v>2103-235</v>
      </c>
      <c r="E537" s="12">
        <v>235</v>
      </c>
      <c r="F537" s="21">
        <v>203372</v>
      </c>
      <c r="G537" s="4" t="str">
        <f>IFERROR(VLOOKUP(BD_DETALLE!$B537,Tabla9[],6,0),"")</f>
        <v>CABLE CONCENTRICO 4 x 10</v>
      </c>
      <c r="H537" s="6">
        <f>IFERROR(VLOOKUP(BD_DETALLE!$B537,Tabla9[],4,0),0)</f>
        <v>50</v>
      </c>
      <c r="I537" s="19" t="s">
        <v>20</v>
      </c>
      <c r="J537" s="20" t="s">
        <v>1043</v>
      </c>
      <c r="K537" s="10">
        <f>IFERROR(VLOOKUP(BD_DETALLE!B537,Tabla9[],7,0),"")</f>
        <v>0</v>
      </c>
      <c r="L537" s="11">
        <f>IFERROR(VLOOKUP(BD_DETALLE!B537,Tabla9[],8,0),"")</f>
        <v>0</v>
      </c>
      <c r="M537" s="9">
        <f>IFERROR(SUMIFS(Tabla9[CANTIDAD2],Tabla9[BUSQUEDA],Tabla3[[#This Row],[BUSQUEDA]],Tabla9[CODIGO],Tabla3[[#This Row],[CODIGO]],Tabla9[ORDEN No.],Tabla3[[#This Row],[ORDEN de COMPRA]]),0)</f>
        <v>0</v>
      </c>
      <c r="N537" s="27">
        <f>IFERROR(IF(BD_DETALLE!B537&gt;0,VLOOKUP(BD_DETALLE!B537,Tabla9[],10,0),""),"")</f>
        <v>0</v>
      </c>
      <c r="O537" s="28">
        <f>IFERROR(VLOOKUP(BD_DETALLE!B537,Tabla9[],11,0),0)</f>
        <v>0</v>
      </c>
      <c r="P537" s="26">
        <f>IFERROR(SUMIFS(Tabla9[CANTIDAD3],Tabla9[BUSQUEDA],Tabla3[[#This Row],[BUSQUEDA]],Tabla9[CODIGO],Tabla3[[#This Row],[CODIGO]]),0)</f>
        <v>0</v>
      </c>
      <c r="Q537" s="25">
        <f>IF(BD_DETALLE!P537&lt;=0,0,IF(BD_DETALLE!P537=BD_DETALLE!H537,2,1))</f>
        <v>0</v>
      </c>
      <c r="R537" s="41">
        <f ca="1">IF(BD_DETALLE!$C537&gt;0,(IF(BD_DETALLE!$N537=0,TODAY()-BD_DETALLE!$C537,BD_DETALLE!$N537-BD_DETALLE!$C537)),"")</f>
        <v>27</v>
      </c>
    </row>
    <row r="538" spans="2:18" x14ac:dyDescent="0.25">
      <c r="B538" s="15" t="str">
        <f t="shared" si="55"/>
        <v>2103-236-204568</v>
      </c>
      <c r="C538" s="7">
        <v>44278</v>
      </c>
      <c r="D538" s="5" t="str">
        <f>IF(BD_DETALLE!$E538&gt;=1,CONCATENATE(TEXT(BD_DETALLE!$C538,"YY"),TEXT(BD_DETALLE!$C538,"MM"),"-",BD_DETALLE!$E538),"")</f>
        <v>2103-236</v>
      </c>
      <c r="E538" s="12">
        <v>236</v>
      </c>
      <c r="F538" s="21">
        <v>204568</v>
      </c>
      <c r="G538" s="4" t="str">
        <f>IFERROR(VLOOKUP(BD_DETALLE!$B538,Tabla9[],6,0),"")</f>
        <v>MANGUERA DE CAUCHO Y LONA 1/2"</v>
      </c>
      <c r="H538" s="6">
        <f>IFERROR(VLOOKUP(BD_DETALLE!$B538,Tabla9[],4,0),0)</f>
        <v>40</v>
      </c>
      <c r="I538" s="19" t="s">
        <v>1</v>
      </c>
      <c r="J538" s="20" t="s">
        <v>2140</v>
      </c>
      <c r="K538" s="10">
        <f>IFERROR(VLOOKUP(BD_DETALLE!B538,Tabla9[],7,0),"")</f>
        <v>0</v>
      </c>
      <c r="L538" s="11">
        <f>IFERROR(VLOOKUP(BD_DETALLE!B538,Tabla9[],8,0),"")</f>
        <v>0</v>
      </c>
      <c r="M538" s="9">
        <f>IFERROR(SUMIFS(Tabla9[CANTIDAD2],Tabla9[BUSQUEDA],Tabla3[[#This Row],[BUSQUEDA]],Tabla9[CODIGO],Tabla3[[#This Row],[CODIGO]],Tabla9[ORDEN No.],Tabla3[[#This Row],[ORDEN de COMPRA]]),0)</f>
        <v>0</v>
      </c>
      <c r="N538" s="27">
        <f>IFERROR(IF(BD_DETALLE!B538&gt;0,VLOOKUP(BD_DETALLE!B538,Tabla9[],10,0),""),"")</f>
        <v>0</v>
      </c>
      <c r="O538" s="28">
        <f>IFERROR(VLOOKUP(BD_DETALLE!B538,Tabla9[],11,0),0)</f>
        <v>0</v>
      </c>
      <c r="P538" s="26">
        <f>IFERROR(SUMIFS(Tabla9[CANTIDAD3],Tabla9[BUSQUEDA],Tabla3[[#This Row],[BUSQUEDA]],Tabla9[CODIGO],Tabla3[[#This Row],[CODIGO]]),0)</f>
        <v>0</v>
      </c>
      <c r="Q538" s="25">
        <f>IF(BD_DETALLE!P538&lt;=0,0,IF(BD_DETALLE!P538=BD_DETALLE!H538,2,1))</f>
        <v>0</v>
      </c>
      <c r="R538" s="41">
        <f ca="1">IF(BD_DETALLE!$C538&gt;0,(IF(BD_DETALLE!$N538=0,TODAY()-BD_DETALLE!$C538,BD_DETALLE!$N538-BD_DETALLE!$C538)),"")</f>
        <v>27</v>
      </c>
    </row>
    <row r="539" spans="2:18" x14ac:dyDescent="0.25">
      <c r="B539" s="15" t="str">
        <f t="shared" si="55"/>
        <v>2103-237-314341</v>
      </c>
      <c r="C539" s="7">
        <v>44278</v>
      </c>
      <c r="D539" s="5" t="str">
        <f>IF(BD_DETALLE!$E539&gt;=1,CONCATENATE(TEXT(BD_DETALLE!$C539,"YY"),TEXT(BD_DETALLE!$C539,"MM"),"-",BD_DETALLE!$E539),"")</f>
        <v>2103-237</v>
      </c>
      <c r="E539" s="12">
        <v>237</v>
      </c>
      <c r="F539" s="21">
        <v>314341</v>
      </c>
      <c r="G539" s="4" t="str">
        <f>IFERROR(VLOOKUP(BD_DETALLE!$B539,Tabla9[],6,0),"")</f>
        <v>BOQUILLA 10706-HSS 0.21 5000PSI 2.4</v>
      </c>
      <c r="H539" s="6">
        <f>IFERROR(VLOOKUP(BD_DETALLE!$B539,Tabla9[],4,0),0)</f>
        <v>4</v>
      </c>
      <c r="I539" s="19" t="s">
        <v>1</v>
      </c>
      <c r="J539" s="20" t="s">
        <v>2140</v>
      </c>
      <c r="K539" s="10">
        <f>IFERROR(VLOOKUP(BD_DETALLE!B539,Tabla9[],7,0),"")</f>
        <v>0</v>
      </c>
      <c r="L539" s="11">
        <f>IFERROR(VLOOKUP(BD_DETALLE!B539,Tabla9[],8,0),"")</f>
        <v>0</v>
      </c>
      <c r="M539" s="9">
        <f>IFERROR(SUMIFS(Tabla9[CANTIDAD2],Tabla9[BUSQUEDA],Tabla3[[#This Row],[BUSQUEDA]],Tabla9[CODIGO],Tabla3[[#This Row],[CODIGO]],Tabla9[ORDEN No.],Tabla3[[#This Row],[ORDEN de COMPRA]]),0)</f>
        <v>0</v>
      </c>
      <c r="N539" s="27">
        <f>IFERROR(IF(BD_DETALLE!B539&gt;0,VLOOKUP(BD_DETALLE!B539,Tabla9[],10,0),""),"")</f>
        <v>0</v>
      </c>
      <c r="O539" s="28">
        <f>IFERROR(VLOOKUP(BD_DETALLE!B539,Tabla9[],11,0),0)</f>
        <v>0</v>
      </c>
      <c r="P539" s="26">
        <f>IFERROR(SUMIFS(Tabla9[CANTIDAD3],Tabla9[BUSQUEDA],Tabla3[[#This Row],[BUSQUEDA]],Tabla9[CODIGO],Tabla3[[#This Row],[CODIGO]]),0)</f>
        <v>0</v>
      </c>
      <c r="Q539" s="25">
        <f>IF(BD_DETALLE!P539&lt;=0,0,IF(BD_DETALLE!P539=BD_DETALLE!H539,2,1))</f>
        <v>0</v>
      </c>
      <c r="R539" s="41">
        <f ca="1">IF(BD_DETALLE!$C539&gt;0,(IF(BD_DETALLE!$N539=0,TODAY()-BD_DETALLE!$C539,BD_DETALLE!$N539-BD_DETALLE!$C539)),"")</f>
        <v>27</v>
      </c>
    </row>
    <row r="540" spans="2:18" x14ac:dyDescent="0.25">
      <c r="B540" s="15" t="str">
        <f t="shared" si="55"/>
        <v>2103-241-310692</v>
      </c>
      <c r="C540" s="7">
        <v>44278</v>
      </c>
      <c r="D540" s="5" t="str">
        <f>IF(BD_DETALLE!$E540&gt;=1,CONCATENATE(TEXT(BD_DETALLE!$C540,"YY"),TEXT(BD_DETALLE!$C540,"MM"),"-",BD_DETALLE!$E540),"")</f>
        <v>2103-241</v>
      </c>
      <c r="E540" s="12">
        <v>241</v>
      </c>
      <c r="F540" s="21">
        <v>310692</v>
      </c>
      <c r="G540" s="4" t="str">
        <f>IFERROR(VLOOKUP(BD_DETALLE!$B540,Tabla9[],6,0),"")</f>
        <v>ZUNCHO PLASTICO BLANCO</v>
      </c>
      <c r="H540" s="6">
        <f>IFERROR(VLOOKUP(BD_DETALLE!$B540,Tabla9[],4,0),0)</f>
        <v>4</v>
      </c>
      <c r="I540" s="19" t="s">
        <v>10</v>
      </c>
      <c r="J540" s="20" t="s">
        <v>2141</v>
      </c>
      <c r="K540" s="10">
        <f>IFERROR(VLOOKUP(BD_DETALLE!B540,Tabla9[],7,0),"")</f>
        <v>44286</v>
      </c>
      <c r="L540" s="11">
        <f>IFERROR(VLOOKUP(BD_DETALLE!B540,Tabla9[],8,0),"")</f>
        <v>52325</v>
      </c>
      <c r="M540" s="9">
        <f>IFERROR(SUMIFS(Tabla9[CANTIDAD2],Tabla9[BUSQUEDA],Tabla3[[#This Row],[BUSQUEDA]],Tabla9[CODIGO],Tabla3[[#This Row],[CODIGO]],Tabla9[ORDEN No.],Tabla3[[#This Row],[ORDEN de COMPRA]]),0)</f>
        <v>4</v>
      </c>
      <c r="N540" s="27">
        <f>IFERROR(IF(BD_DETALLE!B540&gt;0,VLOOKUP(BD_DETALLE!B540,Tabla9[],10,0),""),"")</f>
        <v>44291</v>
      </c>
      <c r="O540" s="28">
        <f>IFERROR(VLOOKUP(BD_DETALLE!B540,Tabla9[],11,0),0)</f>
        <v>11702</v>
      </c>
      <c r="P540" s="26">
        <f>IFERROR(SUMIFS(Tabla9[CANTIDAD3],Tabla9[BUSQUEDA],Tabla3[[#This Row],[BUSQUEDA]],Tabla9[CODIGO],Tabla3[[#This Row],[CODIGO]]),0)</f>
        <v>4</v>
      </c>
      <c r="Q540" s="25">
        <f>IF(BD_DETALLE!P540&lt;=0,0,IF(BD_DETALLE!P540=BD_DETALLE!H540,2,1))</f>
        <v>2</v>
      </c>
      <c r="R540" s="41">
        <f ca="1">IF(BD_DETALLE!$C540&gt;0,(IF(BD_DETALLE!$N540=0,TODAY()-BD_DETALLE!$C540,BD_DETALLE!$N540-BD_DETALLE!$C540)),"")</f>
        <v>13</v>
      </c>
    </row>
    <row r="541" spans="2:18" x14ac:dyDescent="0.25">
      <c r="B541" s="15" t="str">
        <f t="shared" si="55"/>
        <v>2103-241-310693</v>
      </c>
      <c r="C541" s="7">
        <v>44278</v>
      </c>
      <c r="D541" s="5" t="str">
        <f>IF(BD_DETALLE!$E541&gt;=1,CONCATENATE(TEXT(BD_DETALLE!$C541,"YY"),TEXT(BD_DETALLE!$C541,"MM"),"-",BD_DETALLE!$E541),"")</f>
        <v>2103-241</v>
      </c>
      <c r="E541" s="12">
        <v>241</v>
      </c>
      <c r="F541" s="21">
        <v>310693</v>
      </c>
      <c r="G541" s="4" t="str">
        <f>IFERROR(VLOOKUP(BD_DETALLE!$B541,Tabla9[],6,0),"")</f>
        <v>GRAPA C/PUPOS PARA ZUNCHO (X MILLAR)</v>
      </c>
      <c r="H541" s="6">
        <f>IFERROR(VLOOKUP(BD_DETALLE!$B541,Tabla9[],4,0),0)</f>
        <v>1000</v>
      </c>
      <c r="I541" s="19" t="s">
        <v>10</v>
      </c>
      <c r="J541" s="20" t="s">
        <v>2141</v>
      </c>
      <c r="K541" s="10">
        <f>IFERROR(VLOOKUP(BD_DETALLE!B541,Tabla9[],7,0),"")</f>
        <v>44286</v>
      </c>
      <c r="L541" s="11">
        <f>IFERROR(VLOOKUP(BD_DETALLE!B541,Tabla9[],8,0),"")</f>
        <v>52325</v>
      </c>
      <c r="M541" s="9">
        <f>IFERROR(SUMIFS(Tabla9[CANTIDAD2],Tabla9[BUSQUEDA],Tabla3[[#This Row],[BUSQUEDA]],Tabla9[CODIGO],Tabla3[[#This Row],[CODIGO]],Tabla9[ORDEN No.],Tabla3[[#This Row],[ORDEN de COMPRA]]),0)</f>
        <v>1000</v>
      </c>
      <c r="N541" s="27">
        <f>IFERROR(IF(BD_DETALLE!B541&gt;0,VLOOKUP(BD_DETALLE!B541,Tabla9[],10,0),""),"")</f>
        <v>44291</v>
      </c>
      <c r="O541" s="28">
        <f>IFERROR(VLOOKUP(BD_DETALLE!B541,Tabla9[],11,0),0)</f>
        <v>11702</v>
      </c>
      <c r="P541" s="26">
        <f>IFERROR(SUMIFS(Tabla9[CANTIDAD3],Tabla9[BUSQUEDA],Tabla3[[#This Row],[BUSQUEDA]],Tabla9[CODIGO],Tabla3[[#This Row],[CODIGO]]),0)</f>
        <v>1000</v>
      </c>
      <c r="Q541" s="25">
        <f>IF(BD_DETALLE!P541&lt;=0,0,IF(BD_DETALLE!P541=BD_DETALLE!H541,2,1))</f>
        <v>2</v>
      </c>
      <c r="R541" s="41">
        <f ca="1">IF(BD_DETALLE!$C541&gt;0,(IF(BD_DETALLE!$N541=0,TODAY()-BD_DETALLE!$C541,BD_DETALLE!$N541-BD_DETALLE!$C541)),"")</f>
        <v>13</v>
      </c>
    </row>
    <row r="542" spans="2:18" x14ac:dyDescent="0.25">
      <c r="B542" s="15" t="str">
        <f t="shared" si="55"/>
        <v>2103-241-300500</v>
      </c>
      <c r="C542" s="7">
        <v>44278</v>
      </c>
      <c r="D542" s="5" t="str">
        <f>IF(BD_DETALLE!$E542&gt;=1,CONCATENATE(TEXT(BD_DETALLE!$C542,"YY"),TEXT(BD_DETALLE!$C542,"MM"),"-",BD_DETALLE!$E542),"")</f>
        <v>2103-241</v>
      </c>
      <c r="E542" s="12">
        <v>241</v>
      </c>
      <c r="F542" s="21">
        <v>300500</v>
      </c>
      <c r="G542" s="4" t="str">
        <f>IFERROR(VLOOKUP(BD_DETALLE!$B542,Tabla9[],6,0),"")</f>
        <v>ESTRETCH FILM</v>
      </c>
      <c r="H542" s="6">
        <f>IFERROR(VLOOKUP(BD_DETALLE!$B542,Tabla9[],4,0),0)</f>
        <v>12</v>
      </c>
      <c r="I542" s="19" t="s">
        <v>10</v>
      </c>
      <c r="J542" s="20" t="s">
        <v>2141</v>
      </c>
      <c r="K542" s="10">
        <f>IFERROR(VLOOKUP(BD_DETALLE!B542,Tabla9[],7,0),"")</f>
        <v>44286</v>
      </c>
      <c r="L542" s="11">
        <f>IFERROR(VLOOKUP(BD_DETALLE!B542,Tabla9[],8,0),"")</f>
        <v>52318</v>
      </c>
      <c r="M542" s="9">
        <f>IFERROR(SUMIFS(Tabla9[CANTIDAD2],Tabla9[BUSQUEDA],Tabla3[[#This Row],[BUSQUEDA]],Tabla9[CODIGO],Tabla3[[#This Row],[CODIGO]],Tabla9[ORDEN No.],Tabla3[[#This Row],[ORDEN de COMPRA]]),0)</f>
        <v>12</v>
      </c>
      <c r="N542" s="27">
        <f>IFERROR(IF(BD_DETALLE!B542&gt;0,VLOOKUP(BD_DETALLE!B542,Tabla9[],10,0),""),"")</f>
        <v>44291</v>
      </c>
      <c r="O542" s="28">
        <f>IFERROR(VLOOKUP(BD_DETALLE!B542,Tabla9[],11,0),0)</f>
        <v>11689</v>
      </c>
      <c r="P542" s="26">
        <f>IFERROR(SUMIFS(Tabla9[CANTIDAD3],Tabla9[BUSQUEDA],Tabla3[[#This Row],[BUSQUEDA]],Tabla9[CODIGO],Tabla3[[#This Row],[CODIGO]]),0)</f>
        <v>12</v>
      </c>
      <c r="Q542" s="25">
        <f>IF(BD_DETALLE!P542&lt;=0,0,IF(BD_DETALLE!P542=BD_DETALLE!H542,2,1))</f>
        <v>2</v>
      </c>
      <c r="R542" s="41">
        <f ca="1">IF(BD_DETALLE!$C542&gt;0,(IF(BD_DETALLE!$N542=0,TODAY()-BD_DETALLE!$C542,BD_DETALLE!$N542-BD_DETALLE!$C542)),"")</f>
        <v>13</v>
      </c>
    </row>
    <row r="543" spans="2:18" x14ac:dyDescent="0.25">
      <c r="B543" s="15" t="str">
        <f t="shared" si="55"/>
        <v>2103-242-200267</v>
      </c>
      <c r="C543" s="7">
        <v>44278</v>
      </c>
      <c r="D543" s="5" t="str">
        <f>IF(BD_DETALLE!$E543&gt;=1,CONCATENATE(TEXT(BD_DETALLE!$C543,"YY"),TEXT(BD_DETALLE!$C543,"MM"),"-",BD_DETALLE!$E543),"")</f>
        <v>2103-242</v>
      </c>
      <c r="E543" s="12">
        <v>242</v>
      </c>
      <c r="F543" s="21">
        <v>200267</v>
      </c>
      <c r="G543" s="4" t="str">
        <f>IFERROR(VLOOKUP(BD_DETALLE!$B543,Tabla9[],6,0),"")</f>
        <v>PINTURA ANTICORROSIVA GRIS MATE</v>
      </c>
      <c r="H543" s="6">
        <f>IFERROR(VLOOKUP(BD_DETALLE!$B543,Tabla9[],4,0),0)</f>
        <v>10</v>
      </c>
      <c r="I543" s="19" t="s">
        <v>15</v>
      </c>
      <c r="J543" s="20" t="s">
        <v>385</v>
      </c>
      <c r="K543" s="10">
        <f>IFERROR(VLOOKUP(BD_DETALLE!B543,Tabla9[],7,0),"")</f>
        <v>44294</v>
      </c>
      <c r="L543" s="11">
        <f>IFERROR(VLOOKUP(BD_DETALLE!B543,Tabla9[],8,0),"")</f>
        <v>52394</v>
      </c>
      <c r="M543" s="9">
        <f>IFERROR(SUMIFS(Tabla9[CANTIDAD2],Tabla9[BUSQUEDA],Tabla3[[#This Row],[BUSQUEDA]],Tabla9[CODIGO],Tabla3[[#This Row],[CODIGO]],Tabla9[ORDEN No.],Tabla3[[#This Row],[ORDEN de COMPRA]]),0)</f>
        <v>10</v>
      </c>
      <c r="N543" s="27">
        <f>IFERROR(IF(BD_DETALLE!B543&gt;0,VLOOKUP(BD_DETALLE!B543,Tabla9[],10,0),""),"")</f>
        <v>0</v>
      </c>
      <c r="O543" s="28">
        <f>IFERROR(VLOOKUP(BD_DETALLE!B543,Tabla9[],11,0),0)</f>
        <v>0</v>
      </c>
      <c r="P543" s="26">
        <f>IFERROR(SUMIFS(Tabla9[CANTIDAD3],Tabla9[BUSQUEDA],Tabla3[[#This Row],[BUSQUEDA]],Tabla9[CODIGO],Tabla3[[#This Row],[CODIGO]]),0)</f>
        <v>0</v>
      </c>
      <c r="Q543" s="25">
        <f>IF(BD_DETALLE!P543&lt;=0,0,IF(BD_DETALLE!P543=BD_DETALLE!H543,2,1))</f>
        <v>0</v>
      </c>
      <c r="R543" s="41">
        <f ca="1">IF(BD_DETALLE!$C543&gt;0,(IF(BD_DETALLE!$N543=0,TODAY()-BD_DETALLE!$C543,BD_DETALLE!$N543-BD_DETALLE!$C543)),"")</f>
        <v>27</v>
      </c>
    </row>
    <row r="544" spans="2:18" x14ac:dyDescent="0.25">
      <c r="B544" s="15" t="str">
        <f t="shared" si="55"/>
        <v>2103-242-200271</v>
      </c>
      <c r="C544" s="7">
        <v>44278</v>
      </c>
      <c r="D544" s="5" t="str">
        <f>IF(BD_DETALLE!$E544&gt;=1,CONCATENATE(TEXT(BD_DETALLE!$C544,"YY"),TEXT(BD_DETALLE!$C544,"MM"),"-",BD_DETALLE!$E544),"")</f>
        <v>2103-242</v>
      </c>
      <c r="E544" s="12">
        <v>242</v>
      </c>
      <c r="F544" s="21">
        <v>200271</v>
      </c>
      <c r="G544" s="4" t="str">
        <f>IFERROR(VLOOKUP(BD_DETALLE!$B544,Tabla9[],6,0),"")</f>
        <v>DILUYENTE CORRIENTE</v>
      </c>
      <c r="H544" s="6">
        <f>IFERROR(VLOOKUP(BD_DETALLE!$B544,Tabla9[],4,0),0)</f>
        <v>440</v>
      </c>
      <c r="I544" s="19" t="s">
        <v>15</v>
      </c>
      <c r="J544" s="20" t="s">
        <v>385</v>
      </c>
      <c r="K544" s="10">
        <f>IFERROR(VLOOKUP(BD_DETALLE!B544,Tabla9[],7,0),"")</f>
        <v>44294</v>
      </c>
      <c r="L544" s="11">
        <f>IFERROR(VLOOKUP(BD_DETALLE!B544,Tabla9[],8,0),"")</f>
        <v>52394</v>
      </c>
      <c r="M544" s="9">
        <f>IFERROR(SUMIFS(Tabla9[CANTIDAD2],Tabla9[BUSQUEDA],Tabla3[[#This Row],[BUSQUEDA]],Tabla9[CODIGO],Tabla3[[#This Row],[CODIGO]],Tabla9[ORDEN No.],Tabla3[[#This Row],[ORDEN de COMPRA]]),0)</f>
        <v>220</v>
      </c>
      <c r="N544" s="27">
        <f>IFERROR(IF(BD_DETALLE!B544&gt;0,VLOOKUP(BD_DETALLE!B544,Tabla9[],10,0),""),"")</f>
        <v>0</v>
      </c>
      <c r="O544" s="28">
        <f>IFERROR(VLOOKUP(BD_DETALLE!B544,Tabla9[],11,0),0)</f>
        <v>0</v>
      </c>
      <c r="P544" s="26">
        <f>IFERROR(SUMIFS(Tabla9[CANTIDAD3],Tabla9[BUSQUEDA],Tabla3[[#This Row],[BUSQUEDA]],Tabla9[CODIGO],Tabla3[[#This Row],[CODIGO]]),0)</f>
        <v>0</v>
      </c>
      <c r="Q544" s="25">
        <f>IF(BD_DETALLE!P544&lt;=0,0,IF(BD_DETALLE!P544=BD_DETALLE!H544,2,1))</f>
        <v>0</v>
      </c>
      <c r="R544" s="41">
        <f ca="1">IF(BD_DETALLE!$C544&gt;0,(IF(BD_DETALLE!$N544=0,TODAY()-BD_DETALLE!$C544,BD_DETALLE!$N544-BD_DETALLE!$C544)),"")</f>
        <v>27</v>
      </c>
    </row>
    <row r="545" spans="2:18" x14ac:dyDescent="0.25">
      <c r="B545" s="15" t="str">
        <f t="shared" si="55"/>
        <v>2103-249-315936</v>
      </c>
      <c r="C545" s="7">
        <v>44279</v>
      </c>
      <c r="D545" s="5" t="str">
        <f>IF(BD_DETALLE!$E545&gt;=1,CONCATENATE(TEXT(BD_DETALLE!$C545,"YY"),TEXT(BD_DETALLE!$C545,"MM"),"-",BD_DETALLE!$E545),"")</f>
        <v>2103-249</v>
      </c>
      <c r="E545" s="12">
        <v>249</v>
      </c>
      <c r="F545" s="21">
        <v>315936</v>
      </c>
      <c r="G545" s="4" t="str">
        <f>IFERROR(VLOOKUP(BD_DETALLE!$B545,Tabla9[],6,0),"")</f>
        <v>PANTALON JEAN C/REFLECTIVO - TALLA 30</v>
      </c>
      <c r="H545" s="6">
        <f>IFERROR(VLOOKUP(BD_DETALLE!$B545,Tabla9[],4,0),0)</f>
        <v>40</v>
      </c>
      <c r="I545" s="19" t="s">
        <v>1059</v>
      </c>
      <c r="J545" s="20" t="s">
        <v>2047</v>
      </c>
      <c r="K545" s="10">
        <f>IFERROR(VLOOKUP(BD_DETALLE!B545,Tabla9[],7,0),"")</f>
        <v>0</v>
      </c>
      <c r="L545" s="11">
        <f>IFERROR(VLOOKUP(BD_DETALLE!B545,Tabla9[],8,0),"")</f>
        <v>0</v>
      </c>
      <c r="M545" s="9">
        <f>IFERROR(SUMIFS(Tabla9[CANTIDAD2],Tabla9[BUSQUEDA],Tabla3[[#This Row],[BUSQUEDA]],Tabla9[CODIGO],Tabla3[[#This Row],[CODIGO]],Tabla9[ORDEN No.],Tabla3[[#This Row],[ORDEN de COMPRA]]),0)</f>
        <v>0</v>
      </c>
      <c r="N545" s="27">
        <f>IFERROR(IF(BD_DETALLE!B545&gt;0,VLOOKUP(BD_DETALLE!B545,Tabla9[],10,0),""),"")</f>
        <v>0</v>
      </c>
      <c r="O545" s="28">
        <f>IFERROR(VLOOKUP(BD_DETALLE!B545,Tabla9[],11,0),0)</f>
        <v>0</v>
      </c>
      <c r="P545" s="26">
        <f>IFERROR(SUMIFS(Tabla9[CANTIDAD3],Tabla9[BUSQUEDA],Tabla3[[#This Row],[BUSQUEDA]],Tabla9[CODIGO],Tabla3[[#This Row],[CODIGO]]),0)</f>
        <v>0</v>
      </c>
      <c r="Q545" s="25">
        <f>IF(BD_DETALLE!P545&lt;=0,0,IF(BD_DETALLE!P545=BD_DETALLE!H545,2,1))</f>
        <v>0</v>
      </c>
      <c r="R545" s="41">
        <f ca="1">IF(BD_DETALLE!$C545&gt;0,(IF(BD_DETALLE!$N545=0,TODAY()-BD_DETALLE!$C545,BD_DETALLE!$N545-BD_DETALLE!$C545)),"")</f>
        <v>26</v>
      </c>
    </row>
    <row r="546" spans="2:18" x14ac:dyDescent="0.25">
      <c r="B546" s="15" t="str">
        <f t="shared" si="55"/>
        <v>2103-249-315937</v>
      </c>
      <c r="C546" s="7">
        <v>44279</v>
      </c>
      <c r="D546" s="5" t="str">
        <f>IF(BD_DETALLE!$E546&gt;=1,CONCATENATE(TEXT(BD_DETALLE!$C546,"YY"),TEXT(BD_DETALLE!$C546,"MM"),"-",BD_DETALLE!$E546),"")</f>
        <v>2103-249</v>
      </c>
      <c r="E546" s="12">
        <v>249</v>
      </c>
      <c r="F546" s="21">
        <v>315937</v>
      </c>
      <c r="G546" s="4" t="str">
        <f>IFERROR(VLOOKUP(BD_DETALLE!$B546,Tabla9[],6,0),"")</f>
        <v>PANTALON JEAN C/REFLECTIVO - TALLA 32</v>
      </c>
      <c r="H546" s="6">
        <f>IFERROR(VLOOKUP(BD_DETALLE!$B546,Tabla9[],4,0),0)</f>
        <v>51</v>
      </c>
      <c r="I546" s="19" t="s">
        <v>1059</v>
      </c>
      <c r="J546" s="20" t="s">
        <v>2047</v>
      </c>
      <c r="K546" s="10">
        <f>IFERROR(VLOOKUP(BD_DETALLE!B546,Tabla9[],7,0),"")</f>
        <v>0</v>
      </c>
      <c r="L546" s="11">
        <f>IFERROR(VLOOKUP(BD_DETALLE!B546,Tabla9[],8,0),"")</f>
        <v>0</v>
      </c>
      <c r="M546" s="9">
        <f>IFERROR(SUMIFS(Tabla9[CANTIDAD2],Tabla9[BUSQUEDA],Tabla3[[#This Row],[BUSQUEDA]],Tabla9[CODIGO],Tabla3[[#This Row],[CODIGO]],Tabla9[ORDEN No.],Tabla3[[#This Row],[ORDEN de COMPRA]]),0)</f>
        <v>0</v>
      </c>
      <c r="N546" s="27">
        <f>IFERROR(IF(BD_DETALLE!B546&gt;0,VLOOKUP(BD_DETALLE!B546,Tabla9[],10,0),""),"")</f>
        <v>0</v>
      </c>
      <c r="O546" s="28">
        <f>IFERROR(VLOOKUP(BD_DETALLE!B546,Tabla9[],11,0),0)</f>
        <v>0</v>
      </c>
      <c r="P546" s="26">
        <f>IFERROR(SUMIFS(Tabla9[CANTIDAD3],Tabla9[BUSQUEDA],Tabla3[[#This Row],[BUSQUEDA]],Tabla9[CODIGO],Tabla3[[#This Row],[CODIGO]]),0)</f>
        <v>0</v>
      </c>
      <c r="Q546" s="25">
        <f>IF(BD_DETALLE!P546&lt;=0,0,IF(BD_DETALLE!P546=BD_DETALLE!H546,2,1))</f>
        <v>0</v>
      </c>
      <c r="R546" s="41">
        <f ca="1">IF(BD_DETALLE!$C546&gt;0,(IF(BD_DETALLE!$N546=0,TODAY()-BD_DETALLE!$C546,BD_DETALLE!$N546-BD_DETALLE!$C546)),"")</f>
        <v>26</v>
      </c>
    </row>
    <row r="547" spans="2:18" x14ac:dyDescent="0.25">
      <c r="B547" s="15" t="str">
        <f t="shared" si="55"/>
        <v>2103-249-315938</v>
      </c>
      <c r="C547" s="7">
        <v>44279</v>
      </c>
      <c r="D547" s="5" t="str">
        <f>IF(BD_DETALLE!$E547&gt;=1,CONCATENATE(TEXT(BD_DETALLE!$C547,"YY"),TEXT(BD_DETALLE!$C547,"MM"),"-",BD_DETALLE!$E547),"")</f>
        <v>2103-249</v>
      </c>
      <c r="E547" s="12">
        <v>249</v>
      </c>
      <c r="F547" s="21">
        <v>315938</v>
      </c>
      <c r="G547" s="4" t="str">
        <f>IFERROR(VLOOKUP(BD_DETALLE!$B547,Tabla9[],6,0),"")</f>
        <v>PANTALON JEAN C/REFLECTIVO - TALLA 34</v>
      </c>
      <c r="H547" s="6">
        <f>IFERROR(VLOOKUP(BD_DETALLE!$B547,Tabla9[],4,0),0)</f>
        <v>45</v>
      </c>
      <c r="I547" s="19" t="s">
        <v>1059</v>
      </c>
      <c r="J547" s="20" t="s">
        <v>2047</v>
      </c>
      <c r="K547" s="10">
        <f>IFERROR(VLOOKUP(BD_DETALLE!B547,Tabla9[],7,0),"")</f>
        <v>0</v>
      </c>
      <c r="L547" s="11">
        <f>IFERROR(VLOOKUP(BD_DETALLE!B547,Tabla9[],8,0),"")</f>
        <v>0</v>
      </c>
      <c r="M547" s="9">
        <f>IFERROR(SUMIFS(Tabla9[CANTIDAD2],Tabla9[BUSQUEDA],Tabla3[[#This Row],[BUSQUEDA]],Tabla9[CODIGO],Tabla3[[#This Row],[CODIGO]],Tabla9[ORDEN No.],Tabla3[[#This Row],[ORDEN de COMPRA]]),0)</f>
        <v>0</v>
      </c>
      <c r="N547" s="27">
        <f>IFERROR(IF(BD_DETALLE!B547&gt;0,VLOOKUP(BD_DETALLE!B547,Tabla9[],10,0),""),"")</f>
        <v>0</v>
      </c>
      <c r="O547" s="28">
        <f>IFERROR(VLOOKUP(BD_DETALLE!B547,Tabla9[],11,0),0)</f>
        <v>0</v>
      </c>
      <c r="P547" s="26">
        <f>IFERROR(SUMIFS(Tabla9[CANTIDAD3],Tabla9[BUSQUEDA],Tabla3[[#This Row],[BUSQUEDA]],Tabla9[CODIGO],Tabla3[[#This Row],[CODIGO]]),0)</f>
        <v>0</v>
      </c>
      <c r="Q547" s="25">
        <f>IF(BD_DETALLE!P547&lt;=0,0,IF(BD_DETALLE!P547=BD_DETALLE!H547,2,1))</f>
        <v>0</v>
      </c>
      <c r="R547" s="41">
        <f ca="1">IF(BD_DETALLE!$C547&gt;0,(IF(BD_DETALLE!$N547=0,TODAY()-BD_DETALLE!$C547,BD_DETALLE!$N547-BD_DETALLE!$C547)),"")</f>
        <v>26</v>
      </c>
    </row>
    <row r="548" spans="2:18" x14ac:dyDescent="0.25">
      <c r="B548" s="15" t="str">
        <f t="shared" ref="B548:B555" si="56">IFERROR(TEXT(C548,"yy") &amp; TEXT(C548,"mm") &amp;"-"&amp;(E548) &amp;"-"&amp;(F548),"")</f>
        <v>2103-249-315939</v>
      </c>
      <c r="C548" s="7">
        <v>44279</v>
      </c>
      <c r="D548" s="5" t="str">
        <f>IF(BD_DETALLE!$E548&gt;=1,CONCATENATE(TEXT(BD_DETALLE!$C548,"YY"),TEXT(BD_DETALLE!$C548,"MM"),"-",BD_DETALLE!$E548),"")</f>
        <v>2103-249</v>
      </c>
      <c r="E548" s="12">
        <v>249</v>
      </c>
      <c r="F548" s="21">
        <v>315939</v>
      </c>
      <c r="G548" s="4" t="str">
        <f>IFERROR(VLOOKUP(BD_DETALLE!$B548,Tabla9[],6,0),"")</f>
        <v>PANTALON JEAN C/REFLECTIVO - TALLA 36</v>
      </c>
      <c r="H548" s="6">
        <f>IFERROR(VLOOKUP(BD_DETALLE!$B548,Tabla9[],4,0),0)</f>
        <v>27</v>
      </c>
      <c r="I548" s="19" t="s">
        <v>1059</v>
      </c>
      <c r="J548" s="20" t="s">
        <v>2047</v>
      </c>
      <c r="K548" s="10">
        <f>IFERROR(VLOOKUP(BD_DETALLE!B548,Tabla9[],7,0),"")</f>
        <v>0</v>
      </c>
      <c r="L548" s="11">
        <f>IFERROR(VLOOKUP(BD_DETALLE!B548,Tabla9[],8,0),"")</f>
        <v>0</v>
      </c>
      <c r="M548" s="9">
        <f>IFERROR(SUMIFS(Tabla9[CANTIDAD2],Tabla9[BUSQUEDA],Tabla3[[#This Row],[BUSQUEDA]],Tabla9[CODIGO],Tabla3[[#This Row],[CODIGO]],Tabla9[ORDEN No.],Tabla3[[#This Row],[ORDEN de COMPRA]]),0)</f>
        <v>0</v>
      </c>
      <c r="N548" s="27">
        <f>IFERROR(IF(BD_DETALLE!B548&gt;0,VLOOKUP(BD_DETALLE!B548,Tabla9[],10,0),""),"")</f>
        <v>0</v>
      </c>
      <c r="O548" s="28">
        <f>IFERROR(VLOOKUP(BD_DETALLE!B548,Tabla9[],11,0),0)</f>
        <v>0</v>
      </c>
      <c r="P548" s="26">
        <f>IFERROR(SUMIFS(Tabla9[CANTIDAD3],Tabla9[BUSQUEDA],Tabla3[[#This Row],[BUSQUEDA]],Tabla9[CODIGO],Tabla3[[#This Row],[CODIGO]]),0)</f>
        <v>0</v>
      </c>
      <c r="Q548" s="25">
        <f>IF(BD_DETALLE!P548&lt;=0,0,IF(BD_DETALLE!P548=BD_DETALLE!H548,2,1))</f>
        <v>0</v>
      </c>
      <c r="R548" s="41">
        <f ca="1">IF(BD_DETALLE!$C548&gt;0,(IF(BD_DETALLE!$N548=0,TODAY()-BD_DETALLE!$C548,BD_DETALLE!$N548-BD_DETALLE!$C548)),"")</f>
        <v>26</v>
      </c>
    </row>
    <row r="549" spans="2:18" x14ac:dyDescent="0.25">
      <c r="B549" s="15" t="str">
        <f t="shared" si="56"/>
        <v>2103-249-315940</v>
      </c>
      <c r="C549" s="7">
        <v>44279</v>
      </c>
      <c r="D549" s="5" t="str">
        <f>IF(BD_DETALLE!$E549&gt;=1,CONCATENATE(TEXT(BD_DETALLE!$C549,"YY"),TEXT(BD_DETALLE!$C549,"MM"),"-",BD_DETALLE!$E549),"")</f>
        <v>2103-249</v>
      </c>
      <c r="E549" s="12">
        <v>249</v>
      </c>
      <c r="F549" s="21">
        <v>315940</v>
      </c>
      <c r="G549" s="4" t="str">
        <f>IFERROR(VLOOKUP(BD_DETALLE!$B549,Tabla9[],6,0),"")</f>
        <v>PANTALON JEAN C/REFLECTIVO - TALLA 38</v>
      </c>
      <c r="H549" s="6">
        <f>IFERROR(VLOOKUP(BD_DETALLE!$B549,Tabla9[],4,0),0)</f>
        <v>30</v>
      </c>
      <c r="I549" s="19" t="s">
        <v>1059</v>
      </c>
      <c r="J549" s="20" t="s">
        <v>2047</v>
      </c>
      <c r="K549" s="10">
        <f>IFERROR(VLOOKUP(BD_DETALLE!B549,Tabla9[],7,0),"")</f>
        <v>0</v>
      </c>
      <c r="L549" s="11">
        <f>IFERROR(VLOOKUP(BD_DETALLE!B549,Tabla9[],8,0),"")</f>
        <v>0</v>
      </c>
      <c r="M549" s="9">
        <f>IFERROR(SUMIFS(Tabla9[CANTIDAD2],Tabla9[BUSQUEDA],Tabla3[[#This Row],[BUSQUEDA]],Tabla9[CODIGO],Tabla3[[#This Row],[CODIGO]],Tabla9[ORDEN No.],Tabla3[[#This Row],[ORDEN de COMPRA]]),0)</f>
        <v>0</v>
      </c>
      <c r="N549" s="27">
        <f>IFERROR(IF(BD_DETALLE!B549&gt;0,VLOOKUP(BD_DETALLE!B549,Tabla9[],10,0),""),"")</f>
        <v>0</v>
      </c>
      <c r="O549" s="28">
        <f>IFERROR(VLOOKUP(BD_DETALLE!B549,Tabla9[],11,0),0)</f>
        <v>0</v>
      </c>
      <c r="P549" s="26">
        <f>IFERROR(SUMIFS(Tabla9[CANTIDAD3],Tabla9[BUSQUEDA],Tabla3[[#This Row],[BUSQUEDA]],Tabla9[CODIGO],Tabla3[[#This Row],[CODIGO]]),0)</f>
        <v>0</v>
      </c>
      <c r="Q549" s="25">
        <f>IF(BD_DETALLE!P549&lt;=0,0,IF(BD_DETALLE!P549=BD_DETALLE!H549,2,1))</f>
        <v>0</v>
      </c>
      <c r="R549" s="41">
        <f ca="1">IF(BD_DETALLE!$C549&gt;0,(IF(BD_DETALLE!$N549=0,TODAY()-BD_DETALLE!$C549,BD_DETALLE!$N549-BD_DETALLE!$C549)),"")</f>
        <v>26</v>
      </c>
    </row>
    <row r="550" spans="2:18" x14ac:dyDescent="0.25">
      <c r="B550" s="15" t="str">
        <f t="shared" si="56"/>
        <v>2103-249-315941</v>
      </c>
      <c r="C550" s="7">
        <v>44279</v>
      </c>
      <c r="D550" s="5" t="str">
        <f>IF(BD_DETALLE!$E550&gt;=1,CONCATENATE(TEXT(BD_DETALLE!$C550,"YY"),TEXT(BD_DETALLE!$C550,"MM"),"-",BD_DETALLE!$E550),"")</f>
        <v>2103-249</v>
      </c>
      <c r="E550" s="12">
        <v>249</v>
      </c>
      <c r="F550" s="21">
        <v>315941</v>
      </c>
      <c r="G550" s="4" t="str">
        <f>IFERROR(VLOOKUP(BD_DETALLE!$B550,Tabla9[],6,0),"")</f>
        <v>PANTALON JEAN C/REFLECTIVO - TALLA 40</v>
      </c>
      <c r="H550" s="6">
        <f>IFERROR(VLOOKUP(BD_DETALLE!$B550,Tabla9[],4,0),0)</f>
        <v>9</v>
      </c>
      <c r="I550" s="19" t="s">
        <v>1059</v>
      </c>
      <c r="J550" s="20" t="s">
        <v>2047</v>
      </c>
      <c r="K550" s="10">
        <f>IFERROR(VLOOKUP(BD_DETALLE!B550,Tabla9[],7,0),"")</f>
        <v>0</v>
      </c>
      <c r="L550" s="11">
        <f>IFERROR(VLOOKUP(BD_DETALLE!B550,Tabla9[],8,0),"")</f>
        <v>0</v>
      </c>
      <c r="M550" s="9">
        <f>IFERROR(SUMIFS(Tabla9[CANTIDAD2],Tabla9[BUSQUEDA],Tabla3[[#This Row],[BUSQUEDA]],Tabla9[CODIGO],Tabla3[[#This Row],[CODIGO]],Tabla9[ORDEN No.],Tabla3[[#This Row],[ORDEN de COMPRA]]),0)</f>
        <v>0</v>
      </c>
      <c r="N550" s="27">
        <f>IFERROR(IF(BD_DETALLE!B550&gt;0,VLOOKUP(BD_DETALLE!B550,Tabla9[],10,0),""),"")</f>
        <v>0</v>
      </c>
      <c r="O550" s="28">
        <f>IFERROR(VLOOKUP(BD_DETALLE!B550,Tabla9[],11,0),0)</f>
        <v>0</v>
      </c>
      <c r="P550" s="26">
        <f>IFERROR(SUMIFS(Tabla9[CANTIDAD3],Tabla9[BUSQUEDA],Tabla3[[#This Row],[BUSQUEDA]],Tabla9[CODIGO],Tabla3[[#This Row],[CODIGO]]),0)</f>
        <v>0</v>
      </c>
      <c r="Q550" s="25">
        <f>IF(BD_DETALLE!P550&lt;=0,0,IF(BD_DETALLE!P550=BD_DETALLE!H550,2,1))</f>
        <v>0</v>
      </c>
      <c r="R550" s="41">
        <f ca="1">IF(BD_DETALLE!$C550&gt;0,(IF(BD_DETALLE!$N550=0,TODAY()-BD_DETALLE!$C550,BD_DETALLE!$N550-BD_DETALLE!$C550)),"")</f>
        <v>26</v>
      </c>
    </row>
    <row r="551" spans="2:18" x14ac:dyDescent="0.25">
      <c r="B551" s="15" t="str">
        <f t="shared" si="56"/>
        <v>2103-249-319358</v>
      </c>
      <c r="C551" s="7">
        <v>44279</v>
      </c>
      <c r="D551" s="5" t="str">
        <f>IF(BD_DETALLE!$E551&gt;=1,CONCATENATE(TEXT(BD_DETALLE!$C551,"YY"),TEXT(BD_DETALLE!$C551,"MM"),"-",BD_DETALLE!$E551),"")</f>
        <v>2103-249</v>
      </c>
      <c r="E551" s="12">
        <v>249</v>
      </c>
      <c r="F551" s="21">
        <v>319358</v>
      </c>
      <c r="G551" s="4" t="str">
        <f>IFERROR(VLOOKUP(BD_DETALLE!$B551,Tabla9[],6,0),"")</f>
        <v>PANTALON JEAN C/LOGO FORTIDEX - TALLA 44</v>
      </c>
      <c r="H551" s="6">
        <f>IFERROR(VLOOKUP(BD_DETALLE!$B551,Tabla9[],4,0),0)</f>
        <v>5</v>
      </c>
      <c r="I551" s="19" t="s">
        <v>1059</v>
      </c>
      <c r="J551" s="20" t="s">
        <v>2047</v>
      </c>
      <c r="K551" s="10">
        <f>IFERROR(VLOOKUP(BD_DETALLE!B551,Tabla9[],7,0),"")</f>
        <v>0</v>
      </c>
      <c r="L551" s="11">
        <f>IFERROR(VLOOKUP(BD_DETALLE!B551,Tabla9[],8,0),"")</f>
        <v>0</v>
      </c>
      <c r="M551" s="9">
        <f>IFERROR(SUMIFS(Tabla9[CANTIDAD2],Tabla9[BUSQUEDA],Tabla3[[#This Row],[BUSQUEDA]],Tabla9[CODIGO],Tabla3[[#This Row],[CODIGO]],Tabla9[ORDEN No.],Tabla3[[#This Row],[ORDEN de COMPRA]]),0)</f>
        <v>0</v>
      </c>
      <c r="N551" s="27">
        <f>IFERROR(IF(BD_DETALLE!B551&gt;0,VLOOKUP(BD_DETALLE!B551,Tabla9[],10,0),""),"")</f>
        <v>0</v>
      </c>
      <c r="O551" s="28">
        <f>IFERROR(VLOOKUP(BD_DETALLE!B551,Tabla9[],11,0),0)</f>
        <v>0</v>
      </c>
      <c r="P551" s="26">
        <f>IFERROR(SUMIFS(Tabla9[CANTIDAD3],Tabla9[BUSQUEDA],Tabla3[[#This Row],[BUSQUEDA]],Tabla9[CODIGO],Tabla3[[#This Row],[CODIGO]]),0)</f>
        <v>0</v>
      </c>
      <c r="Q551" s="25">
        <f>IF(BD_DETALLE!P551&lt;=0,0,IF(BD_DETALLE!P551=BD_DETALLE!H551,2,1))</f>
        <v>0</v>
      </c>
      <c r="R551" s="41">
        <f ca="1">IF(BD_DETALLE!$C551&gt;0,(IF(BD_DETALLE!$N551=0,TODAY()-BD_DETALLE!$C551,BD_DETALLE!$N551-BD_DETALLE!$C551)),"")</f>
        <v>26</v>
      </c>
    </row>
    <row r="552" spans="2:18" x14ac:dyDescent="0.25">
      <c r="B552" s="15" t="str">
        <f t="shared" si="56"/>
        <v>2103-250-315937</v>
      </c>
      <c r="C552" s="7">
        <v>44279</v>
      </c>
      <c r="D552" s="5" t="str">
        <f>IF(BD_DETALLE!$E552&gt;=1,CONCATENATE(TEXT(BD_DETALLE!$C552,"YY"),TEXT(BD_DETALLE!$C552,"MM"),"-",BD_DETALLE!$E552),"")</f>
        <v>2103-250</v>
      </c>
      <c r="E552" s="12">
        <v>250</v>
      </c>
      <c r="F552" s="21">
        <v>315937</v>
      </c>
      <c r="G552" s="4" t="str">
        <f>IFERROR(VLOOKUP(BD_DETALLE!$B552,Tabla9[],6,0),"")</f>
        <v>PANTALON JEAN C/REFLECTIVO - TALLA 32</v>
      </c>
      <c r="H552" s="6">
        <f>IFERROR(VLOOKUP(BD_DETALLE!$B552,Tabla9[],4,0),0)</f>
        <v>24</v>
      </c>
      <c r="I552" s="19" t="s">
        <v>1059</v>
      </c>
      <c r="J552" s="20" t="s">
        <v>2047</v>
      </c>
      <c r="K552" s="10">
        <f>IFERROR(VLOOKUP(BD_DETALLE!B552,Tabla9[],7,0),"")</f>
        <v>0</v>
      </c>
      <c r="L552" s="11">
        <f>IFERROR(VLOOKUP(BD_DETALLE!B552,Tabla9[],8,0),"")</f>
        <v>0</v>
      </c>
      <c r="M552" s="9">
        <f>IFERROR(SUMIFS(Tabla9[CANTIDAD2],Tabla9[BUSQUEDA],Tabla3[[#This Row],[BUSQUEDA]],Tabla9[CODIGO],Tabla3[[#This Row],[CODIGO]],Tabla9[ORDEN No.],Tabla3[[#This Row],[ORDEN de COMPRA]]),0)</f>
        <v>0</v>
      </c>
      <c r="N552" s="27">
        <f>IFERROR(IF(BD_DETALLE!B552&gt;0,VLOOKUP(BD_DETALLE!B552,Tabla9[],10,0),""),"")</f>
        <v>0</v>
      </c>
      <c r="O552" s="28">
        <f>IFERROR(VLOOKUP(BD_DETALLE!B552,Tabla9[],11,0),0)</f>
        <v>0</v>
      </c>
      <c r="P552" s="26">
        <f>IFERROR(SUMIFS(Tabla9[CANTIDAD3],Tabla9[BUSQUEDA],Tabla3[[#This Row],[BUSQUEDA]],Tabla9[CODIGO],Tabla3[[#This Row],[CODIGO]]),0)</f>
        <v>0</v>
      </c>
      <c r="Q552" s="25">
        <f>IF(BD_DETALLE!P552&lt;=0,0,IF(BD_DETALLE!P552=BD_DETALLE!H552,2,1))</f>
        <v>0</v>
      </c>
      <c r="R552" s="41">
        <f ca="1">IF(BD_DETALLE!$C552&gt;0,(IF(BD_DETALLE!$N552=0,TODAY()-BD_DETALLE!$C552,BD_DETALLE!$N552-BD_DETALLE!$C552)),"")</f>
        <v>26</v>
      </c>
    </row>
    <row r="553" spans="2:18" x14ac:dyDescent="0.25">
      <c r="B553" s="15" t="str">
        <f t="shared" si="56"/>
        <v>2103-250-315938</v>
      </c>
      <c r="C553" s="7">
        <v>44279</v>
      </c>
      <c r="D553" s="5" t="str">
        <f>IF(BD_DETALLE!$E553&gt;=1,CONCATENATE(TEXT(BD_DETALLE!$C553,"YY"),TEXT(BD_DETALLE!$C553,"MM"),"-",BD_DETALLE!$E553),"")</f>
        <v>2103-250</v>
      </c>
      <c r="E553" s="12">
        <v>250</v>
      </c>
      <c r="F553" s="21">
        <v>315938</v>
      </c>
      <c r="G553" s="4" t="str">
        <f>IFERROR(VLOOKUP(BD_DETALLE!$B553,Tabla9[],6,0),"")</f>
        <v>PANTALON JEAN C/REFLECTIVO - TALLA 34</v>
      </c>
      <c r="H553" s="6">
        <f>IFERROR(VLOOKUP(BD_DETALLE!$B553,Tabla9[],4,0),0)</f>
        <v>24</v>
      </c>
      <c r="I553" s="19" t="s">
        <v>1059</v>
      </c>
      <c r="J553" s="20" t="s">
        <v>2047</v>
      </c>
      <c r="K553" s="10">
        <f>IFERROR(VLOOKUP(BD_DETALLE!B553,Tabla9[],7,0),"")</f>
        <v>0</v>
      </c>
      <c r="L553" s="11">
        <f>IFERROR(VLOOKUP(BD_DETALLE!B553,Tabla9[],8,0),"")</f>
        <v>0</v>
      </c>
      <c r="M553" s="9">
        <f>IFERROR(SUMIFS(Tabla9[CANTIDAD2],Tabla9[BUSQUEDA],Tabla3[[#This Row],[BUSQUEDA]],Tabla9[CODIGO],Tabla3[[#This Row],[CODIGO]],Tabla9[ORDEN No.],Tabla3[[#This Row],[ORDEN de COMPRA]]),0)</f>
        <v>0</v>
      </c>
      <c r="N553" s="27">
        <f>IFERROR(IF(BD_DETALLE!B553&gt;0,VLOOKUP(BD_DETALLE!B553,Tabla9[],10,0),""),"")</f>
        <v>0</v>
      </c>
      <c r="O553" s="28">
        <f>IFERROR(VLOOKUP(BD_DETALLE!B553,Tabla9[],11,0),0)</f>
        <v>0</v>
      </c>
      <c r="P553" s="26">
        <f>IFERROR(SUMIFS(Tabla9[CANTIDAD3],Tabla9[BUSQUEDA],Tabla3[[#This Row],[BUSQUEDA]],Tabla9[CODIGO],Tabla3[[#This Row],[CODIGO]]),0)</f>
        <v>0</v>
      </c>
      <c r="Q553" s="25">
        <f>IF(BD_DETALLE!P553&lt;=0,0,IF(BD_DETALLE!P553=BD_DETALLE!H553,2,1))</f>
        <v>0</v>
      </c>
      <c r="R553" s="41">
        <f ca="1">IF(BD_DETALLE!$C553&gt;0,(IF(BD_DETALLE!$N553=0,TODAY()-BD_DETALLE!$C553,BD_DETALLE!$N553-BD_DETALLE!$C553)),"")</f>
        <v>26</v>
      </c>
    </row>
    <row r="554" spans="2:18" x14ac:dyDescent="0.25">
      <c r="B554" s="15" t="str">
        <f t="shared" si="56"/>
        <v>2103-250-315939</v>
      </c>
      <c r="C554" s="7">
        <v>44279</v>
      </c>
      <c r="D554" s="5" t="str">
        <f>IF(BD_DETALLE!$E554&gt;=1,CONCATENATE(TEXT(BD_DETALLE!$C554,"YY"),TEXT(BD_DETALLE!$C554,"MM"),"-",BD_DETALLE!$E554),"")</f>
        <v>2103-250</v>
      </c>
      <c r="E554" s="12">
        <v>250</v>
      </c>
      <c r="F554" s="21">
        <v>315939</v>
      </c>
      <c r="G554" s="4" t="str">
        <f>IFERROR(VLOOKUP(BD_DETALLE!$B554,Tabla9[],6,0),"")</f>
        <v>PANTALON JEAN C/REFLECTIVO - TALLA 36</v>
      </c>
      <c r="H554" s="6">
        <f>IFERROR(VLOOKUP(BD_DETALLE!$B554,Tabla9[],4,0),0)</f>
        <v>24</v>
      </c>
      <c r="I554" s="19" t="s">
        <v>1059</v>
      </c>
      <c r="J554" s="20" t="s">
        <v>2047</v>
      </c>
      <c r="K554" s="10">
        <f>IFERROR(VLOOKUP(BD_DETALLE!B554,Tabla9[],7,0),"")</f>
        <v>0</v>
      </c>
      <c r="L554" s="11">
        <f>IFERROR(VLOOKUP(BD_DETALLE!B554,Tabla9[],8,0),"")</f>
        <v>0</v>
      </c>
      <c r="M554" s="9">
        <f>IFERROR(SUMIFS(Tabla9[CANTIDAD2],Tabla9[BUSQUEDA],Tabla3[[#This Row],[BUSQUEDA]],Tabla9[CODIGO],Tabla3[[#This Row],[CODIGO]],Tabla9[ORDEN No.],Tabla3[[#This Row],[ORDEN de COMPRA]]),0)</f>
        <v>0</v>
      </c>
      <c r="N554" s="27">
        <f>IFERROR(IF(BD_DETALLE!B554&gt;0,VLOOKUP(BD_DETALLE!B554,Tabla9[],10,0),""),"")</f>
        <v>0</v>
      </c>
      <c r="O554" s="28">
        <f>IFERROR(VLOOKUP(BD_DETALLE!B554,Tabla9[],11,0),0)</f>
        <v>0</v>
      </c>
      <c r="P554" s="26">
        <f>IFERROR(SUMIFS(Tabla9[CANTIDAD3],Tabla9[BUSQUEDA],Tabla3[[#This Row],[BUSQUEDA]],Tabla9[CODIGO],Tabla3[[#This Row],[CODIGO]]),0)</f>
        <v>0</v>
      </c>
      <c r="Q554" s="25">
        <f>IF(BD_DETALLE!P554&lt;=0,0,IF(BD_DETALLE!P554=BD_DETALLE!H554,2,1))</f>
        <v>0</v>
      </c>
      <c r="R554" s="41">
        <f ca="1">IF(BD_DETALLE!$C554&gt;0,(IF(BD_DETALLE!$N554=0,TODAY()-BD_DETALLE!$C554,BD_DETALLE!$N554-BD_DETALLE!$C554)),"")</f>
        <v>26</v>
      </c>
    </row>
    <row r="555" spans="2:18" x14ac:dyDescent="0.25">
      <c r="B555" s="17" t="str">
        <f t="shared" si="56"/>
        <v>2103-250-319358</v>
      </c>
      <c r="C555" s="8">
        <v>44279</v>
      </c>
      <c r="D555" s="37" t="str">
        <f>IF(BD_DETALLE!$E555&gt;=1,CONCATENATE(TEXT(BD_DETALLE!$C555,"YY"),TEXT(BD_DETALLE!$C555,"MM"),"-",BD_DETALLE!$E555),"")</f>
        <v>2103-250</v>
      </c>
      <c r="E555" s="22">
        <v>250</v>
      </c>
      <c r="F555" s="23">
        <v>319358</v>
      </c>
      <c r="G555" s="38" t="str">
        <f>IFERROR(VLOOKUP(BD_DETALLE!$B555,Tabla9[],6,0),"")</f>
        <v>PANTALON JEAN C/LOGO FORTIDEX - TALLA 44</v>
      </c>
      <c r="H555" s="39">
        <f>IFERROR(VLOOKUP(BD_DETALLE!$B555,Tabla9[],4,0),0)</f>
        <v>9</v>
      </c>
      <c r="I555" s="19" t="s">
        <v>1059</v>
      </c>
      <c r="J555" s="20" t="s">
        <v>2047</v>
      </c>
      <c r="K555" s="10">
        <f>IFERROR(VLOOKUP(BD_DETALLE!B555,Tabla9[],7,0),"")</f>
        <v>0</v>
      </c>
      <c r="L555" s="11">
        <f>IFERROR(VLOOKUP(BD_DETALLE!B555,Tabla9[],8,0),"")</f>
        <v>0</v>
      </c>
      <c r="M555" s="9">
        <f>IFERROR(SUMIFS(Tabla9[CANTIDAD2],Tabla9[BUSQUEDA],Tabla3[[#This Row],[BUSQUEDA]],Tabla9[CODIGO],Tabla3[[#This Row],[CODIGO]],Tabla9[ORDEN No.],Tabla3[[#This Row],[ORDEN de COMPRA]]),0)</f>
        <v>0</v>
      </c>
      <c r="N555" s="27">
        <f>IFERROR(IF(BD_DETALLE!B555&gt;0,VLOOKUP(BD_DETALLE!B555,Tabla9[],10,0),""),"")</f>
        <v>0</v>
      </c>
      <c r="O555" s="28">
        <f>IFERROR(VLOOKUP(BD_DETALLE!B555,Tabla9[],11,0),0)</f>
        <v>0</v>
      </c>
      <c r="P555" s="26">
        <f>IFERROR(SUMIFS(Tabla9[CANTIDAD3],Tabla9[BUSQUEDA],Tabla3[[#This Row],[BUSQUEDA]],Tabla9[CODIGO],Tabla3[[#This Row],[CODIGO]]),0)</f>
        <v>0</v>
      </c>
      <c r="Q555" s="25">
        <f>IF(BD_DETALLE!P555&lt;=0,0,IF(BD_DETALLE!P555=BD_DETALLE!H555,2,1))</f>
        <v>0</v>
      </c>
      <c r="R555" s="41">
        <f ca="1">IF(BD_DETALLE!$C555&gt;0,(IF(BD_DETALLE!$N555=0,TODAY()-BD_DETALLE!$C555,BD_DETALLE!$N555-BD_DETALLE!$C555)),"")</f>
        <v>26</v>
      </c>
    </row>
    <row r="556" spans="2:18" x14ac:dyDescent="0.25">
      <c r="B556" s="17" t="str">
        <f>IFERROR(TEXT(C556,"yy") &amp; TEXT(C556,"mm") &amp;"-"&amp;(E556) &amp;"-"&amp;(F556),"")</f>
        <v>2103-251-319845</v>
      </c>
      <c r="C556" s="8">
        <v>44279</v>
      </c>
      <c r="D556" s="37" t="str">
        <f>IF(BD_DETALLE!$E556&gt;=1,CONCATENATE(TEXT(BD_DETALLE!$C556,"YY"),TEXT(BD_DETALLE!$C556,"MM"),"-",BD_DETALLE!$E556),"")</f>
        <v>2103-251</v>
      </c>
      <c r="E556" s="22">
        <v>251</v>
      </c>
      <c r="F556" s="23">
        <v>319845</v>
      </c>
      <c r="G556" s="38" t="str">
        <f>IFERROR(VLOOKUP(BD_DETALLE!$B556,Tabla9[],6,0),"")</f>
        <v>BUZO C/LOGO AMARILLO TALLA 44</v>
      </c>
      <c r="H556" s="39">
        <f>IFERROR(VLOOKUP(BD_DETALLE!$B556,Tabla9[],4,0),0)</f>
        <v>18</v>
      </c>
      <c r="I556" s="19" t="s">
        <v>1059</v>
      </c>
      <c r="J556" s="20" t="s">
        <v>2047</v>
      </c>
      <c r="K556" s="10">
        <f>IFERROR(VLOOKUP(BD_DETALLE!B556,Tabla9[],7,0),"")</f>
        <v>0</v>
      </c>
      <c r="L556" s="11">
        <f>IFERROR(VLOOKUP(BD_DETALLE!B556,Tabla9[],8,0),"")</f>
        <v>0</v>
      </c>
      <c r="M556" s="9">
        <f>IFERROR(SUMIFS(Tabla9[CANTIDAD2],Tabla9[BUSQUEDA],Tabla3[[#This Row],[BUSQUEDA]],Tabla9[CODIGO],Tabla3[[#This Row],[CODIGO]],Tabla9[ORDEN No.],Tabla3[[#This Row],[ORDEN de COMPRA]]),0)</f>
        <v>0</v>
      </c>
      <c r="N556" s="27">
        <f>IFERROR(IF(BD_DETALLE!B556&gt;0,VLOOKUP(BD_DETALLE!B556,Tabla9[],10,0),""),"")</f>
        <v>0</v>
      </c>
      <c r="O556" s="28">
        <f>IFERROR(VLOOKUP(BD_DETALLE!B556,Tabla9[],11,0),0)</f>
        <v>0</v>
      </c>
      <c r="P556" s="26">
        <f>IFERROR(SUMIFS(Tabla9[CANTIDAD3],Tabla9[BUSQUEDA],Tabla3[[#This Row],[BUSQUEDA]],Tabla9[CODIGO],Tabla3[[#This Row],[CODIGO]]),0)</f>
        <v>0</v>
      </c>
      <c r="Q556" s="25">
        <f>IF(BD_DETALLE!P556&lt;=0,0,IF(BD_DETALLE!P556=BD_DETALLE!H556,2,1))</f>
        <v>0</v>
      </c>
      <c r="R556" s="41">
        <f ca="1">IF(BD_DETALLE!$C556&gt;0,(IF(BD_DETALLE!$N556=0,TODAY()-BD_DETALLE!$C556,BD_DETALLE!$N556-BD_DETALLE!$C556)),"")</f>
        <v>26</v>
      </c>
    </row>
    <row r="557" spans="2:18" x14ac:dyDescent="0.25">
      <c r="B557" s="15" t="str">
        <f t="shared" ref="B557:B568" si="57">IFERROR(TEXT(C557,"yy") &amp; TEXT(C557,"mm") &amp;"-"&amp;(E557) &amp;"-"&amp;(F557),"")</f>
        <v>2103-251-319844</v>
      </c>
      <c r="C557" s="7">
        <v>44279</v>
      </c>
      <c r="D557" s="5" t="str">
        <f>IF(BD_DETALLE!$E557&gt;=1,CONCATENATE(TEXT(BD_DETALLE!$C557,"YY"),TEXT(BD_DETALLE!$C557,"MM"),"-",BD_DETALLE!$E557),"")</f>
        <v>2103-251</v>
      </c>
      <c r="E557" s="12">
        <v>251</v>
      </c>
      <c r="F557" s="21">
        <v>319844</v>
      </c>
      <c r="G557" s="4" t="str">
        <f>IFERROR(VLOOKUP(BD_DETALLE!$B557,Tabla9[],6,0),"")</f>
        <v>BUZO C/LOGO AMARILLO TALLA 42</v>
      </c>
      <c r="H557" s="6">
        <f>IFERROR(VLOOKUP(BD_DETALLE!$B557,Tabla9[],4,0),0)</f>
        <v>24</v>
      </c>
      <c r="I557" s="19" t="s">
        <v>1059</v>
      </c>
      <c r="J557" s="20" t="s">
        <v>2047</v>
      </c>
      <c r="K557" s="10">
        <f>IFERROR(VLOOKUP(BD_DETALLE!B557,Tabla9[],7,0),"")</f>
        <v>0</v>
      </c>
      <c r="L557" s="11">
        <f>IFERROR(VLOOKUP(BD_DETALLE!B557,Tabla9[],8,0),"")</f>
        <v>0</v>
      </c>
      <c r="M557" s="9">
        <f>IFERROR(SUMIFS(Tabla9[CANTIDAD2],Tabla9[BUSQUEDA],Tabla3[[#This Row],[BUSQUEDA]],Tabla9[CODIGO],Tabla3[[#This Row],[CODIGO]],Tabla9[ORDEN No.],Tabla3[[#This Row],[ORDEN de COMPRA]]),0)</f>
        <v>0</v>
      </c>
      <c r="N557" s="27">
        <f>IFERROR(IF(BD_DETALLE!B557&gt;0,VLOOKUP(BD_DETALLE!B557,Tabla9[],10,0),""),"")</f>
        <v>0</v>
      </c>
      <c r="O557" s="28">
        <f>IFERROR(VLOOKUP(BD_DETALLE!B557,Tabla9[],11,0),0)</f>
        <v>0</v>
      </c>
      <c r="P557" s="26">
        <f>IFERROR(SUMIFS(Tabla9[CANTIDAD3],Tabla9[BUSQUEDA],Tabla3[[#This Row],[BUSQUEDA]],Tabla9[CODIGO],Tabla3[[#This Row],[CODIGO]]),0)</f>
        <v>0</v>
      </c>
      <c r="Q557" s="25">
        <f>IF(BD_DETALLE!P557&lt;=0,0,IF(BD_DETALLE!P557=BD_DETALLE!H557,2,1))</f>
        <v>0</v>
      </c>
      <c r="R557" s="41">
        <f ca="1">IF(BD_DETALLE!$C557&gt;0,(IF(BD_DETALLE!$N557=0,TODAY()-BD_DETALLE!$C557,BD_DETALLE!$N557-BD_DETALLE!$C557)),"")</f>
        <v>26</v>
      </c>
    </row>
    <row r="558" spans="2:18" x14ac:dyDescent="0.25">
      <c r="B558" s="15" t="str">
        <f t="shared" si="57"/>
        <v>2103-251-319843</v>
      </c>
      <c r="C558" s="7">
        <v>44279</v>
      </c>
      <c r="D558" s="5" t="str">
        <f>IF(BD_DETALLE!$E558&gt;=1,CONCATENATE(TEXT(BD_DETALLE!$C558,"YY"),TEXT(BD_DETALLE!$C558,"MM"),"-",BD_DETALLE!$E558),"")</f>
        <v>2103-251</v>
      </c>
      <c r="E558" s="12">
        <v>251</v>
      </c>
      <c r="F558" s="21">
        <v>319843</v>
      </c>
      <c r="G558" s="4" t="str">
        <f>IFERROR(VLOOKUP(BD_DETALLE!$B558,Tabla9[],6,0),"")</f>
        <v>BUZO C/LOGO AMARILLO TALLA 40</v>
      </c>
      <c r="H558" s="6">
        <f>IFERROR(VLOOKUP(BD_DETALLE!$B558,Tabla9[],4,0),0)</f>
        <v>20</v>
      </c>
      <c r="I558" s="19" t="s">
        <v>1059</v>
      </c>
      <c r="J558" s="20" t="s">
        <v>2047</v>
      </c>
      <c r="K558" s="10">
        <f>IFERROR(VLOOKUP(BD_DETALLE!B558,Tabla9[],7,0),"")</f>
        <v>0</v>
      </c>
      <c r="L558" s="11">
        <f>IFERROR(VLOOKUP(BD_DETALLE!B558,Tabla9[],8,0),"")</f>
        <v>0</v>
      </c>
      <c r="M558" s="9">
        <f>IFERROR(SUMIFS(Tabla9[CANTIDAD2],Tabla9[BUSQUEDA],Tabla3[[#This Row],[BUSQUEDA]],Tabla9[CODIGO],Tabla3[[#This Row],[CODIGO]],Tabla9[ORDEN No.],Tabla3[[#This Row],[ORDEN de COMPRA]]),0)</f>
        <v>0</v>
      </c>
      <c r="N558" s="27">
        <f>IFERROR(IF(BD_DETALLE!B558&gt;0,VLOOKUP(BD_DETALLE!B558,Tabla9[],10,0),""),"")</f>
        <v>0</v>
      </c>
      <c r="O558" s="28">
        <f>IFERROR(VLOOKUP(BD_DETALLE!B558,Tabla9[],11,0),0)</f>
        <v>0</v>
      </c>
      <c r="P558" s="26">
        <f>IFERROR(SUMIFS(Tabla9[CANTIDAD3],Tabla9[BUSQUEDA],Tabla3[[#This Row],[BUSQUEDA]],Tabla9[CODIGO],Tabla3[[#This Row],[CODIGO]]),0)</f>
        <v>0</v>
      </c>
      <c r="Q558" s="25">
        <f>IF(BD_DETALLE!P558&lt;=0,0,IF(BD_DETALLE!P558=BD_DETALLE!H558,2,1))</f>
        <v>0</v>
      </c>
      <c r="R558" s="41">
        <f ca="1">IF(BD_DETALLE!$C558&gt;0,(IF(BD_DETALLE!$N558=0,TODAY()-BD_DETALLE!$C558,BD_DETALLE!$N558-BD_DETALLE!$C558)),"")</f>
        <v>26</v>
      </c>
    </row>
    <row r="559" spans="2:18" x14ac:dyDescent="0.25">
      <c r="B559" s="15" t="str">
        <f t="shared" si="57"/>
        <v>2103-252-313314</v>
      </c>
      <c r="C559" s="7">
        <v>44279</v>
      </c>
      <c r="D559" s="5" t="str">
        <f>IF(BD_DETALLE!$E559&gt;=1,CONCATENATE(TEXT(BD_DETALLE!$C559,"YY"),TEXT(BD_DETALLE!$C559,"MM"),"-",BD_DETALLE!$E559),"")</f>
        <v>2103-252</v>
      </c>
      <c r="E559" s="12">
        <v>252</v>
      </c>
      <c r="F559" s="21">
        <v>313314</v>
      </c>
      <c r="G559" s="4" t="str">
        <f>IFERROR(VLOOKUP(BD_DETALLE!$B559,Tabla9[],6,0),"")</f>
        <v>CAMISETA T/POLO C/LOGO FORTIDEX</v>
      </c>
      <c r="H559" s="6">
        <f>IFERROR(VLOOKUP(BD_DETALLE!$B559,Tabla9[],4,0),0)</f>
        <v>6</v>
      </c>
      <c r="I559" s="19" t="s">
        <v>1059</v>
      </c>
      <c r="J559" s="20" t="s">
        <v>2047</v>
      </c>
      <c r="K559" s="10">
        <f>IFERROR(VLOOKUP(BD_DETALLE!B559,Tabla9[],7,0),"")</f>
        <v>0</v>
      </c>
      <c r="L559" s="11">
        <f>IFERROR(VLOOKUP(BD_DETALLE!B559,Tabla9[],8,0),"")</f>
        <v>0</v>
      </c>
      <c r="M559" s="9">
        <f>IFERROR(SUMIFS(Tabla9[CANTIDAD2],Tabla9[BUSQUEDA],Tabla3[[#This Row],[BUSQUEDA]],Tabla9[CODIGO],Tabla3[[#This Row],[CODIGO]],Tabla9[ORDEN No.],Tabla3[[#This Row],[ORDEN de COMPRA]]),0)</f>
        <v>0</v>
      </c>
      <c r="N559" s="27">
        <f>IFERROR(IF(BD_DETALLE!B559&gt;0,VLOOKUP(BD_DETALLE!B559,Tabla9[],10,0),""),"")</f>
        <v>0</v>
      </c>
      <c r="O559" s="28">
        <f>IFERROR(VLOOKUP(BD_DETALLE!B559,Tabla9[],11,0),0)</f>
        <v>0</v>
      </c>
      <c r="P559" s="26">
        <f>IFERROR(SUMIFS(Tabla9[CANTIDAD3],Tabla9[BUSQUEDA],Tabla3[[#This Row],[BUSQUEDA]],Tabla9[CODIGO],Tabla3[[#This Row],[CODIGO]]),0)</f>
        <v>0</v>
      </c>
      <c r="Q559" s="25">
        <f>IF(BD_DETALLE!P559&lt;=0,0,IF(BD_DETALLE!P559=BD_DETALLE!H559,2,1))</f>
        <v>0</v>
      </c>
      <c r="R559" s="41">
        <f ca="1">IF(BD_DETALLE!$C559&gt;0,(IF(BD_DETALLE!$N559=0,TODAY()-BD_DETALLE!$C559,BD_DETALLE!$N559-BD_DETALLE!$C559)),"")</f>
        <v>26</v>
      </c>
    </row>
    <row r="560" spans="2:18" x14ac:dyDescent="0.25">
      <c r="B560" s="15" t="str">
        <f t="shared" si="57"/>
        <v>2103-253-318592</v>
      </c>
      <c r="C560" s="7">
        <v>44279</v>
      </c>
      <c r="D560" s="5" t="str">
        <f>IF(BD_DETALLE!$E560&gt;=1,CONCATENATE(TEXT(BD_DETALLE!$C560,"YY"),TEXT(BD_DETALLE!$C560,"MM"),"-",BD_DETALLE!$E560),"")</f>
        <v>2103-253</v>
      </c>
      <c r="E560" s="12">
        <v>253</v>
      </c>
      <c r="F560" s="21">
        <v>318592</v>
      </c>
      <c r="G560" s="4" t="str">
        <f>IFERROR(VLOOKUP(BD_DETALLE!$B560,Tabla9[],6,0),"")</f>
        <v>CAMISETA CUELLO REDONDO C/REFLECTIVO</v>
      </c>
      <c r="H560" s="6">
        <f>IFERROR(VLOOKUP(BD_DETALLE!$B560,Tabla9[],4,0),0)</f>
        <v>162</v>
      </c>
      <c r="I560" s="19" t="s">
        <v>1059</v>
      </c>
      <c r="J560" s="20" t="s">
        <v>2047</v>
      </c>
      <c r="K560" s="10">
        <f>IFERROR(VLOOKUP(BD_DETALLE!B560,Tabla9[],7,0),"")</f>
        <v>0</v>
      </c>
      <c r="L560" s="11">
        <f>IFERROR(VLOOKUP(BD_DETALLE!B560,Tabla9[],8,0),"")</f>
        <v>0</v>
      </c>
      <c r="M560" s="9">
        <f>IFERROR(SUMIFS(Tabla9[CANTIDAD2],Tabla9[BUSQUEDA],Tabla3[[#This Row],[BUSQUEDA]],Tabla9[CODIGO],Tabla3[[#This Row],[CODIGO]],Tabla9[ORDEN No.],Tabla3[[#This Row],[ORDEN de COMPRA]]),0)</f>
        <v>0</v>
      </c>
      <c r="N560" s="27">
        <f>IFERROR(IF(BD_DETALLE!B560&gt;0,VLOOKUP(BD_DETALLE!B560,Tabla9[],10,0),""),"")</f>
        <v>0</v>
      </c>
      <c r="O560" s="28">
        <f>IFERROR(VLOOKUP(BD_DETALLE!B560,Tabla9[],11,0),0)</f>
        <v>0</v>
      </c>
      <c r="P560" s="26">
        <f>IFERROR(SUMIFS(Tabla9[CANTIDAD3],Tabla9[BUSQUEDA],Tabla3[[#This Row],[BUSQUEDA]],Tabla9[CODIGO],Tabla3[[#This Row],[CODIGO]]),0)</f>
        <v>0</v>
      </c>
      <c r="Q560" s="25">
        <f>IF(BD_DETALLE!P560&lt;=0,0,IF(BD_DETALLE!P560=BD_DETALLE!H560,2,1))</f>
        <v>0</v>
      </c>
      <c r="R560" s="41">
        <f ca="1">IF(BD_DETALLE!$C560&gt;0,(IF(BD_DETALLE!$N560=0,TODAY()-BD_DETALLE!$C560,BD_DETALLE!$N560-BD_DETALLE!$C560)),"")</f>
        <v>26</v>
      </c>
    </row>
    <row r="561" spans="2:18" x14ac:dyDescent="0.25">
      <c r="B561" s="15" t="str">
        <f t="shared" si="57"/>
        <v>2103-254-313459</v>
      </c>
      <c r="C561" s="7">
        <v>44280</v>
      </c>
      <c r="D561" s="5" t="str">
        <f>IF(BD_DETALLE!$E561&gt;=1,CONCATENATE(TEXT(BD_DETALLE!$C561,"YY"),TEXT(BD_DETALLE!$C561,"MM"),"-",BD_DETALLE!$E561),"")</f>
        <v>2103-254</v>
      </c>
      <c r="E561" s="12">
        <v>254</v>
      </c>
      <c r="F561" s="21">
        <v>313459</v>
      </c>
      <c r="G561" s="4" t="str">
        <f>IFERROR(VLOOKUP(BD_DETALLE!$B561,Tabla9[],6,0),"")</f>
        <v>PIÐON DE 40 DIENTES PASO 120</v>
      </c>
      <c r="H561" s="6">
        <f>IFERROR(VLOOKUP(BD_DETALLE!$B561,Tabla9[],4,0),0)</f>
        <v>1</v>
      </c>
      <c r="I561" s="19" t="s">
        <v>12</v>
      </c>
      <c r="J561" s="20" t="s">
        <v>1860</v>
      </c>
      <c r="K561" s="10">
        <f>IFERROR(VLOOKUP(BD_DETALLE!B561,Tabla9[],7,0),"")</f>
        <v>0</v>
      </c>
      <c r="L561" s="11">
        <f>IFERROR(VLOOKUP(BD_DETALLE!B561,Tabla9[],8,0),"")</f>
        <v>0</v>
      </c>
      <c r="M561" s="9">
        <f>IFERROR(SUMIFS(Tabla9[CANTIDAD2],Tabla9[BUSQUEDA],Tabla3[[#This Row],[BUSQUEDA]],Tabla9[CODIGO],Tabla3[[#This Row],[CODIGO]],Tabla9[ORDEN No.],Tabla3[[#This Row],[ORDEN de COMPRA]]),0)</f>
        <v>0</v>
      </c>
      <c r="N561" s="27">
        <f>IFERROR(IF(BD_DETALLE!B561&gt;0,VLOOKUP(BD_DETALLE!B561,Tabla9[],10,0),""),"")</f>
        <v>0</v>
      </c>
      <c r="O561" s="28">
        <f>IFERROR(VLOOKUP(BD_DETALLE!B561,Tabla9[],11,0),0)</f>
        <v>0</v>
      </c>
      <c r="P561" s="26">
        <f>IFERROR(SUMIFS(Tabla9[CANTIDAD3],Tabla9[BUSQUEDA],Tabla3[[#This Row],[BUSQUEDA]],Tabla9[CODIGO],Tabla3[[#This Row],[CODIGO]]),0)</f>
        <v>0</v>
      </c>
      <c r="Q561" s="25">
        <f>IF(BD_DETALLE!P561&lt;=0,0,IF(BD_DETALLE!P561=BD_DETALLE!H561,2,1))</f>
        <v>0</v>
      </c>
      <c r="R561" s="41">
        <f ca="1">IF(BD_DETALLE!$C561&gt;0,(IF(BD_DETALLE!$N561=0,TODAY()-BD_DETALLE!$C561,BD_DETALLE!$N561-BD_DETALLE!$C561)),"")</f>
        <v>25</v>
      </c>
    </row>
    <row r="562" spans="2:18" x14ac:dyDescent="0.25">
      <c r="B562" s="15" t="str">
        <f t="shared" si="57"/>
        <v>2103-254-309405</v>
      </c>
      <c r="C562" s="7">
        <v>44280</v>
      </c>
      <c r="D562" s="5" t="str">
        <f>IF(BD_DETALLE!$E562&gt;=1,CONCATENATE(TEXT(BD_DETALLE!$C562,"YY"),TEXT(BD_DETALLE!$C562,"MM"),"-",BD_DETALLE!$E562),"")</f>
        <v>2103-254</v>
      </c>
      <c r="E562" s="12">
        <v>254</v>
      </c>
      <c r="F562" s="21">
        <v>309405</v>
      </c>
      <c r="G562" s="4" t="str">
        <f>IFERROR(VLOOKUP(BD_DETALLE!$B562,Tabla9[],6,0),"")</f>
        <v>PLATINA A/INOX DE 75MM X 6MM</v>
      </c>
      <c r="H562" s="6">
        <f>IFERROR(VLOOKUP(BD_DETALLE!$B562,Tabla9[],4,0),0)</f>
        <v>1</v>
      </c>
      <c r="I562" s="19" t="s">
        <v>12</v>
      </c>
      <c r="J562" s="20" t="s">
        <v>1860</v>
      </c>
      <c r="K562" s="10">
        <f>IFERROR(VLOOKUP(BD_DETALLE!B562,Tabla9[],7,0),"")</f>
        <v>0</v>
      </c>
      <c r="L562" s="11">
        <f>IFERROR(VLOOKUP(BD_DETALLE!B562,Tabla9[],8,0),"")</f>
        <v>0</v>
      </c>
      <c r="M562" s="9">
        <f>IFERROR(SUMIFS(Tabla9[CANTIDAD2],Tabla9[BUSQUEDA],Tabla3[[#This Row],[BUSQUEDA]],Tabla9[CODIGO],Tabla3[[#This Row],[CODIGO]],Tabla9[ORDEN No.],Tabla3[[#This Row],[ORDEN de COMPRA]]),0)</f>
        <v>0</v>
      </c>
      <c r="N562" s="27">
        <f>IFERROR(IF(BD_DETALLE!B562&gt;0,VLOOKUP(BD_DETALLE!B562,Tabla9[],10,0),""),"")</f>
        <v>0</v>
      </c>
      <c r="O562" s="28">
        <f>IFERROR(VLOOKUP(BD_DETALLE!B562,Tabla9[],11,0),0)</f>
        <v>0</v>
      </c>
      <c r="P562" s="26">
        <f>IFERROR(SUMIFS(Tabla9[CANTIDAD3],Tabla9[BUSQUEDA],Tabla3[[#This Row],[BUSQUEDA]],Tabla9[CODIGO],Tabla3[[#This Row],[CODIGO]]),0)</f>
        <v>0</v>
      </c>
      <c r="Q562" s="25">
        <f>IF(BD_DETALLE!P562&lt;=0,0,IF(BD_DETALLE!P562=BD_DETALLE!H562,2,1))</f>
        <v>0</v>
      </c>
      <c r="R562" s="41">
        <f ca="1">IF(BD_DETALLE!$C562&gt;0,(IF(BD_DETALLE!$N562=0,TODAY()-BD_DETALLE!$C562,BD_DETALLE!$N562-BD_DETALLE!$C562)),"")</f>
        <v>25</v>
      </c>
    </row>
    <row r="563" spans="2:18" x14ac:dyDescent="0.25">
      <c r="B563" s="15" t="str">
        <f t="shared" si="57"/>
        <v>2103-254-303170</v>
      </c>
      <c r="C563" s="7">
        <v>44280</v>
      </c>
      <c r="D563" s="5" t="str">
        <f>IF(BD_DETALLE!$E563&gt;=1,CONCATENATE(TEXT(BD_DETALLE!$C563,"YY"),TEXT(BD_DETALLE!$C563,"MM"),"-",BD_DETALLE!$E563),"")</f>
        <v>2103-254</v>
      </c>
      <c r="E563" s="12">
        <v>254</v>
      </c>
      <c r="F563" s="21">
        <v>303170</v>
      </c>
      <c r="G563" s="4" t="str">
        <f>IFERROR(VLOOKUP(BD_DETALLE!$B563,Tabla9[],6,0),"")</f>
        <v>PERNO A/INOX DE 1/2" x 1-1/4" COMPLETOS</v>
      </c>
      <c r="H563" s="6">
        <f>IFERROR(VLOOKUP(BD_DETALLE!$B563,Tabla9[],4,0),0)</f>
        <v>50</v>
      </c>
      <c r="I563" s="19" t="s">
        <v>12</v>
      </c>
      <c r="J563" s="20" t="s">
        <v>1860</v>
      </c>
      <c r="K563" s="10">
        <f>IFERROR(VLOOKUP(BD_DETALLE!B563,Tabla9[],7,0),"")</f>
        <v>44299</v>
      </c>
      <c r="L563" s="11">
        <f>IFERROR(VLOOKUP(BD_DETALLE!B563,Tabla9[],8,0),"")</f>
        <v>52483</v>
      </c>
      <c r="M563" s="9">
        <f>IFERROR(SUMIFS(Tabla9[CANTIDAD2],Tabla9[BUSQUEDA],Tabla3[[#This Row],[BUSQUEDA]],Tabla9[CODIGO],Tabla3[[#This Row],[CODIGO]],Tabla9[ORDEN No.],Tabla3[[#This Row],[ORDEN de COMPRA]]),0)</f>
        <v>50</v>
      </c>
      <c r="N563" s="27">
        <f>IFERROR(IF(BD_DETALLE!B563&gt;0,VLOOKUP(BD_DETALLE!B563,Tabla9[],10,0),""),"")</f>
        <v>0</v>
      </c>
      <c r="O563" s="28">
        <f>IFERROR(VLOOKUP(BD_DETALLE!B563,Tabla9[],11,0),0)</f>
        <v>0</v>
      </c>
      <c r="P563" s="26">
        <f>IFERROR(SUMIFS(Tabla9[CANTIDAD3],Tabla9[BUSQUEDA],Tabla3[[#This Row],[BUSQUEDA]],Tabla9[CODIGO],Tabla3[[#This Row],[CODIGO]]),0)</f>
        <v>0</v>
      </c>
      <c r="Q563" s="25">
        <f>IF(BD_DETALLE!P563&lt;=0,0,IF(BD_DETALLE!P563=BD_DETALLE!H563,2,1))</f>
        <v>0</v>
      </c>
      <c r="R563" s="41">
        <f ca="1">IF(BD_DETALLE!$C563&gt;0,(IF(BD_DETALLE!$N563=0,TODAY()-BD_DETALLE!$C563,BD_DETALLE!$N563-BD_DETALLE!$C563)),"")</f>
        <v>25</v>
      </c>
    </row>
    <row r="564" spans="2:18" x14ac:dyDescent="0.25">
      <c r="B564" s="15" t="str">
        <f t="shared" si="57"/>
        <v>2103-254-320969</v>
      </c>
      <c r="C564" s="7">
        <v>44280</v>
      </c>
      <c r="D564" s="5" t="str">
        <f>IF(BD_DETALLE!$E564&gt;=1,CONCATENATE(TEXT(BD_DETALLE!$C564,"YY"),TEXT(BD_DETALLE!$C564,"MM"),"-",BD_DETALLE!$E564),"")</f>
        <v>2103-254</v>
      </c>
      <c r="E564" s="12">
        <v>254</v>
      </c>
      <c r="F564" s="21">
        <v>320969</v>
      </c>
      <c r="G564" s="4" t="str">
        <f>IFERROR(VLOOKUP(BD_DETALLE!$B564,Tabla9[],6,0),"")</f>
        <v>PERNO H/N DE 35 x 100 mm GRADO 8</v>
      </c>
      <c r="H564" s="6">
        <f>IFERROR(VLOOKUP(BD_DETALLE!$B564,Tabla9[],4,0),0)</f>
        <v>20</v>
      </c>
      <c r="I564" s="19" t="s">
        <v>12</v>
      </c>
      <c r="J564" s="20" t="s">
        <v>1860</v>
      </c>
      <c r="K564" s="10">
        <f>IFERROR(VLOOKUP(BD_DETALLE!B564,Tabla9[],7,0),"")</f>
        <v>44299</v>
      </c>
      <c r="L564" s="11">
        <f>IFERROR(VLOOKUP(BD_DETALLE!B564,Tabla9[],8,0),"")</f>
        <v>52483</v>
      </c>
      <c r="M564" s="9">
        <f>IFERROR(SUMIFS(Tabla9[CANTIDAD2],Tabla9[BUSQUEDA],Tabla3[[#This Row],[BUSQUEDA]],Tabla9[CODIGO],Tabla3[[#This Row],[CODIGO]],Tabla9[ORDEN No.],Tabla3[[#This Row],[ORDEN de COMPRA]]),0)</f>
        <v>20</v>
      </c>
      <c r="N564" s="27">
        <f>IFERROR(IF(BD_DETALLE!B564&gt;0,VLOOKUP(BD_DETALLE!B564,Tabla9[],10,0),""),"")</f>
        <v>0</v>
      </c>
      <c r="O564" s="28">
        <f>IFERROR(VLOOKUP(BD_DETALLE!B564,Tabla9[],11,0),0)</f>
        <v>0</v>
      </c>
      <c r="P564" s="26">
        <f>IFERROR(SUMIFS(Tabla9[CANTIDAD3],Tabla9[BUSQUEDA],Tabla3[[#This Row],[BUSQUEDA]],Tabla9[CODIGO],Tabla3[[#This Row],[CODIGO]]),0)</f>
        <v>0</v>
      </c>
      <c r="Q564" s="25">
        <f>IF(BD_DETALLE!P564&lt;=0,0,IF(BD_DETALLE!P564=BD_DETALLE!H564,2,1))</f>
        <v>0</v>
      </c>
      <c r="R564" s="41">
        <f ca="1">IF(BD_DETALLE!$C564&gt;0,(IF(BD_DETALLE!$N564=0,TODAY()-BD_DETALLE!$C564,BD_DETALLE!$N564-BD_DETALLE!$C564)),"")</f>
        <v>25</v>
      </c>
    </row>
    <row r="565" spans="2:18" x14ac:dyDescent="0.25">
      <c r="B565" s="15" t="str">
        <f t="shared" si="57"/>
        <v>2103-255-316335</v>
      </c>
      <c r="C565" s="7">
        <v>44280</v>
      </c>
      <c r="D565" s="5" t="str">
        <f>IF(BD_DETALLE!$E565&gt;=1,CONCATENATE(TEXT(BD_DETALLE!$C565,"YY"),TEXT(BD_DETALLE!$C565,"MM"),"-",BD_DETALLE!$E565),"")</f>
        <v>2103-255</v>
      </c>
      <c r="E565" s="12">
        <v>255</v>
      </c>
      <c r="F565" s="21">
        <v>316335</v>
      </c>
      <c r="G565" s="4" t="str">
        <f>IFERROR(VLOOKUP(BD_DETALLE!$B565,Tabla9[],6,0),"")</f>
        <v>QUICK DISCONNECT TUBE  # 601-390</v>
      </c>
      <c r="H565" s="6">
        <f>IFERROR(VLOOKUP(BD_DETALLE!$B565,Tabla9[],4,0),0)</f>
        <v>2</v>
      </c>
      <c r="I565" s="19" t="s">
        <v>9</v>
      </c>
      <c r="J565" s="20" t="s">
        <v>1075</v>
      </c>
      <c r="K565" s="10">
        <f>IFERROR(VLOOKUP(BD_DETALLE!B565,Tabla9[],7,0),"")</f>
        <v>0</v>
      </c>
      <c r="L565" s="11">
        <f>IFERROR(VLOOKUP(BD_DETALLE!B565,Tabla9[],8,0),"")</f>
        <v>0</v>
      </c>
      <c r="M565" s="9">
        <f>IFERROR(SUMIFS(Tabla9[CANTIDAD2],Tabla9[BUSQUEDA],Tabla3[[#This Row],[BUSQUEDA]],Tabla9[CODIGO],Tabla3[[#This Row],[CODIGO]],Tabla9[ORDEN No.],Tabla3[[#This Row],[ORDEN de COMPRA]]),0)</f>
        <v>0</v>
      </c>
      <c r="N565" s="27">
        <f>IFERROR(IF(BD_DETALLE!B565&gt;0,VLOOKUP(BD_DETALLE!B565,Tabla9[],10,0),""),"")</f>
        <v>0</v>
      </c>
      <c r="O565" s="28">
        <f>IFERROR(VLOOKUP(BD_DETALLE!B565,Tabla9[],11,0),0)</f>
        <v>0</v>
      </c>
      <c r="P565" s="26">
        <f>IFERROR(SUMIFS(Tabla9[CANTIDAD3],Tabla9[BUSQUEDA],Tabla3[[#This Row],[BUSQUEDA]],Tabla9[CODIGO],Tabla3[[#This Row],[CODIGO]]),0)</f>
        <v>0</v>
      </c>
      <c r="Q565" s="25">
        <f>IF(BD_DETALLE!P565&lt;=0,0,IF(BD_DETALLE!P565=BD_DETALLE!H565,2,1))</f>
        <v>0</v>
      </c>
      <c r="R565" s="41">
        <f ca="1">IF(BD_DETALLE!$C565&gt;0,(IF(BD_DETALLE!$N565=0,TODAY()-BD_DETALLE!$C565,BD_DETALLE!$N565-BD_DETALLE!$C565)),"")</f>
        <v>25</v>
      </c>
    </row>
    <row r="566" spans="2:18" x14ac:dyDescent="0.25">
      <c r="B566" s="15" t="str">
        <f t="shared" si="57"/>
        <v>2103-255-318734</v>
      </c>
      <c r="C566" s="7">
        <v>44280</v>
      </c>
      <c r="D566" s="5" t="str">
        <f>IF(BD_DETALLE!$E566&gt;=1,CONCATENATE(TEXT(BD_DETALLE!$C566,"YY"),TEXT(BD_DETALLE!$C566,"MM"),"-",BD_DETALLE!$E566),"")</f>
        <v>2103-255</v>
      </c>
      <c r="E566" s="12">
        <v>255</v>
      </c>
      <c r="F566" s="21">
        <v>318734</v>
      </c>
      <c r="G566" s="4" t="str">
        <f>IFERROR(VLOOKUP(BD_DETALLE!$B566,Tabla9[],6,0),"")</f>
        <v>LUB GRASA VACUUM 5.3oz (501-241)</v>
      </c>
      <c r="H566" s="6">
        <f>IFERROR(VLOOKUP(BD_DETALLE!$B566,Tabla9[],4,0),0)</f>
        <v>1</v>
      </c>
      <c r="I566" s="19" t="s">
        <v>9</v>
      </c>
      <c r="J566" s="20" t="s">
        <v>1075</v>
      </c>
      <c r="K566" s="10">
        <f>IFERROR(VLOOKUP(BD_DETALLE!B566,Tabla9[],7,0),"")</f>
        <v>0</v>
      </c>
      <c r="L566" s="11">
        <f>IFERROR(VLOOKUP(BD_DETALLE!B566,Tabla9[],8,0),"")</f>
        <v>0</v>
      </c>
      <c r="M566" s="9">
        <f>IFERROR(SUMIFS(Tabla9[CANTIDAD2],Tabla9[BUSQUEDA],Tabla3[[#This Row],[BUSQUEDA]],Tabla9[CODIGO],Tabla3[[#This Row],[CODIGO]],Tabla9[ORDEN No.],Tabla3[[#This Row],[ORDEN de COMPRA]]),0)</f>
        <v>0</v>
      </c>
      <c r="N566" s="27">
        <f>IFERROR(IF(BD_DETALLE!B566&gt;0,VLOOKUP(BD_DETALLE!B566,Tabla9[],10,0),""),"")</f>
        <v>0</v>
      </c>
      <c r="O566" s="28">
        <f>IFERROR(VLOOKUP(BD_DETALLE!B566,Tabla9[],11,0),0)</f>
        <v>0</v>
      </c>
      <c r="P566" s="26">
        <f>IFERROR(SUMIFS(Tabla9[CANTIDAD3],Tabla9[BUSQUEDA],Tabla3[[#This Row],[BUSQUEDA]],Tabla9[CODIGO],Tabla3[[#This Row],[CODIGO]]),0)</f>
        <v>0</v>
      </c>
      <c r="Q566" s="25">
        <f>IF(BD_DETALLE!P566&lt;=0,0,IF(BD_DETALLE!P566=BD_DETALLE!H566,2,1))</f>
        <v>0</v>
      </c>
      <c r="R566" s="41">
        <f ca="1">IF(BD_DETALLE!$C566&gt;0,(IF(BD_DETALLE!$N566=0,TODAY()-BD_DETALLE!$C566,BD_DETALLE!$N566-BD_DETALLE!$C566)),"")</f>
        <v>25</v>
      </c>
    </row>
    <row r="567" spans="2:18" x14ac:dyDescent="0.25">
      <c r="B567" s="15" t="str">
        <f t="shared" si="57"/>
        <v>2103-256-310416</v>
      </c>
      <c r="C567" s="7">
        <v>44280</v>
      </c>
      <c r="D567" s="5" t="str">
        <f>IF(BD_DETALLE!$E567&gt;=1,CONCATENATE(TEXT(BD_DETALLE!$C567,"YY"),TEXT(BD_DETALLE!$C567,"MM"),"-",BD_DETALLE!$E567),"")</f>
        <v>2103-256</v>
      </c>
      <c r="E567" s="12">
        <v>256</v>
      </c>
      <c r="F567" s="21">
        <v>310416</v>
      </c>
      <c r="G567" s="4" t="str">
        <f>IFERROR(VLOOKUP(BD_DETALLE!$B567,Tabla9[],6,0),"")</f>
        <v>GUANTE DE CUERO P/MANIOBRA</v>
      </c>
      <c r="H567" s="6">
        <f>IFERROR(VLOOKUP(BD_DETALLE!$B567,Tabla9[],4,0),0)</f>
        <v>40</v>
      </c>
      <c r="I567" s="19" t="s">
        <v>15</v>
      </c>
      <c r="J567" s="20" t="s">
        <v>385</v>
      </c>
      <c r="K567" s="10">
        <f>IFERROR(VLOOKUP(BD_DETALLE!B567,Tabla9[],7,0),"")</f>
        <v>44293</v>
      </c>
      <c r="L567" s="11">
        <f>IFERROR(VLOOKUP(BD_DETALLE!B567,Tabla9[],8,0),"")</f>
        <v>52385</v>
      </c>
      <c r="M567" s="9">
        <f>IFERROR(SUMIFS(Tabla9[CANTIDAD2],Tabla9[BUSQUEDA],Tabla3[[#This Row],[BUSQUEDA]],Tabla9[CODIGO],Tabla3[[#This Row],[CODIGO]],Tabla9[ORDEN No.],Tabla3[[#This Row],[ORDEN de COMPRA]]),0)</f>
        <v>40</v>
      </c>
      <c r="N567" s="27">
        <f>IFERROR(IF(BD_DETALLE!B567&gt;0,VLOOKUP(BD_DETALLE!B567,Tabla9[],10,0),""),"")</f>
        <v>44299</v>
      </c>
      <c r="O567" s="28">
        <f>IFERROR(VLOOKUP(BD_DETALLE!B567,Tabla9[],11,0),0)</f>
        <v>11800</v>
      </c>
      <c r="P567" s="26">
        <f>IFERROR(SUMIFS(Tabla9[CANTIDAD3],Tabla9[BUSQUEDA],Tabla3[[#This Row],[BUSQUEDA]],Tabla9[CODIGO],Tabla3[[#This Row],[CODIGO]]),0)</f>
        <v>40</v>
      </c>
      <c r="Q567" s="25">
        <f>IF(BD_DETALLE!P567&lt;=0,0,IF(BD_DETALLE!P567=BD_DETALLE!H567,2,1))</f>
        <v>2</v>
      </c>
      <c r="R567" s="41">
        <f ca="1">IF(BD_DETALLE!$C567&gt;0,(IF(BD_DETALLE!$N567=0,TODAY()-BD_DETALLE!$C567,BD_DETALLE!$N567-BD_DETALLE!$C567)),"")</f>
        <v>19</v>
      </c>
    </row>
    <row r="568" spans="2:18" x14ac:dyDescent="0.25">
      <c r="B568" s="15" t="str">
        <f t="shared" si="57"/>
        <v>2103-256-106761</v>
      </c>
      <c r="C568" s="7">
        <v>44280</v>
      </c>
      <c r="D568" s="5" t="str">
        <f>IF(BD_DETALLE!$E568&gt;=1,CONCATENATE(TEXT(BD_DETALLE!$C568,"YY"),TEXT(BD_DETALLE!$C568,"MM"),"-",BD_DETALLE!$E568),"")</f>
        <v>2103-256</v>
      </c>
      <c r="E568" s="12">
        <v>256</v>
      </c>
      <c r="F568" s="21">
        <v>106761</v>
      </c>
      <c r="G568" s="4" t="str">
        <f>IFERROR(VLOOKUP(BD_DETALLE!$B568,Tabla9[],6,0),"")</f>
        <v>GUANTE DE CUERO PARA SOLDAR</v>
      </c>
      <c r="H568" s="6">
        <f>IFERROR(VLOOKUP(BD_DETALLE!$B568,Tabla9[],4,0),0)</f>
        <v>20</v>
      </c>
      <c r="I568" s="19" t="s">
        <v>15</v>
      </c>
      <c r="J568" s="20" t="s">
        <v>385</v>
      </c>
      <c r="K568" s="10">
        <f>IFERROR(VLOOKUP(BD_DETALLE!B568,Tabla9[],7,0),"")</f>
        <v>44293</v>
      </c>
      <c r="L568" s="11">
        <f>IFERROR(VLOOKUP(BD_DETALLE!B568,Tabla9[],8,0),"")</f>
        <v>52385</v>
      </c>
      <c r="M568" s="9">
        <f>IFERROR(SUMIFS(Tabla9[CANTIDAD2],Tabla9[BUSQUEDA],Tabla3[[#This Row],[BUSQUEDA]],Tabla9[CODIGO],Tabla3[[#This Row],[CODIGO]],Tabla9[ORDEN No.],Tabla3[[#This Row],[ORDEN de COMPRA]]),0)</f>
        <v>20</v>
      </c>
      <c r="N568" s="27">
        <f>IFERROR(IF(BD_DETALLE!B568&gt;0,VLOOKUP(BD_DETALLE!B568,Tabla9[],10,0),""),"")</f>
        <v>44299</v>
      </c>
      <c r="O568" s="28">
        <f>IFERROR(VLOOKUP(BD_DETALLE!B568,Tabla9[],11,0),0)</f>
        <v>11800</v>
      </c>
      <c r="P568" s="26">
        <f>IFERROR(SUMIFS(Tabla9[CANTIDAD3],Tabla9[BUSQUEDA],Tabla3[[#This Row],[BUSQUEDA]],Tabla9[CODIGO],Tabla3[[#This Row],[CODIGO]]),0)</f>
        <v>20</v>
      </c>
      <c r="Q568" s="25">
        <f>IF(BD_DETALLE!P568&lt;=0,0,IF(BD_DETALLE!P568=BD_DETALLE!H568,2,1))</f>
        <v>2</v>
      </c>
      <c r="R568" s="41">
        <f ca="1">IF(BD_DETALLE!$C568&gt;0,(IF(BD_DETALLE!$N568=0,TODAY()-BD_DETALLE!$C568,BD_DETALLE!$N568-BD_DETALLE!$C568)),"")</f>
        <v>19</v>
      </c>
    </row>
    <row r="569" spans="2:18" x14ac:dyDescent="0.25">
      <c r="B569" s="15" t="str">
        <f t="shared" ref="B569:B584" si="58">IFERROR(TEXT(C569,"yy") &amp; TEXT(C569,"mm") &amp;"-"&amp;(E569) &amp;"-"&amp;(F569),"")</f>
        <v>2103-271-320970</v>
      </c>
      <c r="C569" s="7">
        <v>44281</v>
      </c>
      <c r="D569" s="5" t="str">
        <f>IF(BD_DETALLE!$E569&gt;=1,CONCATENATE(TEXT(BD_DETALLE!$C569,"YY"),TEXT(BD_DETALLE!$C569,"MM"),"-",BD_DETALLE!$E569),"")</f>
        <v>2103-271</v>
      </c>
      <c r="E569" s="12">
        <v>271</v>
      </c>
      <c r="F569" s="21">
        <v>320970</v>
      </c>
      <c r="G569" s="4" t="str">
        <f>IFERROR(VLOOKUP(BD_DETALLE!$B569,Tabla9[],6,0),"")</f>
        <v>MANOMETRO DE 0 - 14 BAR</v>
      </c>
      <c r="H569" s="6">
        <f>IFERROR(VLOOKUP(BD_DETALLE!$B569,Tabla9[],4,0),0)</f>
        <v>2</v>
      </c>
      <c r="I569" s="19" t="s">
        <v>19</v>
      </c>
      <c r="J569" s="20" t="s">
        <v>2139</v>
      </c>
      <c r="K569" s="10">
        <f>IFERROR(VLOOKUP(BD_DETALLE!B569,Tabla9[],7,0),"")</f>
        <v>0</v>
      </c>
      <c r="L569" s="11">
        <f>IFERROR(VLOOKUP(BD_DETALLE!B569,Tabla9[],8,0),"")</f>
        <v>0</v>
      </c>
      <c r="M569" s="9">
        <f>IFERROR(SUMIFS(Tabla9[CANTIDAD2],Tabla9[BUSQUEDA],Tabla3[[#This Row],[BUSQUEDA]],Tabla9[CODIGO],Tabla3[[#This Row],[CODIGO]],Tabla9[ORDEN No.],Tabla3[[#This Row],[ORDEN de COMPRA]]),0)</f>
        <v>0</v>
      </c>
      <c r="N569" s="27">
        <f>IFERROR(IF(BD_DETALLE!B569&gt;0,VLOOKUP(BD_DETALLE!B569,Tabla9[],10,0),""),"")</f>
        <v>0</v>
      </c>
      <c r="O569" s="28">
        <f>IFERROR(VLOOKUP(BD_DETALLE!B569,Tabla9[],11,0),0)</f>
        <v>0</v>
      </c>
      <c r="P569" s="26">
        <f>IFERROR(SUMIFS(Tabla9[CANTIDAD3],Tabla9[BUSQUEDA],Tabla3[[#This Row],[BUSQUEDA]],Tabla9[CODIGO],Tabla3[[#This Row],[CODIGO]]),0)</f>
        <v>0</v>
      </c>
      <c r="Q569" s="25">
        <f>IF(BD_DETALLE!P569&lt;=0,0,IF(BD_DETALLE!P569=BD_DETALLE!H569,2,1))</f>
        <v>0</v>
      </c>
      <c r="R569" s="41">
        <f ca="1">IF(BD_DETALLE!$C569&gt;0,(IF(BD_DETALLE!$N569=0,TODAY()-BD_DETALLE!$C569,BD_DETALLE!$N569-BD_DETALLE!$C569)),"")</f>
        <v>24</v>
      </c>
    </row>
    <row r="570" spans="2:18" x14ac:dyDescent="0.25">
      <c r="B570" s="15" t="str">
        <f t="shared" si="58"/>
        <v>2103-271-306617</v>
      </c>
      <c r="C570" s="7">
        <v>44281</v>
      </c>
      <c r="D570" s="5" t="str">
        <f>IF(BD_DETALLE!$E570&gt;=1,CONCATENATE(TEXT(BD_DETALLE!$C570,"YY"),TEXT(BD_DETALLE!$C570,"MM"),"-",BD_DETALLE!$E570),"")</f>
        <v>2103-271</v>
      </c>
      <c r="E570" s="12">
        <v>271</v>
      </c>
      <c r="F570" s="21">
        <v>306617</v>
      </c>
      <c r="G570" s="4" t="str">
        <f>IFERROR(VLOOKUP(BD_DETALLE!$B570,Tabla9[],6,0),"")</f>
        <v>CHECK HORIZONTAL A/INOX DE 1/4"</v>
      </c>
      <c r="H570" s="6">
        <f>IFERROR(VLOOKUP(BD_DETALLE!$B570,Tabla9[],4,0),0)</f>
        <v>1</v>
      </c>
      <c r="I570" s="19" t="s">
        <v>19</v>
      </c>
      <c r="J570" s="20" t="s">
        <v>2139</v>
      </c>
      <c r="K570" s="10">
        <f>IFERROR(VLOOKUP(BD_DETALLE!B570,Tabla9[],7,0),"")</f>
        <v>0</v>
      </c>
      <c r="L570" s="11">
        <f>IFERROR(VLOOKUP(BD_DETALLE!B570,Tabla9[],8,0),"")</f>
        <v>0</v>
      </c>
      <c r="M570" s="9">
        <f>IFERROR(SUMIFS(Tabla9[CANTIDAD2],Tabla9[BUSQUEDA],Tabla3[[#This Row],[BUSQUEDA]],Tabla9[CODIGO],Tabla3[[#This Row],[CODIGO]],Tabla9[ORDEN No.],Tabla3[[#This Row],[ORDEN de COMPRA]]),0)</f>
        <v>0</v>
      </c>
      <c r="N570" s="27">
        <f>IFERROR(IF(BD_DETALLE!B570&gt;0,VLOOKUP(BD_DETALLE!B570,Tabla9[],10,0),""),"")</f>
        <v>0</v>
      </c>
      <c r="O570" s="28">
        <f>IFERROR(VLOOKUP(BD_DETALLE!B570,Tabla9[],11,0),0)</f>
        <v>0</v>
      </c>
      <c r="P570" s="26">
        <f>IFERROR(SUMIFS(Tabla9[CANTIDAD3],Tabla9[BUSQUEDA],Tabla3[[#This Row],[BUSQUEDA]],Tabla9[CODIGO],Tabla3[[#This Row],[CODIGO]]),0)</f>
        <v>0</v>
      </c>
      <c r="Q570" s="25">
        <f>IF(BD_DETALLE!P570&lt;=0,0,IF(BD_DETALLE!P570=BD_DETALLE!H570,2,1))</f>
        <v>0</v>
      </c>
      <c r="R570" s="41">
        <f ca="1">IF(BD_DETALLE!$C570&gt;0,(IF(BD_DETALLE!$N570=0,TODAY()-BD_DETALLE!$C570,BD_DETALLE!$N570-BD_DETALLE!$C570)),"")</f>
        <v>24</v>
      </c>
    </row>
    <row r="571" spans="2:18" x14ac:dyDescent="0.25">
      <c r="B571" s="15" t="str">
        <f t="shared" si="58"/>
        <v>2103-271-319981</v>
      </c>
      <c r="C571" s="7">
        <v>44281</v>
      </c>
      <c r="D571" s="5" t="str">
        <f>IF(BD_DETALLE!$E571&gt;=1,CONCATENATE(TEXT(BD_DETALLE!$C571,"YY"),TEXT(BD_DETALLE!$C571,"MM"),"-",BD_DETALLE!$E571),"")</f>
        <v>2103-271</v>
      </c>
      <c r="E571" s="12">
        <v>271</v>
      </c>
      <c r="F571" s="21">
        <v>319981</v>
      </c>
      <c r="G571" s="4" t="str">
        <f>IFERROR(VLOOKUP(BD_DETALLE!$B571,Tabla9[],6,0),"")</f>
        <v>FILTRO TIPO "Y" A/INOX. DE 1/4"</v>
      </c>
      <c r="H571" s="6">
        <f>IFERROR(VLOOKUP(BD_DETALLE!$B571,Tabla9[],4,0),0)</f>
        <v>1</v>
      </c>
      <c r="I571" s="19" t="s">
        <v>19</v>
      </c>
      <c r="J571" s="20" t="s">
        <v>2139</v>
      </c>
      <c r="K571" s="10">
        <f>IFERROR(VLOOKUP(BD_DETALLE!B571,Tabla9[],7,0),"")</f>
        <v>0</v>
      </c>
      <c r="L571" s="11">
        <f>IFERROR(VLOOKUP(BD_DETALLE!B571,Tabla9[],8,0),"")</f>
        <v>0</v>
      </c>
      <c r="M571" s="9">
        <f>IFERROR(SUMIFS(Tabla9[CANTIDAD2],Tabla9[BUSQUEDA],Tabla3[[#This Row],[BUSQUEDA]],Tabla9[CODIGO],Tabla3[[#This Row],[CODIGO]],Tabla9[ORDEN No.],Tabla3[[#This Row],[ORDEN de COMPRA]]),0)</f>
        <v>0</v>
      </c>
      <c r="N571" s="27">
        <f>IFERROR(IF(BD_DETALLE!B571&gt;0,VLOOKUP(BD_DETALLE!B571,Tabla9[],10,0),""),"")</f>
        <v>0</v>
      </c>
      <c r="O571" s="28">
        <f>IFERROR(VLOOKUP(BD_DETALLE!B571,Tabla9[],11,0),0)</f>
        <v>0</v>
      </c>
      <c r="P571" s="26">
        <f>IFERROR(SUMIFS(Tabla9[CANTIDAD3],Tabla9[BUSQUEDA],Tabla3[[#This Row],[BUSQUEDA]],Tabla9[CODIGO],Tabla3[[#This Row],[CODIGO]]),0)</f>
        <v>0</v>
      </c>
      <c r="Q571" s="25">
        <f>IF(BD_DETALLE!P571&lt;=0,0,IF(BD_DETALLE!P571=BD_DETALLE!H571,2,1))</f>
        <v>0</v>
      </c>
      <c r="R571" s="41">
        <f ca="1">IF(BD_DETALLE!$C571&gt;0,(IF(BD_DETALLE!$N571=0,TODAY()-BD_DETALLE!$C571,BD_DETALLE!$N571-BD_DETALLE!$C571)),"")</f>
        <v>24</v>
      </c>
    </row>
    <row r="572" spans="2:18" x14ac:dyDescent="0.25">
      <c r="B572" s="15" t="str">
        <f t="shared" si="58"/>
        <v>2103-271-202904</v>
      </c>
      <c r="C572" s="7">
        <v>44281</v>
      </c>
      <c r="D572" s="5" t="str">
        <f>IF(BD_DETALLE!$E572&gt;=1,CONCATENATE(TEXT(BD_DETALLE!$C572,"YY"),TEXT(BD_DETALLE!$C572,"MM"),"-",BD_DETALLE!$E572),"")</f>
        <v>2103-271</v>
      </c>
      <c r="E572" s="12">
        <v>271</v>
      </c>
      <c r="F572" s="21">
        <v>202904</v>
      </c>
      <c r="G572" s="4" t="str">
        <f>IFERROR(VLOOKUP(BD_DETALLE!$B572,Tabla9[],6,0),"")</f>
        <v>VALVULA A/INOX A/RAPIDA DE 1/4"</v>
      </c>
      <c r="H572" s="6">
        <f>IFERROR(VLOOKUP(BD_DETALLE!$B572,Tabla9[],4,0),0)</f>
        <v>2</v>
      </c>
      <c r="I572" s="19" t="s">
        <v>19</v>
      </c>
      <c r="J572" s="20" t="s">
        <v>2139</v>
      </c>
      <c r="K572" s="10">
        <f>IFERROR(VLOOKUP(BD_DETALLE!B572,Tabla9[],7,0),"")</f>
        <v>0</v>
      </c>
      <c r="L572" s="11">
        <f>IFERROR(VLOOKUP(BD_DETALLE!B572,Tabla9[],8,0),"")</f>
        <v>0</v>
      </c>
      <c r="M572" s="9">
        <f>IFERROR(SUMIFS(Tabla9[CANTIDAD2],Tabla9[BUSQUEDA],Tabla3[[#This Row],[BUSQUEDA]],Tabla9[CODIGO],Tabla3[[#This Row],[CODIGO]],Tabla9[ORDEN No.],Tabla3[[#This Row],[ORDEN de COMPRA]]),0)</f>
        <v>0</v>
      </c>
      <c r="N572" s="27">
        <f>IFERROR(IF(BD_DETALLE!B572&gt;0,VLOOKUP(BD_DETALLE!B572,Tabla9[],10,0),""),"")</f>
        <v>0</v>
      </c>
      <c r="O572" s="28">
        <f>IFERROR(VLOOKUP(BD_DETALLE!B572,Tabla9[],11,0),0)</f>
        <v>0</v>
      </c>
      <c r="P572" s="26">
        <f>IFERROR(SUMIFS(Tabla9[CANTIDAD3],Tabla9[BUSQUEDA],Tabla3[[#This Row],[BUSQUEDA]],Tabla9[CODIGO],Tabla3[[#This Row],[CODIGO]]),0)</f>
        <v>0</v>
      </c>
      <c r="Q572" s="25">
        <f>IF(BD_DETALLE!P572&lt;=0,0,IF(BD_DETALLE!P572=BD_DETALLE!H572,2,1))</f>
        <v>0</v>
      </c>
      <c r="R572" s="41">
        <f ca="1">IF(BD_DETALLE!$C572&gt;0,(IF(BD_DETALLE!$N572=0,TODAY()-BD_DETALLE!$C572,BD_DETALLE!$N572-BD_DETALLE!$C572)),"")</f>
        <v>24</v>
      </c>
    </row>
    <row r="573" spans="2:18" x14ac:dyDescent="0.25">
      <c r="B573" s="15" t="str">
        <f t="shared" si="58"/>
        <v>2103-271-316894</v>
      </c>
      <c r="C573" s="7">
        <v>44281</v>
      </c>
      <c r="D573" s="5" t="str">
        <f>IF(BD_DETALLE!$E573&gt;=1,CONCATENATE(TEXT(BD_DETALLE!$C573,"YY"),TEXT(BD_DETALLE!$C573,"MM"),"-",BD_DETALLE!$E573),"")</f>
        <v>2103-271</v>
      </c>
      <c r="E573" s="12">
        <v>271</v>
      </c>
      <c r="F573" s="21">
        <v>316894</v>
      </c>
      <c r="G573" s="4" t="str">
        <f>IFERROR(VLOOKUP(BD_DETALLE!$B573,Tabla9[],6,0),"")</f>
        <v>UNIDAD MANTENIMIENTO DE AIRE DE 1/4" (COMPLETO)</v>
      </c>
      <c r="H573" s="6">
        <f>IFERROR(VLOOKUP(BD_DETALLE!$B573,Tabla9[],4,0),0)</f>
        <v>1</v>
      </c>
      <c r="I573" s="19" t="s">
        <v>19</v>
      </c>
      <c r="J573" s="20" t="s">
        <v>2139</v>
      </c>
      <c r="K573" s="10">
        <f>IFERROR(VLOOKUP(BD_DETALLE!B573,Tabla9[],7,0),"")</f>
        <v>0</v>
      </c>
      <c r="L573" s="11">
        <f>IFERROR(VLOOKUP(BD_DETALLE!B573,Tabla9[],8,0),"")</f>
        <v>0</v>
      </c>
      <c r="M573" s="9">
        <f>IFERROR(SUMIFS(Tabla9[CANTIDAD2],Tabla9[BUSQUEDA],Tabla3[[#This Row],[BUSQUEDA]],Tabla9[CODIGO],Tabla3[[#This Row],[CODIGO]],Tabla9[ORDEN No.],Tabla3[[#This Row],[ORDEN de COMPRA]]),0)</f>
        <v>0</v>
      </c>
      <c r="N573" s="27">
        <f>IFERROR(IF(BD_DETALLE!B573&gt;0,VLOOKUP(BD_DETALLE!B573,Tabla9[],10,0),""),"")</f>
        <v>0</v>
      </c>
      <c r="O573" s="28">
        <f>IFERROR(VLOOKUP(BD_DETALLE!B573,Tabla9[],11,0),0)</f>
        <v>0</v>
      </c>
      <c r="P573" s="26">
        <f>IFERROR(SUMIFS(Tabla9[CANTIDAD3],Tabla9[BUSQUEDA],Tabla3[[#This Row],[BUSQUEDA]],Tabla9[CODIGO],Tabla3[[#This Row],[CODIGO]]),0)</f>
        <v>0</v>
      </c>
      <c r="Q573" s="25">
        <f>IF(BD_DETALLE!P573&lt;=0,0,IF(BD_DETALLE!P573=BD_DETALLE!H573,2,1))</f>
        <v>0</v>
      </c>
      <c r="R573" s="41">
        <f ca="1">IF(BD_DETALLE!$C573&gt;0,(IF(BD_DETALLE!$N573=0,TODAY()-BD_DETALLE!$C573,BD_DETALLE!$N573-BD_DETALLE!$C573)),"")</f>
        <v>24</v>
      </c>
    </row>
    <row r="574" spans="2:18" x14ac:dyDescent="0.25">
      <c r="B574" s="15" t="str">
        <f t="shared" si="58"/>
        <v>2103-271-300448</v>
      </c>
      <c r="C574" s="7">
        <v>44281</v>
      </c>
      <c r="D574" s="5" t="str">
        <f>IF(BD_DETALLE!$E574&gt;=1,CONCATENATE(TEXT(BD_DETALLE!$C574,"YY"),TEXT(BD_DETALLE!$C574,"MM"),"-",BD_DETALLE!$E574),"")</f>
        <v>2103-271</v>
      </c>
      <c r="E574" s="12">
        <v>271</v>
      </c>
      <c r="F574" s="21">
        <v>300448</v>
      </c>
      <c r="G574" s="4" t="str">
        <f>IFERROR(VLOOKUP(BD_DETALLE!$B574,Tabla9[],6,0),"")</f>
        <v>CODO A/INOX ROSCABLE DE 1/4" x 90║</v>
      </c>
      <c r="H574" s="6">
        <f>IFERROR(VLOOKUP(BD_DETALLE!$B574,Tabla9[],4,0),0)</f>
        <v>8</v>
      </c>
      <c r="I574" s="19" t="s">
        <v>19</v>
      </c>
      <c r="J574" s="20" t="s">
        <v>2139</v>
      </c>
      <c r="K574" s="10">
        <f>IFERROR(VLOOKUP(BD_DETALLE!B574,Tabla9[],7,0),"")</f>
        <v>0</v>
      </c>
      <c r="L574" s="11">
        <f>IFERROR(VLOOKUP(BD_DETALLE!B574,Tabla9[],8,0),"")</f>
        <v>0</v>
      </c>
      <c r="M574" s="9">
        <f>IFERROR(SUMIFS(Tabla9[CANTIDAD2],Tabla9[BUSQUEDA],Tabla3[[#This Row],[BUSQUEDA]],Tabla9[CODIGO],Tabla3[[#This Row],[CODIGO]],Tabla9[ORDEN No.],Tabla3[[#This Row],[ORDEN de COMPRA]]),0)</f>
        <v>0</v>
      </c>
      <c r="N574" s="27">
        <f>IFERROR(IF(BD_DETALLE!B574&gt;0,VLOOKUP(BD_DETALLE!B574,Tabla9[],10,0),""),"")</f>
        <v>0</v>
      </c>
      <c r="O574" s="28">
        <f>IFERROR(VLOOKUP(BD_DETALLE!B574,Tabla9[],11,0),0)</f>
        <v>0</v>
      </c>
      <c r="P574" s="26">
        <f>IFERROR(SUMIFS(Tabla9[CANTIDAD3],Tabla9[BUSQUEDA],Tabla3[[#This Row],[BUSQUEDA]],Tabla9[CODIGO],Tabla3[[#This Row],[CODIGO]]),0)</f>
        <v>0</v>
      </c>
      <c r="Q574" s="25">
        <f>IF(BD_DETALLE!P574&lt;=0,0,IF(BD_DETALLE!P574=BD_DETALLE!H574,2,1))</f>
        <v>0</v>
      </c>
      <c r="R574" s="41">
        <f ca="1">IF(BD_DETALLE!$C574&gt;0,(IF(BD_DETALLE!$N574=0,TODAY()-BD_DETALLE!$C574,BD_DETALLE!$N574-BD_DETALLE!$C574)),"")</f>
        <v>24</v>
      </c>
    </row>
    <row r="575" spans="2:18" x14ac:dyDescent="0.25">
      <c r="B575" s="15" t="str">
        <f t="shared" si="58"/>
        <v>2103-271-300451</v>
      </c>
      <c r="C575" s="7">
        <v>44281</v>
      </c>
      <c r="D575" s="5" t="str">
        <f>IF(BD_DETALLE!$E575&gt;=1,CONCATENATE(TEXT(BD_DETALLE!$C575,"YY"),TEXT(BD_DETALLE!$C575,"MM"),"-",BD_DETALLE!$E575),"")</f>
        <v>2103-271</v>
      </c>
      <c r="E575" s="12">
        <v>271</v>
      </c>
      <c r="F575" s="21">
        <v>300451</v>
      </c>
      <c r="G575" s="4" t="str">
        <f>IFERROR(VLOOKUP(BD_DETALLE!$B575,Tabla9[],6,0),"")</f>
        <v>TEE A/INOX ROSCABLE DE 1/4"</v>
      </c>
      <c r="H575" s="6">
        <f>IFERROR(VLOOKUP(BD_DETALLE!$B575,Tabla9[],4,0),0)</f>
        <v>4</v>
      </c>
      <c r="I575" s="19" t="s">
        <v>19</v>
      </c>
      <c r="J575" s="20" t="s">
        <v>2139</v>
      </c>
      <c r="K575" s="10">
        <f>IFERROR(VLOOKUP(BD_DETALLE!B575,Tabla9[],7,0),"")</f>
        <v>0</v>
      </c>
      <c r="L575" s="11">
        <f>IFERROR(VLOOKUP(BD_DETALLE!B575,Tabla9[],8,0),"")</f>
        <v>0</v>
      </c>
      <c r="M575" s="9">
        <f>IFERROR(SUMIFS(Tabla9[CANTIDAD2],Tabla9[BUSQUEDA],Tabla3[[#This Row],[BUSQUEDA]],Tabla9[CODIGO],Tabla3[[#This Row],[CODIGO]],Tabla9[ORDEN No.],Tabla3[[#This Row],[ORDEN de COMPRA]]),0)</f>
        <v>0</v>
      </c>
      <c r="N575" s="27">
        <f>IFERROR(IF(BD_DETALLE!B575&gt;0,VLOOKUP(BD_DETALLE!B575,Tabla9[],10,0),""),"")</f>
        <v>0</v>
      </c>
      <c r="O575" s="28">
        <f>IFERROR(VLOOKUP(BD_DETALLE!B575,Tabla9[],11,0),0)</f>
        <v>0</v>
      </c>
      <c r="P575" s="26">
        <f>IFERROR(SUMIFS(Tabla9[CANTIDAD3],Tabla9[BUSQUEDA],Tabla3[[#This Row],[BUSQUEDA]],Tabla9[CODIGO],Tabla3[[#This Row],[CODIGO]]),0)</f>
        <v>0</v>
      </c>
      <c r="Q575" s="25">
        <f>IF(BD_DETALLE!P575&lt;=0,0,IF(BD_DETALLE!P575=BD_DETALLE!H575,2,1))</f>
        <v>0</v>
      </c>
      <c r="R575" s="41">
        <f ca="1">IF(BD_DETALLE!$C575&gt;0,(IF(BD_DETALLE!$N575=0,TODAY()-BD_DETALLE!$C575,BD_DETALLE!$N575-BD_DETALLE!$C575)),"")</f>
        <v>24</v>
      </c>
    </row>
    <row r="576" spans="2:18" x14ac:dyDescent="0.25">
      <c r="B576" s="15" t="str">
        <f t="shared" si="58"/>
        <v>2103-271-106306</v>
      </c>
      <c r="C576" s="7">
        <v>44281</v>
      </c>
      <c r="D576" s="5" t="str">
        <f>IF(BD_DETALLE!$E576&gt;=1,CONCATENATE(TEXT(BD_DETALLE!$C576,"YY"),TEXT(BD_DETALLE!$C576,"MM"),"-",BD_DETALLE!$E576),"")</f>
        <v>2103-271</v>
      </c>
      <c r="E576" s="12">
        <v>271</v>
      </c>
      <c r="F576" s="21">
        <v>106306</v>
      </c>
      <c r="G576" s="4" t="str">
        <f>IFERROR(VLOOKUP(BD_DETALLE!$B576,Tabla9[],6,0),"")</f>
        <v>UNION UNIVERSAL A/INOX DE 1/4"</v>
      </c>
      <c r="H576" s="6">
        <f>IFERROR(VLOOKUP(BD_DETALLE!$B576,Tabla9[],4,0),0)</f>
        <v>4</v>
      </c>
      <c r="I576" s="19" t="s">
        <v>19</v>
      </c>
      <c r="J576" s="20" t="s">
        <v>2139</v>
      </c>
      <c r="K576" s="10">
        <f>IFERROR(VLOOKUP(BD_DETALLE!B576,Tabla9[],7,0),"")</f>
        <v>0</v>
      </c>
      <c r="L576" s="11">
        <f>IFERROR(VLOOKUP(BD_DETALLE!B576,Tabla9[],8,0),"")</f>
        <v>0</v>
      </c>
      <c r="M576" s="9">
        <f>IFERROR(SUMIFS(Tabla9[CANTIDAD2],Tabla9[BUSQUEDA],Tabla3[[#This Row],[BUSQUEDA]],Tabla9[CODIGO],Tabla3[[#This Row],[CODIGO]],Tabla9[ORDEN No.],Tabla3[[#This Row],[ORDEN de COMPRA]]),0)</f>
        <v>0</v>
      </c>
      <c r="N576" s="27">
        <f>IFERROR(IF(BD_DETALLE!B576&gt;0,VLOOKUP(BD_DETALLE!B576,Tabla9[],10,0),""),"")</f>
        <v>0</v>
      </c>
      <c r="O576" s="28">
        <f>IFERROR(VLOOKUP(BD_DETALLE!B576,Tabla9[],11,0),0)</f>
        <v>0</v>
      </c>
      <c r="P576" s="26">
        <f>IFERROR(SUMIFS(Tabla9[CANTIDAD3],Tabla9[BUSQUEDA],Tabla3[[#This Row],[BUSQUEDA]],Tabla9[CODIGO],Tabla3[[#This Row],[CODIGO]]),0)</f>
        <v>0</v>
      </c>
      <c r="Q576" s="25">
        <f>IF(BD_DETALLE!P576&lt;=0,0,IF(BD_DETALLE!P576=BD_DETALLE!H576,2,1))</f>
        <v>0</v>
      </c>
      <c r="R576" s="41">
        <f ca="1">IF(BD_DETALLE!$C576&gt;0,(IF(BD_DETALLE!$N576=0,TODAY()-BD_DETALLE!$C576,BD_DETALLE!$N576-BD_DETALLE!$C576)),"")</f>
        <v>24</v>
      </c>
    </row>
    <row r="577" spans="2:18" x14ac:dyDescent="0.25">
      <c r="B577" s="15" t="str">
        <f t="shared" si="58"/>
        <v>2103-271-302029</v>
      </c>
      <c r="C577" s="7">
        <v>44281</v>
      </c>
      <c r="D577" s="5" t="str">
        <f>IF(BD_DETALLE!$E577&gt;=1,CONCATENATE(TEXT(BD_DETALLE!$C577,"YY"),TEXT(BD_DETALLE!$C577,"MM"),"-",BD_DETALLE!$E577),"")</f>
        <v>2103-271</v>
      </c>
      <c r="E577" s="12">
        <v>271</v>
      </c>
      <c r="F577" s="21">
        <v>302029</v>
      </c>
      <c r="G577" s="4" t="str">
        <f>IFERROR(VLOOKUP(BD_DETALLE!$B577,Tabla9[],6,0),"")</f>
        <v/>
      </c>
      <c r="H577" s="6">
        <f>IFERROR(VLOOKUP(BD_DETALLE!$B577,Tabla9[],4,0),0)</f>
        <v>0</v>
      </c>
      <c r="I577" s="19" t="s">
        <v>19</v>
      </c>
      <c r="J577" s="20" t="s">
        <v>2139</v>
      </c>
      <c r="K577" s="10" t="str">
        <f>IFERROR(VLOOKUP(BD_DETALLE!B577,Tabla9[],7,0),"")</f>
        <v/>
      </c>
      <c r="L577" s="11" t="str">
        <f>IFERROR(VLOOKUP(BD_DETALLE!B577,Tabla9[],8,0),"")</f>
        <v/>
      </c>
      <c r="M577" s="9">
        <f>IFERROR(SUMIFS(Tabla9[CANTIDAD2],Tabla9[BUSQUEDA],Tabla3[[#This Row],[BUSQUEDA]],Tabla9[CODIGO],Tabla3[[#This Row],[CODIGO]],Tabla9[ORDEN No.],Tabla3[[#This Row],[ORDEN de COMPRA]]),0)</f>
        <v>0</v>
      </c>
      <c r="N577" s="27" t="str">
        <f>IFERROR(IF(BD_DETALLE!B577&gt;0,VLOOKUP(BD_DETALLE!B577,Tabla9[],10,0),""),"")</f>
        <v/>
      </c>
      <c r="O577" s="28">
        <f>IFERROR(VLOOKUP(BD_DETALLE!B577,Tabla9[],11,0),0)</f>
        <v>0</v>
      </c>
      <c r="P577" s="26">
        <f>IFERROR(SUMIFS(Tabla9[CANTIDAD3],Tabla9[BUSQUEDA],Tabla3[[#This Row],[BUSQUEDA]],Tabla9[CODIGO],Tabla3[[#This Row],[CODIGO]]),0)</f>
        <v>0</v>
      </c>
      <c r="Q577" s="25">
        <f>IF(BD_DETALLE!P577&lt;=0,0,IF(BD_DETALLE!P577=BD_DETALLE!H577,2,1))</f>
        <v>0</v>
      </c>
      <c r="R577" s="41" t="e">
        <f ca="1">IF(BD_DETALLE!$C577&gt;0,(IF(BD_DETALLE!$N577=0,TODAY()-BD_DETALLE!$C577,BD_DETALLE!$N577-BD_DETALLE!$C577)),"")</f>
        <v>#VALUE!</v>
      </c>
    </row>
    <row r="578" spans="2:18" x14ac:dyDescent="0.25">
      <c r="B578" s="15" t="str">
        <f t="shared" si="58"/>
        <v>2103-272-312990</v>
      </c>
      <c r="C578" s="7">
        <v>44281</v>
      </c>
      <c r="D578" s="5" t="str">
        <f>IF(BD_DETALLE!$E578&gt;=1,CONCATENATE(TEXT(BD_DETALLE!$C578,"YY"),TEXT(BD_DETALLE!$C578,"MM"),"-",BD_DETALLE!$E578),"")</f>
        <v>2103-272</v>
      </c>
      <c r="E578" s="12">
        <v>272</v>
      </c>
      <c r="F578" s="21">
        <v>312990</v>
      </c>
      <c r="G578" s="4" t="str">
        <f>IFERROR(VLOOKUP(BD_DETALLE!$B578,Tabla9[],6,0),"")</f>
        <v>ONE SHOT SWT-R (20 LITROS)</v>
      </c>
      <c r="H578" s="6">
        <f>IFERROR(VLOOKUP(BD_DETALLE!$B578,Tabla9[],4,0),0)</f>
        <v>6</v>
      </c>
      <c r="I578" s="19" t="s">
        <v>15</v>
      </c>
      <c r="J578" s="20" t="s">
        <v>385</v>
      </c>
      <c r="K578" s="10">
        <f>IFERROR(VLOOKUP(BD_DETALLE!B578,Tabla9[],7,0),"")</f>
        <v>44299</v>
      </c>
      <c r="L578" s="11">
        <f>IFERROR(VLOOKUP(BD_DETALLE!B578,Tabla9[],8,0),"")</f>
        <v>52481</v>
      </c>
      <c r="M578" s="9">
        <f>IFERROR(SUMIFS(Tabla9[CANTIDAD2],Tabla9[BUSQUEDA],Tabla3[[#This Row],[BUSQUEDA]],Tabla9[CODIGO],Tabla3[[#This Row],[CODIGO]],Tabla9[ORDEN No.],Tabla3[[#This Row],[ORDEN de COMPRA]]),0)</f>
        <v>6</v>
      </c>
      <c r="N578" s="27">
        <f>IFERROR(IF(BD_DETALLE!B578&gt;0,VLOOKUP(BD_DETALLE!B578,Tabla9[],10,0),""),"")</f>
        <v>0</v>
      </c>
      <c r="O578" s="28">
        <f>IFERROR(VLOOKUP(BD_DETALLE!B578,Tabla9[],11,0),0)</f>
        <v>0</v>
      </c>
      <c r="P578" s="26">
        <f>IFERROR(SUMIFS(Tabla9[CANTIDAD3],Tabla9[BUSQUEDA],Tabla3[[#This Row],[BUSQUEDA]],Tabla9[CODIGO],Tabla3[[#This Row],[CODIGO]]),0)</f>
        <v>0</v>
      </c>
      <c r="Q578" s="25">
        <f>IF(BD_DETALLE!P578&lt;=0,0,IF(BD_DETALLE!P578=BD_DETALLE!H578,2,1))</f>
        <v>0</v>
      </c>
      <c r="R578" s="41">
        <f ca="1">IF(BD_DETALLE!$C578&gt;0,(IF(BD_DETALLE!$N578=0,TODAY()-BD_DETALLE!$C578,BD_DETALLE!$N578-BD_DETALLE!$C578)),"")</f>
        <v>24</v>
      </c>
    </row>
    <row r="579" spans="2:18" x14ac:dyDescent="0.25">
      <c r="B579" s="15" t="str">
        <f t="shared" si="58"/>
        <v>2103-274-201824</v>
      </c>
      <c r="C579" s="7">
        <v>44281</v>
      </c>
      <c r="D579" s="5" t="str">
        <f>IF(BD_DETALLE!$E579&gt;=1,CONCATENATE(TEXT(BD_DETALLE!$C579,"YY"),TEXT(BD_DETALLE!$C579,"MM"),"-",BD_DETALLE!$E579),"")</f>
        <v>2103-274</v>
      </c>
      <c r="E579" s="12">
        <v>274</v>
      </c>
      <c r="F579" s="21">
        <v>201824</v>
      </c>
      <c r="G579" s="4" t="str">
        <f>IFERROR(VLOOKUP(BD_DETALLE!$B579,Tabla9[],6,0),"")</f>
        <v>SOLDADURA  R-60 E308L-16 A/ INOX   DE 3/32"</v>
      </c>
      <c r="H579" s="6">
        <f>IFERROR(VLOOKUP(BD_DETALLE!$B579,Tabla9[],4,0),0)</f>
        <v>60</v>
      </c>
      <c r="I579" s="19" t="s">
        <v>15</v>
      </c>
      <c r="J579" s="20" t="s">
        <v>385</v>
      </c>
      <c r="K579" s="10">
        <f>IFERROR(VLOOKUP(BD_DETALLE!B579,Tabla9[],7,0),"")</f>
        <v>44295</v>
      </c>
      <c r="L579" s="11">
        <f>IFERROR(VLOOKUP(BD_DETALLE!B579,Tabla9[],8,0),"")</f>
        <v>52432</v>
      </c>
      <c r="M579" s="9">
        <f>IFERROR(SUMIFS(Tabla9[CANTIDAD2],Tabla9[BUSQUEDA],Tabla3[[#This Row],[BUSQUEDA]],Tabla9[CODIGO],Tabla3[[#This Row],[CODIGO]],Tabla9[ORDEN No.],Tabla3[[#This Row],[ORDEN de COMPRA]]),0)</f>
        <v>60</v>
      </c>
      <c r="N579" s="27">
        <f>IFERROR(IF(BD_DETALLE!B579&gt;0,VLOOKUP(BD_DETALLE!B579,Tabla9[],10,0),""),"")</f>
        <v>44301</v>
      </c>
      <c r="O579" s="28">
        <f>IFERROR(VLOOKUP(BD_DETALLE!B579,Tabla9[],11,0),0)</f>
        <v>11844</v>
      </c>
      <c r="P579" s="26">
        <f>IFERROR(SUMIFS(Tabla9[CANTIDAD3],Tabla9[BUSQUEDA],Tabla3[[#This Row],[BUSQUEDA]],Tabla9[CODIGO],Tabla3[[#This Row],[CODIGO]]),0)</f>
        <v>60</v>
      </c>
      <c r="Q579" s="25">
        <f>IF(BD_DETALLE!P579&lt;=0,0,IF(BD_DETALLE!P579=BD_DETALLE!H579,2,1))</f>
        <v>2</v>
      </c>
      <c r="R579" s="41">
        <f ca="1">IF(BD_DETALLE!$C579&gt;0,(IF(BD_DETALLE!$N579=0,TODAY()-BD_DETALLE!$C579,BD_DETALLE!$N579-BD_DETALLE!$C579)),"")</f>
        <v>20</v>
      </c>
    </row>
    <row r="580" spans="2:18" x14ac:dyDescent="0.25">
      <c r="B580" s="15" t="str">
        <f t="shared" si="58"/>
        <v>2103-274-105898</v>
      </c>
      <c r="C580" s="7">
        <v>44281</v>
      </c>
      <c r="D580" s="5" t="str">
        <f>IF(BD_DETALLE!$E580&gt;=1,CONCATENATE(TEXT(BD_DETALLE!$C580,"YY"),TEXT(BD_DETALLE!$C580,"MM"),"-",BD_DETALLE!$E580),"")</f>
        <v>2103-274</v>
      </c>
      <c r="E580" s="12">
        <v>274</v>
      </c>
      <c r="F580" s="21">
        <v>105898</v>
      </c>
      <c r="G580" s="4" t="str">
        <f>IFERROR(VLOOKUP(BD_DETALLE!$B580,Tabla9[],6,0),"")</f>
        <v>SOLDADURA A/INOX. DE 1/8"</v>
      </c>
      <c r="H580" s="6">
        <f>IFERROR(VLOOKUP(BD_DETALLE!$B580,Tabla9[],4,0),0)</f>
        <v>30</v>
      </c>
      <c r="I580" s="19" t="s">
        <v>15</v>
      </c>
      <c r="J580" s="20" t="s">
        <v>385</v>
      </c>
      <c r="K580" s="10">
        <f>IFERROR(VLOOKUP(BD_DETALLE!B580,Tabla9[],7,0),"")</f>
        <v>44295</v>
      </c>
      <c r="L580" s="11">
        <f>IFERROR(VLOOKUP(BD_DETALLE!B580,Tabla9[],8,0),"")</f>
        <v>52432</v>
      </c>
      <c r="M580" s="9">
        <f>IFERROR(SUMIFS(Tabla9[CANTIDAD2],Tabla9[BUSQUEDA],Tabla3[[#This Row],[BUSQUEDA]],Tabla9[CODIGO],Tabla3[[#This Row],[CODIGO]],Tabla9[ORDEN No.],Tabla3[[#This Row],[ORDEN de COMPRA]]),0)</f>
        <v>30</v>
      </c>
      <c r="N580" s="27">
        <f>IFERROR(IF(BD_DETALLE!B580&gt;0,VLOOKUP(BD_DETALLE!B580,Tabla9[],10,0),""),"")</f>
        <v>44301</v>
      </c>
      <c r="O580" s="28">
        <f>IFERROR(VLOOKUP(BD_DETALLE!B580,Tabla9[],11,0),0)</f>
        <v>11844</v>
      </c>
      <c r="P580" s="26">
        <f>IFERROR(SUMIFS(Tabla9[CANTIDAD3],Tabla9[BUSQUEDA],Tabla3[[#This Row],[BUSQUEDA]],Tabla9[CODIGO],Tabla3[[#This Row],[CODIGO]]),0)</f>
        <v>30</v>
      </c>
      <c r="Q580" s="25">
        <f>IF(BD_DETALLE!P580&lt;=0,0,IF(BD_DETALLE!P580=BD_DETALLE!H580,2,1))</f>
        <v>2</v>
      </c>
      <c r="R580" s="41">
        <f ca="1">IF(BD_DETALLE!$C580&gt;0,(IF(BD_DETALLE!$N580=0,TODAY()-BD_DETALLE!$C580,BD_DETALLE!$N580-BD_DETALLE!$C580)),"")</f>
        <v>20</v>
      </c>
    </row>
    <row r="581" spans="2:18" x14ac:dyDescent="0.25">
      <c r="B581" s="15" t="str">
        <f t="shared" si="58"/>
        <v>2103-275-301254</v>
      </c>
      <c r="C581" s="7">
        <v>44281</v>
      </c>
      <c r="D581" s="5" t="str">
        <f>IF(BD_DETALLE!$E581&gt;=1,CONCATENATE(TEXT(BD_DETALLE!$C581,"YY"),TEXT(BD_DETALLE!$C581,"MM"),"-",BD_DETALLE!$E581),"")</f>
        <v>2103-275</v>
      </c>
      <c r="E581" s="12">
        <v>275</v>
      </c>
      <c r="F581" s="21">
        <v>301254</v>
      </c>
      <c r="G581" s="4" t="str">
        <f>IFERROR(VLOOKUP(BD_DETALLE!$B581,Tabla9[],6,0),"")</f>
        <v>RELE TERMICO LRD-3361</v>
      </c>
      <c r="H581" s="6">
        <f>IFERROR(VLOOKUP(BD_DETALLE!$B581,Tabla9[],4,0),0)</f>
        <v>1</v>
      </c>
      <c r="I581" s="19" t="s">
        <v>14</v>
      </c>
      <c r="J581" s="20" t="s">
        <v>2142</v>
      </c>
      <c r="K581" s="10">
        <f>IFERROR(VLOOKUP(BD_DETALLE!B581,Tabla9[],7,0),"")</f>
        <v>44285</v>
      </c>
      <c r="L581" s="11">
        <f>IFERROR(VLOOKUP(BD_DETALLE!B581,Tabla9[],8,0),"")</f>
        <v>52307</v>
      </c>
      <c r="M581" s="9">
        <f>IFERROR(SUMIFS(Tabla9[CANTIDAD2],Tabla9[BUSQUEDA],Tabla3[[#This Row],[BUSQUEDA]],Tabla9[CODIGO],Tabla3[[#This Row],[CODIGO]],Tabla9[ORDEN No.],Tabla3[[#This Row],[ORDEN de COMPRA]]),0)</f>
        <v>1</v>
      </c>
      <c r="N581" s="27">
        <f>IFERROR(IF(BD_DETALLE!B581&gt;0,VLOOKUP(BD_DETALLE!B581,Tabla9[],10,0),""),"")</f>
        <v>44294</v>
      </c>
      <c r="O581" s="28">
        <f>IFERROR(VLOOKUP(BD_DETALLE!B581,Tabla9[],11,0),0)</f>
        <v>11741</v>
      </c>
      <c r="P581" s="26">
        <f>IFERROR(SUMIFS(Tabla9[CANTIDAD3],Tabla9[BUSQUEDA],Tabla3[[#This Row],[BUSQUEDA]],Tabla9[CODIGO],Tabla3[[#This Row],[CODIGO]]),0)</f>
        <v>1</v>
      </c>
      <c r="Q581" s="25">
        <f>IF(BD_DETALLE!P581&lt;=0,0,IF(BD_DETALLE!P581=BD_DETALLE!H581,2,1))</f>
        <v>2</v>
      </c>
      <c r="R581" s="41">
        <f ca="1">IF(BD_DETALLE!$C581&gt;0,(IF(BD_DETALLE!$N581=0,TODAY()-BD_DETALLE!$C581,BD_DETALLE!$N581-BD_DETALLE!$C581)),"")</f>
        <v>13</v>
      </c>
    </row>
    <row r="582" spans="2:18" x14ac:dyDescent="0.25">
      <c r="B582" s="15" t="str">
        <f t="shared" si="58"/>
        <v>2103-275-304779</v>
      </c>
      <c r="C582" s="7">
        <v>44281</v>
      </c>
      <c r="D582" s="5" t="str">
        <f>IF(BD_DETALLE!$E582&gt;=1,CONCATENATE(TEXT(BD_DETALLE!$C582,"YY"),TEXT(BD_DETALLE!$C582,"MM"),"-",BD_DETALLE!$E582),"")</f>
        <v>2103-275</v>
      </c>
      <c r="E582" s="12">
        <v>275</v>
      </c>
      <c r="F582" s="21">
        <v>304779</v>
      </c>
      <c r="G582" s="4" t="str">
        <f>IFERROR(VLOOKUP(BD_DETALLE!$B582,Tabla9[],6,0),"")</f>
        <v>TERMINALES TIPO OJO PARA CABLE 1/0</v>
      </c>
      <c r="H582" s="6">
        <f>IFERROR(VLOOKUP(BD_DETALLE!$B582,Tabla9[],4,0),0)</f>
        <v>12</v>
      </c>
      <c r="I582" s="19" t="s">
        <v>14</v>
      </c>
      <c r="J582" s="20" t="s">
        <v>2142</v>
      </c>
      <c r="K582" s="10">
        <f>IFERROR(VLOOKUP(BD_DETALLE!B582,Tabla9[],7,0),"")</f>
        <v>44285</v>
      </c>
      <c r="L582" s="11">
        <f>IFERROR(VLOOKUP(BD_DETALLE!B582,Tabla9[],8,0),"")</f>
        <v>52307</v>
      </c>
      <c r="M582" s="9">
        <f>IFERROR(SUMIFS(Tabla9[CANTIDAD2],Tabla9[BUSQUEDA],Tabla3[[#This Row],[BUSQUEDA]],Tabla9[CODIGO],Tabla3[[#This Row],[CODIGO]],Tabla9[ORDEN No.],Tabla3[[#This Row],[ORDEN de COMPRA]]),0)</f>
        <v>12</v>
      </c>
      <c r="N582" s="27">
        <f>IFERROR(IF(BD_DETALLE!B582&gt;0,VLOOKUP(BD_DETALLE!B582,Tabla9[],10,0),""),"")</f>
        <v>44294</v>
      </c>
      <c r="O582" s="28">
        <f>IFERROR(VLOOKUP(BD_DETALLE!B582,Tabla9[],11,0),0)</f>
        <v>11741</v>
      </c>
      <c r="P582" s="26">
        <f>IFERROR(SUMIFS(Tabla9[CANTIDAD3],Tabla9[BUSQUEDA],Tabla3[[#This Row],[BUSQUEDA]],Tabla9[CODIGO],Tabla3[[#This Row],[CODIGO]]),0)</f>
        <v>12</v>
      </c>
      <c r="Q582" s="25">
        <f>IF(BD_DETALLE!P582&lt;=0,0,IF(BD_DETALLE!P582=BD_DETALLE!H582,2,1))</f>
        <v>2</v>
      </c>
      <c r="R582" s="41">
        <f ca="1">IF(BD_DETALLE!$C582&gt;0,(IF(BD_DETALLE!$N582=0,TODAY()-BD_DETALLE!$C582,BD_DETALLE!$N582-BD_DETALLE!$C582)),"")</f>
        <v>13</v>
      </c>
    </row>
    <row r="583" spans="2:18" x14ac:dyDescent="0.25">
      <c r="B583" s="15" t="str">
        <f t="shared" si="58"/>
        <v>2103-275-320107</v>
      </c>
      <c r="C583" s="7">
        <v>44281</v>
      </c>
      <c r="D583" s="5" t="str">
        <f>IF(BD_DETALLE!$E583&gt;=1,CONCATENATE(TEXT(BD_DETALLE!$C583,"YY"),TEXT(BD_DETALLE!$C583,"MM"),"-",BD_DETALLE!$E583),"")</f>
        <v>2103-275</v>
      </c>
      <c r="E583" s="12">
        <v>275</v>
      </c>
      <c r="F583" s="21">
        <v>320107</v>
      </c>
      <c r="G583" s="4" t="str">
        <f>IFERROR(VLOOKUP(BD_DETALLE!$B583,Tabla9[],6,0),"")</f>
        <v>BREAKER REGULABLE DE 175/250</v>
      </c>
      <c r="H583" s="6">
        <f>IFERROR(VLOOKUP(BD_DETALLE!$B583,Tabla9[],4,0),0)</f>
        <v>1</v>
      </c>
      <c r="I583" s="19" t="s">
        <v>14</v>
      </c>
      <c r="J583" s="20" t="s">
        <v>2142</v>
      </c>
      <c r="K583" s="10">
        <f>IFERROR(VLOOKUP(BD_DETALLE!B583,Tabla9[],7,0),"")</f>
        <v>44285</v>
      </c>
      <c r="L583" s="11">
        <f>IFERROR(VLOOKUP(BD_DETALLE!B583,Tabla9[],8,0),"")</f>
        <v>52307</v>
      </c>
      <c r="M583" s="9">
        <f>IFERROR(SUMIFS(Tabla9[CANTIDAD2],Tabla9[BUSQUEDA],Tabla3[[#This Row],[BUSQUEDA]],Tabla9[CODIGO],Tabla3[[#This Row],[CODIGO]],Tabla9[ORDEN No.],Tabla3[[#This Row],[ORDEN de COMPRA]]),0)</f>
        <v>1</v>
      </c>
      <c r="N583" s="27">
        <f>IFERROR(IF(BD_DETALLE!B583&gt;0,VLOOKUP(BD_DETALLE!B583,Tabla9[],10,0),""),"")</f>
        <v>44294</v>
      </c>
      <c r="O583" s="28">
        <f>IFERROR(VLOOKUP(BD_DETALLE!B583,Tabla9[],11,0),0)</f>
        <v>11741</v>
      </c>
      <c r="P583" s="26">
        <f>IFERROR(SUMIFS(Tabla9[CANTIDAD3],Tabla9[BUSQUEDA],Tabla3[[#This Row],[BUSQUEDA]],Tabla9[CODIGO],Tabla3[[#This Row],[CODIGO]]),0)</f>
        <v>1</v>
      </c>
      <c r="Q583" s="25">
        <f>IF(BD_DETALLE!P583&lt;=0,0,IF(BD_DETALLE!P583=BD_DETALLE!H583,2,1))</f>
        <v>2</v>
      </c>
      <c r="R583" s="41">
        <f ca="1">IF(BD_DETALLE!$C583&gt;0,(IF(BD_DETALLE!$N583=0,TODAY()-BD_DETALLE!$C583,BD_DETALLE!$N583-BD_DETALLE!$C583)),"")</f>
        <v>13</v>
      </c>
    </row>
    <row r="584" spans="2:18" x14ac:dyDescent="0.25">
      <c r="B584" s="15" t="str">
        <f t="shared" si="58"/>
        <v>2103-276-320971</v>
      </c>
      <c r="C584" s="7">
        <v>44281</v>
      </c>
      <c r="D584" s="5" t="str">
        <f>IF(BD_DETALLE!$E584&gt;=1,CONCATENATE(TEXT(BD_DETALLE!$C584,"YY"),TEXT(BD_DETALLE!$C584,"MM"),"-",BD_DETALLE!$E584),"")</f>
        <v>2103-276</v>
      </c>
      <c r="E584" s="12">
        <v>276</v>
      </c>
      <c r="F584" s="21">
        <v>320971</v>
      </c>
      <c r="G584" s="4" t="str">
        <f>IFERROR(VLOOKUP(BD_DETALLE!$B584,Tabla9[],6,0),"")</f>
        <v>EMPAQUE DE 1/4" P/JUNTAS EN SILICON  SILC-60 200░T.</v>
      </c>
      <c r="H584" s="6">
        <f>IFERROR(VLOOKUP(BD_DETALLE!$B584,Tabla9[],4,0),0)</f>
        <v>5</v>
      </c>
      <c r="I584" s="19" t="s">
        <v>12</v>
      </c>
      <c r="J584" s="20" t="s">
        <v>2143</v>
      </c>
      <c r="K584" s="10">
        <f>IFERROR(VLOOKUP(BD_DETALLE!B584,Tabla9[],7,0),"")</f>
        <v>44284</v>
      </c>
      <c r="L584" s="11">
        <f>IFERROR(VLOOKUP(BD_DETALLE!B584,Tabla9[],8,0),"")</f>
        <v>52292</v>
      </c>
      <c r="M584" s="9">
        <f>IFERROR(SUMIFS(Tabla9[CANTIDAD2],Tabla9[BUSQUEDA],Tabla3[[#This Row],[BUSQUEDA]],Tabla9[CODIGO],Tabla3[[#This Row],[CODIGO]],Tabla9[ORDEN No.],Tabla3[[#This Row],[ORDEN de COMPRA]]),0)</f>
        <v>5</v>
      </c>
      <c r="N584" s="27">
        <f>IFERROR(IF(BD_DETALLE!B584&gt;0,VLOOKUP(BD_DETALLE!B584,Tabla9[],10,0),""),"")</f>
        <v>44291</v>
      </c>
      <c r="O584" s="28">
        <f>IFERROR(VLOOKUP(BD_DETALLE!B584,Tabla9[],11,0),0)</f>
        <v>11698</v>
      </c>
      <c r="P584" s="26">
        <f>IFERROR(SUMIFS(Tabla9[CANTIDAD3],Tabla9[BUSQUEDA],Tabla3[[#This Row],[BUSQUEDA]],Tabla9[CODIGO],Tabla3[[#This Row],[CODIGO]]),0)</f>
        <v>5</v>
      </c>
      <c r="Q584" s="25">
        <f>IF(BD_DETALLE!P584&lt;=0,0,IF(BD_DETALLE!P584=BD_DETALLE!H584,2,1))</f>
        <v>2</v>
      </c>
      <c r="R584" s="41">
        <f ca="1">IF(BD_DETALLE!$C584&gt;0,(IF(BD_DETALLE!$N584=0,TODAY()-BD_DETALLE!$C584,BD_DETALLE!$N584-BD_DETALLE!$C584)),"")</f>
        <v>10</v>
      </c>
    </row>
    <row r="585" spans="2:18" x14ac:dyDescent="0.25">
      <c r="B585" s="15" t="str">
        <f t="shared" ref="B585:B599" si="59">IFERROR(TEXT(C585,"yy") &amp; TEXT(C585,"mm") &amp;"-"&amp;(E585) &amp;"-"&amp;(F585),"")</f>
        <v>2103-283-319866</v>
      </c>
      <c r="C585" s="225">
        <v>44284</v>
      </c>
      <c r="D585" s="226" t="str">
        <f>IF(BD_DETALLE!$E585&gt;=1,CONCATENATE(TEXT(BD_DETALLE!$C585,"YY"),TEXT(BD_DETALLE!$C585,"MM"),"-",BD_DETALLE!$E585),"")</f>
        <v>2103-283</v>
      </c>
      <c r="E585" s="227">
        <v>283</v>
      </c>
      <c r="F585" s="228">
        <v>319866</v>
      </c>
      <c r="G585" s="229" t="str">
        <f>IFERROR(VLOOKUP(BD_DETALLE!$B585,Tabla9[],6,0),"")</f>
        <v>RULIMAN AXIAL DE BOLA 51105</v>
      </c>
      <c r="H585" s="230">
        <f>IFERROR(VLOOKUP(BD_DETALLE!$B585,Tabla9[],4,0),0)</f>
        <v>3</v>
      </c>
      <c r="I585" s="231" t="s">
        <v>1</v>
      </c>
      <c r="J585" s="232" t="s">
        <v>2035</v>
      </c>
      <c r="K585" s="10">
        <f>IFERROR(VLOOKUP(BD_DETALLE!B585,Tabla9[],7,0),"")</f>
        <v>0</v>
      </c>
      <c r="L585" s="11">
        <f>IFERROR(VLOOKUP(BD_DETALLE!B585,Tabla9[],8,0),"")</f>
        <v>0</v>
      </c>
      <c r="M585" s="9">
        <f>IFERROR(SUMIFS(Tabla9[CANTIDAD2],Tabla9[BUSQUEDA],Tabla3[[#This Row],[BUSQUEDA]],Tabla9[CODIGO],Tabla3[[#This Row],[CODIGO]],Tabla9[ORDEN No.],Tabla3[[#This Row],[ORDEN de COMPRA]]),0)</f>
        <v>0</v>
      </c>
      <c r="N585" s="27">
        <f>IFERROR(IF(BD_DETALLE!B585&gt;0,VLOOKUP(BD_DETALLE!B585,Tabla9[],10,0),""),"")</f>
        <v>0</v>
      </c>
      <c r="O585" s="28">
        <f>IFERROR(VLOOKUP(BD_DETALLE!B585,Tabla9[],11,0),0)</f>
        <v>0</v>
      </c>
      <c r="P585" s="26">
        <f>IFERROR(SUMIFS(Tabla9[CANTIDAD3],Tabla9[BUSQUEDA],Tabla3[[#This Row],[BUSQUEDA]],Tabla9[CODIGO],Tabla3[[#This Row],[CODIGO]]),0)</f>
        <v>0</v>
      </c>
      <c r="Q585" s="25">
        <f>IF(BD_DETALLE!P585&lt;=0,0,IF(BD_DETALLE!P585=BD_DETALLE!H585,2,1))</f>
        <v>0</v>
      </c>
      <c r="R585" s="41">
        <f ca="1">IF(BD_DETALLE!$C585&gt;0,(IF(BD_DETALLE!$N585=0,TODAY()-BD_DETALLE!$C585,BD_DETALLE!$N585-BD_DETALLE!$C585)),"")</f>
        <v>21</v>
      </c>
    </row>
    <row r="586" spans="2:18" x14ac:dyDescent="0.25">
      <c r="B586" s="15" t="str">
        <f t="shared" si="59"/>
        <v>2103-284-309457</v>
      </c>
      <c r="C586" s="7">
        <v>44284</v>
      </c>
      <c r="D586" s="5" t="str">
        <f>IF(BD_DETALLE!$E586&gt;=1,CONCATENATE(TEXT(BD_DETALLE!$C586,"YY"),TEXT(BD_DETALLE!$C586,"MM"),"-",BD_DETALLE!$E586),"")</f>
        <v>2103-284</v>
      </c>
      <c r="E586" s="12">
        <v>284</v>
      </c>
      <c r="F586" s="21">
        <v>309457</v>
      </c>
      <c r="G586" s="4" t="str">
        <f>IFERROR(VLOOKUP(BD_DETALLE!$B586,Tabla9[],6,0),"")</f>
        <v>PALANCA DIRECCIONAL</v>
      </c>
      <c r="H586" s="6">
        <f>IFERROR(VLOOKUP(BD_DETALLE!$B586,Tabla9[],4,0),0)</f>
        <v>1</v>
      </c>
      <c r="I586" s="19" t="s">
        <v>5</v>
      </c>
      <c r="J586" s="20" t="s">
        <v>2144</v>
      </c>
      <c r="K586" s="10">
        <f>IFERROR(VLOOKUP(BD_DETALLE!B586,Tabla9[],7,0),"")</f>
        <v>44285</v>
      </c>
      <c r="L586" s="11">
        <f>IFERROR(VLOOKUP(BD_DETALLE!B586,Tabla9[],8,0),"")</f>
        <v>52317</v>
      </c>
      <c r="M586" s="9">
        <f>IFERROR(SUMIFS(Tabla9[CANTIDAD2],Tabla9[BUSQUEDA],Tabla3[[#This Row],[BUSQUEDA]],Tabla9[CODIGO],Tabla3[[#This Row],[CODIGO]],Tabla9[ORDEN No.],Tabla3[[#This Row],[ORDEN de COMPRA]]),0)</f>
        <v>1</v>
      </c>
      <c r="N586" s="27">
        <f>IFERROR(IF(BD_DETALLE!B586&gt;0,VLOOKUP(BD_DETALLE!B586,Tabla9[],10,0),""),"")</f>
        <v>44300</v>
      </c>
      <c r="O586" s="28">
        <f>IFERROR(VLOOKUP(BD_DETALLE!B586,Tabla9[],11,0),0)</f>
        <v>11823</v>
      </c>
      <c r="P586" s="26">
        <f>IFERROR(SUMIFS(Tabla9[CANTIDAD3],Tabla9[BUSQUEDA],Tabla3[[#This Row],[BUSQUEDA]],Tabla9[CODIGO],Tabla3[[#This Row],[CODIGO]]),0)</f>
        <v>1</v>
      </c>
      <c r="Q586" s="25">
        <f>IF(BD_DETALLE!P586&lt;=0,0,IF(BD_DETALLE!P586=BD_DETALLE!H586,2,1))</f>
        <v>2</v>
      </c>
      <c r="R586" s="41">
        <f ca="1">IF(BD_DETALLE!$C586&gt;0,(IF(BD_DETALLE!$N586=0,TODAY()-BD_DETALLE!$C586,BD_DETALLE!$N586-BD_DETALLE!$C586)),"")</f>
        <v>16</v>
      </c>
    </row>
    <row r="587" spans="2:18" x14ac:dyDescent="0.25">
      <c r="B587" s="15" t="str">
        <f t="shared" si="59"/>
        <v>2103-285-320984</v>
      </c>
      <c r="C587" s="225">
        <v>44284</v>
      </c>
      <c r="D587" s="226" t="str">
        <f>IF(BD_DETALLE!$E587&gt;=1,CONCATENATE(TEXT(BD_DETALLE!$C587,"YY"),TEXT(BD_DETALLE!$C587,"MM"),"-",BD_DETALLE!$E587),"")</f>
        <v>2103-285</v>
      </c>
      <c r="E587" s="227">
        <v>285</v>
      </c>
      <c r="F587" s="228">
        <v>320984</v>
      </c>
      <c r="G587" s="229" t="str">
        <f>IFERROR(VLOOKUP(BD_DETALLE!$B587,Tabla9[],6,0),"")</f>
        <v>CALCE 22214-30321</v>
      </c>
      <c r="H587" s="230">
        <f>IFERROR(VLOOKUP(BD_DETALLE!$B587,Tabla9[],4,0),0)</f>
        <v>2</v>
      </c>
      <c r="I587" s="231" t="s">
        <v>5</v>
      </c>
      <c r="J587" s="232" t="s">
        <v>2145</v>
      </c>
      <c r="K587" s="10">
        <f>IFERROR(VLOOKUP(BD_DETALLE!B587,Tabla9[],7,0),"")</f>
        <v>44293</v>
      </c>
      <c r="L587" s="11">
        <f>IFERROR(VLOOKUP(BD_DETALLE!B587,Tabla9[],8,0),"")</f>
        <v>52390</v>
      </c>
      <c r="M587" s="9">
        <f>IFERROR(SUMIFS(Tabla9[CANTIDAD2],Tabla9[BUSQUEDA],Tabla3[[#This Row],[BUSQUEDA]],Tabla9[CODIGO],Tabla3[[#This Row],[CODIGO]],Tabla9[ORDEN No.],Tabla3[[#This Row],[ORDEN de COMPRA]]),0)</f>
        <v>2</v>
      </c>
      <c r="N587" s="27">
        <f>IFERROR(IF(BD_DETALLE!B587&gt;0,VLOOKUP(BD_DETALLE!B587,Tabla9[],10,0),""),"")</f>
        <v>0</v>
      </c>
      <c r="O587" s="28">
        <f>IFERROR(VLOOKUP(BD_DETALLE!B587,Tabla9[],11,0),0)</f>
        <v>0</v>
      </c>
      <c r="P587" s="26">
        <f>IFERROR(SUMIFS(Tabla9[CANTIDAD3],Tabla9[BUSQUEDA],Tabla3[[#This Row],[BUSQUEDA]],Tabla9[CODIGO],Tabla3[[#This Row],[CODIGO]]),0)</f>
        <v>0</v>
      </c>
      <c r="Q587" s="25">
        <f>IF(BD_DETALLE!P587&lt;=0,0,IF(BD_DETALLE!P587=BD_DETALLE!H587,2,1))</f>
        <v>0</v>
      </c>
      <c r="R587" s="41">
        <f ca="1">IF(BD_DETALLE!$C587&gt;0,(IF(BD_DETALLE!$N587=0,TODAY()-BD_DETALLE!$C587,BD_DETALLE!$N587-BD_DETALLE!$C587)),"")</f>
        <v>21</v>
      </c>
    </row>
    <row r="588" spans="2:18" x14ac:dyDescent="0.25">
      <c r="B588" s="15" t="str">
        <f t="shared" si="59"/>
        <v>2103-285-320987</v>
      </c>
      <c r="C588" s="225">
        <v>44284</v>
      </c>
      <c r="D588" s="226" t="str">
        <f>IF(BD_DETALLE!$E588&gt;=1,CONCATENATE(TEXT(BD_DETALLE!$C588,"YY"),TEXT(BD_DETALLE!$C588,"MM"),"-",BD_DETALLE!$E588),"")</f>
        <v>2103-285</v>
      </c>
      <c r="E588" s="227">
        <v>285</v>
      </c>
      <c r="F588" s="228">
        <v>320987</v>
      </c>
      <c r="G588" s="229" t="str">
        <f>IFERROR(VLOOKUP(BD_DETALLE!$B588,Tabla9[],6,0),"")</f>
        <v>ANILLO  23654-32161</v>
      </c>
      <c r="H588" s="230">
        <f>IFERROR(VLOOKUP(BD_DETALLE!$B588,Tabla9[],4,0),0)</f>
        <v>2</v>
      </c>
      <c r="I588" s="231" t="s">
        <v>5</v>
      </c>
      <c r="J588" s="232" t="s">
        <v>2145</v>
      </c>
      <c r="K588" s="10">
        <f>IFERROR(VLOOKUP(BD_DETALLE!B588,Tabla9[],7,0),"")</f>
        <v>44293</v>
      </c>
      <c r="L588" s="11">
        <f>IFERROR(VLOOKUP(BD_DETALLE!B588,Tabla9[],8,0),"")</f>
        <v>52390</v>
      </c>
      <c r="M588" s="9">
        <f>IFERROR(SUMIFS(Tabla9[CANTIDAD2],Tabla9[BUSQUEDA],Tabla3[[#This Row],[BUSQUEDA]],Tabla9[CODIGO],Tabla3[[#This Row],[CODIGO]],Tabla9[ORDEN No.],Tabla3[[#This Row],[ORDEN de COMPRA]]),0)</f>
        <v>2</v>
      </c>
      <c r="N588" s="27">
        <f>IFERROR(IF(BD_DETALLE!B588&gt;0,VLOOKUP(BD_DETALLE!B588,Tabla9[],10,0),""),"")</f>
        <v>0</v>
      </c>
      <c r="O588" s="28">
        <f>IFERROR(VLOOKUP(BD_DETALLE!B588,Tabla9[],11,0),0)</f>
        <v>0</v>
      </c>
      <c r="P588" s="26">
        <f>IFERROR(SUMIFS(Tabla9[CANTIDAD3],Tabla9[BUSQUEDA],Tabla3[[#This Row],[BUSQUEDA]],Tabla9[CODIGO],Tabla3[[#This Row],[CODIGO]]),0)</f>
        <v>0</v>
      </c>
      <c r="Q588" s="25">
        <f>IF(BD_DETALLE!P588&lt;=0,0,IF(BD_DETALLE!P588=BD_DETALLE!H588,2,1))</f>
        <v>0</v>
      </c>
      <c r="R588" s="41">
        <f ca="1">IF(BD_DETALLE!$C588&gt;0,(IF(BD_DETALLE!$N588=0,TODAY()-BD_DETALLE!$C588,BD_DETALLE!$N588-BD_DETALLE!$C588)),"")</f>
        <v>21</v>
      </c>
    </row>
    <row r="589" spans="2:18" x14ac:dyDescent="0.25">
      <c r="B589" s="15" t="str">
        <f t="shared" si="59"/>
        <v>2103-285-321003</v>
      </c>
      <c r="C589" s="225">
        <v>44284</v>
      </c>
      <c r="D589" s="226" t="str">
        <f>IF(BD_DETALLE!$E589&gt;=1,CONCATENATE(TEXT(BD_DETALLE!$C589,"YY"),TEXT(BD_DETALLE!$C589,"MM"),"-",BD_DETALLE!$E589),"")</f>
        <v>2103-285</v>
      </c>
      <c r="E589" s="227">
        <v>285</v>
      </c>
      <c r="F589" s="228">
        <v>321003</v>
      </c>
      <c r="G589" s="229" t="str">
        <f>IFERROR(VLOOKUP(BD_DETALLE!$B589,Tabla9[],6,0),"")</f>
        <v>TUERCA M20 x 1,55  B4223-0020</v>
      </c>
      <c r="H589" s="230">
        <f>IFERROR(VLOOKUP(BD_DETALLE!$B589,Tabla9[],4,0),0)</f>
        <v>16</v>
      </c>
      <c r="I589" s="231" t="s">
        <v>5</v>
      </c>
      <c r="J589" s="232" t="s">
        <v>2145</v>
      </c>
      <c r="K589" s="10">
        <f>IFERROR(VLOOKUP(BD_DETALLE!B589,Tabla9[],7,0),"")</f>
        <v>44293</v>
      </c>
      <c r="L589" s="11">
        <f>IFERROR(VLOOKUP(BD_DETALLE!B589,Tabla9[],8,0),"")</f>
        <v>52390</v>
      </c>
      <c r="M589" s="9">
        <f>IFERROR(SUMIFS(Tabla9[CANTIDAD2],Tabla9[BUSQUEDA],Tabla3[[#This Row],[BUSQUEDA]],Tabla9[CODIGO],Tabla3[[#This Row],[CODIGO]],Tabla9[ORDEN No.],Tabla3[[#This Row],[ORDEN de COMPRA]]),0)</f>
        <v>16</v>
      </c>
      <c r="N589" s="27">
        <f>IFERROR(IF(BD_DETALLE!B589&gt;0,VLOOKUP(BD_DETALLE!B589,Tabla9[],10,0),""),"")</f>
        <v>0</v>
      </c>
      <c r="O589" s="28">
        <f>IFERROR(VLOOKUP(BD_DETALLE!B589,Tabla9[],11,0),0)</f>
        <v>0</v>
      </c>
      <c r="P589" s="26">
        <f>IFERROR(SUMIFS(Tabla9[CANTIDAD3],Tabla9[BUSQUEDA],Tabla3[[#This Row],[BUSQUEDA]],Tabla9[CODIGO],Tabla3[[#This Row],[CODIGO]]),0)</f>
        <v>0</v>
      </c>
      <c r="Q589" s="25">
        <f>IF(BD_DETALLE!P589&lt;=0,0,IF(BD_DETALLE!P589=BD_DETALLE!H589,2,1))</f>
        <v>0</v>
      </c>
      <c r="R589" s="41">
        <f ca="1">IF(BD_DETALLE!$C589&gt;0,(IF(BD_DETALLE!$N589=0,TODAY()-BD_DETALLE!$C589,BD_DETALLE!$N589-BD_DETALLE!$C589)),"")</f>
        <v>21</v>
      </c>
    </row>
    <row r="590" spans="2:18" x14ac:dyDescent="0.25">
      <c r="B590" s="15" t="str">
        <f t="shared" si="59"/>
        <v>2103-285-321010</v>
      </c>
      <c r="C590" s="225">
        <v>44284</v>
      </c>
      <c r="D590" s="226" t="str">
        <f>IF(BD_DETALLE!$E590&gt;=1,CONCATENATE(TEXT(BD_DETALLE!$C590,"YY"),TEXT(BD_DETALLE!$C590,"MM"),"-",BD_DETALLE!$E590),"")</f>
        <v>2103-285</v>
      </c>
      <c r="E590" s="227">
        <v>285</v>
      </c>
      <c r="F590" s="228">
        <v>321010</v>
      </c>
      <c r="G590" s="229" t="str">
        <f>IFERROR(VLOOKUP(BD_DETALLE!$B590,Tabla9[],6,0),"")</f>
        <v>MUELLE DE SUSPENSION 24433-70090GL</v>
      </c>
      <c r="H590" s="230">
        <f>IFERROR(VLOOKUP(BD_DETALLE!$B590,Tabla9[],4,0),0)</f>
        <v>4</v>
      </c>
      <c r="I590" s="231" t="s">
        <v>5</v>
      </c>
      <c r="J590" s="232" t="s">
        <v>2145</v>
      </c>
      <c r="K590" s="10">
        <f>IFERROR(VLOOKUP(BD_DETALLE!B590,Tabla9[],7,0),"")</f>
        <v>44293</v>
      </c>
      <c r="L590" s="11">
        <f>IFERROR(VLOOKUP(BD_DETALLE!B590,Tabla9[],8,0),"")</f>
        <v>52390</v>
      </c>
      <c r="M590" s="9">
        <f>IFERROR(SUMIFS(Tabla9[CANTIDAD2],Tabla9[BUSQUEDA],Tabla3[[#This Row],[BUSQUEDA]],Tabla9[CODIGO],Tabla3[[#This Row],[CODIGO]],Tabla9[ORDEN No.],Tabla3[[#This Row],[ORDEN de COMPRA]]),0)</f>
        <v>4</v>
      </c>
      <c r="N590" s="27">
        <f>IFERROR(IF(BD_DETALLE!B590&gt;0,VLOOKUP(BD_DETALLE!B590,Tabla9[],10,0),""),"")</f>
        <v>0</v>
      </c>
      <c r="O590" s="28">
        <f>IFERROR(VLOOKUP(BD_DETALLE!B590,Tabla9[],11,0),0)</f>
        <v>0</v>
      </c>
      <c r="P590" s="26">
        <f>IFERROR(SUMIFS(Tabla9[CANTIDAD3],Tabla9[BUSQUEDA],Tabla3[[#This Row],[BUSQUEDA]],Tabla9[CODIGO],Tabla3[[#This Row],[CODIGO]]),0)</f>
        <v>0</v>
      </c>
      <c r="Q590" s="25">
        <f>IF(BD_DETALLE!P590&lt;=0,0,IF(BD_DETALLE!P590=BD_DETALLE!H590,2,1))</f>
        <v>0</v>
      </c>
      <c r="R590" s="41">
        <f ca="1">IF(BD_DETALLE!$C590&gt;0,(IF(BD_DETALLE!$N590=0,TODAY()-BD_DETALLE!$C590,BD_DETALLE!$N590-BD_DETALLE!$C590)),"")</f>
        <v>21</v>
      </c>
    </row>
    <row r="591" spans="2:18" x14ac:dyDescent="0.25">
      <c r="B591" s="15" t="str">
        <f t="shared" si="59"/>
        <v>2103-285-321012</v>
      </c>
      <c r="C591" s="225">
        <v>44284</v>
      </c>
      <c r="D591" s="226" t="str">
        <f>IF(BD_DETALLE!$E591&gt;=1,CONCATENATE(TEXT(BD_DETALLE!$C591,"YY"),TEXT(BD_DETALLE!$C591,"MM"),"-",BD_DETALLE!$E591),"")</f>
        <v>2103-285</v>
      </c>
      <c r="E591" s="227">
        <v>285</v>
      </c>
      <c r="F591" s="228">
        <v>321012</v>
      </c>
      <c r="G591" s="229" t="str">
        <f>IFERROR(VLOOKUP(BD_DETALLE!$B591,Tabla9[],6,0),"")</f>
        <v>PERNO GUIA DE ZAPATA  24433-71000</v>
      </c>
      <c r="H591" s="230">
        <f>IFERROR(VLOOKUP(BD_DETALLE!$B591,Tabla9[],4,0),0)</f>
        <v>2</v>
      </c>
      <c r="I591" s="231" t="s">
        <v>5</v>
      </c>
      <c r="J591" s="232" t="s">
        <v>2145</v>
      </c>
      <c r="K591" s="10">
        <f>IFERROR(VLOOKUP(BD_DETALLE!B591,Tabla9[],7,0),"")</f>
        <v>44293</v>
      </c>
      <c r="L591" s="11">
        <f>IFERROR(VLOOKUP(BD_DETALLE!B591,Tabla9[],8,0),"")</f>
        <v>52390</v>
      </c>
      <c r="M591" s="9">
        <f>IFERROR(SUMIFS(Tabla9[CANTIDAD2],Tabla9[BUSQUEDA],Tabla3[[#This Row],[BUSQUEDA]],Tabla9[CODIGO],Tabla3[[#This Row],[CODIGO]],Tabla9[ORDEN No.],Tabla3[[#This Row],[ORDEN de COMPRA]]),0)</f>
        <v>2</v>
      </c>
      <c r="N591" s="27">
        <f>IFERROR(IF(BD_DETALLE!B591&gt;0,VLOOKUP(BD_DETALLE!B591,Tabla9[],10,0),""),"")</f>
        <v>0</v>
      </c>
      <c r="O591" s="28">
        <f>IFERROR(VLOOKUP(BD_DETALLE!B591,Tabla9[],11,0),0)</f>
        <v>0</v>
      </c>
      <c r="P591" s="26">
        <f>IFERROR(SUMIFS(Tabla9[CANTIDAD3],Tabla9[BUSQUEDA],Tabla3[[#This Row],[BUSQUEDA]],Tabla9[CODIGO],Tabla3[[#This Row],[CODIGO]]),0)</f>
        <v>0</v>
      </c>
      <c r="Q591" s="25">
        <f>IF(BD_DETALLE!P591&lt;=0,0,IF(BD_DETALLE!P591=BD_DETALLE!H591,2,1))</f>
        <v>0</v>
      </c>
      <c r="R591" s="41">
        <f ca="1">IF(BD_DETALLE!$C591&gt;0,(IF(BD_DETALLE!$N591=0,TODAY()-BD_DETALLE!$C591,BD_DETALLE!$N591-BD_DETALLE!$C591)),"")</f>
        <v>21</v>
      </c>
    </row>
    <row r="592" spans="2:18" x14ac:dyDescent="0.25">
      <c r="B592" s="15" t="str">
        <f t="shared" si="59"/>
        <v>2103-285-321015</v>
      </c>
      <c r="C592" s="225">
        <v>44284</v>
      </c>
      <c r="D592" s="226" t="str">
        <f>IF(BD_DETALLE!$E592&gt;=1,CONCATENATE(TEXT(BD_DETALLE!$C592,"YY"),TEXT(BD_DETALLE!$C592,"MM"),"-",BD_DETALLE!$E592),"")</f>
        <v>2103-285</v>
      </c>
      <c r="E592" s="227">
        <v>285</v>
      </c>
      <c r="F592" s="228">
        <v>321015</v>
      </c>
      <c r="G592" s="229" t="str">
        <f>IFERROR(VLOOKUP(BD_DETALLE!$B592,Tabla9[],6,0),"")</f>
        <v>CUP  A01C3-72111</v>
      </c>
      <c r="H592" s="230">
        <f>IFERROR(VLOOKUP(BD_DETALLE!$B592,Tabla9[],4,0),0)</f>
        <v>4</v>
      </c>
      <c r="I592" s="231" t="s">
        <v>5</v>
      </c>
      <c r="J592" s="232" t="s">
        <v>2145</v>
      </c>
      <c r="K592" s="10">
        <f>IFERROR(VLOOKUP(BD_DETALLE!B592,Tabla9[],7,0),"")</f>
        <v>44293</v>
      </c>
      <c r="L592" s="11">
        <f>IFERROR(VLOOKUP(BD_DETALLE!B592,Tabla9[],8,0),"")</f>
        <v>52390</v>
      </c>
      <c r="M592" s="9">
        <f>IFERROR(SUMIFS(Tabla9[CANTIDAD2],Tabla9[BUSQUEDA],Tabla3[[#This Row],[BUSQUEDA]],Tabla9[CODIGO],Tabla3[[#This Row],[CODIGO]],Tabla9[ORDEN No.],Tabla3[[#This Row],[ORDEN de COMPRA]]),0)</f>
        <v>4</v>
      </c>
      <c r="N592" s="27">
        <f>IFERROR(IF(BD_DETALLE!B592&gt;0,VLOOKUP(BD_DETALLE!B592,Tabla9[],10,0),""),"")</f>
        <v>0</v>
      </c>
      <c r="O592" s="28">
        <f>IFERROR(VLOOKUP(BD_DETALLE!B592,Tabla9[],11,0),0)</f>
        <v>0</v>
      </c>
      <c r="P592" s="26">
        <f>IFERROR(SUMIFS(Tabla9[CANTIDAD3],Tabla9[BUSQUEDA],Tabla3[[#This Row],[BUSQUEDA]],Tabla9[CODIGO],Tabla3[[#This Row],[CODIGO]]),0)</f>
        <v>0</v>
      </c>
      <c r="Q592" s="25">
        <f>IF(BD_DETALLE!P592&lt;=0,0,IF(BD_DETALLE!P592=BD_DETALLE!H592,2,1))</f>
        <v>0</v>
      </c>
      <c r="R592" s="41">
        <f ca="1">IF(BD_DETALLE!$C592&gt;0,(IF(BD_DETALLE!$N592=0,TODAY()-BD_DETALLE!$C592,BD_DETALLE!$N592-BD_DETALLE!$C592)),"")</f>
        <v>21</v>
      </c>
    </row>
    <row r="593" spans="2:18" x14ac:dyDescent="0.25">
      <c r="B593" s="15" t="str">
        <f t="shared" si="59"/>
        <v>2103-285-320994</v>
      </c>
      <c r="C593" s="225">
        <v>44284</v>
      </c>
      <c r="D593" s="226" t="str">
        <f>IF(BD_DETALLE!$E593&gt;=1,CONCATENATE(TEXT(BD_DETALLE!$C593,"YY"),TEXT(BD_DETALLE!$C593,"MM"),"-",BD_DETALLE!$E593),"")</f>
        <v>2103-285</v>
      </c>
      <c r="E593" s="227">
        <v>285</v>
      </c>
      <c r="F593" s="228">
        <v>320994</v>
      </c>
      <c r="G593" s="229" t="str">
        <f>IFERROR(VLOOKUP(BD_DETALLE!$B593,Tabla9[],6,0),"")</f>
        <v>RULIMAN  Z-7211E</v>
      </c>
      <c r="H593" s="230">
        <f>IFERROR(VLOOKUP(BD_DETALLE!$B593,Tabla9[],4,0),0)</f>
        <v>2</v>
      </c>
      <c r="I593" s="231" t="s">
        <v>5</v>
      </c>
      <c r="J593" s="232" t="s">
        <v>2145</v>
      </c>
      <c r="K593" s="10">
        <f>IFERROR(VLOOKUP(BD_DETALLE!B593,Tabla9[],7,0),"")</f>
        <v>44293</v>
      </c>
      <c r="L593" s="11">
        <f>IFERROR(VLOOKUP(BD_DETALLE!B593,Tabla9[],8,0),"")</f>
        <v>52390</v>
      </c>
      <c r="M593" s="9">
        <f>IFERROR(SUMIFS(Tabla9[CANTIDAD2],Tabla9[BUSQUEDA],Tabla3[[#This Row],[BUSQUEDA]],Tabla9[CODIGO],Tabla3[[#This Row],[CODIGO]],Tabla9[ORDEN No.],Tabla3[[#This Row],[ORDEN de COMPRA]]),0)</f>
        <v>2</v>
      </c>
      <c r="N593" s="27">
        <f>IFERROR(IF(BD_DETALLE!B593&gt;0,VLOOKUP(BD_DETALLE!B593,Tabla9[],10,0),""),"")</f>
        <v>0</v>
      </c>
      <c r="O593" s="28">
        <f>IFERROR(VLOOKUP(BD_DETALLE!B593,Tabla9[],11,0),0)</f>
        <v>0</v>
      </c>
      <c r="P593" s="26">
        <f>IFERROR(SUMIFS(Tabla9[CANTIDAD3],Tabla9[BUSQUEDA],Tabla3[[#This Row],[BUSQUEDA]],Tabla9[CODIGO],Tabla3[[#This Row],[CODIGO]]),0)</f>
        <v>0</v>
      </c>
      <c r="Q593" s="25">
        <f>IF(BD_DETALLE!P593&lt;=0,0,IF(BD_DETALLE!P593=BD_DETALLE!H593,2,1))</f>
        <v>0</v>
      </c>
      <c r="R593" s="41">
        <f ca="1">IF(BD_DETALLE!$C593&gt;0,(IF(BD_DETALLE!$N593=0,TODAY()-BD_DETALLE!$C593,BD_DETALLE!$N593-BD_DETALLE!$C593)),"")</f>
        <v>21</v>
      </c>
    </row>
    <row r="594" spans="2:18" x14ac:dyDescent="0.25">
      <c r="B594" s="15" t="str">
        <f t="shared" si="59"/>
        <v>2103-285-320997</v>
      </c>
      <c r="C594" s="225">
        <v>44284</v>
      </c>
      <c r="D594" s="226" t="str">
        <f>IF(BD_DETALLE!$E594&gt;=1,CONCATENATE(TEXT(BD_DETALLE!$C594,"YY"),TEXT(BD_DETALLE!$C594,"MM"),"-",BD_DETALLE!$E594),"")</f>
        <v>2103-285</v>
      </c>
      <c r="E594" s="227">
        <v>285</v>
      </c>
      <c r="F594" s="228">
        <v>320997</v>
      </c>
      <c r="G594" s="229" t="str">
        <f>IFERROR(VLOOKUP(BD_DETALLE!$B594,Tabla9[],6,0),"")</f>
        <v>TAPA DE PUNTA  DE EJE  A21B4-32231</v>
      </c>
      <c r="H594" s="230">
        <f>IFERROR(VLOOKUP(BD_DETALLE!$B594,Tabla9[],4,0),0)</f>
        <v>2</v>
      </c>
      <c r="I594" s="231" t="s">
        <v>5</v>
      </c>
      <c r="J594" s="232" t="s">
        <v>2145</v>
      </c>
      <c r="K594" s="10">
        <f>IFERROR(VLOOKUP(BD_DETALLE!B594,Tabla9[],7,0),"")</f>
        <v>44293</v>
      </c>
      <c r="L594" s="11">
        <f>IFERROR(VLOOKUP(BD_DETALLE!B594,Tabla9[],8,0),"")</f>
        <v>52390</v>
      </c>
      <c r="M594" s="9">
        <f>IFERROR(SUMIFS(Tabla9[CANTIDAD2],Tabla9[BUSQUEDA],Tabla3[[#This Row],[BUSQUEDA]],Tabla9[CODIGO],Tabla3[[#This Row],[CODIGO]],Tabla9[ORDEN No.],Tabla3[[#This Row],[ORDEN de COMPRA]]),0)</f>
        <v>2</v>
      </c>
      <c r="N594" s="27">
        <f>IFERROR(IF(BD_DETALLE!B594&gt;0,VLOOKUP(BD_DETALLE!B594,Tabla9[],10,0),""),"")</f>
        <v>0</v>
      </c>
      <c r="O594" s="28">
        <f>IFERROR(VLOOKUP(BD_DETALLE!B594,Tabla9[],11,0),0)</f>
        <v>0</v>
      </c>
      <c r="P594" s="26">
        <f>IFERROR(SUMIFS(Tabla9[CANTIDAD3],Tabla9[BUSQUEDA],Tabla3[[#This Row],[BUSQUEDA]],Tabla9[CODIGO],Tabla3[[#This Row],[CODIGO]]),0)</f>
        <v>0</v>
      </c>
      <c r="Q594" s="25">
        <f>IF(BD_DETALLE!P594&lt;=0,0,IF(BD_DETALLE!P594=BD_DETALLE!H594,2,1))</f>
        <v>0</v>
      </c>
      <c r="R594" s="41">
        <f ca="1">IF(BD_DETALLE!$C594&gt;0,(IF(BD_DETALLE!$N594=0,TODAY()-BD_DETALLE!$C594,BD_DETALLE!$N594-BD_DETALLE!$C594)),"")</f>
        <v>21</v>
      </c>
    </row>
    <row r="595" spans="2:18" x14ac:dyDescent="0.25">
      <c r="B595" s="15" t="str">
        <f t="shared" si="59"/>
        <v>2103-285-320988</v>
      </c>
      <c r="C595" s="225">
        <v>44284</v>
      </c>
      <c r="D595" s="226" t="str">
        <f>IF(BD_DETALLE!$E595&gt;=1,CONCATENATE(TEXT(BD_DETALLE!$C595,"YY"),TEXT(BD_DETALLE!$C595,"MM"),"-",BD_DETALLE!$E595),"")</f>
        <v>2103-285</v>
      </c>
      <c r="E595" s="227">
        <v>285</v>
      </c>
      <c r="F595" s="228">
        <v>320988</v>
      </c>
      <c r="G595" s="229" t="str">
        <f>IFERROR(VLOOKUP(BD_DETALLE!$B595,Tabla9[],6,0),"")</f>
        <v>RETENEDOR DE ACEITE  23654-32081</v>
      </c>
      <c r="H595" s="230">
        <f>IFERROR(VLOOKUP(BD_DETALLE!$B595,Tabla9[],4,0),0)</f>
        <v>2</v>
      </c>
      <c r="I595" s="231" t="s">
        <v>5</v>
      </c>
      <c r="J595" s="232" t="s">
        <v>2145</v>
      </c>
      <c r="K595" s="10">
        <f>IFERROR(VLOOKUP(BD_DETALLE!B595,Tabla9[],7,0),"")</f>
        <v>44293</v>
      </c>
      <c r="L595" s="11">
        <f>IFERROR(VLOOKUP(BD_DETALLE!B595,Tabla9[],8,0),"")</f>
        <v>52390</v>
      </c>
      <c r="M595" s="9">
        <f>IFERROR(SUMIFS(Tabla9[CANTIDAD2],Tabla9[BUSQUEDA],Tabla3[[#This Row],[BUSQUEDA]],Tabla9[CODIGO],Tabla3[[#This Row],[CODIGO]],Tabla9[ORDEN No.],Tabla3[[#This Row],[ORDEN de COMPRA]]),0)</f>
        <v>2</v>
      </c>
      <c r="N595" s="27">
        <f>IFERROR(IF(BD_DETALLE!B595&gt;0,VLOOKUP(BD_DETALLE!B595,Tabla9[],10,0),""),"")</f>
        <v>0</v>
      </c>
      <c r="O595" s="28">
        <f>IFERROR(VLOOKUP(BD_DETALLE!B595,Tabla9[],11,0),0)</f>
        <v>0</v>
      </c>
      <c r="P595" s="26">
        <f>IFERROR(SUMIFS(Tabla9[CANTIDAD3],Tabla9[BUSQUEDA],Tabla3[[#This Row],[BUSQUEDA]],Tabla9[CODIGO],Tabla3[[#This Row],[CODIGO]]),0)</f>
        <v>0</v>
      </c>
      <c r="Q595" s="25">
        <f>IF(BD_DETALLE!P595&lt;=0,0,IF(BD_DETALLE!P595=BD_DETALLE!H595,2,1))</f>
        <v>0</v>
      </c>
      <c r="R595" s="41">
        <f ca="1">IF(BD_DETALLE!$C595&gt;0,(IF(BD_DETALLE!$N595=0,TODAY()-BD_DETALLE!$C595,BD_DETALLE!$N595-BD_DETALLE!$C595)),"")</f>
        <v>21</v>
      </c>
    </row>
    <row r="596" spans="2:18" x14ac:dyDescent="0.25">
      <c r="B596" s="15" t="str">
        <f t="shared" si="59"/>
        <v>2103-285-321000</v>
      </c>
      <c r="C596" s="225">
        <v>44284</v>
      </c>
      <c r="D596" s="226" t="str">
        <f>IF(BD_DETALLE!$E596&gt;=1,CONCATENATE(TEXT(BD_DETALLE!$C596,"YY"),TEXT(BD_DETALLE!$C596,"MM"),"-",BD_DETALLE!$E596),"")</f>
        <v>2103-285</v>
      </c>
      <c r="E596" s="227">
        <v>285</v>
      </c>
      <c r="F596" s="228">
        <v>321000</v>
      </c>
      <c r="G596" s="229" t="str">
        <f>IFERROR(VLOOKUP(BD_DETALLE!$B596,Tabla9[],6,0),"")</f>
        <v>TUERCA M60 x 2  B4732-00060</v>
      </c>
      <c r="H596" s="230">
        <f>IFERROR(VLOOKUP(BD_DETALLE!$B596,Tabla9[],4,0),0)</f>
        <v>4</v>
      </c>
      <c r="I596" s="231" t="s">
        <v>5</v>
      </c>
      <c r="J596" s="232" t="s">
        <v>2145</v>
      </c>
      <c r="K596" s="10">
        <f>IFERROR(VLOOKUP(BD_DETALLE!B596,Tabla9[],7,0),"")</f>
        <v>44293</v>
      </c>
      <c r="L596" s="11">
        <f>IFERROR(VLOOKUP(BD_DETALLE!B596,Tabla9[],8,0),"")</f>
        <v>52390</v>
      </c>
      <c r="M596" s="9">
        <f>IFERROR(SUMIFS(Tabla9[CANTIDAD2],Tabla9[BUSQUEDA],Tabla3[[#This Row],[BUSQUEDA]],Tabla9[CODIGO],Tabla3[[#This Row],[CODIGO]],Tabla9[ORDEN No.],Tabla3[[#This Row],[ORDEN de COMPRA]]),0)</f>
        <v>4</v>
      </c>
      <c r="N596" s="27">
        <f>IFERROR(IF(BD_DETALLE!B596&gt;0,VLOOKUP(BD_DETALLE!B596,Tabla9[],10,0),""),"")</f>
        <v>0</v>
      </c>
      <c r="O596" s="28">
        <f>IFERROR(VLOOKUP(BD_DETALLE!B596,Tabla9[],11,0),0)</f>
        <v>0</v>
      </c>
      <c r="P596" s="26">
        <f>IFERROR(SUMIFS(Tabla9[CANTIDAD3],Tabla9[BUSQUEDA],Tabla3[[#This Row],[BUSQUEDA]],Tabla9[CODIGO],Tabla3[[#This Row],[CODIGO]]),0)</f>
        <v>0</v>
      </c>
      <c r="Q596" s="25">
        <f>IF(BD_DETALLE!P596&lt;=0,0,IF(BD_DETALLE!P596=BD_DETALLE!H596,2,1))</f>
        <v>0</v>
      </c>
      <c r="R596" s="41">
        <f ca="1">IF(BD_DETALLE!$C596&gt;0,(IF(BD_DETALLE!$N596=0,TODAY()-BD_DETALLE!$C596,BD_DETALLE!$N596-BD_DETALLE!$C596)),"")</f>
        <v>21</v>
      </c>
    </row>
    <row r="597" spans="2:18" x14ac:dyDescent="0.25">
      <c r="B597" s="15" t="str">
        <f t="shared" si="59"/>
        <v>2103-285-321002</v>
      </c>
      <c r="C597" s="225">
        <v>44284</v>
      </c>
      <c r="D597" s="226" t="str">
        <f>IF(BD_DETALLE!$E597&gt;=1,CONCATENATE(TEXT(BD_DETALLE!$C597,"YY"),TEXT(BD_DETALLE!$C597,"MM"),"-",BD_DETALLE!$E597),"")</f>
        <v>2103-285</v>
      </c>
      <c r="E597" s="227">
        <v>285</v>
      </c>
      <c r="F597" s="228">
        <v>321002</v>
      </c>
      <c r="G597" s="229" t="str">
        <f>IFERROR(VLOOKUP(BD_DETALLE!$B597,Tabla9[],6,0),"")</f>
        <v>RETENEDOR fb 100 x 125 x 12d</v>
      </c>
      <c r="H597" s="230">
        <f>IFERROR(VLOOKUP(BD_DETALLE!$B597,Tabla9[],4,0),0)</f>
        <v>4</v>
      </c>
      <c r="I597" s="231" t="s">
        <v>5</v>
      </c>
      <c r="J597" s="232" t="s">
        <v>2145</v>
      </c>
      <c r="K597" s="10">
        <f>IFERROR(VLOOKUP(BD_DETALLE!B597,Tabla9[],7,0),"")</f>
        <v>44293</v>
      </c>
      <c r="L597" s="11">
        <f>IFERROR(VLOOKUP(BD_DETALLE!B597,Tabla9[],8,0),"")</f>
        <v>52390</v>
      </c>
      <c r="M597" s="9">
        <f>IFERROR(SUMIFS(Tabla9[CANTIDAD2],Tabla9[BUSQUEDA],Tabla3[[#This Row],[BUSQUEDA]],Tabla9[CODIGO],Tabla3[[#This Row],[CODIGO]],Tabla9[ORDEN No.],Tabla3[[#This Row],[ORDEN de COMPRA]]),0)</f>
        <v>4</v>
      </c>
      <c r="N597" s="27">
        <f>IFERROR(IF(BD_DETALLE!B597&gt;0,VLOOKUP(BD_DETALLE!B597,Tabla9[],10,0),""),"")</f>
        <v>0</v>
      </c>
      <c r="O597" s="28">
        <f>IFERROR(VLOOKUP(BD_DETALLE!B597,Tabla9[],11,0),0)</f>
        <v>0</v>
      </c>
      <c r="P597" s="26">
        <f>IFERROR(SUMIFS(Tabla9[CANTIDAD3],Tabla9[BUSQUEDA],Tabla3[[#This Row],[BUSQUEDA]],Tabla9[CODIGO],Tabla3[[#This Row],[CODIGO]]),0)</f>
        <v>0</v>
      </c>
      <c r="Q597" s="25">
        <f>IF(BD_DETALLE!P597&lt;=0,0,IF(BD_DETALLE!P597=BD_DETALLE!H597,2,1))</f>
        <v>0</v>
      </c>
      <c r="R597" s="41">
        <f ca="1">IF(BD_DETALLE!$C597&gt;0,(IF(BD_DETALLE!$N597=0,TODAY()-BD_DETALLE!$C597,BD_DETALLE!$N597-BD_DETALLE!$C597)),"")</f>
        <v>21</v>
      </c>
    </row>
    <row r="598" spans="2:18" x14ac:dyDescent="0.25">
      <c r="B598" s="15" t="str">
        <f t="shared" si="59"/>
        <v>2103-285-321005</v>
      </c>
      <c r="C598" s="225">
        <v>44284</v>
      </c>
      <c r="D598" s="226" t="str">
        <f>IF(BD_DETALLE!$E598&gt;=1,CONCATENATE(TEXT(BD_DETALLE!$C598,"YY"),TEXT(BD_DETALLE!$C598,"MM"),"-",BD_DETALLE!$E598),"")</f>
        <v>2103-285</v>
      </c>
      <c r="E598" s="227">
        <v>285</v>
      </c>
      <c r="F598" s="228">
        <v>321005</v>
      </c>
      <c r="G598" s="229" t="str">
        <f>IFERROR(VLOOKUP(BD_DETALLE!$B598,Tabla9[],6,0),"")</f>
        <v>PAQUETE  A22A3-02031</v>
      </c>
      <c r="H598" s="230">
        <f>IFERROR(VLOOKUP(BD_DETALLE!$B598,Tabla9[],4,0),0)</f>
        <v>6</v>
      </c>
      <c r="I598" s="231" t="s">
        <v>5</v>
      </c>
      <c r="J598" s="232" t="s">
        <v>2145</v>
      </c>
      <c r="K598" s="10">
        <f>IFERROR(VLOOKUP(BD_DETALLE!B598,Tabla9[],7,0),"")</f>
        <v>0</v>
      </c>
      <c r="L598" s="11">
        <f>IFERROR(VLOOKUP(BD_DETALLE!B598,Tabla9[],8,0),"")</f>
        <v>0</v>
      </c>
      <c r="M598" s="9">
        <f>IFERROR(SUMIFS(Tabla9[CANTIDAD2],Tabla9[BUSQUEDA],Tabla3[[#This Row],[BUSQUEDA]],Tabla9[CODIGO],Tabla3[[#This Row],[CODIGO]],Tabla9[ORDEN No.],Tabla3[[#This Row],[ORDEN de COMPRA]]),0)</f>
        <v>0</v>
      </c>
      <c r="N598" s="27">
        <f>IFERROR(IF(BD_DETALLE!B598&gt;0,VLOOKUP(BD_DETALLE!B598,Tabla9[],10,0),""),"")</f>
        <v>0</v>
      </c>
      <c r="O598" s="28">
        <f>IFERROR(VLOOKUP(BD_DETALLE!B598,Tabla9[],11,0),0)</f>
        <v>0</v>
      </c>
      <c r="P598" s="26">
        <f>IFERROR(SUMIFS(Tabla9[CANTIDAD3],Tabla9[BUSQUEDA],Tabla3[[#This Row],[BUSQUEDA]],Tabla9[CODIGO],Tabla3[[#This Row],[CODIGO]]),0)</f>
        <v>0</v>
      </c>
      <c r="Q598" s="25">
        <f>IF(BD_DETALLE!P598&lt;=0,0,IF(BD_DETALLE!P598=BD_DETALLE!H598,2,1))</f>
        <v>0</v>
      </c>
      <c r="R598" s="41">
        <f ca="1">IF(BD_DETALLE!$C598&gt;0,(IF(BD_DETALLE!$N598=0,TODAY()-BD_DETALLE!$C598,BD_DETALLE!$N598-BD_DETALLE!$C598)),"")</f>
        <v>21</v>
      </c>
    </row>
    <row r="599" spans="2:18" x14ac:dyDescent="0.25">
      <c r="B599" s="15" t="str">
        <f t="shared" si="59"/>
        <v>2103-285-320990</v>
      </c>
      <c r="C599" s="225">
        <v>44284</v>
      </c>
      <c r="D599" s="226" t="str">
        <f>IF(BD_DETALLE!$E599&gt;=1,CONCATENATE(TEXT(BD_DETALLE!$C599,"YY"),TEXT(BD_DETALLE!$C599,"MM"),"-",BD_DETALLE!$E599),"")</f>
        <v>2103-285</v>
      </c>
      <c r="E599" s="227">
        <v>285</v>
      </c>
      <c r="F599" s="228">
        <v>320990</v>
      </c>
      <c r="G599" s="229" t="str">
        <f>IFERROR(VLOOKUP(BD_DETALLE!$B599,Tabla9[],6,0),"")</f>
        <v>RULIMAN  H24C4-32061</v>
      </c>
      <c r="H599" s="230">
        <f>IFERROR(VLOOKUP(BD_DETALLE!$B599,Tabla9[],4,0),0)</f>
        <v>4</v>
      </c>
      <c r="I599" s="231" t="s">
        <v>5</v>
      </c>
      <c r="J599" s="232" t="s">
        <v>2145</v>
      </c>
      <c r="K599" s="10">
        <f>IFERROR(VLOOKUP(BD_DETALLE!B599,Tabla9[],7,0),"")</f>
        <v>44293</v>
      </c>
      <c r="L599" s="11">
        <f>IFERROR(VLOOKUP(BD_DETALLE!B599,Tabla9[],8,0),"")</f>
        <v>52390</v>
      </c>
      <c r="M599" s="9">
        <f>IFERROR(SUMIFS(Tabla9[CANTIDAD2],Tabla9[BUSQUEDA],Tabla3[[#This Row],[BUSQUEDA]],Tabla9[CODIGO],Tabla3[[#This Row],[CODIGO]],Tabla9[ORDEN No.],Tabla3[[#This Row],[ORDEN de COMPRA]]),0)</f>
        <v>4</v>
      </c>
      <c r="N599" s="27">
        <f>IFERROR(IF(BD_DETALLE!B599&gt;0,VLOOKUP(BD_DETALLE!B599,Tabla9[],10,0),""),"")</f>
        <v>0</v>
      </c>
      <c r="O599" s="28">
        <f>IFERROR(VLOOKUP(BD_DETALLE!B599,Tabla9[],11,0),0)</f>
        <v>0</v>
      </c>
      <c r="P599" s="26">
        <f>IFERROR(SUMIFS(Tabla9[CANTIDAD3],Tabla9[BUSQUEDA],Tabla3[[#This Row],[BUSQUEDA]],Tabla9[CODIGO],Tabla3[[#This Row],[CODIGO]]),0)</f>
        <v>0</v>
      </c>
      <c r="Q599" s="25">
        <f>IF(BD_DETALLE!P599&lt;=0,0,IF(BD_DETALLE!P599=BD_DETALLE!H599,2,1))</f>
        <v>0</v>
      </c>
      <c r="R599" s="41">
        <f ca="1">IF(BD_DETALLE!$C599&gt;0,(IF(BD_DETALLE!$N599=0,TODAY()-BD_DETALLE!$C599,BD_DETALLE!$N599-BD_DETALLE!$C599)),"")</f>
        <v>21</v>
      </c>
    </row>
    <row r="600" spans="2:18" x14ac:dyDescent="0.25">
      <c r="B600" s="15" t="str">
        <f t="shared" ref="B600:B638" si="60">IFERROR(TEXT(C600,"yy") &amp; TEXT(C600,"mm") &amp;"-"&amp;(E600) &amp;"-"&amp;(F600),"")</f>
        <v>2103-285-320985</v>
      </c>
      <c r="C600" s="225">
        <v>44284</v>
      </c>
      <c r="D600" s="226" t="str">
        <f>IF(BD_DETALLE!$E600&gt;=1,CONCATENATE(TEXT(BD_DETALLE!$C600,"YY"),TEXT(BD_DETALLE!$C600,"MM"),"-",BD_DETALLE!$E600),"")</f>
        <v>2103-285</v>
      </c>
      <c r="E600" s="227">
        <v>285</v>
      </c>
      <c r="F600" s="228">
        <v>320985</v>
      </c>
      <c r="G600" s="229" t="str">
        <f>IFERROR(VLOOKUP(BD_DETALLE!$B600,Tabla9[],6,0),"")</f>
        <v>PIN A2184-32261A</v>
      </c>
      <c r="H600" s="230">
        <f>IFERROR(VLOOKUP(BD_DETALLE!$B600,Tabla9[],4,0),0)</f>
        <v>4</v>
      </c>
      <c r="I600" s="231" t="s">
        <v>5</v>
      </c>
      <c r="J600" s="232" t="s">
        <v>2145</v>
      </c>
      <c r="K600" s="10">
        <f>IFERROR(VLOOKUP(BD_DETALLE!B600,Tabla9[],7,0),"")</f>
        <v>44293</v>
      </c>
      <c r="L600" s="11">
        <f>IFERROR(VLOOKUP(BD_DETALLE!B600,Tabla9[],8,0),"")</f>
        <v>52390</v>
      </c>
      <c r="M600" s="9">
        <f>IFERROR(SUMIFS(Tabla9[CANTIDAD2],Tabla9[BUSQUEDA],Tabla3[[#This Row],[BUSQUEDA]],Tabla9[CODIGO],Tabla3[[#This Row],[CODIGO]],Tabla9[ORDEN No.],Tabla3[[#This Row],[ORDEN de COMPRA]]),0)</f>
        <v>4</v>
      </c>
      <c r="N600" s="27">
        <f>IFERROR(IF(BD_DETALLE!B600&gt;0,VLOOKUP(BD_DETALLE!B600,Tabla9[],10,0),""),"")</f>
        <v>0</v>
      </c>
      <c r="O600" s="28">
        <f>IFERROR(VLOOKUP(BD_DETALLE!B600,Tabla9[],11,0),0)</f>
        <v>0</v>
      </c>
      <c r="P600" s="26">
        <f>IFERROR(SUMIFS(Tabla9[CANTIDAD3],Tabla9[BUSQUEDA],Tabla3[[#This Row],[BUSQUEDA]],Tabla9[CODIGO],Tabla3[[#This Row],[CODIGO]]),0)</f>
        <v>0</v>
      </c>
      <c r="Q600" s="25">
        <f>IF(BD_DETALLE!P600&lt;=0,0,IF(BD_DETALLE!P600=BD_DETALLE!H600,2,1))</f>
        <v>0</v>
      </c>
      <c r="R600" s="41">
        <f ca="1">IF(BD_DETALLE!$C600&gt;0,(IF(BD_DETALLE!$N600=0,TODAY()-BD_DETALLE!$C600,BD_DETALLE!$N600-BD_DETALLE!$C600)),"")</f>
        <v>21</v>
      </c>
    </row>
    <row r="601" spans="2:18" x14ac:dyDescent="0.25">
      <c r="B601" s="15" t="str">
        <f t="shared" si="60"/>
        <v>2103-285-320989</v>
      </c>
      <c r="C601" s="225">
        <v>44284</v>
      </c>
      <c r="D601" s="226" t="str">
        <f>IF(BD_DETALLE!$E601&gt;=1,CONCATENATE(TEXT(BD_DETALLE!$C601,"YY"),TEXT(BD_DETALLE!$C601,"MM"),"-",BD_DETALLE!$E601),"")</f>
        <v>2103-285</v>
      </c>
      <c r="E601" s="227">
        <v>285</v>
      </c>
      <c r="F601" s="228">
        <v>320989</v>
      </c>
      <c r="G601" s="229" t="str">
        <f>IFERROR(VLOOKUP(BD_DETALLE!$B601,Tabla9[],6,0),"")</f>
        <v>BOCINAS H24C4-12003</v>
      </c>
      <c r="H601" s="230">
        <f>IFERROR(VLOOKUP(BD_DETALLE!$B601,Tabla9[],4,0),0)</f>
        <v>4</v>
      </c>
      <c r="I601" s="231" t="s">
        <v>5</v>
      </c>
      <c r="J601" s="232" t="s">
        <v>2145</v>
      </c>
      <c r="K601" s="10">
        <f>IFERROR(VLOOKUP(BD_DETALLE!B601,Tabla9[],7,0),"")</f>
        <v>44293</v>
      </c>
      <c r="L601" s="11">
        <f>IFERROR(VLOOKUP(BD_DETALLE!B601,Tabla9[],8,0),"")</f>
        <v>52390</v>
      </c>
      <c r="M601" s="9">
        <f>IFERROR(SUMIFS(Tabla9[CANTIDAD2],Tabla9[BUSQUEDA],Tabla3[[#This Row],[BUSQUEDA]],Tabla9[CODIGO],Tabla3[[#This Row],[CODIGO]],Tabla9[ORDEN No.],Tabla3[[#This Row],[ORDEN de COMPRA]]),0)</f>
        <v>4</v>
      </c>
      <c r="N601" s="27">
        <f>IFERROR(IF(BD_DETALLE!B601&gt;0,VLOOKUP(BD_DETALLE!B601,Tabla9[],10,0),""),"")</f>
        <v>0</v>
      </c>
      <c r="O601" s="28">
        <f>IFERROR(VLOOKUP(BD_DETALLE!B601,Tabla9[],11,0),0)</f>
        <v>0</v>
      </c>
      <c r="P601" s="26">
        <f>IFERROR(SUMIFS(Tabla9[CANTIDAD3],Tabla9[BUSQUEDA],Tabla3[[#This Row],[BUSQUEDA]],Tabla9[CODIGO],Tabla3[[#This Row],[CODIGO]]),0)</f>
        <v>0</v>
      </c>
      <c r="Q601" s="25">
        <f>IF(BD_DETALLE!P601&lt;=0,0,IF(BD_DETALLE!P601=BD_DETALLE!H601,2,1))</f>
        <v>0</v>
      </c>
      <c r="R601" s="41">
        <f ca="1">IF(BD_DETALLE!$C601&gt;0,(IF(BD_DETALLE!$N601=0,TODAY()-BD_DETALLE!$C601,BD_DETALLE!$N601-BD_DETALLE!$C601)),"")</f>
        <v>21</v>
      </c>
    </row>
    <row r="602" spans="2:18" x14ac:dyDescent="0.25">
      <c r="B602" s="15" t="str">
        <f t="shared" si="60"/>
        <v>2103-285-321008</v>
      </c>
      <c r="C602" s="225">
        <v>44284</v>
      </c>
      <c r="D602" s="226" t="str">
        <f>IF(BD_DETALLE!$E602&gt;=1,CONCATENATE(TEXT(BD_DETALLE!$C602,"YY"),TEXT(BD_DETALLE!$C602,"MM"),"-",BD_DETALLE!$E602),"")</f>
        <v>2103-285</v>
      </c>
      <c r="E602" s="227">
        <v>285</v>
      </c>
      <c r="F602" s="228">
        <v>321008</v>
      </c>
      <c r="G602" s="229" t="str">
        <f>IFERROR(VLOOKUP(BD_DETALLE!$B602,Tabla9[],6,0),"")</f>
        <v>RESORTE DE ZAPATA  24433-70060</v>
      </c>
      <c r="H602" s="230">
        <f>IFERROR(VLOOKUP(BD_DETALLE!$B602,Tabla9[],4,0),0)</f>
        <v>4</v>
      </c>
      <c r="I602" s="231" t="s">
        <v>5</v>
      </c>
      <c r="J602" s="232" t="s">
        <v>2145</v>
      </c>
      <c r="K602" s="10">
        <f>IFERROR(VLOOKUP(BD_DETALLE!B602,Tabla9[],7,0),"")</f>
        <v>44293</v>
      </c>
      <c r="L602" s="11">
        <f>IFERROR(VLOOKUP(BD_DETALLE!B602,Tabla9[],8,0),"")</f>
        <v>52390</v>
      </c>
      <c r="M602" s="9">
        <f>IFERROR(SUMIFS(Tabla9[CANTIDAD2],Tabla9[BUSQUEDA],Tabla3[[#This Row],[BUSQUEDA]],Tabla9[CODIGO],Tabla3[[#This Row],[CODIGO]],Tabla9[ORDEN No.],Tabla3[[#This Row],[ORDEN de COMPRA]]),0)</f>
        <v>4</v>
      </c>
      <c r="N602" s="27">
        <f>IFERROR(IF(BD_DETALLE!B602&gt;0,VLOOKUP(BD_DETALLE!B602,Tabla9[],10,0),""),"")</f>
        <v>0</v>
      </c>
      <c r="O602" s="28">
        <f>IFERROR(VLOOKUP(BD_DETALLE!B602,Tabla9[],11,0),0)</f>
        <v>0</v>
      </c>
      <c r="P602" s="26">
        <f>IFERROR(SUMIFS(Tabla9[CANTIDAD3],Tabla9[BUSQUEDA],Tabla3[[#This Row],[BUSQUEDA]],Tabla9[CODIGO],Tabla3[[#This Row],[CODIGO]]),0)</f>
        <v>0</v>
      </c>
      <c r="Q602" s="25">
        <f>IF(BD_DETALLE!P602&lt;=0,0,IF(BD_DETALLE!P602=BD_DETALLE!H602,2,1))</f>
        <v>0</v>
      </c>
      <c r="R602" s="41">
        <f ca="1">IF(BD_DETALLE!$C602&gt;0,(IF(BD_DETALLE!$N602=0,TODAY()-BD_DETALLE!$C602,BD_DETALLE!$N602-BD_DETALLE!$C602)),"")</f>
        <v>21</v>
      </c>
    </row>
    <row r="603" spans="2:18" x14ac:dyDescent="0.25">
      <c r="B603" s="15" t="str">
        <f t="shared" si="60"/>
        <v>2103-285-321009</v>
      </c>
      <c r="C603" s="225">
        <v>44284</v>
      </c>
      <c r="D603" s="226" t="str">
        <f>IF(BD_DETALLE!$E603&gt;=1,CONCATENATE(TEXT(BD_DETALLE!$C603,"YY"),TEXT(BD_DETALLE!$C603,"MM"),"-",BD_DETALLE!$E603),"")</f>
        <v>2103-285</v>
      </c>
      <c r="E603" s="227">
        <v>285</v>
      </c>
      <c r="F603" s="228">
        <v>321009</v>
      </c>
      <c r="G603" s="229" t="str">
        <f>IFERROR(VLOOKUP(BD_DETALLE!$B603,Tabla9[],6,0),"")</f>
        <v>MUELLE DE SUSPENSION 24433-73000</v>
      </c>
      <c r="H603" s="230">
        <f>IFERROR(VLOOKUP(BD_DETALLE!$B603,Tabla9[],4,0),0)</f>
        <v>4</v>
      </c>
      <c r="I603" s="231" t="s">
        <v>5</v>
      </c>
      <c r="J603" s="232" t="s">
        <v>2145</v>
      </c>
      <c r="K603" s="10">
        <f>IFERROR(VLOOKUP(BD_DETALLE!B603,Tabla9[],7,0),"")</f>
        <v>44293</v>
      </c>
      <c r="L603" s="11">
        <f>IFERROR(VLOOKUP(BD_DETALLE!B603,Tabla9[],8,0),"")</f>
        <v>52390</v>
      </c>
      <c r="M603" s="9">
        <f>IFERROR(SUMIFS(Tabla9[CANTIDAD2],Tabla9[BUSQUEDA],Tabla3[[#This Row],[BUSQUEDA]],Tabla9[CODIGO],Tabla3[[#This Row],[CODIGO]],Tabla9[ORDEN No.],Tabla3[[#This Row],[ORDEN de COMPRA]]),0)</f>
        <v>4</v>
      </c>
      <c r="N603" s="27">
        <f>IFERROR(IF(BD_DETALLE!B603&gt;0,VLOOKUP(BD_DETALLE!B603,Tabla9[],10,0),""),"")</f>
        <v>0</v>
      </c>
      <c r="O603" s="28">
        <f>IFERROR(VLOOKUP(BD_DETALLE!B603,Tabla9[],11,0),0)</f>
        <v>0</v>
      </c>
      <c r="P603" s="26">
        <f>IFERROR(SUMIFS(Tabla9[CANTIDAD3],Tabla9[BUSQUEDA],Tabla3[[#This Row],[BUSQUEDA]],Tabla9[CODIGO],Tabla3[[#This Row],[CODIGO]]),0)</f>
        <v>0</v>
      </c>
      <c r="Q603" s="25">
        <f>IF(BD_DETALLE!P603&lt;=0,0,IF(BD_DETALLE!P603=BD_DETALLE!H603,2,1))</f>
        <v>0</v>
      </c>
      <c r="R603" s="41">
        <f ca="1">IF(BD_DETALLE!$C603&gt;0,(IF(BD_DETALLE!$N603=0,TODAY()-BD_DETALLE!$C603,BD_DETALLE!$N603-BD_DETALLE!$C603)),"")</f>
        <v>21</v>
      </c>
    </row>
    <row r="604" spans="2:18" x14ac:dyDescent="0.25">
      <c r="B604" s="15" t="str">
        <f t="shared" si="60"/>
        <v>2103-285-320993</v>
      </c>
      <c r="C604" s="225">
        <v>44284</v>
      </c>
      <c r="D604" s="226" t="str">
        <f>IF(BD_DETALLE!$E604&gt;=1,CONCATENATE(TEXT(BD_DETALLE!$C604,"YY"),TEXT(BD_DETALLE!$C604,"MM"),"-",BD_DETALLE!$E604),"")</f>
        <v>2103-285</v>
      </c>
      <c r="E604" s="227">
        <v>285</v>
      </c>
      <c r="F604" s="228">
        <v>320993</v>
      </c>
      <c r="G604" s="229" t="str">
        <f>IFERROR(VLOOKUP(BD_DETALLE!$B604,Tabla9[],6,0),"")</f>
        <v>RETENEDOR DE ACEITE Z6301-08524</v>
      </c>
      <c r="H604" s="230">
        <f>IFERROR(VLOOKUP(BD_DETALLE!$B604,Tabla9[],4,0),0)</f>
        <v>2</v>
      </c>
      <c r="I604" s="231" t="s">
        <v>5</v>
      </c>
      <c r="J604" s="232" t="s">
        <v>2145</v>
      </c>
      <c r="K604" s="10">
        <f>IFERROR(VLOOKUP(BD_DETALLE!B604,Tabla9[],7,0),"")</f>
        <v>44293</v>
      </c>
      <c r="L604" s="11">
        <f>IFERROR(VLOOKUP(BD_DETALLE!B604,Tabla9[],8,0),"")</f>
        <v>52390</v>
      </c>
      <c r="M604" s="9">
        <f>IFERROR(SUMIFS(Tabla9[CANTIDAD2],Tabla9[BUSQUEDA],Tabla3[[#This Row],[BUSQUEDA]],Tabla9[CODIGO],Tabla3[[#This Row],[CODIGO]],Tabla9[ORDEN No.],Tabla3[[#This Row],[ORDEN de COMPRA]]),0)</f>
        <v>2</v>
      </c>
      <c r="N604" s="27">
        <f>IFERROR(IF(BD_DETALLE!B604&gt;0,VLOOKUP(BD_DETALLE!B604,Tabla9[],10,0),""),"")</f>
        <v>0</v>
      </c>
      <c r="O604" s="28">
        <f>IFERROR(VLOOKUP(BD_DETALLE!B604,Tabla9[],11,0),0)</f>
        <v>0</v>
      </c>
      <c r="P604" s="26">
        <f>IFERROR(SUMIFS(Tabla9[CANTIDAD3],Tabla9[BUSQUEDA],Tabla3[[#This Row],[BUSQUEDA]],Tabla9[CODIGO],Tabla3[[#This Row],[CODIGO]]),0)</f>
        <v>0</v>
      </c>
      <c r="Q604" s="25">
        <f>IF(BD_DETALLE!P604&lt;=0,0,IF(BD_DETALLE!P604=BD_DETALLE!H604,2,1))</f>
        <v>0</v>
      </c>
      <c r="R604" s="41">
        <f ca="1">IF(BD_DETALLE!$C604&gt;0,(IF(BD_DETALLE!$N604=0,TODAY()-BD_DETALLE!$C604,BD_DETALLE!$N604-BD_DETALLE!$C604)),"")</f>
        <v>21</v>
      </c>
    </row>
    <row r="605" spans="2:18" x14ac:dyDescent="0.25">
      <c r="B605" s="15" t="str">
        <f t="shared" si="60"/>
        <v>2103-285-321006</v>
      </c>
      <c r="C605" s="225">
        <v>44284</v>
      </c>
      <c r="D605" s="226" t="str">
        <f>IF(BD_DETALLE!$E605&gt;=1,CONCATENATE(TEXT(BD_DETALLE!$C605,"YY"),TEXT(BD_DETALLE!$C605,"MM"),"-",BD_DETALLE!$E605),"")</f>
        <v>2103-285</v>
      </c>
      <c r="E605" s="227">
        <v>285</v>
      </c>
      <c r="F605" s="228">
        <v>321006</v>
      </c>
      <c r="G605" s="229" t="str">
        <f>IFERROR(VLOOKUP(BD_DETALLE!$B605,Tabla9[],6,0),"")</f>
        <v>EMPAQUE B5512-0060</v>
      </c>
      <c r="H605" s="230">
        <f>IFERROR(VLOOKUP(BD_DETALLE!$B605,Tabla9[],4,0),0)</f>
        <v>4</v>
      </c>
      <c r="I605" s="231" t="s">
        <v>5</v>
      </c>
      <c r="J605" s="232" t="s">
        <v>2145</v>
      </c>
      <c r="K605" s="10">
        <f>IFERROR(VLOOKUP(BD_DETALLE!B605,Tabla9[],7,0),"")</f>
        <v>44293</v>
      </c>
      <c r="L605" s="11">
        <f>IFERROR(VLOOKUP(BD_DETALLE!B605,Tabla9[],8,0),"")</f>
        <v>52390</v>
      </c>
      <c r="M605" s="9">
        <f>IFERROR(SUMIFS(Tabla9[CANTIDAD2],Tabla9[BUSQUEDA],Tabla3[[#This Row],[BUSQUEDA]],Tabla9[CODIGO],Tabla3[[#This Row],[CODIGO]],Tabla9[ORDEN No.],Tabla3[[#This Row],[ORDEN de COMPRA]]),0)</f>
        <v>4</v>
      </c>
      <c r="N605" s="27">
        <f>IFERROR(IF(BD_DETALLE!B605&gt;0,VLOOKUP(BD_DETALLE!B605,Tabla9[],10,0),""),"")</f>
        <v>0</v>
      </c>
      <c r="O605" s="28">
        <f>IFERROR(VLOOKUP(BD_DETALLE!B605,Tabla9[],11,0),0)</f>
        <v>0</v>
      </c>
      <c r="P605" s="26">
        <f>IFERROR(SUMIFS(Tabla9[CANTIDAD3],Tabla9[BUSQUEDA],Tabla3[[#This Row],[BUSQUEDA]],Tabla9[CODIGO],Tabla3[[#This Row],[CODIGO]]),0)</f>
        <v>0</v>
      </c>
      <c r="Q605" s="25">
        <f>IF(BD_DETALLE!P605&lt;=0,0,IF(BD_DETALLE!P605=BD_DETALLE!H605,2,1))</f>
        <v>0</v>
      </c>
      <c r="R605" s="41">
        <f ca="1">IF(BD_DETALLE!$C605&gt;0,(IF(BD_DETALLE!$N605=0,TODAY()-BD_DETALLE!$C605,BD_DETALLE!$N605-BD_DETALLE!$C605)),"")</f>
        <v>21</v>
      </c>
    </row>
    <row r="606" spans="2:18" x14ac:dyDescent="0.25">
      <c r="B606" s="15" t="str">
        <f t="shared" si="60"/>
        <v>2103-285-321013</v>
      </c>
      <c r="C606" s="225">
        <v>44284</v>
      </c>
      <c r="D606" s="226" t="str">
        <f>IF(BD_DETALLE!$E606&gt;=1,CONCATENATE(TEXT(BD_DETALLE!$C606,"YY"),TEXT(BD_DETALLE!$C606,"MM"),"-",BD_DETALLE!$E606),"")</f>
        <v>2103-285</v>
      </c>
      <c r="E606" s="227">
        <v>285</v>
      </c>
      <c r="F606" s="228">
        <v>321013</v>
      </c>
      <c r="G606" s="229" t="str">
        <f>IFERROR(VLOOKUP(BD_DETALLE!$B606,Tabla9[],6,0),"")</f>
        <v>RESORTE  24433-7030</v>
      </c>
      <c r="H606" s="230">
        <f>IFERROR(VLOOKUP(BD_DETALLE!$B606,Tabla9[],4,0),0)</f>
        <v>4</v>
      </c>
      <c r="I606" s="231" t="s">
        <v>5</v>
      </c>
      <c r="J606" s="232" t="s">
        <v>2145</v>
      </c>
      <c r="K606" s="10">
        <f>IFERROR(VLOOKUP(BD_DETALLE!B606,Tabla9[],7,0),"")</f>
        <v>44293</v>
      </c>
      <c r="L606" s="11">
        <f>IFERROR(VLOOKUP(BD_DETALLE!B606,Tabla9[],8,0),"")</f>
        <v>52390</v>
      </c>
      <c r="M606" s="9">
        <f>IFERROR(SUMIFS(Tabla9[CANTIDAD2],Tabla9[BUSQUEDA],Tabla3[[#This Row],[BUSQUEDA]],Tabla9[CODIGO],Tabla3[[#This Row],[CODIGO]],Tabla9[ORDEN No.],Tabla3[[#This Row],[ORDEN de COMPRA]]),0)</f>
        <v>4</v>
      </c>
      <c r="N606" s="27">
        <f>IFERROR(IF(BD_DETALLE!B606&gt;0,VLOOKUP(BD_DETALLE!B606,Tabla9[],10,0),""),"")</f>
        <v>0</v>
      </c>
      <c r="O606" s="28">
        <f>IFERROR(VLOOKUP(BD_DETALLE!B606,Tabla9[],11,0),0)</f>
        <v>0</v>
      </c>
      <c r="P606" s="26">
        <f>IFERROR(SUMIFS(Tabla9[CANTIDAD3],Tabla9[BUSQUEDA],Tabla3[[#This Row],[BUSQUEDA]],Tabla9[CODIGO],Tabla3[[#This Row],[CODIGO]]),0)</f>
        <v>0</v>
      </c>
      <c r="Q606" s="25">
        <f>IF(BD_DETALLE!P606&lt;=0,0,IF(BD_DETALLE!P606=BD_DETALLE!H606,2,1))</f>
        <v>0</v>
      </c>
      <c r="R606" s="41">
        <f ca="1">IF(BD_DETALLE!$C606&gt;0,(IF(BD_DETALLE!$N606=0,TODAY()-BD_DETALLE!$C606,BD_DETALLE!$N606-BD_DETALLE!$C606)),"")</f>
        <v>21</v>
      </c>
    </row>
    <row r="607" spans="2:18" x14ac:dyDescent="0.25">
      <c r="B607" s="15" t="str">
        <f t="shared" si="60"/>
        <v>2103-285-319579</v>
      </c>
      <c r="C607" s="225">
        <v>44284</v>
      </c>
      <c r="D607" s="226" t="str">
        <f>IF(BD_DETALLE!$E607&gt;=1,CONCATENATE(TEXT(BD_DETALLE!$C607,"YY"),TEXT(BD_DETALLE!$C607,"MM"),"-",BD_DETALLE!$E607),"")</f>
        <v>2103-285</v>
      </c>
      <c r="E607" s="227">
        <v>285</v>
      </c>
      <c r="F607" s="228">
        <v>319579</v>
      </c>
      <c r="G607" s="229" t="str">
        <f>IFERROR(VLOOKUP(BD_DETALLE!$B607,Tabla9[],6,0),"")</f>
        <v>COJINETE EMPUJE MONTACARGA (Z51208)</v>
      </c>
      <c r="H607" s="230">
        <f>IFERROR(VLOOKUP(BD_DETALLE!$B607,Tabla9[],4,0),0)</f>
        <v>2</v>
      </c>
      <c r="I607" s="231" t="s">
        <v>5</v>
      </c>
      <c r="J607" s="232" t="s">
        <v>2145</v>
      </c>
      <c r="K607" s="10">
        <f>IFERROR(VLOOKUP(BD_DETALLE!B607,Tabla9[],7,0),"")</f>
        <v>44293</v>
      </c>
      <c r="L607" s="11">
        <f>IFERROR(VLOOKUP(BD_DETALLE!B607,Tabla9[],8,0),"")</f>
        <v>52390</v>
      </c>
      <c r="M607" s="9">
        <f>IFERROR(SUMIFS(Tabla9[CANTIDAD2],Tabla9[BUSQUEDA],Tabla3[[#This Row],[BUSQUEDA]],Tabla9[CODIGO],Tabla3[[#This Row],[CODIGO]],Tabla9[ORDEN No.],Tabla3[[#This Row],[ORDEN de COMPRA]]),0)</f>
        <v>2</v>
      </c>
      <c r="N607" s="27">
        <f>IFERROR(IF(BD_DETALLE!B607&gt;0,VLOOKUP(BD_DETALLE!B607,Tabla9[],10,0),""),"")</f>
        <v>0</v>
      </c>
      <c r="O607" s="28">
        <f>IFERROR(VLOOKUP(BD_DETALLE!B607,Tabla9[],11,0),0)</f>
        <v>0</v>
      </c>
      <c r="P607" s="26">
        <f>IFERROR(SUMIFS(Tabla9[CANTIDAD3],Tabla9[BUSQUEDA],Tabla3[[#This Row],[BUSQUEDA]],Tabla9[CODIGO],Tabla3[[#This Row],[CODIGO]]),0)</f>
        <v>0</v>
      </c>
      <c r="Q607" s="25">
        <f>IF(BD_DETALLE!P607&lt;=0,0,IF(BD_DETALLE!P607=BD_DETALLE!H607,2,1))</f>
        <v>0</v>
      </c>
      <c r="R607" s="41">
        <f ca="1">IF(BD_DETALLE!$C607&gt;0,(IF(BD_DETALLE!$N607=0,TODAY()-BD_DETALLE!$C607,BD_DETALLE!$N607-BD_DETALLE!$C607)),"")</f>
        <v>21</v>
      </c>
    </row>
    <row r="608" spans="2:18" x14ac:dyDescent="0.25">
      <c r="B608" s="15" t="str">
        <f t="shared" si="60"/>
        <v>2103-285-320983</v>
      </c>
      <c r="C608" s="225">
        <v>44284</v>
      </c>
      <c r="D608" s="226" t="str">
        <f>IF(BD_DETALLE!$E608&gt;=1,CONCATENATE(TEXT(BD_DETALLE!$C608,"YY"),TEXT(BD_DETALLE!$C608,"MM"),"-",BD_DETALLE!$E608),"")</f>
        <v>2103-285</v>
      </c>
      <c r="E608" s="227">
        <v>285</v>
      </c>
      <c r="F608" s="228">
        <v>320983</v>
      </c>
      <c r="G608" s="229" t="str">
        <f>IFERROR(VLOOKUP(BD_DETALLE!$B608,Tabla9[],6,0),"")</f>
        <v>PIN DE DIRECCION  A2184-32221</v>
      </c>
      <c r="H608" s="230">
        <f>IFERROR(VLOOKUP(BD_DETALLE!$B608,Tabla9[],4,0),0)</f>
        <v>2</v>
      </c>
      <c r="I608" s="231" t="s">
        <v>5</v>
      </c>
      <c r="J608" s="232" t="s">
        <v>2145</v>
      </c>
      <c r="K608" s="10">
        <f>IFERROR(VLOOKUP(BD_DETALLE!B608,Tabla9[],7,0),"")</f>
        <v>44293</v>
      </c>
      <c r="L608" s="11">
        <f>IFERROR(VLOOKUP(BD_DETALLE!B608,Tabla9[],8,0),"")</f>
        <v>52390</v>
      </c>
      <c r="M608" s="9">
        <f>IFERROR(SUMIFS(Tabla9[CANTIDAD2],Tabla9[BUSQUEDA],Tabla3[[#This Row],[BUSQUEDA]],Tabla9[CODIGO],Tabla3[[#This Row],[CODIGO]],Tabla9[ORDEN No.],Tabla3[[#This Row],[ORDEN de COMPRA]]),0)</f>
        <v>2</v>
      </c>
      <c r="N608" s="27">
        <f>IFERROR(IF(BD_DETALLE!B608&gt;0,VLOOKUP(BD_DETALLE!B608,Tabla9[],10,0),""),"")</f>
        <v>0</v>
      </c>
      <c r="O608" s="28">
        <f>IFERROR(VLOOKUP(BD_DETALLE!B608,Tabla9[],11,0),0)</f>
        <v>0</v>
      </c>
      <c r="P608" s="26">
        <f>IFERROR(SUMIFS(Tabla9[CANTIDAD3],Tabla9[BUSQUEDA],Tabla3[[#This Row],[BUSQUEDA]],Tabla9[CODIGO],Tabla3[[#This Row],[CODIGO]]),0)</f>
        <v>0</v>
      </c>
      <c r="Q608" s="25">
        <f>IF(BD_DETALLE!P608&lt;=0,0,IF(BD_DETALLE!P608=BD_DETALLE!H608,2,1))</f>
        <v>0</v>
      </c>
      <c r="R608" s="41">
        <f ca="1">IF(BD_DETALLE!$C608&gt;0,(IF(BD_DETALLE!$N608=0,TODAY()-BD_DETALLE!$C608,BD_DETALLE!$N608-BD_DETALLE!$C608)),"")</f>
        <v>21</v>
      </c>
    </row>
    <row r="609" spans="2:18" x14ac:dyDescent="0.25">
      <c r="B609" s="15" t="str">
        <f t="shared" si="60"/>
        <v>2103-285-320982</v>
      </c>
      <c r="C609" s="225">
        <v>44284</v>
      </c>
      <c r="D609" s="226" t="str">
        <f>IF(BD_DETALLE!$E609&gt;=1,CONCATENATE(TEXT(BD_DETALLE!$C609,"YY"),TEXT(BD_DETALLE!$C609,"MM"),"-",BD_DETALLE!$E609),"")</f>
        <v>2103-285</v>
      </c>
      <c r="E609" s="227">
        <v>285</v>
      </c>
      <c r="F609" s="228">
        <v>320982</v>
      </c>
      <c r="G609" s="229" t="str">
        <f>IFERROR(VLOOKUP(BD_DETALLE!$B609,Tabla9[],6,0),"")</f>
        <v>RULIMAN Z943-32</v>
      </c>
      <c r="H609" s="230">
        <f>IFERROR(VLOOKUP(BD_DETALLE!$B609,Tabla9[],4,0),0)</f>
        <v>2</v>
      </c>
      <c r="I609" s="231" t="s">
        <v>5</v>
      </c>
      <c r="J609" s="232" t="s">
        <v>2145</v>
      </c>
      <c r="K609" s="10">
        <f>IFERROR(VLOOKUP(BD_DETALLE!B609,Tabla9[],7,0),"")</f>
        <v>0</v>
      </c>
      <c r="L609" s="11">
        <f>IFERROR(VLOOKUP(BD_DETALLE!B609,Tabla9[],8,0),"")</f>
        <v>0</v>
      </c>
      <c r="M609" s="9">
        <f>IFERROR(SUMIFS(Tabla9[CANTIDAD2],Tabla9[BUSQUEDA],Tabla3[[#This Row],[BUSQUEDA]],Tabla9[CODIGO],Tabla3[[#This Row],[CODIGO]],Tabla9[ORDEN No.],Tabla3[[#This Row],[ORDEN de COMPRA]]),0)</f>
        <v>0</v>
      </c>
      <c r="N609" s="27">
        <f>IFERROR(IF(BD_DETALLE!B609&gt;0,VLOOKUP(BD_DETALLE!B609,Tabla9[],10,0),""),"")</f>
        <v>0</v>
      </c>
      <c r="O609" s="28">
        <f>IFERROR(VLOOKUP(BD_DETALLE!B609,Tabla9[],11,0),0)</f>
        <v>0</v>
      </c>
      <c r="P609" s="26">
        <f>IFERROR(SUMIFS(Tabla9[CANTIDAD3],Tabla9[BUSQUEDA],Tabla3[[#This Row],[BUSQUEDA]],Tabla9[CODIGO],Tabla3[[#This Row],[CODIGO]]),0)</f>
        <v>0</v>
      </c>
      <c r="Q609" s="25">
        <f>IF(BD_DETALLE!P609&lt;=0,0,IF(BD_DETALLE!P609=BD_DETALLE!H609,2,1))</f>
        <v>0</v>
      </c>
      <c r="R609" s="41">
        <f ca="1">IF(BD_DETALLE!$C609&gt;0,(IF(BD_DETALLE!$N609=0,TODAY()-BD_DETALLE!$C609,BD_DETALLE!$N609-BD_DETALLE!$C609)),"")</f>
        <v>21</v>
      </c>
    </row>
    <row r="610" spans="2:18" x14ac:dyDescent="0.25">
      <c r="B610" s="15" t="str">
        <f t="shared" si="60"/>
        <v>2103-285-320986</v>
      </c>
      <c r="C610" s="225">
        <v>44284</v>
      </c>
      <c r="D610" s="226" t="str">
        <f>IF(BD_DETALLE!$E610&gt;=1,CONCATENATE(TEXT(BD_DETALLE!$C610,"YY"),TEXT(BD_DETALLE!$C610,"MM"),"-",BD_DETALLE!$E610),"")</f>
        <v>2103-285</v>
      </c>
      <c r="E610" s="227">
        <v>285</v>
      </c>
      <c r="F610" s="228">
        <v>320986</v>
      </c>
      <c r="G610" s="229" t="str">
        <f>IFERROR(VLOOKUP(BD_DETALLE!$B610,Tabla9[],6,0),"")</f>
        <v>BOCINAS DE RULIMAN A2184-12001</v>
      </c>
      <c r="H610" s="230">
        <f>IFERROR(VLOOKUP(BD_DETALLE!$B610,Tabla9[],4,0),0)</f>
        <v>2</v>
      </c>
      <c r="I610" s="231" t="s">
        <v>5</v>
      </c>
      <c r="J610" s="232" t="s">
        <v>2145</v>
      </c>
      <c r="K610" s="10">
        <f>IFERROR(VLOOKUP(BD_DETALLE!B610,Tabla9[],7,0),"")</f>
        <v>44293</v>
      </c>
      <c r="L610" s="11">
        <f>IFERROR(VLOOKUP(BD_DETALLE!B610,Tabla9[],8,0),"")</f>
        <v>52390</v>
      </c>
      <c r="M610" s="9">
        <f>IFERROR(SUMIFS(Tabla9[CANTIDAD2],Tabla9[BUSQUEDA],Tabla3[[#This Row],[BUSQUEDA]],Tabla9[CODIGO],Tabla3[[#This Row],[CODIGO]],Tabla9[ORDEN No.],Tabla3[[#This Row],[ORDEN de COMPRA]]),0)</f>
        <v>2</v>
      </c>
      <c r="N610" s="27">
        <f>IFERROR(IF(BD_DETALLE!B610&gt;0,VLOOKUP(BD_DETALLE!B610,Tabla9[],10,0),""),"")</f>
        <v>0</v>
      </c>
      <c r="O610" s="28">
        <f>IFERROR(VLOOKUP(BD_DETALLE!B610,Tabla9[],11,0),0)</f>
        <v>0</v>
      </c>
      <c r="P610" s="26">
        <f>IFERROR(SUMIFS(Tabla9[CANTIDAD3],Tabla9[BUSQUEDA],Tabla3[[#This Row],[BUSQUEDA]],Tabla9[CODIGO],Tabla3[[#This Row],[CODIGO]]),0)</f>
        <v>0</v>
      </c>
      <c r="Q610" s="25">
        <f>IF(BD_DETALLE!P610&lt;=0,0,IF(BD_DETALLE!P610=BD_DETALLE!H610,2,1))</f>
        <v>0</v>
      </c>
      <c r="R610" s="41">
        <f ca="1">IF(BD_DETALLE!$C610&gt;0,(IF(BD_DETALLE!$N610=0,TODAY()-BD_DETALLE!$C610,BD_DETALLE!$N610-BD_DETALLE!$C610)),"")</f>
        <v>21</v>
      </c>
    </row>
    <row r="611" spans="2:18" x14ac:dyDescent="0.25">
      <c r="B611" s="15" t="str">
        <f t="shared" si="60"/>
        <v>2103-285-321011</v>
      </c>
      <c r="C611" s="225">
        <v>44284</v>
      </c>
      <c r="D611" s="226" t="str">
        <f>IF(BD_DETALLE!$E611&gt;=1,CONCATENATE(TEXT(BD_DETALLE!$C611,"YY"),TEXT(BD_DETALLE!$C611,"MM"),"-",BD_DETALLE!$E611),"")</f>
        <v>2103-285</v>
      </c>
      <c r="E611" s="227">
        <v>285</v>
      </c>
      <c r="F611" s="228">
        <v>321011</v>
      </c>
      <c r="G611" s="229" t="str">
        <f>IFERROR(VLOOKUP(BD_DETALLE!$B611,Tabla9[],6,0),"")</f>
        <v>CILINDRO DE FRENO DE RUEDA IZQ. 2 Y 2,5 TON 24433-76000G</v>
      </c>
      <c r="H611" s="230">
        <f>IFERROR(VLOOKUP(BD_DETALLE!$B611,Tabla9[],4,0),0)</f>
        <v>2</v>
      </c>
      <c r="I611" s="231" t="s">
        <v>5</v>
      </c>
      <c r="J611" s="232" t="s">
        <v>2145</v>
      </c>
      <c r="K611" s="10">
        <f>IFERROR(VLOOKUP(BD_DETALLE!B611,Tabla9[],7,0),"")</f>
        <v>44293</v>
      </c>
      <c r="L611" s="11">
        <f>IFERROR(VLOOKUP(BD_DETALLE!B611,Tabla9[],8,0),"")</f>
        <v>52390</v>
      </c>
      <c r="M611" s="9">
        <f>IFERROR(SUMIFS(Tabla9[CANTIDAD2],Tabla9[BUSQUEDA],Tabla3[[#This Row],[BUSQUEDA]],Tabla9[CODIGO],Tabla3[[#This Row],[CODIGO]],Tabla9[ORDEN No.],Tabla3[[#This Row],[ORDEN de COMPRA]]),0)</f>
        <v>2</v>
      </c>
      <c r="N611" s="27">
        <f>IFERROR(IF(BD_DETALLE!B611&gt;0,VLOOKUP(BD_DETALLE!B611,Tabla9[],10,0),""),"")</f>
        <v>0</v>
      </c>
      <c r="O611" s="28">
        <f>IFERROR(VLOOKUP(BD_DETALLE!B611,Tabla9[],11,0),0)</f>
        <v>0</v>
      </c>
      <c r="P611" s="26">
        <f>IFERROR(SUMIFS(Tabla9[CANTIDAD3],Tabla9[BUSQUEDA],Tabla3[[#This Row],[BUSQUEDA]],Tabla9[CODIGO],Tabla3[[#This Row],[CODIGO]]),0)</f>
        <v>0</v>
      </c>
      <c r="Q611" s="25">
        <f>IF(BD_DETALLE!P611&lt;=0,0,IF(BD_DETALLE!P611=BD_DETALLE!H611,2,1))</f>
        <v>0</v>
      </c>
      <c r="R611" s="41">
        <f ca="1">IF(BD_DETALLE!$C611&gt;0,(IF(BD_DETALLE!$N611=0,TODAY()-BD_DETALLE!$C611,BD_DETALLE!$N611-BD_DETALLE!$C611)),"")</f>
        <v>21</v>
      </c>
    </row>
    <row r="612" spans="2:18" x14ac:dyDescent="0.25">
      <c r="B612" s="15" t="str">
        <f t="shared" si="60"/>
        <v>2103-285-321014</v>
      </c>
      <c r="C612" s="225">
        <v>44284</v>
      </c>
      <c r="D612" s="226" t="str">
        <f>IF(BD_DETALLE!$E612&gt;=1,CONCATENATE(TEXT(BD_DETALLE!$C612,"YY"),TEXT(BD_DETALLE!$C612,"MM"),"-",BD_DETALLE!$E612),"")</f>
        <v>2103-285</v>
      </c>
      <c r="E612" s="227">
        <v>285</v>
      </c>
      <c r="F612" s="228">
        <v>321014</v>
      </c>
      <c r="G612" s="229" t="str">
        <f>IFERROR(VLOOKUP(BD_DETALLE!$B612,Tabla9[],6,0),"")</f>
        <v>PIN  A01C3-72091</v>
      </c>
      <c r="H612" s="230">
        <f>IFERROR(VLOOKUP(BD_DETALLE!$B612,Tabla9[],4,0),0)</f>
        <v>4</v>
      </c>
      <c r="I612" s="231" t="s">
        <v>5</v>
      </c>
      <c r="J612" s="232" t="s">
        <v>2145</v>
      </c>
      <c r="K612" s="10">
        <f>IFERROR(VLOOKUP(BD_DETALLE!B612,Tabla9[],7,0),"")</f>
        <v>44293</v>
      </c>
      <c r="L612" s="11">
        <f>IFERROR(VLOOKUP(BD_DETALLE!B612,Tabla9[],8,0),"")</f>
        <v>52390</v>
      </c>
      <c r="M612" s="9">
        <f>IFERROR(SUMIFS(Tabla9[CANTIDAD2],Tabla9[BUSQUEDA],Tabla3[[#This Row],[BUSQUEDA]],Tabla9[CODIGO],Tabla3[[#This Row],[CODIGO]],Tabla9[ORDEN No.],Tabla3[[#This Row],[ORDEN de COMPRA]]),0)</f>
        <v>4</v>
      </c>
      <c r="N612" s="27">
        <f>IFERROR(IF(BD_DETALLE!B612&gt;0,VLOOKUP(BD_DETALLE!B612,Tabla9[],10,0),""),"")</f>
        <v>0</v>
      </c>
      <c r="O612" s="28">
        <f>IFERROR(VLOOKUP(BD_DETALLE!B612,Tabla9[],11,0),0)</f>
        <v>0</v>
      </c>
      <c r="P612" s="26">
        <f>IFERROR(SUMIFS(Tabla9[CANTIDAD3],Tabla9[BUSQUEDA],Tabla3[[#This Row],[BUSQUEDA]],Tabla9[CODIGO],Tabla3[[#This Row],[CODIGO]]),0)</f>
        <v>0</v>
      </c>
      <c r="Q612" s="25">
        <f>IF(BD_DETALLE!P612&lt;=0,0,IF(BD_DETALLE!P612=BD_DETALLE!H612,2,1))</f>
        <v>0</v>
      </c>
      <c r="R612" s="41">
        <f ca="1">IF(BD_DETALLE!$C612&gt;0,(IF(BD_DETALLE!$N612=0,TODAY()-BD_DETALLE!$C612,BD_DETALLE!$N612-BD_DETALLE!$C612)),"")</f>
        <v>21</v>
      </c>
    </row>
    <row r="613" spans="2:18" x14ac:dyDescent="0.25">
      <c r="B613" s="15" t="str">
        <f t="shared" si="60"/>
        <v>2103-285-320992</v>
      </c>
      <c r="C613" s="225">
        <v>44284</v>
      </c>
      <c r="D613" s="226" t="str">
        <f>IF(BD_DETALLE!$E613&gt;=1,CONCATENATE(TEXT(BD_DETALLE!$C613,"YY"),TEXT(BD_DETALLE!$C613,"MM"),"-",BD_DETALLE!$E613),"")</f>
        <v>2103-285</v>
      </c>
      <c r="E613" s="227">
        <v>285</v>
      </c>
      <c r="F613" s="228">
        <v>320992</v>
      </c>
      <c r="G613" s="229" t="str">
        <f>IFERROR(VLOOKUP(BD_DETALLE!$B613,Tabla9[],6,0),"")</f>
        <v>TUERCA M10 x 1,25  B4223-00010</v>
      </c>
      <c r="H613" s="230">
        <f>IFERROR(VLOOKUP(BD_DETALLE!$B613,Tabla9[],4,0),0)</f>
        <v>4</v>
      </c>
      <c r="I613" s="231" t="s">
        <v>5</v>
      </c>
      <c r="J613" s="232" t="s">
        <v>2145</v>
      </c>
      <c r="K613" s="10">
        <f>IFERROR(VLOOKUP(BD_DETALLE!B613,Tabla9[],7,0),"")</f>
        <v>44293</v>
      </c>
      <c r="L613" s="11">
        <f>IFERROR(VLOOKUP(BD_DETALLE!B613,Tabla9[],8,0),"")</f>
        <v>52390</v>
      </c>
      <c r="M613" s="9">
        <f>IFERROR(SUMIFS(Tabla9[CANTIDAD2],Tabla9[BUSQUEDA],Tabla3[[#This Row],[BUSQUEDA]],Tabla9[CODIGO],Tabla3[[#This Row],[CODIGO]],Tabla9[ORDEN No.],Tabla3[[#This Row],[ORDEN de COMPRA]]),0)</f>
        <v>4</v>
      </c>
      <c r="N613" s="27">
        <f>IFERROR(IF(BD_DETALLE!B613&gt;0,VLOOKUP(BD_DETALLE!B613,Tabla9[],10,0),""),"")</f>
        <v>0</v>
      </c>
      <c r="O613" s="28">
        <f>IFERROR(VLOOKUP(BD_DETALLE!B613,Tabla9[],11,0),0)</f>
        <v>0</v>
      </c>
      <c r="P613" s="26">
        <f>IFERROR(SUMIFS(Tabla9[CANTIDAD3],Tabla9[BUSQUEDA],Tabla3[[#This Row],[BUSQUEDA]],Tabla9[CODIGO],Tabla3[[#This Row],[CODIGO]]),0)</f>
        <v>0</v>
      </c>
      <c r="Q613" s="25">
        <f>IF(BD_DETALLE!P613&lt;=0,0,IF(BD_DETALLE!P613=BD_DETALLE!H613,2,1))</f>
        <v>0</v>
      </c>
      <c r="R613" s="41">
        <f ca="1">IF(BD_DETALLE!$C613&gt;0,(IF(BD_DETALLE!$N613=0,TODAY()-BD_DETALLE!$C613,BD_DETALLE!$N613-BD_DETALLE!$C613)),"")</f>
        <v>21</v>
      </c>
    </row>
    <row r="614" spans="2:18" x14ac:dyDescent="0.25">
      <c r="B614" s="15" t="str">
        <f t="shared" si="60"/>
        <v>2103-285-320996</v>
      </c>
      <c r="C614" s="225">
        <v>44284</v>
      </c>
      <c r="D614" s="226" t="str">
        <f>IF(BD_DETALLE!$E614&gt;=1,CONCATENATE(TEXT(BD_DETALLE!$C614,"YY"),TEXT(BD_DETALLE!$C614,"MM"),"-",BD_DETALLE!$E614),"")</f>
        <v>2103-285</v>
      </c>
      <c r="E614" s="227">
        <v>285</v>
      </c>
      <c r="F614" s="228">
        <v>320996</v>
      </c>
      <c r="G614" s="229" t="str">
        <f>IFERROR(VLOOKUP(BD_DETALLE!$B614,Tabla9[],6,0),"")</f>
        <v>SEGURO DE VINCHA  B5310-00030</v>
      </c>
      <c r="H614" s="230">
        <f>IFERROR(VLOOKUP(BD_DETALLE!$B614,Tabla9[],4,0),0)</f>
        <v>2</v>
      </c>
      <c r="I614" s="231" t="s">
        <v>5</v>
      </c>
      <c r="J614" s="232" t="s">
        <v>2145</v>
      </c>
      <c r="K614" s="10">
        <f>IFERROR(VLOOKUP(BD_DETALLE!B614,Tabla9[],7,0),"")</f>
        <v>44293</v>
      </c>
      <c r="L614" s="11">
        <f>IFERROR(VLOOKUP(BD_DETALLE!B614,Tabla9[],8,0),"")</f>
        <v>52390</v>
      </c>
      <c r="M614" s="9">
        <f>IFERROR(SUMIFS(Tabla9[CANTIDAD2],Tabla9[BUSQUEDA],Tabla3[[#This Row],[BUSQUEDA]],Tabla9[CODIGO],Tabla3[[#This Row],[CODIGO]],Tabla9[ORDEN No.],Tabla3[[#This Row],[ORDEN de COMPRA]]),0)</f>
        <v>2</v>
      </c>
      <c r="N614" s="27">
        <f>IFERROR(IF(BD_DETALLE!B614&gt;0,VLOOKUP(BD_DETALLE!B614,Tabla9[],10,0),""),"")</f>
        <v>0</v>
      </c>
      <c r="O614" s="28">
        <f>IFERROR(VLOOKUP(BD_DETALLE!B614,Tabla9[],11,0),0)</f>
        <v>0</v>
      </c>
      <c r="P614" s="26">
        <f>IFERROR(SUMIFS(Tabla9[CANTIDAD3],Tabla9[BUSQUEDA],Tabla3[[#This Row],[BUSQUEDA]],Tabla9[CODIGO],Tabla3[[#This Row],[CODIGO]]),0)</f>
        <v>0</v>
      </c>
      <c r="Q614" s="25">
        <f>IF(BD_DETALLE!P614&lt;=0,0,IF(BD_DETALLE!P614=BD_DETALLE!H614,2,1))</f>
        <v>0</v>
      </c>
      <c r="R614" s="41">
        <f ca="1">IF(BD_DETALLE!$C614&gt;0,(IF(BD_DETALLE!$N614=0,TODAY()-BD_DETALLE!$C614,BD_DETALLE!$N614-BD_DETALLE!$C614)),"")</f>
        <v>21</v>
      </c>
    </row>
    <row r="615" spans="2:18" x14ac:dyDescent="0.25">
      <c r="B615" s="15" t="str">
        <f t="shared" si="60"/>
        <v>2103-285-321001</v>
      </c>
      <c r="C615" s="225">
        <v>44284</v>
      </c>
      <c r="D615" s="226" t="str">
        <f>IF(BD_DETALLE!$E615&gt;=1,CONCATENATE(TEXT(BD_DETALLE!$C615,"YY"),TEXT(BD_DETALLE!$C615,"MM"),"-",BD_DETALLE!$E615),"")</f>
        <v>2103-285</v>
      </c>
      <c r="E615" s="227">
        <v>285</v>
      </c>
      <c r="F615" s="228">
        <v>321001</v>
      </c>
      <c r="G615" s="229" t="str">
        <f>IFERROR(VLOOKUP(BD_DETALLE!$B615,Tabla9[],6,0),"")</f>
        <v>RETENEDOR  22493-00030G</v>
      </c>
      <c r="H615" s="230">
        <f>IFERROR(VLOOKUP(BD_DETALLE!$B615,Tabla9[],4,0),0)</f>
        <v>4</v>
      </c>
      <c r="I615" s="231" t="s">
        <v>5</v>
      </c>
      <c r="J615" s="232" t="s">
        <v>2145</v>
      </c>
      <c r="K615" s="10">
        <f>IFERROR(VLOOKUP(BD_DETALLE!B615,Tabla9[],7,0),"")</f>
        <v>44293</v>
      </c>
      <c r="L615" s="11">
        <f>IFERROR(VLOOKUP(BD_DETALLE!B615,Tabla9[],8,0),"")</f>
        <v>52390</v>
      </c>
      <c r="M615" s="9">
        <f>IFERROR(SUMIFS(Tabla9[CANTIDAD2],Tabla9[BUSQUEDA],Tabla3[[#This Row],[BUSQUEDA]],Tabla9[CODIGO],Tabla3[[#This Row],[CODIGO]],Tabla9[ORDEN No.],Tabla3[[#This Row],[ORDEN de COMPRA]]),0)</f>
        <v>4</v>
      </c>
      <c r="N615" s="27">
        <f>IFERROR(IF(BD_DETALLE!B615&gt;0,VLOOKUP(BD_DETALLE!B615,Tabla9[],10,0),""),"")</f>
        <v>0</v>
      </c>
      <c r="O615" s="28">
        <f>IFERROR(VLOOKUP(BD_DETALLE!B615,Tabla9[],11,0),0)</f>
        <v>0</v>
      </c>
      <c r="P615" s="26">
        <f>IFERROR(SUMIFS(Tabla9[CANTIDAD3],Tabla9[BUSQUEDA],Tabla3[[#This Row],[BUSQUEDA]],Tabla9[CODIGO],Tabla3[[#This Row],[CODIGO]]),0)</f>
        <v>0</v>
      </c>
      <c r="Q615" s="25">
        <f>IF(BD_DETALLE!P615&lt;=0,0,IF(BD_DETALLE!P615=BD_DETALLE!H615,2,1))</f>
        <v>0</v>
      </c>
      <c r="R615" s="41">
        <f ca="1">IF(BD_DETALLE!$C615&gt;0,(IF(BD_DETALLE!$N615=0,TODAY()-BD_DETALLE!$C615,BD_DETALLE!$N615-BD_DETALLE!$C615)),"")</f>
        <v>21</v>
      </c>
    </row>
    <row r="616" spans="2:18" x14ac:dyDescent="0.25">
      <c r="B616" s="15" t="str">
        <f t="shared" si="60"/>
        <v>2103-285-321004</v>
      </c>
      <c r="C616" s="225">
        <v>44284</v>
      </c>
      <c r="D616" s="226" t="str">
        <f>IF(BD_DETALLE!$E616&gt;=1,CONCATENATE(TEXT(BD_DETALLE!$C616,"YY"),TEXT(BD_DETALLE!$C616,"MM"),"-",BD_DETALLE!$E616),"")</f>
        <v>2103-285</v>
      </c>
      <c r="E616" s="227">
        <v>285</v>
      </c>
      <c r="F616" s="228">
        <v>321004</v>
      </c>
      <c r="G616" s="229" t="str">
        <f>IFERROR(VLOOKUP(BD_DETALLE!$B616,Tabla9[],6,0),"")</f>
        <v>RETENEDOR DE ACEITE  24453-01221G</v>
      </c>
      <c r="H616" s="230">
        <f>IFERROR(VLOOKUP(BD_DETALLE!$B616,Tabla9[],4,0),0)</f>
        <v>8</v>
      </c>
      <c r="I616" s="231" t="s">
        <v>5</v>
      </c>
      <c r="J616" s="232" t="s">
        <v>2145</v>
      </c>
      <c r="K616" s="10">
        <f>IFERROR(VLOOKUP(BD_DETALLE!B616,Tabla9[],7,0),"")</f>
        <v>44293</v>
      </c>
      <c r="L616" s="11">
        <f>IFERROR(VLOOKUP(BD_DETALLE!B616,Tabla9[],8,0),"")</f>
        <v>52390</v>
      </c>
      <c r="M616" s="9">
        <f>IFERROR(SUMIFS(Tabla9[CANTIDAD2],Tabla9[BUSQUEDA],Tabla3[[#This Row],[BUSQUEDA]],Tabla9[CODIGO],Tabla3[[#This Row],[CODIGO]],Tabla9[ORDEN No.],Tabla3[[#This Row],[ORDEN de COMPRA]]),0)</f>
        <v>8</v>
      </c>
      <c r="N616" s="27">
        <f>IFERROR(IF(BD_DETALLE!B616&gt;0,VLOOKUP(BD_DETALLE!B616,Tabla9[],10,0),""),"")</f>
        <v>0</v>
      </c>
      <c r="O616" s="28">
        <f>IFERROR(VLOOKUP(BD_DETALLE!B616,Tabla9[],11,0),0)</f>
        <v>0</v>
      </c>
      <c r="P616" s="26">
        <f>IFERROR(SUMIFS(Tabla9[CANTIDAD3],Tabla9[BUSQUEDA],Tabla3[[#This Row],[BUSQUEDA]],Tabla9[CODIGO],Tabla3[[#This Row],[CODIGO]]),0)</f>
        <v>0</v>
      </c>
      <c r="Q616" s="25">
        <f>IF(BD_DETALLE!P616&lt;=0,0,IF(BD_DETALLE!P616=BD_DETALLE!H616,2,1))</f>
        <v>0</v>
      </c>
      <c r="R616" s="41">
        <f ca="1">IF(BD_DETALLE!$C616&gt;0,(IF(BD_DETALLE!$N616=0,TODAY()-BD_DETALLE!$C616,BD_DETALLE!$N616-BD_DETALLE!$C616)),"")</f>
        <v>21</v>
      </c>
    </row>
    <row r="617" spans="2:18" x14ac:dyDescent="0.25">
      <c r="B617" s="15" t="str">
        <f t="shared" si="60"/>
        <v>2103-285-317952</v>
      </c>
      <c r="C617" s="225">
        <v>44284</v>
      </c>
      <c r="D617" s="226" t="str">
        <f>IF(BD_DETALLE!$E617&gt;=1,CONCATENATE(TEXT(BD_DETALLE!$C617,"YY"),TEXT(BD_DETALLE!$C617,"MM"),"-",BD_DETALLE!$E617),"")</f>
        <v>2103-285</v>
      </c>
      <c r="E617" s="227">
        <v>285</v>
      </c>
      <c r="F617" s="228">
        <v>317952</v>
      </c>
      <c r="G617" s="229" t="str">
        <f>IFERROR(VLOOKUP(BD_DETALLE!$B617,Tabla9[],6,0),"")</f>
        <v>RULIMAN 30214</v>
      </c>
      <c r="H617" s="230">
        <f>IFERROR(VLOOKUP(BD_DETALLE!$B617,Tabla9[],4,0),0)</f>
        <v>4</v>
      </c>
      <c r="I617" s="231" t="s">
        <v>5</v>
      </c>
      <c r="J617" s="232" t="s">
        <v>2145</v>
      </c>
      <c r="K617" s="10">
        <f>IFERROR(VLOOKUP(BD_DETALLE!B617,Tabla9[],7,0),"")</f>
        <v>44293</v>
      </c>
      <c r="L617" s="11">
        <f>IFERROR(VLOOKUP(BD_DETALLE!B617,Tabla9[],8,0),"")</f>
        <v>52390</v>
      </c>
      <c r="M617" s="9">
        <f>IFERROR(SUMIFS(Tabla9[CANTIDAD2],Tabla9[BUSQUEDA],Tabla3[[#This Row],[BUSQUEDA]],Tabla9[CODIGO],Tabla3[[#This Row],[CODIGO]],Tabla9[ORDEN No.],Tabla3[[#This Row],[ORDEN de COMPRA]]),0)</f>
        <v>4</v>
      </c>
      <c r="N617" s="27">
        <f>IFERROR(IF(BD_DETALLE!B617&gt;0,VLOOKUP(BD_DETALLE!B617,Tabla9[],10,0),""),"")</f>
        <v>0</v>
      </c>
      <c r="O617" s="28">
        <f>IFERROR(VLOOKUP(BD_DETALLE!B617,Tabla9[],11,0),0)</f>
        <v>0</v>
      </c>
      <c r="P617" s="26">
        <f>IFERROR(SUMIFS(Tabla9[CANTIDAD3],Tabla9[BUSQUEDA],Tabla3[[#This Row],[BUSQUEDA]],Tabla9[CODIGO],Tabla3[[#This Row],[CODIGO]]),0)</f>
        <v>0</v>
      </c>
      <c r="Q617" s="25">
        <f>IF(BD_DETALLE!P617&lt;=0,0,IF(BD_DETALLE!P617=BD_DETALLE!H617,2,1))</f>
        <v>0</v>
      </c>
      <c r="R617" s="41">
        <f ca="1">IF(BD_DETALLE!$C617&gt;0,(IF(BD_DETALLE!$N617=0,TODAY()-BD_DETALLE!$C617,BD_DETALLE!$N617-BD_DETALLE!$C617)),"")</f>
        <v>21</v>
      </c>
    </row>
    <row r="618" spans="2:18" x14ac:dyDescent="0.25">
      <c r="B618" s="15" t="str">
        <f t="shared" si="60"/>
        <v>2103-285-320991</v>
      </c>
      <c r="C618" s="225">
        <v>44284</v>
      </c>
      <c r="D618" s="226" t="str">
        <f>IF(BD_DETALLE!$E618&gt;=1,CONCATENATE(TEXT(BD_DETALLE!$C618,"YY"),TEXT(BD_DETALLE!$C618,"MM"),"-",BD_DETALLE!$E618),"")</f>
        <v>2103-285</v>
      </c>
      <c r="E618" s="227">
        <v>285</v>
      </c>
      <c r="F618" s="228">
        <v>320991</v>
      </c>
      <c r="G618" s="229" t="str">
        <f>IFERROR(VLOOKUP(BD_DETALLE!$B618,Tabla9[],6,0),"")</f>
        <v>SEGURO PIN  20314-30161</v>
      </c>
      <c r="H618" s="230">
        <f>IFERROR(VLOOKUP(BD_DETALLE!$B618,Tabla9[],4,0),0)</f>
        <v>4</v>
      </c>
      <c r="I618" s="231" t="s">
        <v>5</v>
      </c>
      <c r="J618" s="232" t="s">
        <v>2145</v>
      </c>
      <c r="K618" s="10">
        <f>IFERROR(VLOOKUP(BD_DETALLE!B618,Tabla9[],7,0),"")</f>
        <v>44293</v>
      </c>
      <c r="L618" s="11">
        <f>IFERROR(VLOOKUP(BD_DETALLE!B618,Tabla9[],8,0),"")</f>
        <v>52390</v>
      </c>
      <c r="M618" s="9">
        <f>IFERROR(SUMIFS(Tabla9[CANTIDAD2],Tabla9[BUSQUEDA],Tabla3[[#This Row],[BUSQUEDA]],Tabla9[CODIGO],Tabla3[[#This Row],[CODIGO]],Tabla9[ORDEN No.],Tabla3[[#This Row],[ORDEN de COMPRA]]),0)</f>
        <v>4</v>
      </c>
      <c r="N618" s="27">
        <f>IFERROR(IF(BD_DETALLE!B618&gt;0,VLOOKUP(BD_DETALLE!B618,Tabla9[],10,0),""),"")</f>
        <v>0</v>
      </c>
      <c r="O618" s="28">
        <f>IFERROR(VLOOKUP(BD_DETALLE!B618,Tabla9[],11,0),0)</f>
        <v>0</v>
      </c>
      <c r="P618" s="26">
        <f>IFERROR(SUMIFS(Tabla9[CANTIDAD3],Tabla9[BUSQUEDA],Tabla3[[#This Row],[BUSQUEDA]],Tabla9[CODIGO],Tabla3[[#This Row],[CODIGO]]),0)</f>
        <v>0</v>
      </c>
      <c r="Q618" s="25">
        <f>IF(BD_DETALLE!P618&lt;=0,0,IF(BD_DETALLE!P618=BD_DETALLE!H618,2,1))</f>
        <v>0</v>
      </c>
      <c r="R618" s="41">
        <f ca="1">IF(BD_DETALLE!$C618&gt;0,(IF(BD_DETALLE!$N618=0,TODAY()-BD_DETALLE!$C618,BD_DETALLE!$N618-BD_DETALLE!$C618)),"")</f>
        <v>21</v>
      </c>
    </row>
    <row r="619" spans="2:18" x14ac:dyDescent="0.25">
      <c r="B619" s="15" t="str">
        <f t="shared" si="60"/>
        <v>2103-285-320995</v>
      </c>
      <c r="C619" s="225">
        <v>44284</v>
      </c>
      <c r="D619" s="226" t="str">
        <f>IF(BD_DETALLE!$E619&gt;=1,CONCATENATE(TEXT(BD_DETALLE!$C619,"YY"),TEXT(BD_DETALLE!$C619,"MM"),"-",BD_DETALLE!$E619),"")</f>
        <v>2103-285</v>
      </c>
      <c r="E619" s="227">
        <v>285</v>
      </c>
      <c r="F619" s="228">
        <v>320995</v>
      </c>
      <c r="G619" s="229" t="str">
        <f>IFERROR(VLOOKUP(BD_DETALLE!$B619,Tabla9[],6,0),"")</f>
        <v>RULIMAN Z-7207E</v>
      </c>
      <c r="H619" s="230">
        <f>IFERROR(VLOOKUP(BD_DETALLE!$B619,Tabla9[],4,0),0)</f>
        <v>2</v>
      </c>
      <c r="I619" s="231" t="s">
        <v>5</v>
      </c>
      <c r="J619" s="232" t="s">
        <v>2145</v>
      </c>
      <c r="K619" s="10">
        <f>IFERROR(VLOOKUP(BD_DETALLE!B619,Tabla9[],7,0),"")</f>
        <v>44293</v>
      </c>
      <c r="L619" s="11">
        <f>IFERROR(VLOOKUP(BD_DETALLE!B619,Tabla9[],8,0),"")</f>
        <v>52390</v>
      </c>
      <c r="M619" s="9">
        <f>IFERROR(SUMIFS(Tabla9[CANTIDAD2],Tabla9[BUSQUEDA],Tabla3[[#This Row],[BUSQUEDA]],Tabla9[CODIGO],Tabla3[[#This Row],[CODIGO]],Tabla9[ORDEN No.],Tabla3[[#This Row],[ORDEN de COMPRA]]),0)</f>
        <v>2</v>
      </c>
      <c r="N619" s="27">
        <f>IFERROR(IF(BD_DETALLE!B619&gt;0,VLOOKUP(BD_DETALLE!B619,Tabla9[],10,0),""),"")</f>
        <v>0</v>
      </c>
      <c r="O619" s="28">
        <f>IFERROR(VLOOKUP(BD_DETALLE!B619,Tabla9[],11,0),0)</f>
        <v>0</v>
      </c>
      <c r="P619" s="26">
        <f>IFERROR(SUMIFS(Tabla9[CANTIDAD3],Tabla9[BUSQUEDA],Tabla3[[#This Row],[BUSQUEDA]],Tabla9[CODIGO],Tabla3[[#This Row],[CODIGO]]),0)</f>
        <v>0</v>
      </c>
      <c r="Q619" s="25">
        <f>IF(BD_DETALLE!P619&lt;=0,0,IF(BD_DETALLE!P619=BD_DETALLE!H619,2,1))</f>
        <v>0</v>
      </c>
      <c r="R619" s="41">
        <f ca="1">IF(BD_DETALLE!$C619&gt;0,(IF(BD_DETALLE!$N619=0,TODAY()-BD_DETALLE!$C619,BD_DETALLE!$N619-BD_DETALLE!$C619)),"")</f>
        <v>21</v>
      </c>
    </row>
    <row r="620" spans="2:18" x14ac:dyDescent="0.25">
      <c r="B620" s="15" t="str">
        <f t="shared" si="60"/>
        <v>2103-285-320998</v>
      </c>
      <c r="C620" s="225">
        <v>44284</v>
      </c>
      <c r="D620" s="226" t="str">
        <f>IF(BD_DETALLE!$E620&gt;=1,CONCATENATE(TEXT(BD_DETALLE!$C620,"YY"),TEXT(BD_DETALLE!$C620,"MM"),"-",BD_DETALLE!$E620),"")</f>
        <v>2103-285</v>
      </c>
      <c r="E620" s="227">
        <v>285</v>
      </c>
      <c r="F620" s="228">
        <v>320998</v>
      </c>
      <c r="G620" s="229" t="str">
        <f>IFERROR(VLOOKUP(BD_DETALLE!$B620,Tabla9[],6,0),"")</f>
        <v>SEGURO  22493-00020G</v>
      </c>
      <c r="H620" s="230">
        <f>IFERROR(VLOOKUP(BD_DETALLE!$B620,Tabla9[],4,0),0)</f>
        <v>4</v>
      </c>
      <c r="I620" s="231" t="s">
        <v>5</v>
      </c>
      <c r="J620" s="232" t="s">
        <v>2145</v>
      </c>
      <c r="K620" s="10">
        <f>IFERROR(VLOOKUP(BD_DETALLE!B620,Tabla9[],7,0),"")</f>
        <v>44293</v>
      </c>
      <c r="L620" s="11">
        <f>IFERROR(VLOOKUP(BD_DETALLE!B620,Tabla9[],8,0),"")</f>
        <v>52390</v>
      </c>
      <c r="M620" s="9">
        <f>IFERROR(SUMIFS(Tabla9[CANTIDAD2],Tabla9[BUSQUEDA],Tabla3[[#This Row],[BUSQUEDA]],Tabla9[CODIGO],Tabla3[[#This Row],[CODIGO]],Tabla9[ORDEN No.],Tabla3[[#This Row],[ORDEN de COMPRA]]),0)</f>
        <v>4</v>
      </c>
      <c r="N620" s="27">
        <f>IFERROR(IF(BD_DETALLE!B620&gt;0,VLOOKUP(BD_DETALLE!B620,Tabla9[],10,0),""),"")</f>
        <v>0</v>
      </c>
      <c r="O620" s="28">
        <f>IFERROR(VLOOKUP(BD_DETALLE!B620,Tabla9[],11,0),0)</f>
        <v>0</v>
      </c>
      <c r="P620" s="26">
        <f>IFERROR(SUMIFS(Tabla9[CANTIDAD3],Tabla9[BUSQUEDA],Tabla3[[#This Row],[BUSQUEDA]],Tabla9[CODIGO],Tabla3[[#This Row],[CODIGO]]),0)</f>
        <v>0</v>
      </c>
      <c r="Q620" s="25">
        <f>IF(BD_DETALLE!P620&lt;=0,0,IF(BD_DETALLE!P620=BD_DETALLE!H620,2,1))</f>
        <v>0</v>
      </c>
      <c r="R620" s="41">
        <f ca="1">IF(BD_DETALLE!$C620&gt;0,(IF(BD_DETALLE!$N620=0,TODAY()-BD_DETALLE!$C620,BD_DETALLE!$N620-BD_DETALLE!$C620)),"")</f>
        <v>21</v>
      </c>
    </row>
    <row r="621" spans="2:18" x14ac:dyDescent="0.25">
      <c r="B621" s="15" t="str">
        <f t="shared" si="60"/>
        <v>2103-285-320999</v>
      </c>
      <c r="C621" s="225">
        <v>44284</v>
      </c>
      <c r="D621" s="226" t="str">
        <f>IF(BD_DETALLE!$E621&gt;=1,CONCATENATE(TEXT(BD_DETALLE!$C621,"YY"),TEXT(BD_DETALLE!$C621,"MM"),"-",BD_DETALLE!$E621),"")</f>
        <v>2103-285</v>
      </c>
      <c r="E621" s="227">
        <v>285</v>
      </c>
      <c r="F621" s="228">
        <v>320999</v>
      </c>
      <c r="G621" s="229" t="str">
        <f>IFERROR(VLOOKUP(BD_DETALLE!$B621,Tabla9[],6,0),"")</f>
        <v>RULIMAN CON RETENEDOR DE ACEITE  23453-02071</v>
      </c>
      <c r="H621" s="230">
        <f>IFERROR(VLOOKUP(BD_DETALLE!$B621,Tabla9[],4,0),0)</f>
        <v>2</v>
      </c>
      <c r="I621" s="231" t="s">
        <v>5</v>
      </c>
      <c r="J621" s="232" t="s">
        <v>2145</v>
      </c>
      <c r="K621" s="10">
        <f>IFERROR(VLOOKUP(BD_DETALLE!B621,Tabla9[],7,0),"")</f>
        <v>44293</v>
      </c>
      <c r="L621" s="11">
        <f>IFERROR(VLOOKUP(BD_DETALLE!B621,Tabla9[],8,0),"")</f>
        <v>52390</v>
      </c>
      <c r="M621" s="9">
        <f>IFERROR(SUMIFS(Tabla9[CANTIDAD2],Tabla9[BUSQUEDA],Tabla3[[#This Row],[BUSQUEDA]],Tabla9[CODIGO],Tabla3[[#This Row],[CODIGO]],Tabla9[ORDEN No.],Tabla3[[#This Row],[ORDEN de COMPRA]]),0)</f>
        <v>2</v>
      </c>
      <c r="N621" s="27">
        <f>IFERROR(IF(BD_DETALLE!B621&gt;0,VLOOKUP(BD_DETALLE!B621,Tabla9[],10,0),""),"")</f>
        <v>0</v>
      </c>
      <c r="O621" s="28">
        <f>IFERROR(VLOOKUP(BD_DETALLE!B621,Tabla9[],11,0),0)</f>
        <v>0</v>
      </c>
      <c r="P621" s="26">
        <f>IFERROR(SUMIFS(Tabla9[CANTIDAD3],Tabla9[BUSQUEDA],Tabla3[[#This Row],[BUSQUEDA]],Tabla9[CODIGO],Tabla3[[#This Row],[CODIGO]]),0)</f>
        <v>0</v>
      </c>
      <c r="Q621" s="25">
        <f>IF(BD_DETALLE!P621&lt;=0,0,IF(BD_DETALLE!P621=BD_DETALLE!H621,2,1))</f>
        <v>0</v>
      </c>
      <c r="R621" s="41">
        <f ca="1">IF(BD_DETALLE!$C621&gt;0,(IF(BD_DETALLE!$N621=0,TODAY()-BD_DETALLE!$C621,BD_DETALLE!$N621-BD_DETALLE!$C621)),"")</f>
        <v>21</v>
      </c>
    </row>
    <row r="622" spans="2:18" x14ac:dyDescent="0.25">
      <c r="B622" s="15" t="str">
        <f t="shared" si="60"/>
        <v>2103-285-321007</v>
      </c>
      <c r="C622" s="225">
        <v>44284</v>
      </c>
      <c r="D622" s="226" t="str">
        <f>IF(BD_DETALLE!$E622&gt;=1,CONCATENATE(TEXT(BD_DETALLE!$C622,"YY"),TEXT(BD_DETALLE!$C622,"MM"),"-",BD_DETALLE!$E622),"")</f>
        <v>2103-285</v>
      </c>
      <c r="E622" s="227">
        <v>285</v>
      </c>
      <c r="F622" s="228">
        <v>321007</v>
      </c>
      <c r="G622" s="229" t="str">
        <f>IFERROR(VLOOKUP(BD_DETALLE!$B622,Tabla9[],6,0),"")</f>
        <v>LEVAS DE REGULADOR  24433-70100</v>
      </c>
      <c r="H622" s="230">
        <f>IFERROR(VLOOKUP(BD_DETALLE!$B622,Tabla9[],4,0),0)</f>
        <v>4</v>
      </c>
      <c r="I622" s="231" t="s">
        <v>5</v>
      </c>
      <c r="J622" s="232" t="s">
        <v>2145</v>
      </c>
      <c r="K622" s="10">
        <f>IFERROR(VLOOKUP(BD_DETALLE!B622,Tabla9[],7,0),"")</f>
        <v>44293</v>
      </c>
      <c r="L622" s="11">
        <f>IFERROR(VLOOKUP(BD_DETALLE!B622,Tabla9[],8,0),"")</f>
        <v>52390</v>
      </c>
      <c r="M622" s="9">
        <f>IFERROR(SUMIFS(Tabla9[CANTIDAD2],Tabla9[BUSQUEDA],Tabla3[[#This Row],[BUSQUEDA]],Tabla9[CODIGO],Tabla3[[#This Row],[CODIGO]],Tabla9[ORDEN No.],Tabla3[[#This Row],[ORDEN de COMPRA]]),0)</f>
        <v>4</v>
      </c>
      <c r="N622" s="27">
        <f>IFERROR(IF(BD_DETALLE!B622&gt;0,VLOOKUP(BD_DETALLE!B622,Tabla9[],10,0),""),"")</f>
        <v>0</v>
      </c>
      <c r="O622" s="28">
        <f>IFERROR(VLOOKUP(BD_DETALLE!B622,Tabla9[],11,0),0)</f>
        <v>0</v>
      </c>
      <c r="P622" s="26">
        <f>IFERROR(SUMIFS(Tabla9[CANTIDAD3],Tabla9[BUSQUEDA],Tabla3[[#This Row],[BUSQUEDA]],Tabla9[CODIGO],Tabla3[[#This Row],[CODIGO]]),0)</f>
        <v>0</v>
      </c>
      <c r="Q622" s="25">
        <f>IF(BD_DETALLE!P622&lt;=0,0,IF(BD_DETALLE!P622=BD_DETALLE!H622,2,1))</f>
        <v>0</v>
      </c>
      <c r="R622" s="41">
        <f ca="1">IF(BD_DETALLE!$C622&gt;0,(IF(BD_DETALLE!$N622=0,TODAY()-BD_DETALLE!$C622,BD_DETALLE!$N622-BD_DETALLE!$C622)),"")</f>
        <v>21</v>
      </c>
    </row>
    <row r="623" spans="2:18" x14ac:dyDescent="0.25">
      <c r="B623" s="15" t="str">
        <f t="shared" si="60"/>
        <v>2103-286-203683</v>
      </c>
      <c r="C623" s="7">
        <v>44284</v>
      </c>
      <c r="D623" s="5" t="str">
        <f>IF(BD_DETALLE!$E623&gt;=1,CONCATENATE(TEXT(BD_DETALLE!$C623,"YY"),TEXT(BD_DETALLE!$C623,"MM"),"-",BD_DETALLE!$E623),"")</f>
        <v>2103-286</v>
      </c>
      <c r="E623" s="12">
        <v>286</v>
      </c>
      <c r="F623" s="21">
        <v>203683</v>
      </c>
      <c r="G623" s="4" t="str">
        <f>IFERROR(VLOOKUP(BD_DETALLE!$B623,Tabla9[],6,0),"")</f>
        <v>BROCHA DE 2"</v>
      </c>
      <c r="H623" s="6">
        <f>IFERROR(VLOOKUP(BD_DETALLE!$B623,Tabla9[],4,0),0)</f>
        <v>6</v>
      </c>
      <c r="I623" s="19" t="s">
        <v>15</v>
      </c>
      <c r="J623" s="20" t="s">
        <v>385</v>
      </c>
      <c r="K623" s="10">
        <f>IFERROR(VLOOKUP(BD_DETALLE!B623,Tabla9[],7,0),"")</f>
        <v>0</v>
      </c>
      <c r="L623" s="11">
        <f>IFERROR(VLOOKUP(BD_DETALLE!B623,Tabla9[],8,0),"")</f>
        <v>0</v>
      </c>
      <c r="M623" s="9">
        <f>IFERROR(SUMIFS(Tabla9[CANTIDAD2],Tabla9[BUSQUEDA],Tabla3[[#This Row],[BUSQUEDA]],Tabla9[CODIGO],Tabla3[[#This Row],[CODIGO]],Tabla9[ORDEN No.],Tabla3[[#This Row],[ORDEN de COMPRA]]),0)</f>
        <v>0</v>
      </c>
      <c r="N623" s="27">
        <f>IFERROR(IF(BD_DETALLE!B623&gt;0,VLOOKUP(BD_DETALLE!B623,Tabla9[],10,0),""),"")</f>
        <v>0</v>
      </c>
      <c r="O623" s="28">
        <f>IFERROR(VLOOKUP(BD_DETALLE!B623,Tabla9[],11,0),0)</f>
        <v>0</v>
      </c>
      <c r="P623" s="26">
        <f>IFERROR(SUMIFS(Tabla9[CANTIDAD3],Tabla9[BUSQUEDA],Tabla3[[#This Row],[BUSQUEDA]],Tabla9[CODIGO],Tabla3[[#This Row],[CODIGO]]),0)</f>
        <v>0</v>
      </c>
      <c r="Q623" s="25">
        <f>IF(BD_DETALLE!P623&lt;=0,0,IF(BD_DETALLE!P623=BD_DETALLE!H623,2,1))</f>
        <v>0</v>
      </c>
      <c r="R623" s="41">
        <f ca="1">IF(BD_DETALLE!$C623&gt;0,(IF(BD_DETALLE!$N623=0,TODAY()-BD_DETALLE!$C623,BD_DETALLE!$N623-BD_DETALLE!$C623)),"")</f>
        <v>21</v>
      </c>
    </row>
    <row r="624" spans="2:18" x14ac:dyDescent="0.25">
      <c r="B624" s="15" t="str">
        <f t="shared" ref="B624:B633" si="61">IFERROR(TEXT(C624,"yy") &amp; TEXT(C624,"mm") &amp;"-"&amp;(E624) &amp;"-"&amp;(F624),"")</f>
        <v>2103-286-107441</v>
      </c>
      <c r="C624" s="7">
        <v>44284</v>
      </c>
      <c r="D624" s="5" t="str">
        <f>IF(BD_DETALLE!$E624&gt;=1,CONCATENATE(TEXT(BD_DETALLE!$C624,"YY"),TEXT(BD_DETALLE!$C624,"MM"),"-",BD_DETALLE!$E624),"")</f>
        <v>2103-286</v>
      </c>
      <c r="E624" s="12">
        <v>286</v>
      </c>
      <c r="F624" s="21">
        <v>107441</v>
      </c>
      <c r="G624" s="4" t="str">
        <f>IFERROR(VLOOKUP(BD_DETALLE!$B624,Tabla9[],6,0),"")</f>
        <v>DISCO CORTE DE 7" x 1/16" x 7/8"</v>
      </c>
      <c r="H624" s="6">
        <f>IFERROR(VLOOKUP(BD_DETALLE!$B624,Tabla9[],4,0),0)</f>
        <v>40</v>
      </c>
      <c r="I624" s="19" t="s">
        <v>15</v>
      </c>
      <c r="J624" s="20" t="s">
        <v>385</v>
      </c>
      <c r="K624" s="10">
        <f>IFERROR(VLOOKUP(BD_DETALLE!$B624,Tabla9[],7,0),"")</f>
        <v>0</v>
      </c>
      <c r="L624" s="11">
        <f>IFERROR(VLOOKUP(BD_DETALLE!$B624,Tabla9[],8,0),"")</f>
        <v>0</v>
      </c>
      <c r="M624" s="9">
        <f ca="1">IFERROR(SUMIF(Tabla9[],BD_DETALLE!$B624,Tabla9[CANTIDAD2]),"")</f>
        <v>0</v>
      </c>
      <c r="N624" s="27">
        <f>IFERROR(IF(BD_DETALLE!$B624&gt;0,VLOOKUP(BD_DETALLE!$B624,Tabla9[],10,0),""),"")</f>
        <v>0</v>
      </c>
      <c r="O624" s="28">
        <f>IFERROR(VLOOKUP(BD_DETALLE!$B624,Tabla9[],11,0),0)</f>
        <v>0</v>
      </c>
      <c r="P624" s="26">
        <f ca="1">SUMIF(Tabla9[],BD_DETALLE!$B624,Tabla9[CANTIDAD3])</f>
        <v>0</v>
      </c>
      <c r="Q624" s="25">
        <f ca="1">IF(BD_DETALLE!$P624&lt;=0,0,IF(BD_DETALLE!$P624=BD_DETALLE!$H624,2,1))</f>
        <v>0</v>
      </c>
      <c r="R624" s="24">
        <f ca="1">IF(BD_DETALLE!$C624&gt;0,(IF(BD_DETALLE!$N624=0,TODAY()-BD_DETALLE!$C624,BD_DETALLE!$N624-BD_DETALLE!$C624)),"")</f>
        <v>21</v>
      </c>
    </row>
    <row r="625" spans="2:18" x14ac:dyDescent="0.25">
      <c r="B625" s="15" t="str">
        <f t="shared" si="61"/>
        <v>2103-286-200318</v>
      </c>
      <c r="C625" s="7">
        <v>44284</v>
      </c>
      <c r="D625" s="5" t="str">
        <f>IF(BD_DETALLE!$E625&gt;=1,CONCATENATE(TEXT(BD_DETALLE!$C625,"YY"),TEXT(BD_DETALLE!$C625,"MM"),"-",BD_DETALLE!$E625),"")</f>
        <v>2103-286</v>
      </c>
      <c r="E625" s="12">
        <v>286</v>
      </c>
      <c r="F625" s="21">
        <v>200318</v>
      </c>
      <c r="G625" s="4" t="str">
        <f>IFERROR(VLOOKUP(BD_DETALLE!$B625,Tabla9[],6,0),"")</f>
        <v>BROCHA DE 4"</v>
      </c>
      <c r="H625" s="6">
        <f>IFERROR(VLOOKUP(BD_DETALLE!$B625,Tabla9[],4,0),0)</f>
        <v>10</v>
      </c>
      <c r="I625" s="19" t="s">
        <v>15</v>
      </c>
      <c r="J625" s="20" t="s">
        <v>385</v>
      </c>
      <c r="K625" s="10">
        <f>IFERROR(VLOOKUP(BD_DETALLE!$B625,Tabla9[],7,0),"")</f>
        <v>0</v>
      </c>
      <c r="L625" s="11">
        <f>IFERROR(VLOOKUP(BD_DETALLE!$B625,Tabla9[],8,0),"")</f>
        <v>0</v>
      </c>
      <c r="M625" s="9">
        <f ca="1">IFERROR(SUMIF(Tabla9[],BD_DETALLE!$B625,Tabla9[CANTIDAD2]),"")</f>
        <v>0</v>
      </c>
      <c r="N625" s="27">
        <f>IFERROR(IF(BD_DETALLE!$B625&gt;0,VLOOKUP(BD_DETALLE!$B625,Tabla9[],10,0),""),"")</f>
        <v>0</v>
      </c>
      <c r="O625" s="28">
        <f>IFERROR(VLOOKUP(BD_DETALLE!$B625,Tabla9[],11,0),0)</f>
        <v>0</v>
      </c>
      <c r="P625" s="26">
        <f ca="1">SUMIF(Tabla9[],BD_DETALLE!$B625,Tabla9[CANTIDAD3])</f>
        <v>0</v>
      </c>
      <c r="Q625" s="25">
        <f ca="1">IF(BD_DETALLE!$P625&lt;=0,0,IF(BD_DETALLE!$P625=BD_DETALLE!$H625,2,1))</f>
        <v>0</v>
      </c>
      <c r="R625" s="24">
        <f ca="1">IF(BD_DETALLE!$C625&gt;0,(IF(BD_DETALLE!$N625=0,TODAY()-BD_DETALLE!$C625,BD_DETALLE!$N625-BD_DETALLE!$C625)),"")</f>
        <v>21</v>
      </c>
    </row>
    <row r="626" spans="2:18" x14ac:dyDescent="0.25">
      <c r="B626" s="15" t="str">
        <f t="shared" si="61"/>
        <v>2103-286-205175</v>
      </c>
      <c r="C626" s="7">
        <v>44284</v>
      </c>
      <c r="D626" s="5" t="str">
        <f>IF(BD_DETALLE!$E626&gt;=1,CONCATENATE(TEXT(BD_DETALLE!$C626,"YY"),TEXT(BD_DETALLE!$C626,"MM"),"-",BD_DETALLE!$E626),"")</f>
        <v>2103-286</v>
      </c>
      <c r="E626" s="12">
        <v>286</v>
      </c>
      <c r="F626" s="21">
        <v>205175</v>
      </c>
      <c r="G626" s="4" t="str">
        <f>IFERROR(VLOOKUP(BD_DETALLE!$B626,Tabla9[],6,0),"")</f>
        <v>DISCO CORTE DE 4-1/2" x 1/16" x 7/8"</v>
      </c>
      <c r="H626" s="6">
        <f>IFERROR(VLOOKUP(BD_DETALLE!$B626,Tabla9[],4,0),0)</f>
        <v>40</v>
      </c>
      <c r="I626" s="19" t="s">
        <v>15</v>
      </c>
      <c r="J626" s="20" t="s">
        <v>385</v>
      </c>
      <c r="K626" s="10">
        <f>IFERROR(VLOOKUP(BD_DETALLE!$B626,Tabla9[],7,0),"")</f>
        <v>0</v>
      </c>
      <c r="L626" s="11">
        <f>IFERROR(VLOOKUP(BD_DETALLE!$B626,Tabla9[],8,0),"")</f>
        <v>0</v>
      </c>
      <c r="M626" s="9">
        <f ca="1">IFERROR(SUMIF(Tabla9[],BD_DETALLE!$B626,Tabla9[CANTIDAD2]),"")</f>
        <v>0</v>
      </c>
      <c r="N626" s="27">
        <f>IFERROR(IF(BD_DETALLE!$B626&gt;0,VLOOKUP(BD_DETALLE!$B626,Tabla9[],10,0),""),"")</f>
        <v>0</v>
      </c>
      <c r="O626" s="28">
        <f>IFERROR(VLOOKUP(BD_DETALLE!$B626,Tabla9[],11,0),0)</f>
        <v>0</v>
      </c>
      <c r="P626" s="26">
        <f ca="1">SUMIF(Tabla9[],BD_DETALLE!$B626,Tabla9[CANTIDAD3])</f>
        <v>0</v>
      </c>
      <c r="Q626" s="25">
        <f ca="1">IF(BD_DETALLE!$P626&lt;=0,0,IF(BD_DETALLE!$P626=BD_DETALLE!$H626,2,1))</f>
        <v>0</v>
      </c>
      <c r="R626" s="24">
        <f ca="1">IF(BD_DETALLE!$C626&gt;0,(IF(BD_DETALLE!$N626=0,TODAY()-BD_DETALLE!$C626,BD_DETALLE!$N626-BD_DETALLE!$C626)),"")</f>
        <v>21</v>
      </c>
    </row>
    <row r="627" spans="2:18" x14ac:dyDescent="0.25">
      <c r="B627" s="15" t="str">
        <f t="shared" si="61"/>
        <v>2103-286-204542</v>
      </c>
      <c r="C627" s="7">
        <v>44284</v>
      </c>
      <c r="D627" s="5" t="str">
        <f>IF(BD_DETALLE!$E627&gt;=1,CONCATENATE(TEXT(BD_DETALLE!$C627,"YY"),TEXT(BD_DETALLE!$C627,"MM"),"-",BD_DETALLE!$E627),"")</f>
        <v>2103-286</v>
      </c>
      <c r="E627" s="12">
        <v>286</v>
      </c>
      <c r="F627" s="21">
        <v>204542</v>
      </c>
      <c r="G627" s="4" t="str">
        <f>IFERROR(VLOOKUP(BD_DETALLE!$B627,Tabla9[],6,0),"")</f>
        <v>SILICON GRIS</v>
      </c>
      <c r="H627" s="6">
        <f>IFERROR(VLOOKUP(BD_DETALLE!$B627,Tabla9[],4,0),0)</f>
        <v>25</v>
      </c>
      <c r="I627" s="19" t="s">
        <v>15</v>
      </c>
      <c r="J627" s="20" t="s">
        <v>385</v>
      </c>
      <c r="K627" s="10">
        <f>IFERROR(VLOOKUP(BD_DETALLE!$B627,Tabla9[],7,0),"")</f>
        <v>0</v>
      </c>
      <c r="L627" s="11">
        <f>IFERROR(VLOOKUP(BD_DETALLE!$B627,Tabla9[],8,0),"")</f>
        <v>0</v>
      </c>
      <c r="M627" s="9">
        <f ca="1">IFERROR(SUMIF(Tabla9[],BD_DETALLE!$B627,Tabla9[CANTIDAD2]),"")</f>
        <v>0</v>
      </c>
      <c r="N627" s="27">
        <f>IFERROR(IF(BD_DETALLE!$B627&gt;0,VLOOKUP(BD_DETALLE!$B627,Tabla9[],10,0),""),"")</f>
        <v>0</v>
      </c>
      <c r="O627" s="28">
        <f>IFERROR(VLOOKUP(BD_DETALLE!$B627,Tabla9[],11,0),0)</f>
        <v>0</v>
      </c>
      <c r="P627" s="26">
        <f ca="1">SUMIF(Tabla9[],BD_DETALLE!$B627,Tabla9[CANTIDAD3])</f>
        <v>0</v>
      </c>
      <c r="Q627" s="25">
        <f ca="1">IF(BD_DETALLE!$P627&lt;=0,0,IF(BD_DETALLE!$P627=BD_DETALLE!$H627,2,1))</f>
        <v>0</v>
      </c>
      <c r="R627" s="24">
        <f ca="1">IF(BD_DETALLE!$C627&gt;0,(IF(BD_DETALLE!$N627=0,TODAY()-BD_DETALLE!$C627,BD_DETALLE!$N627-BD_DETALLE!$C627)),"")</f>
        <v>21</v>
      </c>
    </row>
    <row r="628" spans="2:18" x14ac:dyDescent="0.25">
      <c r="B628" s="15" t="str">
        <f t="shared" si="61"/>
        <v>2103-286-200864</v>
      </c>
      <c r="C628" s="7">
        <v>44284</v>
      </c>
      <c r="D628" s="5" t="str">
        <f>IF(BD_DETALLE!$E628&gt;=1,CONCATENATE(TEXT(BD_DETALLE!$C628,"YY"),TEXT(BD_DETALLE!$C628,"MM"),"-",BD_DETALLE!$E628),"")</f>
        <v>2103-286</v>
      </c>
      <c r="E628" s="12">
        <v>286</v>
      </c>
      <c r="F628" s="21">
        <v>200864</v>
      </c>
      <c r="G628" s="4" t="str">
        <f>IFERROR(VLOOKUP(BD_DETALLE!$B628,Tabla9[],6,0),"")</f>
        <v>BROCHA DE 3"</v>
      </c>
      <c r="H628" s="6">
        <f>IFERROR(VLOOKUP(BD_DETALLE!$B628,Tabla9[],4,0),0)</f>
        <v>10</v>
      </c>
      <c r="I628" s="19" t="s">
        <v>15</v>
      </c>
      <c r="J628" s="20" t="s">
        <v>385</v>
      </c>
      <c r="K628" s="10">
        <f>IFERROR(VLOOKUP(BD_DETALLE!$B628,Tabla9[],7,0),"")</f>
        <v>0</v>
      </c>
      <c r="L628" s="11">
        <f>IFERROR(VLOOKUP(BD_DETALLE!$B628,Tabla9[],8,0),"")</f>
        <v>0</v>
      </c>
      <c r="M628" s="9">
        <f ca="1">IFERROR(SUMIF(Tabla9[],BD_DETALLE!$B628,Tabla9[CANTIDAD2]),"")</f>
        <v>0</v>
      </c>
      <c r="N628" s="27">
        <f>IFERROR(IF(BD_DETALLE!$B628&gt;0,VLOOKUP(BD_DETALLE!$B628,Tabla9[],10,0),""),"")</f>
        <v>0</v>
      </c>
      <c r="O628" s="28">
        <f>IFERROR(VLOOKUP(BD_DETALLE!$B628,Tabla9[],11,0),0)</f>
        <v>0</v>
      </c>
      <c r="P628" s="26">
        <f ca="1">SUMIF(Tabla9[],BD_DETALLE!$B628,Tabla9[CANTIDAD3])</f>
        <v>0</v>
      </c>
      <c r="Q628" s="25">
        <f ca="1">IF(BD_DETALLE!$P628&lt;=0,0,IF(BD_DETALLE!$P628=BD_DETALLE!$H628,2,1))</f>
        <v>0</v>
      </c>
      <c r="R628" s="24">
        <f ca="1">IF(BD_DETALLE!$C628&gt;0,(IF(BD_DETALLE!$N628=0,TODAY()-BD_DETALLE!$C628,BD_DETALLE!$N628-BD_DETALLE!$C628)),"")</f>
        <v>21</v>
      </c>
    </row>
    <row r="629" spans="2:18" x14ac:dyDescent="0.25">
      <c r="B629" s="15" t="str">
        <f t="shared" si="61"/>
        <v>2103-286-200154</v>
      </c>
      <c r="C629" s="7">
        <v>44284</v>
      </c>
      <c r="D629" s="5" t="str">
        <f>IF(BD_DETALLE!$E629&gt;=1,CONCATENATE(TEXT(BD_DETALLE!$C629,"YY"),TEXT(BD_DETALLE!$C629,"MM"),"-",BD_DETALLE!$E629),"")</f>
        <v>2103-286</v>
      </c>
      <c r="E629" s="12">
        <v>286</v>
      </c>
      <c r="F629" s="21">
        <v>200154</v>
      </c>
      <c r="G629" s="4" t="str">
        <f>IFERROR(VLOOKUP(BD_DETALLE!$B629,Tabla9[],6,0),"")</f>
        <v>CINTA TEFLON DE 3/4"</v>
      </c>
      <c r="H629" s="6">
        <f>IFERROR(VLOOKUP(BD_DETALLE!$B629,Tabla9[],4,0),0)</f>
        <v>30</v>
      </c>
      <c r="I629" s="19" t="s">
        <v>15</v>
      </c>
      <c r="J629" s="20" t="s">
        <v>385</v>
      </c>
      <c r="K629" s="10">
        <f>IFERROR(VLOOKUP(BD_DETALLE!$B629,Tabla9[],7,0),"")</f>
        <v>0</v>
      </c>
      <c r="L629" s="11">
        <f>IFERROR(VLOOKUP(BD_DETALLE!$B629,Tabla9[],8,0),"")</f>
        <v>0</v>
      </c>
      <c r="M629" s="9">
        <f ca="1">IFERROR(SUMIF(Tabla9[],BD_DETALLE!$B629,Tabla9[CANTIDAD2]),"")</f>
        <v>0</v>
      </c>
      <c r="N629" s="27">
        <f>IFERROR(IF(BD_DETALLE!$B629&gt;0,VLOOKUP(BD_DETALLE!$B629,Tabla9[],10,0),""),"")</f>
        <v>0</v>
      </c>
      <c r="O629" s="28">
        <f>IFERROR(VLOOKUP(BD_DETALLE!$B629,Tabla9[],11,0),0)</f>
        <v>0</v>
      </c>
      <c r="P629" s="26">
        <f ca="1">SUMIF(Tabla9[],BD_DETALLE!$B629,Tabla9[CANTIDAD3])</f>
        <v>0</v>
      </c>
      <c r="Q629" s="25">
        <f ca="1">IF(BD_DETALLE!$P629&lt;=0,0,IF(BD_DETALLE!$P629=BD_DETALLE!$H629,2,1))</f>
        <v>0</v>
      </c>
      <c r="R629" s="24">
        <f ca="1">IF(BD_DETALLE!$C629&gt;0,(IF(BD_DETALLE!$N629=0,TODAY()-BD_DETALLE!$C629,BD_DETALLE!$N629-BD_DETALLE!$C629)),"")</f>
        <v>21</v>
      </c>
    </row>
    <row r="630" spans="2:18" x14ac:dyDescent="0.25">
      <c r="B630" s="15" t="str">
        <f t="shared" si="61"/>
        <v>2103-286-200226</v>
      </c>
      <c r="C630" s="7">
        <v>44284</v>
      </c>
      <c r="D630" s="5" t="str">
        <f>IF(BD_DETALLE!$E630&gt;=1,CONCATENATE(TEXT(BD_DETALLE!$C630,"YY"),TEXT(BD_DETALLE!$C630,"MM"),"-",BD_DETALLE!$E630),"")</f>
        <v>2103-286</v>
      </c>
      <c r="E630" s="12">
        <v>286</v>
      </c>
      <c r="F630" s="21">
        <v>200226</v>
      </c>
      <c r="G630" s="4" t="str">
        <f>IFERROR(VLOOKUP(BD_DETALLE!$B630,Tabla9[],6,0),"")</f>
        <v>WAIPE / TRAPOS</v>
      </c>
      <c r="H630" s="6">
        <f>IFERROR(VLOOKUP(BD_DETALLE!$B630,Tabla9[],4,0),0)</f>
        <v>100</v>
      </c>
      <c r="I630" s="19" t="s">
        <v>15</v>
      </c>
      <c r="J630" s="20" t="s">
        <v>385</v>
      </c>
      <c r="K630" s="10">
        <f>IFERROR(VLOOKUP(BD_DETALLE!$B630,Tabla9[],7,0),"")</f>
        <v>0</v>
      </c>
      <c r="L630" s="11">
        <f>IFERROR(VLOOKUP(BD_DETALLE!$B630,Tabla9[],8,0),"")</f>
        <v>0</v>
      </c>
      <c r="M630" s="9">
        <f ca="1">IFERROR(SUMIF(Tabla9[],BD_DETALLE!$B630,Tabla9[CANTIDAD2]),"")</f>
        <v>0</v>
      </c>
      <c r="N630" s="27">
        <f>IFERROR(IF(BD_DETALLE!$B630&gt;0,VLOOKUP(BD_DETALLE!$B630,Tabla9[],10,0),""),"")</f>
        <v>0</v>
      </c>
      <c r="O630" s="28">
        <f>IFERROR(VLOOKUP(BD_DETALLE!$B630,Tabla9[],11,0),0)</f>
        <v>0</v>
      </c>
      <c r="P630" s="26">
        <f ca="1">SUMIF(Tabla9[],BD_DETALLE!$B630,Tabla9[CANTIDAD3])</f>
        <v>0</v>
      </c>
      <c r="Q630" s="25">
        <f ca="1">IF(BD_DETALLE!$P630&lt;=0,0,IF(BD_DETALLE!$P630=BD_DETALLE!$H630,2,1))</f>
        <v>0</v>
      </c>
      <c r="R630" s="24">
        <f ca="1">IF(BD_DETALLE!$C630&gt;0,(IF(BD_DETALLE!$N630=0,TODAY()-BD_DETALLE!$C630,BD_DETALLE!$N630-BD_DETALLE!$C630)),"")</f>
        <v>21</v>
      </c>
    </row>
    <row r="631" spans="2:18" x14ac:dyDescent="0.25">
      <c r="B631" s="15" t="str">
        <f t="shared" si="61"/>
        <v>2103-286-303337</v>
      </c>
      <c r="C631" s="7">
        <v>44284</v>
      </c>
      <c r="D631" s="5" t="str">
        <f>IF(BD_DETALLE!$E631&gt;=1,CONCATENATE(TEXT(BD_DETALLE!$C631,"YY"),TEXT(BD_DETALLE!$C631,"MM"),"-",BD_DETALLE!$E631),"")</f>
        <v>2103-286</v>
      </c>
      <c r="E631" s="12">
        <v>286</v>
      </c>
      <c r="F631" s="21">
        <v>303337</v>
      </c>
      <c r="G631" s="4" t="str">
        <f>IFERROR(VLOOKUP(BD_DETALLE!$B631,Tabla9[],6,0),"")</f>
        <v>DISCO CELOFAN DE 4 1/2"</v>
      </c>
      <c r="H631" s="6">
        <f>IFERROR(VLOOKUP(BD_DETALLE!$B631,Tabla9[],4,0),0)</f>
        <v>40</v>
      </c>
      <c r="I631" s="19" t="s">
        <v>15</v>
      </c>
      <c r="J631" s="20" t="s">
        <v>385</v>
      </c>
      <c r="K631" s="10">
        <f>IFERROR(VLOOKUP(BD_DETALLE!$B631,Tabla9[],7,0),"")</f>
        <v>0</v>
      </c>
      <c r="L631" s="11">
        <f>IFERROR(VLOOKUP(BD_DETALLE!$B631,Tabla9[],8,0),"")</f>
        <v>0</v>
      </c>
      <c r="M631" s="9">
        <f ca="1">IFERROR(SUMIF(Tabla9[],BD_DETALLE!$B631,Tabla9[CANTIDAD2]),"")</f>
        <v>0</v>
      </c>
      <c r="N631" s="27">
        <f>IFERROR(IF(BD_DETALLE!$B631&gt;0,VLOOKUP(BD_DETALLE!$B631,Tabla9[],10,0),""),"")</f>
        <v>0</v>
      </c>
      <c r="O631" s="28">
        <f>IFERROR(VLOOKUP(BD_DETALLE!$B631,Tabla9[],11,0),0)</f>
        <v>0</v>
      </c>
      <c r="P631" s="26">
        <f ca="1">SUMIF(Tabla9[],BD_DETALLE!$B631,Tabla9[CANTIDAD3])</f>
        <v>0</v>
      </c>
      <c r="Q631" s="25">
        <f ca="1">IF(BD_DETALLE!$P631&lt;=0,0,IF(BD_DETALLE!$P631=BD_DETALLE!$H631,2,1))</f>
        <v>0</v>
      </c>
      <c r="R631" s="24">
        <f ca="1">IF(BD_DETALLE!$C631&gt;0,(IF(BD_DETALLE!$N631=0,TODAY()-BD_DETALLE!$C631,BD_DETALLE!$N631-BD_DETALLE!$C631)),"")</f>
        <v>21</v>
      </c>
    </row>
    <row r="632" spans="2:18" x14ac:dyDescent="0.25">
      <c r="B632" s="15" t="str">
        <f t="shared" si="61"/>
        <v>2103-286-201003</v>
      </c>
      <c r="C632" s="7">
        <v>44284</v>
      </c>
      <c r="D632" s="5" t="str">
        <f>IF(BD_DETALLE!$E632&gt;=1,CONCATENATE(TEXT(BD_DETALLE!$C632,"YY"),TEXT(BD_DETALLE!$C632,"MM"),"-",BD_DETALLE!$E632),"")</f>
        <v>2103-286</v>
      </c>
      <c r="E632" s="12">
        <v>286</v>
      </c>
      <c r="F632" s="21">
        <v>201003</v>
      </c>
      <c r="G632" s="4" t="str">
        <f>IFERROR(VLOOKUP(BD_DETALLE!$B632,Tabla9[],6,0),"")</f>
        <v>SILICON ROJO DE ALTA TEMPERATURA</v>
      </c>
      <c r="H632" s="6">
        <f>IFERROR(VLOOKUP(BD_DETALLE!$B632,Tabla9[],4,0),0)</f>
        <v>25</v>
      </c>
      <c r="I632" s="19" t="s">
        <v>15</v>
      </c>
      <c r="J632" s="20" t="s">
        <v>385</v>
      </c>
      <c r="K632" s="10">
        <f>IFERROR(VLOOKUP(BD_DETALLE!$B632,Tabla9[],7,0),"")</f>
        <v>0</v>
      </c>
      <c r="L632" s="11">
        <f>IFERROR(VLOOKUP(BD_DETALLE!$B632,Tabla9[],8,0),"")</f>
        <v>0</v>
      </c>
      <c r="M632" s="9">
        <f ca="1">IFERROR(SUMIF(Tabla9[],BD_DETALLE!$B632,Tabla9[CANTIDAD2]),"")</f>
        <v>0</v>
      </c>
      <c r="N632" s="27">
        <f>IFERROR(IF(BD_DETALLE!$B632&gt;0,VLOOKUP(BD_DETALLE!$B632,Tabla9[],10,0),""),"")</f>
        <v>0</v>
      </c>
      <c r="O632" s="28">
        <f>IFERROR(VLOOKUP(BD_DETALLE!$B632,Tabla9[],11,0),0)</f>
        <v>0</v>
      </c>
      <c r="P632" s="26">
        <f ca="1">SUMIF(Tabla9[],BD_DETALLE!$B632,Tabla9[CANTIDAD3])</f>
        <v>0</v>
      </c>
      <c r="Q632" s="25">
        <f ca="1">IF(BD_DETALLE!$P632&lt;=0,0,IF(BD_DETALLE!$P632=BD_DETALLE!$H632,2,1))</f>
        <v>0</v>
      </c>
      <c r="R632" s="24">
        <f ca="1">IF(BD_DETALLE!$C632&gt;0,(IF(BD_DETALLE!$N632=0,TODAY()-BD_DETALLE!$C632,BD_DETALLE!$N632-BD_DETALLE!$C632)),"")</f>
        <v>21</v>
      </c>
    </row>
    <row r="633" spans="2:18" x14ac:dyDescent="0.25">
      <c r="B633" s="15" t="str">
        <f t="shared" si="61"/>
        <v>2103-286-200158</v>
      </c>
      <c r="C633" s="7">
        <v>44284</v>
      </c>
      <c r="D633" s="5" t="str">
        <f>IF(BD_DETALLE!$E633&gt;=1,CONCATENATE(TEXT(BD_DETALLE!$C633,"YY"),TEXT(BD_DETALLE!$C633,"MM"),"-",BD_DETALLE!$E633),"")</f>
        <v>2103-286</v>
      </c>
      <c r="E633" s="12">
        <v>286</v>
      </c>
      <c r="F633" s="21">
        <v>200158</v>
      </c>
      <c r="G633" s="4" t="str">
        <f>IFERROR(VLOOKUP(BD_DETALLE!$B633,Tabla9[],6,0),"")</f>
        <v>HOJA DE SIERRA</v>
      </c>
      <c r="H633" s="6">
        <f>IFERROR(VLOOKUP(BD_DETALLE!$B633,Tabla9[],4,0),0)</f>
        <v>15</v>
      </c>
      <c r="I633" s="19" t="s">
        <v>15</v>
      </c>
      <c r="J633" s="20" t="s">
        <v>385</v>
      </c>
      <c r="K633" s="10">
        <f>IFERROR(VLOOKUP(BD_DETALLE!$B633,Tabla9[],7,0),"")</f>
        <v>0</v>
      </c>
      <c r="L633" s="11">
        <f>IFERROR(VLOOKUP(BD_DETALLE!$B633,Tabla9[],8,0),"")</f>
        <v>0</v>
      </c>
      <c r="M633" s="210">
        <f ca="1">IFERROR(SUMIF(Tabla9[],BD_DETALLE!$B633,Tabla9[CANTIDAD2]),"")</f>
        <v>0</v>
      </c>
      <c r="N633" s="27">
        <f>IFERROR(IF(BD_DETALLE!$B633&gt;0,VLOOKUP(BD_DETALLE!$B633,Tabla9[],10,0),""),"")</f>
        <v>0</v>
      </c>
      <c r="O633" s="28">
        <f>IFERROR(VLOOKUP(BD_DETALLE!$B633,Tabla9[],11,0),0)</f>
        <v>0</v>
      </c>
      <c r="P633" s="211">
        <f ca="1">SUMIF(Tabla9[],BD_DETALLE!$B633,Tabla9[CANTIDAD3])</f>
        <v>0</v>
      </c>
      <c r="Q633" s="25">
        <f ca="1">IF(BD_DETALLE!$P633&lt;=0,0,IF(BD_DETALLE!$P633=BD_DETALLE!$H633,2,1))</f>
        <v>0</v>
      </c>
      <c r="R633" s="24">
        <f ca="1">IF(BD_DETALLE!$C633&gt;0,(IF(BD_DETALLE!$N633=0,TODAY()-BD_DETALLE!$C633,BD_DETALLE!$N633-BD_DETALLE!$C633)),"")</f>
        <v>21</v>
      </c>
    </row>
    <row r="634" spans="2:18" x14ac:dyDescent="0.25">
      <c r="B634" s="15" t="str">
        <f t="shared" ref="B634:B635" si="62">IFERROR(TEXT(C634,"yy") &amp; TEXT(C634,"mm") &amp;"-"&amp;(E634) &amp;"-"&amp;(F634),"")</f>
        <v>2103-287-203676</v>
      </c>
      <c r="C634" s="7">
        <v>44284</v>
      </c>
      <c r="D634" s="5" t="str">
        <f>IF(BD_DETALLE!$E634&gt;=1,CONCATENATE(TEXT(BD_DETALLE!$C634,"YY"),TEXT(BD_DETALLE!$C634,"MM"),"-",BD_DETALLE!$E634),"")</f>
        <v>2103-287</v>
      </c>
      <c r="E634" s="12">
        <v>287</v>
      </c>
      <c r="F634" s="21">
        <v>203676</v>
      </c>
      <c r="G634" s="4" t="str">
        <f>IFERROR(VLOOKUP(BD_DETALLE!$B634,Tabla9[],6,0),"")</f>
        <v>MANUBRIO DE PUERTA</v>
      </c>
      <c r="H634" s="6">
        <f>IFERROR(VLOOKUP(BD_DETALLE!$B634,Tabla9[],4,0),0)</f>
        <v>4</v>
      </c>
      <c r="I634" s="19" t="s">
        <v>5</v>
      </c>
      <c r="J634" s="20" t="s">
        <v>2214</v>
      </c>
      <c r="K634" s="10">
        <f>IFERROR(VLOOKUP(BD_DETALLE!$B634,Tabla9[],7,0),"")</f>
        <v>0</v>
      </c>
      <c r="L634" s="11">
        <f>IFERROR(VLOOKUP(BD_DETALLE!$B634,Tabla9[],8,0),"")</f>
        <v>0</v>
      </c>
      <c r="M634" s="9">
        <f ca="1">IFERROR(SUMIF(Tabla9[],BD_DETALLE!$B634,Tabla9[CANTIDAD2]),"")</f>
        <v>0</v>
      </c>
      <c r="N634" s="27">
        <f>IFERROR(IF(BD_DETALLE!$B634&gt;0,VLOOKUP(BD_DETALLE!$B634,Tabla9[],10,0),""),"")</f>
        <v>0</v>
      </c>
      <c r="O634" s="28">
        <f>IFERROR(VLOOKUP(BD_DETALLE!$B634,Tabla9[],11,0),0)</f>
        <v>0</v>
      </c>
      <c r="P634" s="26">
        <f ca="1">SUMIF(Tabla9[],BD_DETALLE!$B634,Tabla9[CANTIDAD3])</f>
        <v>0</v>
      </c>
      <c r="Q634" s="25">
        <f ca="1">IF(BD_DETALLE!$P634&lt;=0,0,IF(BD_DETALLE!$P634=BD_DETALLE!$H634,2,1))</f>
        <v>0</v>
      </c>
      <c r="R634" s="24">
        <f ca="1">IF(BD_DETALLE!$C634&gt;0,(IF(BD_DETALLE!$N634=0,TODAY()-BD_DETALLE!$C634,BD_DETALLE!$N634-BD_DETALLE!$C634)),"")</f>
        <v>21</v>
      </c>
    </row>
    <row r="635" spans="2:18" x14ac:dyDescent="0.25">
      <c r="B635" s="15" t="str">
        <f t="shared" si="62"/>
        <v>2103-287-105734</v>
      </c>
      <c r="C635" s="7">
        <v>44284</v>
      </c>
      <c r="D635" s="5" t="str">
        <f>IF(BD_DETALLE!$E635&gt;=1,CONCATENATE(TEXT(BD_DETALLE!$C635,"YY"),TEXT(BD_DETALLE!$C635,"MM"),"-",BD_DETALLE!$E635),"")</f>
        <v>2103-287</v>
      </c>
      <c r="E635" s="12">
        <v>287</v>
      </c>
      <c r="F635" s="21">
        <v>105734</v>
      </c>
      <c r="G635" s="4" t="str">
        <f>IFERROR(VLOOKUP(BD_DETALLE!$B635,Tabla9[],6,0),"")</f>
        <v>ANTENA LATERAL</v>
      </c>
      <c r="H635" s="6">
        <f>IFERROR(VLOOKUP(BD_DETALLE!$B635,Tabla9[],4,0),0)</f>
        <v>6</v>
      </c>
      <c r="I635" s="19" t="s">
        <v>5</v>
      </c>
      <c r="J635" s="20" t="s">
        <v>2214</v>
      </c>
      <c r="K635" s="10">
        <f>IFERROR(VLOOKUP(BD_DETALLE!$B635,Tabla9[],7,0),"")</f>
        <v>0</v>
      </c>
      <c r="L635" s="11">
        <f>IFERROR(VLOOKUP(BD_DETALLE!$B635,Tabla9[],8,0),"")</f>
        <v>0</v>
      </c>
      <c r="M635" s="210">
        <f ca="1">IFERROR(SUMIF(Tabla9[],BD_DETALLE!$B635,Tabla9[CANTIDAD2]),"")</f>
        <v>0</v>
      </c>
      <c r="N635" s="27">
        <f>IFERROR(IF(BD_DETALLE!$B635&gt;0,VLOOKUP(BD_DETALLE!$B635,Tabla9[],10,0),""),"")</f>
        <v>0</v>
      </c>
      <c r="O635" s="28">
        <f>IFERROR(VLOOKUP(BD_DETALLE!$B635,Tabla9[],11,0),0)</f>
        <v>0</v>
      </c>
      <c r="P635" s="211">
        <f ca="1">SUMIF(Tabla9[],BD_DETALLE!$B635,Tabla9[CANTIDAD3])</f>
        <v>0</v>
      </c>
      <c r="Q635" s="25">
        <f ca="1">IF(BD_DETALLE!$P635&lt;=0,0,IF(BD_DETALLE!$P635=BD_DETALLE!$H635,2,1))</f>
        <v>0</v>
      </c>
      <c r="R635" s="24">
        <f ca="1">IF(BD_DETALLE!$C635&gt;0,(IF(BD_DETALLE!$N635=0,TODAY()-BD_DETALLE!$C635,BD_DETALLE!$N635-BD_DETALLE!$C635)),"")</f>
        <v>21</v>
      </c>
    </row>
    <row r="636" spans="2:18" x14ac:dyDescent="0.25">
      <c r="B636" s="15" t="str">
        <f t="shared" si="60"/>
        <v>2103-288-320725</v>
      </c>
      <c r="C636" s="225">
        <v>44284</v>
      </c>
      <c r="D636" s="226" t="str">
        <f>IF(BD_DETALLE!$E636&gt;=1,CONCATENATE(TEXT(BD_DETALLE!$C636,"YY"),TEXT(BD_DETALLE!$C636,"MM"),"-",BD_DETALLE!$E636),"")</f>
        <v>2103-288</v>
      </c>
      <c r="E636" s="227">
        <v>288</v>
      </c>
      <c r="F636" s="228">
        <v>320725</v>
      </c>
      <c r="G636" s="229" t="str">
        <f>IFERROR(VLOOKUP(BD_DETALLE!$B636,Tabla9[],6,0),"")</f>
        <v>PRUEBAS RAPIDAS DE ANTIGENO COVID-19</v>
      </c>
      <c r="H636" s="230">
        <f>IFERROR(VLOOKUP(BD_DETALLE!$B636,Tabla9[],4,0),0)</f>
        <v>30</v>
      </c>
      <c r="I636" s="231" t="s">
        <v>6</v>
      </c>
      <c r="J636" s="232"/>
      <c r="K636" s="10">
        <f>IFERROR(VLOOKUP(BD_DETALLE!B636,Tabla9[],7,0),"")</f>
        <v>44292</v>
      </c>
      <c r="L636" s="11">
        <f>IFERROR(VLOOKUP(BD_DETALLE!B636,Tabla9[],8,0),"")</f>
        <v>52370</v>
      </c>
      <c r="M636" s="9">
        <f>IFERROR(SUMIFS(Tabla9[CANTIDAD2],Tabla9[BUSQUEDA],Tabla3[[#This Row],[BUSQUEDA]],Tabla9[CODIGO],Tabla3[[#This Row],[CODIGO]],Tabla9[ORDEN No.],Tabla3[[#This Row],[ORDEN de COMPRA]]),0)</f>
        <v>30</v>
      </c>
      <c r="N636" s="27">
        <f>IFERROR(IF(BD_DETALLE!B636&gt;0,VLOOKUP(BD_DETALLE!B636,Tabla9[],10,0),""),"")</f>
        <v>44295</v>
      </c>
      <c r="O636" s="28">
        <f>IFERROR(VLOOKUP(BD_DETALLE!B636,Tabla9[],11,0),0)</f>
        <v>11769</v>
      </c>
      <c r="P636" s="26">
        <f>IFERROR(SUMIFS(Tabla9[CANTIDAD3],Tabla9[BUSQUEDA],Tabla3[[#This Row],[BUSQUEDA]],Tabla9[CODIGO],Tabla3[[#This Row],[CODIGO]]),0)</f>
        <v>30</v>
      </c>
      <c r="Q636" s="25">
        <f>IF(BD_DETALLE!P636&lt;=0,0,IF(BD_DETALLE!P636=BD_DETALLE!H636,2,1))</f>
        <v>2</v>
      </c>
      <c r="R636" s="41">
        <f ca="1">IF(BD_DETALLE!$C636&gt;0,(IF(BD_DETALLE!$N636=0,TODAY()-BD_DETALLE!$C636,BD_DETALLE!$N636-BD_DETALLE!$C636)),"")</f>
        <v>11</v>
      </c>
    </row>
    <row r="637" spans="2:18" x14ac:dyDescent="0.25">
      <c r="B637" s="212" t="str">
        <f>IFERROR(TEXT(C637,"yy") &amp; TEXT(C637,"mm") &amp;"-"&amp;(E637) &amp;"-"&amp;(F637),"")</f>
        <v>2103-288-319608</v>
      </c>
      <c r="C637" s="225">
        <v>44284</v>
      </c>
      <c r="D637" s="226" t="str">
        <f>IF(BD_DETALLE!$E637&gt;=1,CONCATENATE(TEXT(BD_DETALLE!$C637,"YY"),TEXT(BD_DETALLE!$C637,"MM"),"-",BD_DETALLE!$E637),"")</f>
        <v>2103-288</v>
      </c>
      <c r="E637" s="227">
        <v>288</v>
      </c>
      <c r="F637" s="246">
        <v>319608</v>
      </c>
      <c r="G637" s="247" t="str">
        <f>IFERROR(VLOOKUP(BD_DETALLE!$B637,Tabla9[],6,0),"")</f>
        <v>PRUEBAS RAPIDA DE COVID</v>
      </c>
      <c r="H637" s="248">
        <f>IFERROR(VLOOKUP(BD_DETALLE!$B637,Tabla9[],4,0),0)</f>
        <v>100</v>
      </c>
      <c r="I637" s="231" t="s">
        <v>6</v>
      </c>
      <c r="J637" s="249"/>
      <c r="K637" s="217">
        <f>IFERROR(VLOOKUP(BD_DETALLE!$B637,Tabla9[],7,0),"")</f>
        <v>44292</v>
      </c>
      <c r="L637" s="218">
        <f>IFERROR(VLOOKUP(BD_DETALLE!$B637,Tabla9[],8,0),"")</f>
        <v>52370</v>
      </c>
      <c r="M637" s="219">
        <f ca="1">IFERROR(SUMIF(Tabla9[],BD_DETALLE!$B637,Tabla9[CANTIDAD2]),"")</f>
        <v>100</v>
      </c>
      <c r="N637" s="220">
        <f>IFERROR(IF(BD_DETALLE!$B637&gt;0,VLOOKUP(BD_DETALLE!$B637,Tabla9[],10,0),""),"")</f>
        <v>44295</v>
      </c>
      <c r="O637" s="221">
        <f>IFERROR(VLOOKUP(BD_DETALLE!$B637,Tabla9[],11,0),0)</f>
        <v>11769</v>
      </c>
      <c r="P637" s="222">
        <f ca="1">SUMIF(Tabla9[],BD_DETALLE!$B637,Tabla9[CANTIDAD3])</f>
        <v>100</v>
      </c>
      <c r="Q637" s="223">
        <f ca="1">IF(BD_DETALLE!$P637&lt;=0,0,IF(BD_DETALLE!$P637=BD_DETALLE!$H637,2,1))</f>
        <v>2</v>
      </c>
      <c r="R637" s="224">
        <f ca="1">IF(BD_DETALLE!$C637&gt;0,(IF(BD_DETALLE!$N637=0,TODAY()-BD_DETALLE!$C637,BD_DETALLE!$N637-BD_DETALLE!$C637)),"")</f>
        <v>11</v>
      </c>
    </row>
    <row r="638" spans="2:18" x14ac:dyDescent="0.25">
      <c r="B638" s="15" t="str">
        <f t="shared" si="60"/>
        <v>2103-292-307261</v>
      </c>
      <c r="C638" s="225">
        <v>44285</v>
      </c>
      <c r="D638" s="226" t="str">
        <f>IF(BD_DETALLE!$E638&gt;=1,CONCATENATE(TEXT(BD_DETALLE!$C638,"YY"),TEXT(BD_DETALLE!$C638,"MM"),"-",BD_DETALLE!$E638),"")</f>
        <v>2103-292</v>
      </c>
      <c r="E638" s="227">
        <v>292</v>
      </c>
      <c r="F638" s="228">
        <v>307261</v>
      </c>
      <c r="G638" s="229" t="str">
        <f>IFERROR(VLOOKUP(BD_DETALLE!$B638,Tabla9[],6,0),"")</f>
        <v>PUNTA PARA MARTILLO ROMPEPAVIMENTO D25980 B-3</v>
      </c>
      <c r="H638" s="230">
        <f>IFERROR(VLOOKUP(BD_DETALLE!$B638,Tabla9[],4,0),0)</f>
        <v>1</v>
      </c>
      <c r="I638" s="231" t="s">
        <v>1</v>
      </c>
      <c r="J638" s="232"/>
      <c r="K638" s="10">
        <f>IFERROR(VLOOKUP(BD_DETALLE!B638,Tabla9[],7,0),"")</f>
        <v>0</v>
      </c>
      <c r="L638" s="11">
        <f>IFERROR(VLOOKUP(BD_DETALLE!B638,Tabla9[],8,0),"")</f>
        <v>0</v>
      </c>
      <c r="M638" s="9">
        <f>IFERROR(SUMIFS(Tabla9[CANTIDAD2],Tabla9[BUSQUEDA],Tabla3[[#This Row],[BUSQUEDA]],Tabla9[CODIGO],Tabla3[[#This Row],[CODIGO]],Tabla9[ORDEN No.],Tabla3[[#This Row],[ORDEN de COMPRA]]),0)</f>
        <v>0</v>
      </c>
      <c r="N638" s="27">
        <f>IFERROR(IF(BD_DETALLE!B638&gt;0,VLOOKUP(BD_DETALLE!B638,Tabla9[],10,0),""),"")</f>
        <v>0</v>
      </c>
      <c r="O638" s="28">
        <f>IFERROR(VLOOKUP(BD_DETALLE!B638,Tabla9[],11,0),0)</f>
        <v>0</v>
      </c>
      <c r="P638" s="26">
        <f>IFERROR(SUMIFS(Tabla9[CANTIDAD3],Tabla9[BUSQUEDA],Tabla3[[#This Row],[BUSQUEDA]],Tabla9[CODIGO],Tabla3[[#This Row],[CODIGO]]),0)</f>
        <v>0</v>
      </c>
      <c r="Q638" s="25">
        <f>IF(BD_DETALLE!P638&lt;=0,0,IF(BD_DETALLE!P638=BD_DETALLE!H638,2,1))</f>
        <v>0</v>
      </c>
      <c r="R638" s="41">
        <f ca="1">IF(BD_DETALLE!$C638&gt;0,(IF(BD_DETALLE!$N638=0,TODAY()-BD_DETALLE!$C638,BD_DETALLE!$N638-BD_DETALLE!$C638)),"")</f>
        <v>20</v>
      </c>
    </row>
    <row r="639" spans="2:18" x14ac:dyDescent="0.25">
      <c r="B639" s="15" t="str">
        <f t="shared" ref="B639:B652" si="63">IFERROR(TEXT(C639,"yy") &amp; TEXT(C639,"mm") &amp;"-"&amp;(E639) &amp;"-"&amp;(F639),"")</f>
        <v>2103-292-309247</v>
      </c>
      <c r="C639" s="225">
        <v>44285</v>
      </c>
      <c r="D639" s="226" t="str">
        <f>IF(BD_DETALLE!$E639&gt;=1,CONCATENATE(TEXT(BD_DETALLE!$C639,"YY"),TEXT(BD_DETALLE!$C639,"MM"),"-",BD_DETALLE!$E639),"")</f>
        <v>2103-292</v>
      </c>
      <c r="E639" s="227">
        <v>292</v>
      </c>
      <c r="F639" s="228">
        <v>309247</v>
      </c>
      <c r="G639" s="229" t="str">
        <f>IFERROR(VLOOKUP(BD_DETALLE!$B639,Tabla9[],6,0),"")</f>
        <v>PUNTA HEXAGONAL PARA MARTILLO ROMPEPAVIMENTO DW 5960 20"</v>
      </c>
      <c r="H639" s="230">
        <f>IFERROR(VLOOKUP(BD_DETALLE!$B639,Tabla9[],4,0),0)</f>
        <v>1</v>
      </c>
      <c r="I639" s="231" t="s">
        <v>1</v>
      </c>
      <c r="J639" s="232"/>
      <c r="K639" s="10">
        <f>IFERROR(VLOOKUP(BD_DETALLE!B639,Tabla9[],7,0),"")</f>
        <v>0</v>
      </c>
      <c r="L639" s="11">
        <f>IFERROR(VLOOKUP(BD_DETALLE!B639,Tabla9[],8,0),"")</f>
        <v>0</v>
      </c>
      <c r="M639" s="9">
        <f>IFERROR(SUMIFS(Tabla9[CANTIDAD2],Tabla9[BUSQUEDA],Tabla3[[#This Row],[BUSQUEDA]],Tabla9[CODIGO],Tabla3[[#This Row],[CODIGO]],Tabla9[ORDEN No.],Tabla3[[#This Row],[ORDEN de COMPRA]]),0)</f>
        <v>0</v>
      </c>
      <c r="N639" s="27">
        <f>IFERROR(IF(BD_DETALLE!B639&gt;0,VLOOKUP(BD_DETALLE!B639,Tabla9[],10,0),""),"")</f>
        <v>0</v>
      </c>
      <c r="O639" s="28">
        <f>IFERROR(VLOOKUP(BD_DETALLE!B639,Tabla9[],11,0),0)</f>
        <v>0</v>
      </c>
      <c r="P639" s="26">
        <f>IFERROR(SUMIFS(Tabla9[CANTIDAD3],Tabla9[BUSQUEDA],Tabla3[[#This Row],[BUSQUEDA]],Tabla9[CODIGO],Tabla3[[#This Row],[CODIGO]]),0)</f>
        <v>0</v>
      </c>
      <c r="Q639" s="25">
        <f>IF(BD_DETALLE!P639&lt;=0,0,IF(BD_DETALLE!P639=BD_DETALLE!H639,2,1))</f>
        <v>0</v>
      </c>
      <c r="R639" s="41">
        <f ca="1">IF(BD_DETALLE!$C639&gt;0,(IF(BD_DETALLE!$N639=0,TODAY()-BD_DETALLE!$C639,BD_DETALLE!$N639-BD_DETALLE!$C639)),"")</f>
        <v>20</v>
      </c>
    </row>
    <row r="640" spans="2:18" x14ac:dyDescent="0.25">
      <c r="B640" s="15" t="str">
        <f t="shared" si="63"/>
        <v>2103-294-206626</v>
      </c>
      <c r="C640" s="225">
        <v>44285</v>
      </c>
      <c r="D640" s="226" t="str">
        <f>IF(BD_DETALLE!$E640&gt;=1,CONCATENATE(TEXT(BD_DETALLE!$C640,"YY"),TEXT(BD_DETALLE!$C640,"MM"),"-",BD_DETALLE!$E640),"")</f>
        <v>2103-294</v>
      </c>
      <c r="E640" s="227">
        <v>294</v>
      </c>
      <c r="F640" s="228">
        <v>206626</v>
      </c>
      <c r="G640" s="229" t="str">
        <f>IFERROR(VLOOKUP(BD_DETALLE!$B640,Tabla9[],6,0),"")</f>
        <v>EJE ACERO TRANSMICION DIAM 4" X 1 MTR LARGO</v>
      </c>
      <c r="H640" s="230">
        <f>IFERROR(VLOOKUP(BD_DETALLE!$B640,Tabla9[],4,0),0)</f>
        <v>1.5</v>
      </c>
      <c r="I640" s="231" t="s">
        <v>12</v>
      </c>
      <c r="J640" s="232"/>
      <c r="K640" s="10">
        <f>IFERROR(VLOOKUP(BD_DETALLE!B640,Tabla9[],7,0),"")</f>
        <v>0</v>
      </c>
      <c r="L640" s="11">
        <f>IFERROR(VLOOKUP(BD_DETALLE!B640,Tabla9[],8,0),"")</f>
        <v>0</v>
      </c>
      <c r="M640" s="9">
        <f>IFERROR(SUMIFS(Tabla9[CANTIDAD2],Tabla9[BUSQUEDA],Tabla3[[#This Row],[BUSQUEDA]],Tabla9[CODIGO],Tabla3[[#This Row],[CODIGO]],Tabla9[ORDEN No.],Tabla3[[#This Row],[ORDEN de COMPRA]]),0)</f>
        <v>0</v>
      </c>
      <c r="N640" s="27">
        <f>IFERROR(IF(BD_DETALLE!B640&gt;0,VLOOKUP(BD_DETALLE!B640,Tabla9[],10,0),""),"")</f>
        <v>0</v>
      </c>
      <c r="O640" s="28">
        <f>IFERROR(VLOOKUP(BD_DETALLE!B640,Tabla9[],11,0),0)</f>
        <v>0</v>
      </c>
      <c r="P640" s="26">
        <f>IFERROR(SUMIFS(Tabla9[CANTIDAD3],Tabla9[BUSQUEDA],Tabla3[[#This Row],[BUSQUEDA]],Tabla9[CODIGO],Tabla3[[#This Row],[CODIGO]]),0)</f>
        <v>0</v>
      </c>
      <c r="Q640" s="25">
        <f>IF(BD_DETALLE!P640&lt;=0,0,IF(BD_DETALLE!P640=BD_DETALLE!H640,2,1))</f>
        <v>0</v>
      </c>
      <c r="R640" s="41">
        <f ca="1">IF(BD_DETALLE!$C640&gt;0,(IF(BD_DETALLE!$N640=0,TODAY()-BD_DETALLE!$C640,BD_DETALLE!$N640-BD_DETALLE!$C640)),"")</f>
        <v>20</v>
      </c>
    </row>
    <row r="641" spans="2:18" x14ac:dyDescent="0.25">
      <c r="B641" s="15" t="str">
        <f t="shared" si="63"/>
        <v>2103-294-318858</v>
      </c>
      <c r="C641" s="225">
        <v>44285</v>
      </c>
      <c r="D641" s="226" t="str">
        <f>IF(BD_DETALLE!$E641&gt;=1,CONCATENATE(TEXT(BD_DETALLE!$C641,"YY"),TEXT(BD_DETALLE!$C641,"MM"),"-",BD_DETALLE!$E641),"")</f>
        <v>2103-294</v>
      </c>
      <c r="E641" s="227">
        <v>294</v>
      </c>
      <c r="F641" s="228">
        <v>318858</v>
      </c>
      <c r="G641" s="229" t="str">
        <f>IFERROR(VLOOKUP(BD_DETALLE!$B641,Tabla9[],6,0),"")</f>
        <v>PLANCHA A/INOX NAVAL DE 6MM x 1.50MTS x 6MTS</v>
      </c>
      <c r="H641" s="230">
        <f>IFERROR(VLOOKUP(BD_DETALLE!$B641,Tabla9[],4,0),0)</f>
        <v>2</v>
      </c>
      <c r="I641" s="231" t="s">
        <v>12</v>
      </c>
      <c r="J641" s="232"/>
      <c r="K641" s="10">
        <f>IFERROR(VLOOKUP(BD_DETALLE!B641,Tabla9[],7,0),"")</f>
        <v>0</v>
      </c>
      <c r="L641" s="11">
        <f>IFERROR(VLOOKUP(BD_DETALLE!B641,Tabla9[],8,0),"")</f>
        <v>0</v>
      </c>
      <c r="M641" s="9">
        <f>IFERROR(SUMIFS(Tabla9[CANTIDAD2],Tabla9[BUSQUEDA],Tabla3[[#This Row],[BUSQUEDA]],Tabla9[CODIGO],Tabla3[[#This Row],[CODIGO]],Tabla9[ORDEN No.],Tabla3[[#This Row],[ORDEN de COMPRA]]),0)</f>
        <v>0</v>
      </c>
      <c r="N641" s="27">
        <f>IFERROR(IF(BD_DETALLE!B641&gt;0,VLOOKUP(BD_DETALLE!B641,Tabla9[],10,0),""),"")</f>
        <v>0</v>
      </c>
      <c r="O641" s="28">
        <f>IFERROR(VLOOKUP(BD_DETALLE!B641,Tabla9[],11,0),0)</f>
        <v>0</v>
      </c>
      <c r="P641" s="26">
        <f>IFERROR(SUMIFS(Tabla9[CANTIDAD3],Tabla9[BUSQUEDA],Tabla3[[#This Row],[BUSQUEDA]],Tabla9[CODIGO],Tabla3[[#This Row],[CODIGO]]),0)</f>
        <v>0</v>
      </c>
      <c r="Q641" s="25">
        <f>IF(BD_DETALLE!P641&lt;=0,0,IF(BD_DETALLE!P641=BD_DETALLE!H641,2,1))</f>
        <v>0</v>
      </c>
      <c r="R641" s="41">
        <f ca="1">IF(BD_DETALLE!$C641&gt;0,(IF(BD_DETALLE!$N641=0,TODAY()-BD_DETALLE!$C641,BD_DETALLE!$N641-BD_DETALLE!$C641)),"")</f>
        <v>20</v>
      </c>
    </row>
    <row r="642" spans="2:18" x14ac:dyDescent="0.25">
      <c r="B642" s="15" t="str">
        <f>IFERROR(TEXT(C642,"yy") &amp; TEXT(C642,"mm") &amp;"-"&amp;(E642) &amp;"-"&amp;(F642),"")</f>
        <v>2103-294-321020</v>
      </c>
      <c r="C642" s="225">
        <v>44285</v>
      </c>
      <c r="D642" s="226" t="str">
        <f>IF(BD_DETALLE!$E642&gt;=1,CONCATENATE(TEXT(BD_DETALLE!$C642,"YY"),TEXT(BD_DETALLE!$C642,"MM"),"-",BD_DETALLE!$E642),"")</f>
        <v>2103-294</v>
      </c>
      <c r="E642" s="227">
        <v>294</v>
      </c>
      <c r="F642" s="228">
        <v>321020</v>
      </c>
      <c r="G642" s="229" t="str">
        <f>IFERROR(VLOOKUP(BD_DETALLE!$B642,Tabla9[],6,0),"")</f>
        <v>BOCIN DE BRONCE DE 4"(DIAMETRO EXT.) x 2,1/2"(DIAMETRO INTERIOR)</v>
      </c>
      <c r="H642" s="230">
        <f>IFERROR(VLOOKUP(BD_DETALLE!$B642,Tabla9[],4,0),0)</f>
        <v>0.2</v>
      </c>
      <c r="I642" s="231" t="s">
        <v>12</v>
      </c>
      <c r="J642" s="232"/>
      <c r="K642" s="10">
        <f>IFERROR(VLOOKUP(BD_DETALLE!$B642,Tabla9[],7,0),"")</f>
        <v>0</v>
      </c>
      <c r="L642" s="11">
        <f>IFERROR(VLOOKUP(BD_DETALLE!$B642,Tabla9[],8,0),"")</f>
        <v>0</v>
      </c>
      <c r="M642" s="210">
        <f ca="1">IFERROR(SUMIF(Tabla9[],BD_DETALLE!$B642,Tabla9[CANTIDAD2]),"")</f>
        <v>0</v>
      </c>
      <c r="N642" s="27">
        <f>IFERROR(IF(BD_DETALLE!$B642&gt;0,VLOOKUP(BD_DETALLE!$B642,Tabla9[],10,0),""),"")</f>
        <v>0</v>
      </c>
      <c r="O642" s="28">
        <f>IFERROR(VLOOKUP(BD_DETALLE!$B642,Tabla9[],11,0),0)</f>
        <v>0</v>
      </c>
      <c r="P642" s="211">
        <f ca="1">SUMIF(Tabla9[],BD_DETALLE!$B642,Tabla9[CANTIDAD3])</f>
        <v>0</v>
      </c>
      <c r="Q642" s="25">
        <f ca="1">IF(BD_DETALLE!$P642&lt;=0,0,IF(BD_DETALLE!$P642=BD_DETALLE!$H642,2,1))</f>
        <v>0</v>
      </c>
      <c r="R642" s="24">
        <f ca="1">IF(BD_DETALLE!$C642&gt;0,(IF(BD_DETALLE!$N642=0,TODAY()-BD_DETALLE!$C642,BD_DETALLE!$N642-BD_DETALLE!$C642)),"")</f>
        <v>20</v>
      </c>
    </row>
    <row r="643" spans="2:18" x14ac:dyDescent="0.25">
      <c r="B643" s="15" t="str">
        <f t="shared" si="63"/>
        <v>2103-294-315842</v>
      </c>
      <c r="C643" s="225">
        <v>44285</v>
      </c>
      <c r="D643" s="226" t="str">
        <f>IF(BD_DETALLE!$E643&gt;=1,CONCATENATE(TEXT(BD_DETALLE!$C643,"YY"),TEXT(BD_DETALLE!$C643,"MM"),"-",BD_DETALLE!$E643),"")</f>
        <v>2103-294</v>
      </c>
      <c r="E643" s="227">
        <v>294</v>
      </c>
      <c r="F643" s="228">
        <v>315842</v>
      </c>
      <c r="G643" s="229" t="str">
        <f>IFERROR(VLOOKUP(BD_DETALLE!$B643,Tabla9[],6,0),"")</f>
        <v>TUBO A/INOX DE 4" x 6MTS - CED. 80</v>
      </c>
      <c r="H643" s="230">
        <f>IFERROR(VLOOKUP(BD_DETALLE!$B643,Tabla9[],4,0),0)</f>
        <v>4</v>
      </c>
      <c r="I643" s="231" t="s">
        <v>12</v>
      </c>
      <c r="J643" s="232"/>
      <c r="K643" s="10">
        <f>IFERROR(VLOOKUP(BD_DETALLE!B643,Tabla9[],7,0),"")</f>
        <v>0</v>
      </c>
      <c r="L643" s="11">
        <f>IFERROR(VLOOKUP(BD_DETALLE!B643,Tabla9[],8,0),"")</f>
        <v>0</v>
      </c>
      <c r="M643" s="9">
        <f>IFERROR(SUMIFS(Tabla9[CANTIDAD2],Tabla9[BUSQUEDA],Tabla3[[#This Row],[BUSQUEDA]],Tabla9[CODIGO],Tabla3[[#This Row],[CODIGO]],Tabla9[ORDEN No.],Tabla3[[#This Row],[ORDEN de COMPRA]]),0)</f>
        <v>0</v>
      </c>
      <c r="N643" s="27">
        <f>IFERROR(IF(BD_DETALLE!B643&gt;0,VLOOKUP(BD_DETALLE!B643,Tabla9[],10,0),""),"")</f>
        <v>0</v>
      </c>
      <c r="O643" s="28">
        <f>IFERROR(VLOOKUP(BD_DETALLE!B643,Tabla9[],11,0),0)</f>
        <v>0</v>
      </c>
      <c r="P643" s="26">
        <f>IFERROR(SUMIFS(Tabla9[CANTIDAD3],Tabla9[BUSQUEDA],Tabla3[[#This Row],[BUSQUEDA]],Tabla9[CODIGO],Tabla3[[#This Row],[CODIGO]]),0)</f>
        <v>0</v>
      </c>
      <c r="Q643" s="25">
        <f>IF(BD_DETALLE!P643&lt;=0,0,IF(BD_DETALLE!P643=BD_DETALLE!H643,2,1))</f>
        <v>0</v>
      </c>
      <c r="R643" s="41">
        <f ca="1">IF(BD_DETALLE!$C643&gt;0,(IF(BD_DETALLE!$N643=0,TODAY()-BD_DETALLE!$C643,BD_DETALLE!$N643-BD_DETALLE!$C643)),"")</f>
        <v>20</v>
      </c>
    </row>
    <row r="644" spans="2:18" x14ac:dyDescent="0.25">
      <c r="B644" s="15" t="str">
        <f t="shared" si="63"/>
        <v>2103-295-105717</v>
      </c>
      <c r="C644" s="225">
        <v>44285</v>
      </c>
      <c r="D644" s="226" t="str">
        <f>IF(BD_DETALLE!$E644&gt;=1,CONCATENATE(TEXT(BD_DETALLE!$C644,"YY"),TEXT(BD_DETALLE!$C644,"MM"),"-",BD_DETALLE!$E644),"")</f>
        <v>2103-295</v>
      </c>
      <c r="E644" s="227">
        <v>295</v>
      </c>
      <c r="F644" s="228">
        <v>105717</v>
      </c>
      <c r="G644" s="229" t="str">
        <f>IFERROR(VLOOKUP(BD_DETALLE!$B644,Tabla9[],6,0),"")</f>
        <v>PLANCHA NAVAL DE 6MM x 1.50MTS x 6MTS</v>
      </c>
      <c r="H644" s="230">
        <f>IFERROR(VLOOKUP(BD_DETALLE!$B644,Tabla9[],4,0),0)</f>
        <v>1</v>
      </c>
      <c r="I644" s="231" t="s">
        <v>12</v>
      </c>
      <c r="J644" s="232" t="s">
        <v>2148</v>
      </c>
      <c r="K644" s="10">
        <f>IFERROR(VLOOKUP(BD_DETALLE!B644,Tabla9[],7,0),"")</f>
        <v>0</v>
      </c>
      <c r="L644" s="11">
        <f>IFERROR(VLOOKUP(BD_DETALLE!B644,Tabla9[],8,0),"")</f>
        <v>0</v>
      </c>
      <c r="M644" s="9">
        <f>IFERROR(SUMIFS(Tabla9[CANTIDAD2],Tabla9[BUSQUEDA],Tabla3[[#This Row],[BUSQUEDA]],Tabla9[CODIGO],Tabla3[[#This Row],[CODIGO]],Tabla9[ORDEN No.],Tabla3[[#This Row],[ORDEN de COMPRA]]),0)</f>
        <v>0</v>
      </c>
      <c r="N644" s="27">
        <f>IFERROR(IF(BD_DETALLE!B644&gt;0,VLOOKUP(BD_DETALLE!B644,Tabla9[],10,0),""),"")</f>
        <v>0</v>
      </c>
      <c r="O644" s="28">
        <f>IFERROR(VLOOKUP(BD_DETALLE!B644,Tabla9[],11,0),0)</f>
        <v>0</v>
      </c>
      <c r="P644" s="26">
        <f>IFERROR(SUMIFS(Tabla9[CANTIDAD3],Tabla9[BUSQUEDA],Tabla3[[#This Row],[BUSQUEDA]],Tabla9[CODIGO],Tabla3[[#This Row],[CODIGO]]),0)</f>
        <v>0</v>
      </c>
      <c r="Q644" s="25">
        <f>IF(BD_DETALLE!P644&lt;=0,0,IF(BD_DETALLE!P644=BD_DETALLE!H644,2,1))</f>
        <v>0</v>
      </c>
      <c r="R644" s="41">
        <f ca="1">IF(BD_DETALLE!$C644&gt;0,(IF(BD_DETALLE!$N644=0,TODAY()-BD_DETALLE!$C644,BD_DETALLE!$N644-BD_DETALLE!$C644)),"")</f>
        <v>20</v>
      </c>
    </row>
    <row r="645" spans="2:18" x14ac:dyDescent="0.25">
      <c r="B645" s="15" t="str">
        <f t="shared" si="63"/>
        <v>2103-295-203124</v>
      </c>
      <c r="C645" s="225">
        <v>44285</v>
      </c>
      <c r="D645" s="226" t="str">
        <f>IF(BD_DETALLE!$E645&gt;=1,CONCATENATE(TEXT(BD_DETALLE!$C645,"YY"),TEXT(BD_DETALLE!$C645,"MM"),"-",BD_DETALLE!$E645),"")</f>
        <v>2103-295</v>
      </c>
      <c r="E645" s="227">
        <v>295</v>
      </c>
      <c r="F645" s="228">
        <v>203124</v>
      </c>
      <c r="G645" s="229" t="str">
        <f>IFERROR(VLOOKUP(BD_DETALLE!$B645,Tabla9[],6,0),"")</f>
        <v>MANGUERA GEMELA P/OXICORTE</v>
      </c>
      <c r="H645" s="230">
        <f>IFERROR(VLOOKUP(BD_DETALLE!$B645,Tabla9[],4,0),0)</f>
        <v>20</v>
      </c>
      <c r="I645" s="231" t="s">
        <v>12</v>
      </c>
      <c r="J645" s="232" t="s">
        <v>2147</v>
      </c>
      <c r="K645" s="10">
        <f>IFERROR(VLOOKUP(BD_DETALLE!B645,Tabla9[],7,0),"")</f>
        <v>0</v>
      </c>
      <c r="L645" s="11">
        <f>IFERROR(VLOOKUP(BD_DETALLE!B645,Tabla9[],8,0),"")</f>
        <v>0</v>
      </c>
      <c r="M645" s="9">
        <f>IFERROR(SUMIFS(Tabla9[CANTIDAD2],Tabla9[BUSQUEDA],Tabla3[[#This Row],[BUSQUEDA]],Tabla9[CODIGO],Tabla3[[#This Row],[CODIGO]],Tabla9[ORDEN No.],Tabla3[[#This Row],[ORDEN de COMPRA]]),0)</f>
        <v>0</v>
      </c>
      <c r="N645" s="27">
        <f>IFERROR(IF(BD_DETALLE!B645&gt;0,VLOOKUP(BD_DETALLE!B645,Tabla9[],10,0),""),"")</f>
        <v>0</v>
      </c>
      <c r="O645" s="28">
        <f>IFERROR(VLOOKUP(BD_DETALLE!B645,Tabla9[],11,0),0)</f>
        <v>0</v>
      </c>
      <c r="P645" s="26">
        <f>IFERROR(SUMIFS(Tabla9[CANTIDAD3],Tabla9[BUSQUEDA],Tabla3[[#This Row],[BUSQUEDA]],Tabla9[CODIGO],Tabla3[[#This Row],[CODIGO]]),0)</f>
        <v>0</v>
      </c>
      <c r="Q645" s="25">
        <f>IF(BD_DETALLE!P645&lt;=0,0,IF(BD_DETALLE!P645=BD_DETALLE!H645,2,1))</f>
        <v>0</v>
      </c>
      <c r="R645" s="41">
        <f ca="1">IF(BD_DETALLE!$C645&gt;0,(IF(BD_DETALLE!$N645=0,TODAY()-BD_DETALLE!$C645,BD_DETALLE!$N645-BD_DETALLE!$C645)),"")</f>
        <v>20</v>
      </c>
    </row>
    <row r="646" spans="2:18" x14ac:dyDescent="0.25">
      <c r="B646" s="15" t="str">
        <f t="shared" si="63"/>
        <v>2103-295-301684</v>
      </c>
      <c r="C646" s="225">
        <v>44285</v>
      </c>
      <c r="D646" s="226" t="str">
        <f>IF(BD_DETALLE!$E646&gt;=1,CONCATENATE(TEXT(BD_DETALLE!$C646,"YY"),TEXT(BD_DETALLE!$C646,"MM"),"-",BD_DETALLE!$E646),"")</f>
        <v>2103-295</v>
      </c>
      <c r="E646" s="227">
        <v>295</v>
      </c>
      <c r="F646" s="228">
        <v>301684</v>
      </c>
      <c r="G646" s="229" t="str">
        <f>IFERROR(VLOOKUP(BD_DETALLE!$B646,Tabla9[],6,0),"")</f>
        <v>TECLE DE 2TN.</v>
      </c>
      <c r="H646" s="230">
        <f>IFERROR(VLOOKUP(BD_DETALLE!$B646,Tabla9[],4,0),0)</f>
        <v>2</v>
      </c>
      <c r="I646" s="231" t="s">
        <v>12</v>
      </c>
      <c r="J646" s="232" t="s">
        <v>2146</v>
      </c>
      <c r="K646" s="10">
        <f>IFERROR(VLOOKUP(BD_DETALLE!B646,Tabla9[],7,0),"")</f>
        <v>0</v>
      </c>
      <c r="L646" s="11">
        <f>IFERROR(VLOOKUP(BD_DETALLE!B646,Tabla9[],8,0),"")</f>
        <v>0</v>
      </c>
      <c r="M646" s="9">
        <f>IFERROR(SUMIFS(Tabla9[CANTIDAD2],Tabla9[BUSQUEDA],Tabla3[[#This Row],[BUSQUEDA]],Tabla9[CODIGO],Tabla3[[#This Row],[CODIGO]],Tabla9[ORDEN No.],Tabla3[[#This Row],[ORDEN de COMPRA]]),0)</f>
        <v>0</v>
      </c>
      <c r="N646" s="27">
        <f>IFERROR(IF(BD_DETALLE!B646&gt;0,VLOOKUP(BD_DETALLE!B646,Tabla9[],10,0),""),"")</f>
        <v>0</v>
      </c>
      <c r="O646" s="28">
        <f>IFERROR(VLOOKUP(BD_DETALLE!B646,Tabla9[],11,0),0)</f>
        <v>0</v>
      </c>
      <c r="P646" s="26">
        <f>IFERROR(SUMIFS(Tabla9[CANTIDAD3],Tabla9[BUSQUEDA],Tabla3[[#This Row],[BUSQUEDA]],Tabla9[CODIGO],Tabla3[[#This Row],[CODIGO]]),0)</f>
        <v>0</v>
      </c>
      <c r="Q646" s="25">
        <f>IF(BD_DETALLE!P646&lt;=0,0,IF(BD_DETALLE!P646=BD_DETALLE!H646,2,1))</f>
        <v>0</v>
      </c>
      <c r="R646" s="41">
        <f ca="1">IF(BD_DETALLE!$C646&gt;0,(IF(BD_DETALLE!$N646=0,TODAY()-BD_DETALLE!$C646,BD_DETALLE!$N646-BD_DETALLE!$C646)),"")</f>
        <v>20</v>
      </c>
    </row>
    <row r="647" spans="2:18" x14ac:dyDescent="0.25">
      <c r="B647" s="15" t="str">
        <f t="shared" si="63"/>
        <v>2103-295-204667</v>
      </c>
      <c r="C647" s="225">
        <v>44285</v>
      </c>
      <c r="D647" s="226" t="str">
        <f>IF(BD_DETALLE!$E647&gt;=1,CONCATENATE(TEXT(BD_DETALLE!$C647,"YY"),TEXT(BD_DETALLE!$C647,"MM"),"-",BD_DETALLE!$E647),"")</f>
        <v>2103-295</v>
      </c>
      <c r="E647" s="227">
        <v>295</v>
      </c>
      <c r="F647" s="228">
        <v>204667</v>
      </c>
      <c r="G647" s="229" t="str">
        <f>IFERROR(VLOOKUP(BD_DETALLE!$B647,Tabla9[],6,0),"")</f>
        <v>ABRAZADERA GALV. DE 3/8"</v>
      </c>
      <c r="H647" s="230">
        <f>IFERROR(VLOOKUP(BD_DETALLE!$B647,Tabla9[],4,0),0)</f>
        <v>12</v>
      </c>
      <c r="I647" s="231" t="s">
        <v>12</v>
      </c>
      <c r="J647" s="232" t="s">
        <v>2147</v>
      </c>
      <c r="K647" s="10">
        <f>IFERROR(VLOOKUP(BD_DETALLE!B647,Tabla9[],7,0),"")</f>
        <v>0</v>
      </c>
      <c r="L647" s="11">
        <f>IFERROR(VLOOKUP(BD_DETALLE!B647,Tabla9[],8,0),"")</f>
        <v>0</v>
      </c>
      <c r="M647" s="9">
        <f>IFERROR(SUMIFS(Tabla9[CANTIDAD2],Tabla9[BUSQUEDA],Tabla3[[#This Row],[BUSQUEDA]],Tabla9[CODIGO],Tabla3[[#This Row],[CODIGO]],Tabla9[ORDEN No.],Tabla3[[#This Row],[ORDEN de COMPRA]]),0)</f>
        <v>0</v>
      </c>
      <c r="N647" s="27">
        <f>IFERROR(IF(BD_DETALLE!B647&gt;0,VLOOKUP(BD_DETALLE!B647,Tabla9[],10,0),""),"")</f>
        <v>0</v>
      </c>
      <c r="O647" s="28">
        <f>IFERROR(VLOOKUP(BD_DETALLE!B647,Tabla9[],11,0),0)</f>
        <v>0</v>
      </c>
      <c r="P647" s="26">
        <f>IFERROR(SUMIFS(Tabla9[CANTIDAD3],Tabla9[BUSQUEDA],Tabla3[[#This Row],[BUSQUEDA]],Tabla9[CODIGO],Tabla3[[#This Row],[CODIGO]]),0)</f>
        <v>0</v>
      </c>
      <c r="Q647" s="25">
        <f>IF(BD_DETALLE!P647&lt;=0,0,IF(BD_DETALLE!P647=BD_DETALLE!H647,2,1))</f>
        <v>0</v>
      </c>
      <c r="R647" s="41">
        <f ca="1">IF(BD_DETALLE!$C647&gt;0,(IF(BD_DETALLE!$N647=0,TODAY()-BD_DETALLE!$C647,BD_DETALLE!$N647-BD_DETALLE!$C647)),"")</f>
        <v>20</v>
      </c>
    </row>
    <row r="648" spans="2:18" x14ac:dyDescent="0.25">
      <c r="B648" s="15" t="str">
        <f t="shared" si="63"/>
        <v>2103-296-103877</v>
      </c>
      <c r="C648" s="225">
        <v>44285</v>
      </c>
      <c r="D648" s="226" t="str">
        <f>IF(BD_DETALLE!$E648&gt;=1,CONCATENATE(TEXT(BD_DETALLE!$C648,"YY"),TEXT(BD_DETALLE!$C648,"MM"),"-",BD_DETALLE!$E648),"")</f>
        <v>2103-296</v>
      </c>
      <c r="E648" s="227">
        <v>296</v>
      </c>
      <c r="F648" s="228">
        <v>103877</v>
      </c>
      <c r="G648" s="229" t="str">
        <f>IFERROR(VLOOKUP(BD_DETALLE!$B648,Tabla9[],6,0),"")</f>
        <v>PERNO H/N DE 3/4" x 3-1/2" COMPLETO</v>
      </c>
      <c r="H648" s="230">
        <f>IFERROR(VLOOKUP(BD_DETALLE!$B648,Tabla9[],4,0),0)</f>
        <v>48</v>
      </c>
      <c r="I648" s="231" t="s">
        <v>12</v>
      </c>
      <c r="J648" s="232" t="s">
        <v>2149</v>
      </c>
      <c r="K648" s="10">
        <f>IFERROR(VLOOKUP(BD_DETALLE!B648,Tabla9[],7,0),"")</f>
        <v>0</v>
      </c>
      <c r="L648" s="11">
        <f>IFERROR(VLOOKUP(BD_DETALLE!B648,Tabla9[],8,0),"")</f>
        <v>0</v>
      </c>
      <c r="M648" s="9">
        <f>IFERROR(SUMIFS(Tabla9[CANTIDAD2],Tabla9[BUSQUEDA],Tabla3[[#This Row],[BUSQUEDA]],Tabla9[CODIGO],Tabla3[[#This Row],[CODIGO]],Tabla9[ORDEN No.],Tabla3[[#This Row],[ORDEN de COMPRA]]),0)</f>
        <v>0</v>
      </c>
      <c r="N648" s="27">
        <f>IFERROR(IF(BD_DETALLE!B648&gt;0,VLOOKUP(BD_DETALLE!B648,Tabla9[],10,0),""),"")</f>
        <v>0</v>
      </c>
      <c r="O648" s="28">
        <f>IFERROR(VLOOKUP(BD_DETALLE!B648,Tabla9[],11,0),0)</f>
        <v>0</v>
      </c>
      <c r="P648" s="26">
        <f>IFERROR(SUMIFS(Tabla9[CANTIDAD3],Tabla9[BUSQUEDA],Tabla3[[#This Row],[BUSQUEDA]],Tabla9[CODIGO],Tabla3[[#This Row],[CODIGO]]),0)</f>
        <v>0</v>
      </c>
      <c r="Q648" s="25">
        <f>IF(BD_DETALLE!P648&lt;=0,0,IF(BD_DETALLE!P648=BD_DETALLE!H648,2,1))</f>
        <v>0</v>
      </c>
      <c r="R648" s="41">
        <f ca="1">IF(BD_DETALLE!$C648&gt;0,(IF(BD_DETALLE!$N648=0,TODAY()-BD_DETALLE!$C648,BD_DETALLE!$N648-BD_DETALLE!$C648)),"")</f>
        <v>20</v>
      </c>
    </row>
    <row r="649" spans="2:18" x14ac:dyDescent="0.25">
      <c r="B649" s="15" t="str">
        <f t="shared" si="63"/>
        <v>2103-296-206678</v>
      </c>
      <c r="C649" s="225">
        <v>44285</v>
      </c>
      <c r="D649" s="226" t="str">
        <f>IF(BD_DETALLE!$E649&gt;=1,CONCATENATE(TEXT(BD_DETALLE!$C649,"YY"),TEXT(BD_DETALLE!$C649,"MM"),"-",BD_DETALLE!$E649),"")</f>
        <v>2103-296</v>
      </c>
      <c r="E649" s="227">
        <v>296</v>
      </c>
      <c r="F649" s="228">
        <v>206678</v>
      </c>
      <c r="G649" s="229" t="str">
        <f>IFERROR(VLOOKUP(BD_DETALLE!$B649,Tabla9[],6,0),"")</f>
        <v>VALVULA DE 6" DE COMPUERTA BRIDADA</v>
      </c>
      <c r="H649" s="230">
        <f>IFERROR(VLOOKUP(BD_DETALLE!$B649,Tabla9[],4,0),0)</f>
        <v>2</v>
      </c>
      <c r="I649" s="231" t="s">
        <v>12</v>
      </c>
      <c r="J649" s="232" t="s">
        <v>2149</v>
      </c>
      <c r="K649" s="10">
        <f>IFERROR(VLOOKUP(BD_DETALLE!B649,Tabla9[],7,0),"")</f>
        <v>0</v>
      </c>
      <c r="L649" s="11">
        <f>IFERROR(VLOOKUP(BD_DETALLE!B649,Tabla9[],8,0),"")</f>
        <v>0</v>
      </c>
      <c r="M649" s="9">
        <f>IFERROR(SUMIFS(Tabla9[CANTIDAD2],Tabla9[BUSQUEDA],Tabla3[[#This Row],[BUSQUEDA]],Tabla9[CODIGO],Tabla3[[#This Row],[CODIGO]],Tabla9[ORDEN No.],Tabla3[[#This Row],[ORDEN de COMPRA]]),0)</f>
        <v>0</v>
      </c>
      <c r="N649" s="27">
        <f>IFERROR(IF(BD_DETALLE!B649&gt;0,VLOOKUP(BD_DETALLE!B649,Tabla9[],10,0),""),"")</f>
        <v>0</v>
      </c>
      <c r="O649" s="28">
        <f>IFERROR(VLOOKUP(BD_DETALLE!B649,Tabla9[],11,0),0)</f>
        <v>0</v>
      </c>
      <c r="P649" s="26">
        <f>IFERROR(SUMIFS(Tabla9[CANTIDAD3],Tabla9[BUSQUEDA],Tabla3[[#This Row],[BUSQUEDA]],Tabla9[CODIGO],Tabla3[[#This Row],[CODIGO]]),0)</f>
        <v>0</v>
      </c>
      <c r="Q649" s="25">
        <f>IF(BD_DETALLE!P649&lt;=0,0,IF(BD_DETALLE!P649=BD_DETALLE!H649,2,1))</f>
        <v>0</v>
      </c>
      <c r="R649" s="41">
        <f ca="1">IF(BD_DETALLE!$C649&gt;0,(IF(BD_DETALLE!$N649=0,TODAY()-BD_DETALLE!$C649,BD_DETALLE!$N649-BD_DETALLE!$C649)),"")</f>
        <v>20</v>
      </c>
    </row>
    <row r="650" spans="2:18" x14ac:dyDescent="0.25">
      <c r="B650" s="15" t="str">
        <f t="shared" si="63"/>
        <v>2103-296-205952</v>
      </c>
      <c r="C650" s="225">
        <v>44285</v>
      </c>
      <c r="D650" s="226" t="str">
        <f>IF(BD_DETALLE!$E650&gt;=1,CONCATENATE(TEXT(BD_DETALLE!$C650,"YY"),TEXT(BD_DETALLE!$C650,"MM"),"-",BD_DETALLE!$E650),"")</f>
        <v>2103-296</v>
      </c>
      <c r="E650" s="227">
        <v>296</v>
      </c>
      <c r="F650" s="228">
        <v>205952</v>
      </c>
      <c r="G650" s="229" t="str">
        <f>IFERROR(VLOOKUP(BD_DETALLE!$B650,Tabla9[],6,0),"")</f>
        <v>BRIDA H/N SOLDABLE DE 6"</v>
      </c>
      <c r="H650" s="230">
        <f>IFERROR(VLOOKUP(BD_DETALLE!$B650,Tabla9[],4,0),0)</f>
        <v>4</v>
      </c>
      <c r="I650" s="231" t="s">
        <v>12</v>
      </c>
      <c r="J650" s="232" t="s">
        <v>2149</v>
      </c>
      <c r="K650" s="10">
        <f>IFERROR(VLOOKUP(BD_DETALLE!B650,Tabla9[],7,0),"")</f>
        <v>0</v>
      </c>
      <c r="L650" s="11">
        <f>IFERROR(VLOOKUP(BD_DETALLE!B650,Tabla9[],8,0),"")</f>
        <v>0</v>
      </c>
      <c r="M650" s="9">
        <f>IFERROR(SUMIFS(Tabla9[CANTIDAD2],Tabla9[BUSQUEDA],Tabla3[[#This Row],[BUSQUEDA]],Tabla9[CODIGO],Tabla3[[#This Row],[CODIGO]],Tabla9[ORDEN No.],Tabla3[[#This Row],[ORDEN de COMPRA]]),0)</f>
        <v>0</v>
      </c>
      <c r="N650" s="27">
        <f>IFERROR(IF(BD_DETALLE!B650&gt;0,VLOOKUP(BD_DETALLE!B650,Tabla9[],10,0),""),"")</f>
        <v>0</v>
      </c>
      <c r="O650" s="28">
        <f>IFERROR(VLOOKUP(BD_DETALLE!B650,Tabla9[],11,0),0)</f>
        <v>0</v>
      </c>
      <c r="P650" s="26">
        <f>IFERROR(SUMIFS(Tabla9[CANTIDAD3],Tabla9[BUSQUEDA],Tabla3[[#This Row],[BUSQUEDA]],Tabla9[CODIGO],Tabla3[[#This Row],[CODIGO]]),0)</f>
        <v>0</v>
      </c>
      <c r="Q650" s="25">
        <f>IF(BD_DETALLE!P650&lt;=0,0,IF(BD_DETALLE!P650=BD_DETALLE!H650,2,1))</f>
        <v>0</v>
      </c>
      <c r="R650" s="41">
        <f ca="1">IF(BD_DETALLE!$C650&gt;0,(IF(BD_DETALLE!$N650=0,TODAY()-BD_DETALLE!$C650,BD_DETALLE!$N650-BD_DETALLE!$C650)),"")</f>
        <v>20</v>
      </c>
    </row>
    <row r="651" spans="2:18" x14ac:dyDescent="0.25">
      <c r="B651" s="15" t="str">
        <f t="shared" si="63"/>
        <v>2103-296-203426</v>
      </c>
      <c r="C651" s="225">
        <v>44285</v>
      </c>
      <c r="D651" s="226" t="str">
        <f>IF(BD_DETALLE!$E651&gt;=1,CONCATENATE(TEXT(BD_DETALLE!$C651,"YY"),TEXT(BD_DETALLE!$C651,"MM"),"-",BD_DETALLE!$E651),"")</f>
        <v>2103-296</v>
      </c>
      <c r="E651" s="227">
        <v>296</v>
      </c>
      <c r="F651" s="228">
        <v>203426</v>
      </c>
      <c r="G651" s="229" t="str">
        <f>IFERROR(VLOOKUP(BD_DETALLE!$B651,Tabla9[],6,0),"")</f>
        <v>EMPAQUE DE ASBESTO CON ALAMBRE DE 1/8"</v>
      </c>
      <c r="H651" s="230">
        <f>IFERROR(VLOOKUP(BD_DETALLE!$B651,Tabla9[],4,0),0)</f>
        <v>1</v>
      </c>
      <c r="I651" s="231" t="s">
        <v>12</v>
      </c>
      <c r="J651" s="232" t="s">
        <v>2149</v>
      </c>
      <c r="K651" s="10">
        <f>IFERROR(VLOOKUP(BD_DETALLE!B651,Tabla9[],7,0),"")</f>
        <v>0</v>
      </c>
      <c r="L651" s="11">
        <f>IFERROR(VLOOKUP(BD_DETALLE!B651,Tabla9[],8,0),"")</f>
        <v>0</v>
      </c>
      <c r="M651" s="9">
        <f>IFERROR(SUMIFS(Tabla9[CANTIDAD2],Tabla9[BUSQUEDA],Tabla3[[#This Row],[BUSQUEDA]],Tabla9[CODIGO],Tabla3[[#This Row],[CODIGO]],Tabla9[ORDEN No.],Tabla3[[#This Row],[ORDEN de COMPRA]]),0)</f>
        <v>0</v>
      </c>
      <c r="N651" s="27">
        <f>IFERROR(IF(BD_DETALLE!B651&gt;0,VLOOKUP(BD_DETALLE!B651,Tabla9[],10,0),""),"")</f>
        <v>0</v>
      </c>
      <c r="O651" s="28">
        <f>IFERROR(VLOOKUP(BD_DETALLE!B651,Tabla9[],11,0),0)</f>
        <v>0</v>
      </c>
      <c r="P651" s="26">
        <f>IFERROR(SUMIFS(Tabla9[CANTIDAD3],Tabla9[BUSQUEDA],Tabla3[[#This Row],[BUSQUEDA]],Tabla9[CODIGO],Tabla3[[#This Row],[CODIGO]]),0)</f>
        <v>0</v>
      </c>
      <c r="Q651" s="25">
        <f>IF(BD_DETALLE!P651&lt;=0,0,IF(BD_DETALLE!P651=BD_DETALLE!H651,2,1))</f>
        <v>0</v>
      </c>
      <c r="R651" s="41">
        <f ca="1">IF(BD_DETALLE!$C651&gt;0,(IF(BD_DETALLE!$N651=0,TODAY()-BD_DETALLE!$C651,BD_DETALLE!$N651-BD_DETALLE!$C651)),"")</f>
        <v>20</v>
      </c>
    </row>
    <row r="652" spans="2:18" x14ac:dyDescent="0.25">
      <c r="B652" s="15" t="str">
        <f t="shared" si="63"/>
        <v>2103-296-309954</v>
      </c>
      <c r="C652" s="225">
        <v>44285</v>
      </c>
      <c r="D652" s="226" t="str">
        <f>IF(BD_DETALLE!$E652&gt;=1,CONCATENATE(TEXT(BD_DETALLE!$C652,"YY"),TEXT(BD_DETALLE!$C652,"MM"),"-",BD_DETALLE!$E652),"")</f>
        <v>2103-296</v>
      </c>
      <c r="E652" s="227">
        <v>296</v>
      </c>
      <c r="F652" s="228">
        <v>309954</v>
      </c>
      <c r="G652" s="229" t="str">
        <f>IFERROR(VLOOKUP(BD_DETALLE!$B652,Tabla9[],6,0),"")</f>
        <v>PERNO DE 1" x 3 1/2" GRADO 8 COMPLETO</v>
      </c>
      <c r="H652" s="230">
        <f>IFERROR(VLOOKUP(BD_DETALLE!$B652,Tabla9[],4,0),0)</f>
        <v>14</v>
      </c>
      <c r="I652" s="231" t="s">
        <v>12</v>
      </c>
      <c r="J652" s="232" t="s">
        <v>2150</v>
      </c>
      <c r="K652" s="10">
        <f>IFERROR(VLOOKUP(BD_DETALLE!B652,Tabla9[],7,0),"")</f>
        <v>0</v>
      </c>
      <c r="L652" s="11">
        <f>IFERROR(VLOOKUP(BD_DETALLE!B652,Tabla9[],8,0),"")</f>
        <v>0</v>
      </c>
      <c r="M652" s="9">
        <f>IFERROR(SUMIFS(Tabla9[CANTIDAD2],Tabla9[BUSQUEDA],Tabla3[[#This Row],[BUSQUEDA]],Tabla9[CODIGO],Tabla3[[#This Row],[CODIGO]],Tabla9[ORDEN No.],Tabla3[[#This Row],[ORDEN de COMPRA]]),0)</f>
        <v>0</v>
      </c>
      <c r="N652" s="27">
        <f>IFERROR(IF(BD_DETALLE!B652&gt;0,VLOOKUP(BD_DETALLE!B652,Tabla9[],10,0),""),"")</f>
        <v>0</v>
      </c>
      <c r="O652" s="28">
        <f>IFERROR(VLOOKUP(BD_DETALLE!B652,Tabla9[],11,0),0)</f>
        <v>0</v>
      </c>
      <c r="P652" s="26">
        <f>IFERROR(SUMIFS(Tabla9[CANTIDAD3],Tabla9[BUSQUEDA],Tabla3[[#This Row],[BUSQUEDA]],Tabla9[CODIGO],Tabla3[[#This Row],[CODIGO]]),0)</f>
        <v>0</v>
      </c>
      <c r="Q652" s="25">
        <f>IF(BD_DETALLE!P652&lt;=0,0,IF(BD_DETALLE!P652=BD_DETALLE!H652,2,1))</f>
        <v>0</v>
      </c>
      <c r="R652" s="41">
        <f ca="1">IF(BD_DETALLE!$C652&gt;0,(IF(BD_DETALLE!$N652=0,TODAY()-BD_DETALLE!$C652,BD_DETALLE!$N652-BD_DETALLE!$C652)),"")</f>
        <v>20</v>
      </c>
    </row>
    <row r="653" spans="2:18" x14ac:dyDescent="0.25">
      <c r="B653" s="17" t="str">
        <f>IFERROR(TEXT(C653,"yy") &amp; TEXT(C653,"mm") &amp;"-"&amp;(E653) &amp;"-"&amp;(F653),"")</f>
        <v>2103-297-107024</v>
      </c>
      <c r="C653" s="234">
        <v>44285</v>
      </c>
      <c r="D653" s="235" t="str">
        <f>IF(BD_DETALLE!$E653&gt;=1,CONCATENATE(TEXT(BD_DETALLE!$C653,"YY"),TEXT(BD_DETALLE!$C653,"MM"),"-",BD_DETALLE!$E653),"")</f>
        <v>2103-297</v>
      </c>
      <c r="E653" s="236">
        <v>297</v>
      </c>
      <c r="F653" s="237">
        <v>107024</v>
      </c>
      <c r="G653" s="238" t="str">
        <f>IFERROR(VLOOKUP(BD_DETALLE!$B653,Tabla9[],6,0),"")</f>
        <v>CAPACITOR</v>
      </c>
      <c r="H653" s="239">
        <f>IFERROR(VLOOKUP(BD_DETALLE!$B653,Tabla9[],4,0),0)</f>
        <v>3</v>
      </c>
      <c r="I653" s="240" t="s">
        <v>14</v>
      </c>
      <c r="J653" s="241" t="s">
        <v>2151</v>
      </c>
      <c r="K653" s="10">
        <f>IFERROR(VLOOKUP(BD_DETALLE!B653,Tabla9[],7,0),"")</f>
        <v>0</v>
      </c>
      <c r="L653" s="11">
        <f>IFERROR(VLOOKUP(BD_DETALLE!B653,Tabla9[],8,0),"")</f>
        <v>0</v>
      </c>
      <c r="M653" s="9">
        <f>IFERROR(SUMIFS(Tabla9[CANTIDAD2],Tabla9[BUSQUEDA],Tabla3[[#This Row],[BUSQUEDA]],Tabla9[CODIGO],Tabla3[[#This Row],[CODIGO]],Tabla9[ORDEN No.],Tabla3[[#This Row],[ORDEN de COMPRA]]),0)</f>
        <v>0</v>
      </c>
      <c r="N653" s="27">
        <f>IFERROR(IF(BD_DETALLE!B653&gt;0,VLOOKUP(BD_DETALLE!B653,Tabla9[],10,0),""),"")</f>
        <v>0</v>
      </c>
      <c r="O653" s="28">
        <f>IFERROR(VLOOKUP(BD_DETALLE!B653,Tabla9[],11,0),0)</f>
        <v>0</v>
      </c>
      <c r="P653" s="26">
        <f>IFERROR(SUMIFS(Tabla9[CANTIDAD3],Tabla9[BUSQUEDA],Tabla3[[#This Row],[BUSQUEDA]],Tabla9[CODIGO],Tabla3[[#This Row],[CODIGO]]),0)</f>
        <v>0</v>
      </c>
      <c r="Q653" s="25">
        <f>IF(BD_DETALLE!P653&lt;=0,0,IF(BD_DETALLE!P653=BD_DETALLE!H653,2,1))</f>
        <v>0</v>
      </c>
      <c r="R653" s="41">
        <f ca="1">IF(BD_DETALLE!$C653&gt;0,(IF(BD_DETALLE!$N653=0,TODAY()-BD_DETALLE!$C653,BD_DETALLE!$N653-BD_DETALLE!$C653)),"")</f>
        <v>20</v>
      </c>
    </row>
    <row r="654" spans="2:18" x14ac:dyDescent="0.25">
      <c r="B654" s="15" t="str">
        <f t="shared" ref="B654" si="64">IFERROR(TEXT(C654,"yy") &amp; TEXT(C654,"mm") &amp;"-"&amp;(E654) &amp;"-"&amp;(F654),"")</f>
        <v>2103-297-318077</v>
      </c>
      <c r="C654" s="225">
        <v>44285</v>
      </c>
      <c r="D654" s="226" t="str">
        <f>IF(BD_DETALLE!$E654&gt;=1,CONCATENATE(TEXT(BD_DETALLE!$C654,"YY"),TEXT(BD_DETALLE!$C654,"MM"),"-",BD_DETALLE!$E654),"")</f>
        <v>2103-297</v>
      </c>
      <c r="E654" s="227">
        <v>297</v>
      </c>
      <c r="F654" s="228">
        <v>318077</v>
      </c>
      <c r="G654" s="229" t="str">
        <f>IFERROR(VLOOKUP(BD_DETALLE!$B654,Tabla9[],6,0),"")</f>
        <v>SWITCH</v>
      </c>
      <c r="H654" s="230">
        <f>IFERROR(VLOOKUP(BD_DETALLE!$B654,Tabla9[],4,0),0)</f>
        <v>3</v>
      </c>
      <c r="I654" s="240" t="s">
        <v>14</v>
      </c>
      <c r="J654" s="241" t="s">
        <v>2151</v>
      </c>
      <c r="K654" s="10">
        <f>IFERROR(VLOOKUP(BD_DETALLE!B654,Tabla9[],7,0),"")</f>
        <v>0</v>
      </c>
      <c r="L654" s="11">
        <f>IFERROR(VLOOKUP(BD_DETALLE!B654,Tabla9[],8,0),"")</f>
        <v>0</v>
      </c>
      <c r="M654" s="9">
        <f>IFERROR(SUMIFS(Tabla9[CANTIDAD2],Tabla9[BUSQUEDA],Tabla3[[#This Row],[BUSQUEDA]],Tabla9[CODIGO],Tabla3[[#This Row],[CODIGO]],Tabla9[ORDEN No.],Tabla3[[#This Row],[ORDEN de COMPRA]]),0)</f>
        <v>0</v>
      </c>
      <c r="N654" s="27">
        <f>IFERROR(IF(BD_DETALLE!B654&gt;0,VLOOKUP(BD_DETALLE!B654,Tabla9[],10,0),""),"")</f>
        <v>0</v>
      </c>
      <c r="O654" s="28">
        <f>IFERROR(VLOOKUP(BD_DETALLE!B654,Tabla9[],11,0),0)</f>
        <v>0</v>
      </c>
      <c r="P654" s="26">
        <f>IFERROR(SUMIFS(Tabla9[CANTIDAD3],Tabla9[BUSQUEDA],Tabla3[[#This Row],[BUSQUEDA]],Tabla9[CODIGO],Tabla3[[#This Row],[CODIGO]]),0)</f>
        <v>0</v>
      </c>
      <c r="Q654" s="25">
        <f>IF(BD_DETALLE!P654&lt;=0,0,IF(BD_DETALLE!P654=BD_DETALLE!H654,2,1))</f>
        <v>0</v>
      </c>
      <c r="R654" s="41">
        <f ca="1">IF(BD_DETALLE!$C654&gt;0,(IF(BD_DETALLE!$N654=0,TODAY()-BD_DETALLE!$C654,BD_DETALLE!$N654-BD_DETALLE!$C654)),"")</f>
        <v>20</v>
      </c>
    </row>
    <row r="655" spans="2:18" x14ac:dyDescent="0.25">
      <c r="B655" s="212" t="str">
        <f t="shared" ref="B655:B684" si="65">IFERROR(TEXT(C655,"yy") &amp; TEXT(C655,"mm") &amp;"-"&amp;(E655) &amp;"-"&amp;(F655),"")</f>
        <v>2103-301-304147</v>
      </c>
      <c r="C655" s="242">
        <v>44286</v>
      </c>
      <c r="D655" s="243" t="str">
        <f>IF(BD_DETALLE!$E655&gt;=1,CONCATENATE(TEXT(BD_DETALLE!$C655,"YY"),TEXT(BD_DETALLE!$C655,"MM"),"-",BD_DETALLE!$E655),"")</f>
        <v>2103-301</v>
      </c>
      <c r="E655" s="244">
        <v>301</v>
      </c>
      <c r="F655" s="213">
        <v>304147</v>
      </c>
      <c r="G655" s="214" t="str">
        <f>IFERROR(VLOOKUP(BD_DETALLE!$B655,Tabla9[],6,0),"")</f>
        <v>RULIMAN SET 409 45280/45220</v>
      </c>
      <c r="H655" s="215">
        <f>IFERROR(VLOOKUP(BD_DETALLE!$B655,Tabla9[],4,0),0)</f>
        <v>2</v>
      </c>
      <c r="I655" s="19" t="s">
        <v>5</v>
      </c>
      <c r="J655" s="20" t="s">
        <v>2173</v>
      </c>
      <c r="K655" s="10">
        <f>IFERROR(VLOOKUP(BD_DETALLE!B655,Tabla9[],7,0),"")</f>
        <v>44288</v>
      </c>
      <c r="L655" s="11">
        <f>IFERROR(VLOOKUP(BD_DETALLE!B655,Tabla9[],8,0),"")</f>
        <v>52444</v>
      </c>
      <c r="M655" s="9">
        <f>IFERROR(SUMIFS(Tabla9[CANTIDAD2],Tabla9[BUSQUEDA],Tabla3[[#This Row],[BUSQUEDA]],Tabla9[CODIGO],Tabla3[[#This Row],[CODIGO]],Tabla9[ORDEN No.],Tabla3[[#This Row],[ORDEN de COMPRA]]),0)</f>
        <v>2</v>
      </c>
      <c r="N655" s="27">
        <f>IFERROR(IF(BD_DETALLE!B655&gt;0,VLOOKUP(BD_DETALLE!B655,Tabla9[],10,0),""),"")</f>
        <v>44299</v>
      </c>
      <c r="O655" s="28">
        <f>IFERROR(VLOOKUP(BD_DETALLE!B655,Tabla9[],11,0),0)</f>
        <v>11814</v>
      </c>
      <c r="P655" s="26">
        <f>IFERROR(SUMIFS(Tabla9[CANTIDAD3],Tabla9[BUSQUEDA],Tabla3[[#This Row],[BUSQUEDA]],Tabla9[CODIGO],Tabla3[[#This Row],[CODIGO]]),0)</f>
        <v>2</v>
      </c>
      <c r="Q655" s="25">
        <f>IF(BD_DETALLE!P655&lt;=0,0,IF(BD_DETALLE!P655=BD_DETALLE!H655,2,1))</f>
        <v>2</v>
      </c>
      <c r="R655" s="41">
        <f ca="1">IF(BD_DETALLE!$C655&gt;0,(IF(BD_DETALLE!$N655=0,TODAY()-BD_DETALLE!$C655,BD_DETALLE!$N655-BD_DETALLE!$C655)),"")</f>
        <v>13</v>
      </c>
    </row>
    <row r="656" spans="2:18" x14ac:dyDescent="0.25">
      <c r="B656" s="212" t="str">
        <f t="shared" si="65"/>
        <v>2103-301-309630</v>
      </c>
      <c r="C656" s="242">
        <v>44286</v>
      </c>
      <c r="D656" s="243" t="str">
        <f>IF(BD_DETALLE!$E656&gt;=1,CONCATENATE(TEXT(BD_DETALLE!$C656,"YY"),TEXT(BD_DETALLE!$C656,"MM"),"-",BD_DETALLE!$E656),"")</f>
        <v>2103-301</v>
      </c>
      <c r="E656" s="244">
        <v>301</v>
      </c>
      <c r="F656" s="213">
        <v>309630</v>
      </c>
      <c r="G656" s="214" t="str">
        <f>IFERROR(VLOOKUP(BD_DETALLE!$B656,Tabla9[],6,0),"")</f>
        <v>RETENEDOR DE EJE DE RUEDA</v>
      </c>
      <c r="H656" s="215">
        <f>IFERROR(VLOOKUP(BD_DETALLE!$B656,Tabla9[],4,0),0)</f>
        <v>2</v>
      </c>
      <c r="I656" s="19" t="s">
        <v>5</v>
      </c>
      <c r="J656" s="20" t="s">
        <v>2173</v>
      </c>
      <c r="K656" s="10">
        <f>IFERROR(VLOOKUP(BD_DETALLE!B656,Tabla9[],7,0),"")</f>
        <v>44288</v>
      </c>
      <c r="L656" s="11">
        <f>IFERROR(VLOOKUP(BD_DETALLE!B656,Tabla9[],8,0),"")</f>
        <v>52444</v>
      </c>
      <c r="M656" s="9">
        <f>IFERROR(SUMIFS(Tabla9[CANTIDAD2],Tabla9[BUSQUEDA],Tabla3[[#This Row],[BUSQUEDA]],Tabla9[CODIGO],Tabla3[[#This Row],[CODIGO]],Tabla9[ORDEN No.],Tabla3[[#This Row],[ORDEN de COMPRA]]),0)</f>
        <v>2</v>
      </c>
      <c r="N656" s="27">
        <f>IFERROR(IF(BD_DETALLE!B656&gt;0,VLOOKUP(BD_DETALLE!B656,Tabla9[],10,0),""),"")</f>
        <v>44299</v>
      </c>
      <c r="O656" s="28">
        <f>IFERROR(VLOOKUP(BD_DETALLE!B656,Tabla9[],11,0),0)</f>
        <v>11814</v>
      </c>
      <c r="P656" s="26">
        <f>IFERROR(SUMIFS(Tabla9[CANTIDAD3],Tabla9[BUSQUEDA],Tabla3[[#This Row],[BUSQUEDA]],Tabla9[CODIGO],Tabla3[[#This Row],[CODIGO]]),0)</f>
        <v>2</v>
      </c>
      <c r="Q656" s="25">
        <f>IF(BD_DETALLE!P656&lt;=0,0,IF(BD_DETALLE!P656=BD_DETALLE!H656,2,1))</f>
        <v>2</v>
      </c>
      <c r="R656" s="41">
        <f ca="1">IF(BD_DETALLE!$C656&gt;0,(IF(BD_DETALLE!$N656=0,TODAY()-BD_DETALLE!$C656,BD_DETALLE!$N656-BD_DETALLE!$C656)),"")</f>
        <v>13</v>
      </c>
    </row>
    <row r="657" spans="2:18" x14ac:dyDescent="0.25">
      <c r="B657" s="212" t="str">
        <f t="shared" si="65"/>
        <v>2103-301-301616</v>
      </c>
      <c r="C657" s="242">
        <v>44286</v>
      </c>
      <c r="D657" s="243" t="str">
        <f>IF(BD_DETALLE!$E657&gt;=1,CONCATENATE(TEXT(BD_DETALLE!$C657,"YY"),TEXT(BD_DETALLE!$C657,"MM"),"-",BD_DETALLE!$E657),"")</f>
        <v>2103-301</v>
      </c>
      <c r="E657" s="244">
        <v>301</v>
      </c>
      <c r="F657" s="213">
        <v>301616</v>
      </c>
      <c r="G657" s="214" t="str">
        <f>IFERROR(VLOOKUP(BD_DETALLE!$B657,Tabla9[],6,0),"")</f>
        <v>RULIMAN HM212049/HM212011</v>
      </c>
      <c r="H657" s="215">
        <f>IFERROR(VLOOKUP(BD_DETALLE!$B657,Tabla9[],4,0),0)</f>
        <v>2</v>
      </c>
      <c r="I657" s="19" t="s">
        <v>5</v>
      </c>
      <c r="J657" s="20" t="s">
        <v>2173</v>
      </c>
      <c r="K657" s="10">
        <f>IFERROR(VLOOKUP(BD_DETALLE!B657,Tabla9[],7,0),"")</f>
        <v>44288</v>
      </c>
      <c r="L657" s="11">
        <f>IFERROR(VLOOKUP(BD_DETALLE!B657,Tabla9[],8,0),"")</f>
        <v>52444</v>
      </c>
      <c r="M657" s="9">
        <f>IFERROR(SUMIFS(Tabla9[CANTIDAD2],Tabla9[BUSQUEDA],Tabla3[[#This Row],[BUSQUEDA]],Tabla9[CODIGO],Tabla3[[#This Row],[CODIGO]],Tabla9[ORDEN No.],Tabla3[[#This Row],[ORDEN de COMPRA]]),0)</f>
        <v>2</v>
      </c>
      <c r="N657" s="27">
        <f>IFERROR(IF(BD_DETALLE!B657&gt;0,VLOOKUP(BD_DETALLE!B657,Tabla9[],10,0),""),"")</f>
        <v>44299</v>
      </c>
      <c r="O657" s="28">
        <f>IFERROR(VLOOKUP(BD_DETALLE!B657,Tabla9[],11,0),0)</f>
        <v>11814</v>
      </c>
      <c r="P657" s="26">
        <f>IFERROR(SUMIFS(Tabla9[CANTIDAD3],Tabla9[BUSQUEDA],Tabla3[[#This Row],[BUSQUEDA]],Tabla9[CODIGO],Tabla3[[#This Row],[CODIGO]]),0)</f>
        <v>2</v>
      </c>
      <c r="Q657" s="25">
        <f>IF(BD_DETALLE!P657&lt;=0,0,IF(BD_DETALLE!P657=BD_DETALLE!H657,2,1))</f>
        <v>2</v>
      </c>
      <c r="R657" s="41">
        <f ca="1">IF(BD_DETALLE!$C657&gt;0,(IF(BD_DETALLE!$N657=0,TODAY()-BD_DETALLE!$C657,BD_DETALLE!$N657-BD_DETALLE!$C657)),"")</f>
        <v>13</v>
      </c>
    </row>
    <row r="658" spans="2:18" x14ac:dyDescent="0.25">
      <c r="B658" s="212" t="str">
        <f t="shared" si="65"/>
        <v>2103-302-317517</v>
      </c>
      <c r="C658" s="242">
        <v>44286</v>
      </c>
      <c r="D658" s="243" t="str">
        <f>IF(BD_DETALLE!$E658&gt;=1,CONCATENATE(TEXT(BD_DETALLE!$C658,"YY"),TEXT(BD_DETALLE!$C658,"MM"),"-",BD_DETALLE!$E658),"")</f>
        <v>2103-302</v>
      </c>
      <c r="E658" s="244">
        <v>302</v>
      </c>
      <c r="F658" s="213">
        <v>317517</v>
      </c>
      <c r="G658" s="214" t="str">
        <f>IFERROR(VLOOKUP(BD_DETALLE!$B658,Tabla9[],6,0),"")</f>
        <v>SELLO MECANICO DE 3/4" TIPO 21 (R.F./S.F. SILICON.CARBIDE - EPDM)</v>
      </c>
      <c r="H658" s="215">
        <f>IFERROR(VLOOKUP(BD_DETALLE!$B658,Tabla9[],4,0),0)</f>
        <v>4</v>
      </c>
      <c r="I658" s="19" t="s">
        <v>19</v>
      </c>
      <c r="J658" s="20" t="s">
        <v>2174</v>
      </c>
      <c r="K658" s="10">
        <f>IFERROR(VLOOKUP(BD_DETALLE!B658,Tabla9[],7,0),"")</f>
        <v>0</v>
      </c>
      <c r="L658" s="11">
        <f>IFERROR(VLOOKUP(BD_DETALLE!B658,Tabla9[],8,0),"")</f>
        <v>0</v>
      </c>
      <c r="M658" s="9">
        <f>IFERROR(SUMIFS(Tabla9[CANTIDAD2],Tabla9[BUSQUEDA],Tabla3[[#This Row],[BUSQUEDA]],Tabla9[CODIGO],Tabla3[[#This Row],[CODIGO]],Tabla9[ORDEN No.],Tabla3[[#This Row],[ORDEN de COMPRA]]),0)</f>
        <v>0</v>
      </c>
      <c r="N658" s="27">
        <f>IFERROR(IF(BD_DETALLE!B658&gt;0,VLOOKUP(BD_DETALLE!B658,Tabla9[],10,0),""),"")</f>
        <v>0</v>
      </c>
      <c r="O658" s="28">
        <f>IFERROR(VLOOKUP(BD_DETALLE!B658,Tabla9[],11,0),0)</f>
        <v>0</v>
      </c>
      <c r="P658" s="26">
        <f>IFERROR(SUMIFS(Tabla9[CANTIDAD3],Tabla9[BUSQUEDA],Tabla3[[#This Row],[BUSQUEDA]],Tabla9[CODIGO],Tabla3[[#This Row],[CODIGO]]),0)</f>
        <v>0</v>
      </c>
      <c r="Q658" s="25">
        <f>IF(BD_DETALLE!P658&lt;=0,0,IF(BD_DETALLE!P658=BD_DETALLE!H658,2,1))</f>
        <v>0</v>
      </c>
      <c r="R658" s="41">
        <f ca="1">IF(BD_DETALLE!$C658&gt;0,(IF(BD_DETALLE!$N658=0,TODAY()-BD_DETALLE!$C658,BD_DETALLE!$N658-BD_DETALLE!$C658)),"")</f>
        <v>19</v>
      </c>
    </row>
    <row r="659" spans="2:18" x14ac:dyDescent="0.25">
      <c r="B659" s="212" t="str">
        <f t="shared" si="65"/>
        <v>2103-304-306994</v>
      </c>
      <c r="C659" s="242">
        <v>44286</v>
      </c>
      <c r="D659" s="243" t="str">
        <f>IF(BD_DETALLE!$E659&gt;=1,CONCATENATE(TEXT(BD_DETALLE!$C659,"YY"),TEXT(BD_DETALLE!$C659,"MM"),"-",BD_DETALLE!$E659),"")</f>
        <v>2103-304</v>
      </c>
      <c r="E659" s="244">
        <v>304</v>
      </c>
      <c r="F659" s="213">
        <v>306994</v>
      </c>
      <c r="G659" s="214" t="str">
        <f>IFERROR(VLOOKUP(BD_DETALLE!$B659,Tabla9[],6,0),"")</f>
        <v>FILTRO DE COMBUSTIBLE LFP 431F (LUBER FINNER)</v>
      </c>
      <c r="H659" s="215">
        <f>IFERROR(VLOOKUP(BD_DETALLE!$B659,Tabla9[],4,0),0)</f>
        <v>10</v>
      </c>
      <c r="I659" s="19" t="s">
        <v>15</v>
      </c>
      <c r="J659" s="20" t="s">
        <v>385</v>
      </c>
      <c r="K659" s="10">
        <f>IFERROR(VLOOKUP(BD_DETALLE!B659,Tabla9[],7,0),"")</f>
        <v>44294</v>
      </c>
      <c r="L659" s="11">
        <f>IFERROR(VLOOKUP(BD_DETALLE!B659,Tabla9[],8,0),"")</f>
        <v>52399</v>
      </c>
      <c r="M659" s="9">
        <f>IFERROR(SUMIFS(Tabla9[CANTIDAD2],Tabla9[BUSQUEDA],Tabla3[[#This Row],[BUSQUEDA]],Tabla9[CODIGO],Tabla3[[#This Row],[CODIGO]],Tabla9[ORDEN No.],Tabla3[[#This Row],[ORDEN de COMPRA]]),0)</f>
        <v>10</v>
      </c>
      <c r="N659" s="27">
        <f>IFERROR(IF(BD_DETALLE!B659&gt;0,VLOOKUP(BD_DETALLE!B659,Tabla9[],10,0),""),"")</f>
        <v>44302</v>
      </c>
      <c r="O659" s="28">
        <f>IFERROR(VLOOKUP(BD_DETALLE!B659,Tabla9[],11,0),0)</f>
        <v>11853</v>
      </c>
      <c r="P659" s="26">
        <f>IFERROR(SUMIFS(Tabla9[CANTIDAD3],Tabla9[BUSQUEDA],Tabla3[[#This Row],[BUSQUEDA]],Tabla9[CODIGO],Tabla3[[#This Row],[CODIGO]]),0)</f>
        <v>10</v>
      </c>
      <c r="Q659" s="25">
        <f>IF(BD_DETALLE!P659&lt;=0,0,IF(BD_DETALLE!P659=BD_DETALLE!H659,2,1))</f>
        <v>2</v>
      </c>
      <c r="R659" s="41">
        <f ca="1">IF(BD_DETALLE!$C659&gt;0,(IF(BD_DETALLE!$N659=0,TODAY()-BD_DETALLE!$C659,BD_DETALLE!$N659-BD_DETALLE!$C659)),"")</f>
        <v>16</v>
      </c>
    </row>
    <row r="660" spans="2:18" x14ac:dyDescent="0.25">
      <c r="B660" s="212" t="str">
        <f t="shared" si="65"/>
        <v>2103-304-206715</v>
      </c>
      <c r="C660" s="242">
        <v>44286</v>
      </c>
      <c r="D660" s="243" t="str">
        <f>IF(BD_DETALLE!$E660&gt;=1,CONCATENATE(TEXT(BD_DETALLE!$C660,"YY"),TEXT(BD_DETALLE!$C660,"MM"),"-",BD_DETALLE!$E660),"")</f>
        <v>2103-304</v>
      </c>
      <c r="E660" s="244">
        <v>304</v>
      </c>
      <c r="F660" s="213">
        <v>206715</v>
      </c>
      <c r="G660" s="214" t="str">
        <f>IFERROR(VLOOKUP(BD_DETALLE!$B660,Tabla9[],6,0),"")</f>
        <v>FILTRO DE ACEITE P554004 (485GB3191C)</v>
      </c>
      <c r="H660" s="215">
        <f>IFERROR(VLOOKUP(BD_DETALLE!$B660,Tabla9[],4,0),0)</f>
        <v>20</v>
      </c>
      <c r="I660" s="19" t="s">
        <v>15</v>
      </c>
      <c r="J660" s="20" t="s">
        <v>385</v>
      </c>
      <c r="K660" s="10">
        <f>IFERROR(VLOOKUP(BD_DETALLE!B660,Tabla9[],7,0),"")</f>
        <v>44294</v>
      </c>
      <c r="L660" s="11">
        <f>IFERROR(VLOOKUP(BD_DETALLE!B660,Tabla9[],8,0),"")</f>
        <v>52399</v>
      </c>
      <c r="M660" s="9">
        <f>IFERROR(SUMIFS(Tabla9[CANTIDAD2],Tabla9[BUSQUEDA],Tabla3[[#This Row],[BUSQUEDA]],Tabla9[CODIGO],Tabla3[[#This Row],[CODIGO]],Tabla9[ORDEN No.],Tabla3[[#This Row],[ORDEN de COMPRA]]),0)</f>
        <v>20</v>
      </c>
      <c r="N660" s="27">
        <f>IFERROR(IF(BD_DETALLE!B660&gt;0,VLOOKUP(BD_DETALLE!B660,Tabla9[],10,0),""),"")</f>
        <v>44302</v>
      </c>
      <c r="O660" s="28">
        <f>IFERROR(VLOOKUP(BD_DETALLE!B660,Tabla9[],11,0),0)</f>
        <v>11853</v>
      </c>
      <c r="P660" s="26">
        <f>IFERROR(SUMIFS(Tabla9[CANTIDAD3],Tabla9[BUSQUEDA],Tabla3[[#This Row],[BUSQUEDA]],Tabla9[CODIGO],Tabla3[[#This Row],[CODIGO]]),0)</f>
        <v>20</v>
      </c>
      <c r="Q660" s="25">
        <f>IF(BD_DETALLE!P660&lt;=0,0,IF(BD_DETALLE!P660=BD_DETALLE!H660,2,1))</f>
        <v>2</v>
      </c>
      <c r="R660" s="41">
        <f ca="1">IF(BD_DETALLE!$C660&gt;0,(IF(BD_DETALLE!$N660=0,TODAY()-BD_DETALLE!$C660,BD_DETALLE!$N660-BD_DETALLE!$C660)),"")</f>
        <v>16</v>
      </c>
    </row>
    <row r="661" spans="2:18" x14ac:dyDescent="0.25">
      <c r="B661" s="212" t="str">
        <f t="shared" si="65"/>
        <v>2103-304-303344</v>
      </c>
      <c r="C661" s="242">
        <v>44286</v>
      </c>
      <c r="D661" s="243" t="str">
        <f>IF(BD_DETALLE!$E661&gt;=1,CONCATENATE(TEXT(BD_DETALLE!$C661,"YY"),TEXT(BD_DETALLE!$C661,"MM"),"-",BD_DETALLE!$E661),"")</f>
        <v>2103-304</v>
      </c>
      <c r="E661" s="244">
        <v>304</v>
      </c>
      <c r="F661" s="213">
        <v>303344</v>
      </c>
      <c r="G661" s="214" t="str">
        <f>IFERROR(VLOOKUP(BD_DETALLE!$B661,Tabla9[],6,0),"")</f>
        <v>FILTRO BFP811 FELPA</v>
      </c>
      <c r="H661" s="215">
        <f>IFERROR(VLOOKUP(BD_DETALLE!$B661,Tabla9[],4,0),0)</f>
        <v>5</v>
      </c>
      <c r="I661" s="19" t="s">
        <v>15</v>
      </c>
      <c r="J661" s="20" t="s">
        <v>385</v>
      </c>
      <c r="K661" s="10">
        <f>IFERROR(VLOOKUP(BD_DETALLE!B661,Tabla9[],7,0),"")</f>
        <v>44294</v>
      </c>
      <c r="L661" s="11">
        <f>IFERROR(VLOOKUP(BD_DETALLE!B661,Tabla9[],8,0),"")</f>
        <v>52399</v>
      </c>
      <c r="M661" s="9">
        <f>IFERROR(SUMIFS(Tabla9[CANTIDAD2],Tabla9[BUSQUEDA],Tabla3[[#This Row],[BUSQUEDA]],Tabla9[CODIGO],Tabla3[[#This Row],[CODIGO]],Tabla9[ORDEN No.],Tabla3[[#This Row],[ORDEN de COMPRA]]),0)</f>
        <v>5</v>
      </c>
      <c r="N661" s="27">
        <f>IFERROR(IF(BD_DETALLE!B661&gt;0,VLOOKUP(BD_DETALLE!B661,Tabla9[],10,0),""),"")</f>
        <v>44302</v>
      </c>
      <c r="O661" s="28">
        <f>IFERROR(VLOOKUP(BD_DETALLE!B661,Tabla9[],11,0),0)</f>
        <v>11853</v>
      </c>
      <c r="P661" s="26">
        <f>IFERROR(SUMIFS(Tabla9[CANTIDAD3],Tabla9[BUSQUEDA],Tabla3[[#This Row],[BUSQUEDA]],Tabla9[CODIGO],Tabla3[[#This Row],[CODIGO]]),0)</f>
        <v>5</v>
      </c>
      <c r="Q661" s="25">
        <f>IF(BD_DETALLE!P661&lt;=0,0,IF(BD_DETALLE!P661=BD_DETALLE!H661,2,1))</f>
        <v>2</v>
      </c>
      <c r="R661" s="41">
        <f ca="1">IF(BD_DETALLE!$C661&gt;0,(IF(BD_DETALLE!$N661=0,TODAY()-BD_DETALLE!$C661,BD_DETALLE!$N661-BD_DETALLE!$C661)),"")</f>
        <v>16</v>
      </c>
    </row>
    <row r="662" spans="2:18" x14ac:dyDescent="0.25">
      <c r="B662" s="212" t="str">
        <f t="shared" si="65"/>
        <v>2103-304-106145</v>
      </c>
      <c r="C662" s="242">
        <v>44286</v>
      </c>
      <c r="D662" s="243" t="str">
        <f>IF(BD_DETALLE!$E662&gt;=1,CONCATENATE(TEXT(BD_DETALLE!$C662,"YY"),TEXT(BD_DETALLE!$C662,"MM"),"-",BD_DETALLE!$E662),"")</f>
        <v>2103-304</v>
      </c>
      <c r="E662" s="244">
        <v>304</v>
      </c>
      <c r="F662" s="213">
        <v>106145</v>
      </c>
      <c r="G662" s="214" t="str">
        <f>IFERROR(VLOOKUP(BD_DETALLE!$B662,Tabla9[],6,0),"")</f>
        <v>FILTRO ACEITE (PH2835 / BT223)</v>
      </c>
      <c r="H662" s="215">
        <f>IFERROR(VLOOKUP(BD_DETALLE!$B662,Tabla9[],4,0),0)</f>
        <v>20</v>
      </c>
      <c r="I662" s="19" t="s">
        <v>15</v>
      </c>
      <c r="J662" s="20" t="s">
        <v>385</v>
      </c>
      <c r="K662" s="10">
        <f>IFERROR(VLOOKUP(BD_DETALLE!B662,Tabla9[],7,0),"")</f>
        <v>44294</v>
      </c>
      <c r="L662" s="11">
        <f>IFERROR(VLOOKUP(BD_DETALLE!B662,Tabla9[],8,0),"")</f>
        <v>52399</v>
      </c>
      <c r="M662" s="9">
        <f>IFERROR(SUMIFS(Tabla9[CANTIDAD2],Tabla9[BUSQUEDA],Tabla3[[#This Row],[BUSQUEDA]],Tabla9[CODIGO],Tabla3[[#This Row],[CODIGO]],Tabla9[ORDEN No.],Tabla3[[#This Row],[ORDEN de COMPRA]]),0)</f>
        <v>20</v>
      </c>
      <c r="N662" s="27">
        <f>IFERROR(IF(BD_DETALLE!B662&gt;0,VLOOKUP(BD_DETALLE!B662,Tabla9[],10,0),""),"")</f>
        <v>44302</v>
      </c>
      <c r="O662" s="28">
        <f>IFERROR(VLOOKUP(BD_DETALLE!B662,Tabla9[],11,0),0)</f>
        <v>11853</v>
      </c>
      <c r="P662" s="26">
        <f>IFERROR(SUMIFS(Tabla9[CANTIDAD3],Tabla9[BUSQUEDA],Tabla3[[#This Row],[BUSQUEDA]],Tabla9[CODIGO],Tabla3[[#This Row],[CODIGO]]),0)</f>
        <v>20</v>
      </c>
      <c r="Q662" s="25">
        <f>IF(BD_DETALLE!P662&lt;=0,0,IF(BD_DETALLE!P662=BD_DETALLE!H662,2,1))</f>
        <v>2</v>
      </c>
      <c r="R662" s="41">
        <f ca="1">IF(BD_DETALLE!$C662&gt;0,(IF(BD_DETALLE!$N662=0,TODAY()-BD_DETALLE!$C662,BD_DETALLE!$N662-BD_DETALLE!$C662)),"")</f>
        <v>16</v>
      </c>
    </row>
    <row r="663" spans="2:18" x14ac:dyDescent="0.25">
      <c r="B663" s="212" t="str">
        <f t="shared" si="65"/>
        <v>2104-1-202013</v>
      </c>
      <c r="C663" s="242">
        <v>44291</v>
      </c>
      <c r="D663" s="243" t="str">
        <f>IF(BD_DETALLE!$E663&gt;=1,CONCATENATE(TEXT(BD_DETALLE!$C663,"YY"),TEXT(BD_DETALLE!$C663,"MM"),"-",BD_DETALLE!$E663),"")</f>
        <v>2104-1</v>
      </c>
      <c r="E663" s="244">
        <v>1</v>
      </c>
      <c r="F663" s="213">
        <v>202013</v>
      </c>
      <c r="G663" s="214" t="str">
        <f>IFERROR(VLOOKUP(BD_DETALLE!$B663,Tabla9[],6,0),"")</f>
        <v>TARJETAS DE IMPRESION FORTIDEX</v>
      </c>
      <c r="H663" s="215">
        <f>IFERROR(VLOOKUP(BD_DETALLE!$B663,Tabla9[],4,0),0)</f>
        <v>80000</v>
      </c>
      <c r="I663" s="245" t="s">
        <v>15</v>
      </c>
      <c r="J663" s="216" t="s">
        <v>385</v>
      </c>
      <c r="K663" s="10">
        <f>IFERROR(VLOOKUP(BD_DETALLE!B663,Tabla9[],7,0),"")</f>
        <v>44291</v>
      </c>
      <c r="L663" s="11">
        <f>IFERROR(VLOOKUP(BD_DETALLE!B663,Tabla9[],8,0),"")</f>
        <v>52352</v>
      </c>
      <c r="M663" s="9">
        <f>IFERROR(SUMIFS(Tabla9[CANTIDAD2],Tabla9[BUSQUEDA],Tabla3[[#This Row],[BUSQUEDA]],Tabla9[CODIGO],Tabla3[[#This Row],[CODIGO]],Tabla9[ORDEN No.],Tabla3[[#This Row],[ORDEN de COMPRA]]),0)</f>
        <v>80000</v>
      </c>
      <c r="N663" s="27">
        <f>IFERROR(IF(BD_DETALLE!B663&gt;0,VLOOKUP(BD_DETALLE!B663,Tabla9[],10,0),""),"")</f>
        <v>44299</v>
      </c>
      <c r="O663" s="28">
        <f>IFERROR(VLOOKUP(BD_DETALLE!B663,Tabla9[],11,0),0)</f>
        <v>11812</v>
      </c>
      <c r="P663" s="26">
        <f>IFERROR(SUMIFS(Tabla9[CANTIDAD3],Tabla9[BUSQUEDA],Tabla3[[#This Row],[BUSQUEDA]],Tabla9[CODIGO],Tabla3[[#This Row],[CODIGO]]),0)</f>
        <v>80000</v>
      </c>
      <c r="Q663" s="25">
        <f>IF(BD_DETALLE!P663&lt;=0,0,IF(BD_DETALLE!P663=BD_DETALLE!H663,2,1))</f>
        <v>2</v>
      </c>
      <c r="R663" s="41">
        <f ca="1">IF(BD_DETALLE!$C663&gt;0,(IF(BD_DETALLE!$N663=0,TODAY()-BD_DETALLE!$C663,BD_DETALLE!$N663-BD_DETALLE!$C663)),"")</f>
        <v>8</v>
      </c>
    </row>
    <row r="664" spans="2:18" x14ac:dyDescent="0.25">
      <c r="B664" s="212" t="str">
        <f t="shared" si="65"/>
        <v>2104-2-201163</v>
      </c>
      <c r="C664" s="242">
        <v>44291</v>
      </c>
      <c r="D664" s="243" t="str">
        <f>IF(BD_DETALLE!$E664&gt;=1,CONCATENATE(TEXT(BD_DETALLE!$C664,"YY"),TEXT(BD_DETALLE!$C664,"MM"),"-",BD_DETALLE!$E664),"")</f>
        <v>2104-2</v>
      </c>
      <c r="E664" s="244">
        <v>2</v>
      </c>
      <c r="F664" s="213">
        <v>201163</v>
      </c>
      <c r="G664" s="214" t="str">
        <f>IFERROR(VLOOKUP(BD_DETALLE!$B664,Tabla9[],6,0),"")</f>
        <v>CUADERNO UNIVERSITARIO A CUADROS</v>
      </c>
      <c r="H664" s="215">
        <f>IFERROR(VLOOKUP(BD_DETALLE!$B664,Tabla9[],4,0),0)</f>
        <v>1</v>
      </c>
      <c r="I664" s="245" t="s">
        <v>15</v>
      </c>
      <c r="J664" s="216" t="s">
        <v>385</v>
      </c>
      <c r="K664" s="10">
        <f>IFERROR(VLOOKUP(BD_DETALLE!B664,Tabla9[],7,0),"")</f>
        <v>0</v>
      </c>
      <c r="L664" s="11">
        <f>IFERROR(VLOOKUP(BD_DETALLE!B664,Tabla9[],8,0),"")</f>
        <v>0</v>
      </c>
      <c r="M664" s="9">
        <f>IFERROR(SUMIFS(Tabla9[CANTIDAD2],Tabla9[BUSQUEDA],Tabla3[[#This Row],[BUSQUEDA]],Tabla9[CODIGO],Tabla3[[#This Row],[CODIGO]],Tabla9[ORDEN No.],Tabla3[[#This Row],[ORDEN de COMPRA]]),0)</f>
        <v>0</v>
      </c>
      <c r="N664" s="27">
        <f>IFERROR(IF(BD_DETALLE!B664&gt;0,VLOOKUP(BD_DETALLE!B664,Tabla9[],10,0),""),"")</f>
        <v>0</v>
      </c>
      <c r="O664" s="28">
        <f>IFERROR(VLOOKUP(BD_DETALLE!B664,Tabla9[],11,0),0)</f>
        <v>0</v>
      </c>
      <c r="P664" s="26">
        <f>IFERROR(SUMIFS(Tabla9[CANTIDAD3],Tabla9[BUSQUEDA],Tabla3[[#This Row],[BUSQUEDA]],Tabla9[CODIGO],Tabla3[[#This Row],[CODIGO]]),0)</f>
        <v>0</v>
      </c>
      <c r="Q664" s="25">
        <f>IF(BD_DETALLE!P664&lt;=0,0,IF(BD_DETALLE!P664=BD_DETALLE!H664,2,1))</f>
        <v>0</v>
      </c>
      <c r="R664" s="41">
        <f ca="1">IF(BD_DETALLE!$C664&gt;0,(IF(BD_DETALLE!$N664=0,TODAY()-BD_DETALLE!$C664,BD_DETALLE!$N664-BD_DETALLE!$C664)),"")</f>
        <v>14</v>
      </c>
    </row>
    <row r="665" spans="2:18" x14ac:dyDescent="0.25">
      <c r="B665" s="212" t="str">
        <f t="shared" si="65"/>
        <v>2104-2-305796</v>
      </c>
      <c r="C665" s="242">
        <v>44291</v>
      </c>
      <c r="D665" s="243" t="str">
        <f>IF(BD_DETALLE!$E665&gt;=1,CONCATENATE(TEXT(BD_DETALLE!$C665,"YY"),TEXT(BD_DETALLE!$C665,"MM"),"-",BD_DETALLE!$E665),"")</f>
        <v>2104-2</v>
      </c>
      <c r="E665" s="244">
        <v>2</v>
      </c>
      <c r="F665" s="213">
        <v>305796</v>
      </c>
      <c r="G665" s="214" t="str">
        <f>IFERROR(VLOOKUP(BD_DETALLE!$B665,Tabla9[],6,0),"")</f>
        <v>TINTA EPSON CYAN T6642</v>
      </c>
      <c r="H665" s="215">
        <f>IFERROR(VLOOKUP(BD_DETALLE!$B665,Tabla9[],4,0),0)</f>
        <v>3</v>
      </c>
      <c r="I665" s="245" t="s">
        <v>15</v>
      </c>
      <c r="J665" s="216" t="s">
        <v>385</v>
      </c>
      <c r="K665" s="10">
        <f>IFERROR(VLOOKUP(BD_DETALLE!B665,Tabla9[],7,0),"")</f>
        <v>0</v>
      </c>
      <c r="L665" s="11">
        <f>IFERROR(VLOOKUP(BD_DETALLE!B665,Tabla9[],8,0),"")</f>
        <v>0</v>
      </c>
      <c r="M665" s="9">
        <f>IFERROR(SUMIFS(Tabla9[CANTIDAD2],Tabla9[BUSQUEDA],Tabla3[[#This Row],[BUSQUEDA]],Tabla9[CODIGO],Tabla3[[#This Row],[CODIGO]],Tabla9[ORDEN No.],Tabla3[[#This Row],[ORDEN de COMPRA]]),0)</f>
        <v>0</v>
      </c>
      <c r="N665" s="27">
        <f>IFERROR(IF(BD_DETALLE!B665&gt;0,VLOOKUP(BD_DETALLE!B665,Tabla9[],10,0),""),"")</f>
        <v>0</v>
      </c>
      <c r="O665" s="28">
        <f>IFERROR(VLOOKUP(BD_DETALLE!B665,Tabla9[],11,0),0)</f>
        <v>0</v>
      </c>
      <c r="P665" s="26">
        <f>IFERROR(SUMIFS(Tabla9[CANTIDAD3],Tabla9[BUSQUEDA],Tabla3[[#This Row],[BUSQUEDA]],Tabla9[CODIGO],Tabla3[[#This Row],[CODIGO]]),0)</f>
        <v>0</v>
      </c>
      <c r="Q665" s="25">
        <f>IF(BD_DETALLE!P665&lt;=0,0,IF(BD_DETALLE!P665=BD_DETALLE!H665,2,1))</f>
        <v>0</v>
      </c>
      <c r="R665" s="41">
        <f ca="1">IF(BD_DETALLE!$C665&gt;0,(IF(BD_DETALLE!$N665=0,TODAY()-BD_DETALLE!$C665,BD_DETALLE!$N665-BD_DETALLE!$C665)),"")</f>
        <v>14</v>
      </c>
    </row>
    <row r="666" spans="2:18" x14ac:dyDescent="0.25">
      <c r="B666" s="212" t="str">
        <f t="shared" si="65"/>
        <v>2104-2-304184</v>
      </c>
      <c r="C666" s="242">
        <v>44291</v>
      </c>
      <c r="D666" s="243" t="str">
        <f>IF(BD_DETALLE!$E666&gt;=1,CONCATENATE(TEXT(BD_DETALLE!$C666,"YY"),TEXT(BD_DETALLE!$C666,"MM"),"-",BD_DETALLE!$E666),"")</f>
        <v>2104-2</v>
      </c>
      <c r="E666" s="244">
        <v>2</v>
      </c>
      <c r="F666" s="213">
        <v>304184</v>
      </c>
      <c r="G666" s="214" t="str">
        <f>IFERROR(VLOOKUP(BD_DETALLE!$B666,Tabla9[],6,0),"")</f>
        <v>PAPEL CONTINUO SIN COPIA</v>
      </c>
      <c r="H666" s="215">
        <f>IFERROR(VLOOKUP(BD_DETALLE!$B666,Tabla9[],4,0),0)</f>
        <v>3</v>
      </c>
      <c r="I666" s="245" t="s">
        <v>15</v>
      </c>
      <c r="J666" s="216" t="s">
        <v>385</v>
      </c>
      <c r="K666" s="10">
        <f>IFERROR(VLOOKUP(BD_DETALLE!B666,Tabla9[],7,0),"")</f>
        <v>0</v>
      </c>
      <c r="L666" s="11">
        <f>IFERROR(VLOOKUP(BD_DETALLE!B666,Tabla9[],8,0),"")</f>
        <v>0</v>
      </c>
      <c r="M666" s="9">
        <f>IFERROR(SUMIFS(Tabla9[CANTIDAD2],Tabla9[BUSQUEDA],Tabla3[[#This Row],[BUSQUEDA]],Tabla9[CODIGO],Tabla3[[#This Row],[CODIGO]],Tabla9[ORDEN No.],Tabla3[[#This Row],[ORDEN de COMPRA]]),0)</f>
        <v>0</v>
      </c>
      <c r="N666" s="27">
        <f>IFERROR(IF(BD_DETALLE!B666&gt;0,VLOOKUP(BD_DETALLE!B666,Tabla9[],10,0),""),"")</f>
        <v>0</v>
      </c>
      <c r="O666" s="28">
        <f>IFERROR(VLOOKUP(BD_DETALLE!B666,Tabla9[],11,0),0)</f>
        <v>0</v>
      </c>
      <c r="P666" s="26">
        <f>IFERROR(SUMIFS(Tabla9[CANTIDAD3],Tabla9[BUSQUEDA],Tabla3[[#This Row],[BUSQUEDA]],Tabla9[CODIGO],Tabla3[[#This Row],[CODIGO]]),0)</f>
        <v>0</v>
      </c>
      <c r="Q666" s="25">
        <f>IF(BD_DETALLE!P666&lt;=0,0,IF(BD_DETALLE!P666=BD_DETALLE!H666,2,1))</f>
        <v>0</v>
      </c>
      <c r="R666" s="41">
        <f ca="1">IF(BD_DETALLE!$C666&gt;0,(IF(BD_DETALLE!$N666=0,TODAY()-BD_DETALLE!$C666,BD_DETALLE!$N666-BD_DETALLE!$C666)),"")</f>
        <v>14</v>
      </c>
    </row>
    <row r="667" spans="2:18" x14ac:dyDescent="0.25">
      <c r="B667" s="212" t="str">
        <f t="shared" si="65"/>
        <v>2104-2-305795</v>
      </c>
      <c r="C667" s="242">
        <v>44291</v>
      </c>
      <c r="D667" s="243" t="str">
        <f>IF(BD_DETALLE!$E667&gt;=1,CONCATENATE(TEXT(BD_DETALLE!$C667,"YY"),TEXT(BD_DETALLE!$C667,"MM"),"-",BD_DETALLE!$E667),"")</f>
        <v>2104-2</v>
      </c>
      <c r="E667" s="244">
        <v>2</v>
      </c>
      <c r="F667" s="213">
        <v>305795</v>
      </c>
      <c r="G667" s="214" t="str">
        <f>IFERROR(VLOOKUP(BD_DETALLE!$B667,Tabla9[],6,0),"")</f>
        <v>TINTA EPSON NEGRO T6641</v>
      </c>
      <c r="H667" s="215">
        <f>IFERROR(VLOOKUP(BD_DETALLE!$B667,Tabla9[],4,0),0)</f>
        <v>5</v>
      </c>
      <c r="I667" s="245" t="s">
        <v>15</v>
      </c>
      <c r="J667" s="216" t="s">
        <v>385</v>
      </c>
      <c r="K667" s="10">
        <f>IFERROR(VLOOKUP(BD_DETALLE!B667,Tabla9[],7,0),"")</f>
        <v>0</v>
      </c>
      <c r="L667" s="11">
        <f>IFERROR(VLOOKUP(BD_DETALLE!B667,Tabla9[],8,0),"")</f>
        <v>0</v>
      </c>
      <c r="M667" s="9">
        <f>IFERROR(SUMIFS(Tabla9[CANTIDAD2],Tabla9[BUSQUEDA],Tabla3[[#This Row],[BUSQUEDA]],Tabla9[CODIGO],Tabla3[[#This Row],[CODIGO]],Tabla9[ORDEN No.],Tabla3[[#This Row],[ORDEN de COMPRA]]),0)</f>
        <v>0</v>
      </c>
      <c r="N667" s="27">
        <f>IFERROR(IF(BD_DETALLE!B667&gt;0,VLOOKUP(BD_DETALLE!B667,Tabla9[],10,0),""),"")</f>
        <v>0</v>
      </c>
      <c r="O667" s="28">
        <f>IFERROR(VLOOKUP(BD_DETALLE!B667,Tabla9[],11,0),0)</f>
        <v>0</v>
      </c>
      <c r="P667" s="26">
        <f>IFERROR(SUMIFS(Tabla9[CANTIDAD3],Tabla9[BUSQUEDA],Tabla3[[#This Row],[BUSQUEDA]],Tabla9[CODIGO],Tabla3[[#This Row],[CODIGO]]),0)</f>
        <v>0</v>
      </c>
      <c r="Q667" s="25">
        <f>IF(BD_DETALLE!P667&lt;=0,0,IF(BD_DETALLE!P667=BD_DETALLE!H667,2,1))</f>
        <v>0</v>
      </c>
      <c r="R667" s="41">
        <f ca="1">IF(BD_DETALLE!$C667&gt;0,(IF(BD_DETALLE!$N667=0,TODAY()-BD_DETALLE!$C667,BD_DETALLE!$N667-BD_DETALLE!$C667)),"")</f>
        <v>14</v>
      </c>
    </row>
    <row r="668" spans="2:18" x14ac:dyDescent="0.25">
      <c r="B668" s="212" t="str">
        <f t="shared" si="65"/>
        <v>2104-2-200336</v>
      </c>
      <c r="C668" s="242">
        <v>44291</v>
      </c>
      <c r="D668" s="243" t="str">
        <f>IF(BD_DETALLE!$E668&gt;=1,CONCATENATE(TEXT(BD_DETALLE!$C668,"YY"),TEXT(BD_DETALLE!$C668,"MM"),"-",BD_DETALLE!$E668),"")</f>
        <v>2104-2</v>
      </c>
      <c r="E668" s="244">
        <v>2</v>
      </c>
      <c r="F668" s="213">
        <v>200336</v>
      </c>
      <c r="G668" s="214" t="str">
        <f>IFERROR(VLOOKUP(BD_DETALLE!$B668,Tabla9[],6,0),"")</f>
        <v>PAPEL CONTINUO 9.1/2 x 11 2PARTES</v>
      </c>
      <c r="H668" s="215">
        <f>IFERROR(VLOOKUP(BD_DETALLE!$B668,Tabla9[],4,0),0)</f>
        <v>3</v>
      </c>
      <c r="I668" s="245" t="s">
        <v>15</v>
      </c>
      <c r="J668" s="216" t="s">
        <v>385</v>
      </c>
      <c r="K668" s="10">
        <f>IFERROR(VLOOKUP(BD_DETALLE!B668,Tabla9[],7,0),"")</f>
        <v>0</v>
      </c>
      <c r="L668" s="11">
        <f>IFERROR(VLOOKUP(BD_DETALLE!B668,Tabla9[],8,0),"")</f>
        <v>0</v>
      </c>
      <c r="M668" s="9">
        <f>IFERROR(SUMIFS(Tabla9[CANTIDAD2],Tabla9[BUSQUEDA],Tabla3[[#This Row],[BUSQUEDA]],Tabla9[CODIGO],Tabla3[[#This Row],[CODIGO]],Tabla9[ORDEN No.],Tabla3[[#This Row],[ORDEN de COMPRA]]),0)</f>
        <v>0</v>
      </c>
      <c r="N668" s="27">
        <f>IFERROR(IF(BD_DETALLE!B668&gt;0,VLOOKUP(BD_DETALLE!B668,Tabla9[],10,0),""),"")</f>
        <v>0</v>
      </c>
      <c r="O668" s="28">
        <f>IFERROR(VLOOKUP(BD_DETALLE!B668,Tabla9[],11,0),0)</f>
        <v>0</v>
      </c>
      <c r="P668" s="26">
        <f>IFERROR(SUMIFS(Tabla9[CANTIDAD3],Tabla9[BUSQUEDA],Tabla3[[#This Row],[BUSQUEDA]],Tabla9[CODIGO],Tabla3[[#This Row],[CODIGO]]),0)</f>
        <v>0</v>
      </c>
      <c r="Q668" s="25">
        <f>IF(BD_DETALLE!P668&lt;=0,0,IF(BD_DETALLE!P668=BD_DETALLE!H668,2,1))</f>
        <v>0</v>
      </c>
      <c r="R668" s="41">
        <f ca="1">IF(BD_DETALLE!$C668&gt;0,(IF(BD_DETALLE!$N668=0,TODAY()-BD_DETALLE!$C668,BD_DETALLE!$N668-BD_DETALLE!$C668)),"")</f>
        <v>14</v>
      </c>
    </row>
    <row r="669" spans="2:18" x14ac:dyDescent="0.25">
      <c r="B669" s="212" t="str">
        <f t="shared" si="65"/>
        <v>2104-2-305798</v>
      </c>
      <c r="C669" s="242">
        <v>44291</v>
      </c>
      <c r="D669" s="243" t="str">
        <f>IF(BD_DETALLE!$E669&gt;=1,CONCATENATE(TEXT(BD_DETALLE!$C669,"YY"),TEXT(BD_DETALLE!$C669,"MM"),"-",BD_DETALLE!$E669),"")</f>
        <v>2104-2</v>
      </c>
      <c r="E669" s="244">
        <v>2</v>
      </c>
      <c r="F669" s="213">
        <v>305798</v>
      </c>
      <c r="G669" s="214" t="str">
        <f>IFERROR(VLOOKUP(BD_DETALLE!$B669,Tabla9[],6,0),"")</f>
        <v>TINTA EPSON AMARILLO T6644</v>
      </c>
      <c r="H669" s="215">
        <f>IFERROR(VLOOKUP(BD_DETALLE!$B669,Tabla9[],4,0),0)</f>
        <v>3</v>
      </c>
      <c r="I669" s="245" t="s">
        <v>15</v>
      </c>
      <c r="J669" s="216" t="s">
        <v>385</v>
      </c>
      <c r="K669" s="10">
        <f>IFERROR(VLOOKUP(BD_DETALLE!B669,Tabla9[],7,0),"")</f>
        <v>0</v>
      </c>
      <c r="L669" s="11">
        <f>IFERROR(VLOOKUP(BD_DETALLE!B669,Tabla9[],8,0),"")</f>
        <v>0</v>
      </c>
      <c r="M669" s="9">
        <f>IFERROR(SUMIFS(Tabla9[CANTIDAD2],Tabla9[BUSQUEDA],Tabla3[[#This Row],[BUSQUEDA]],Tabla9[CODIGO],Tabla3[[#This Row],[CODIGO]],Tabla9[ORDEN No.],Tabla3[[#This Row],[ORDEN de COMPRA]]),0)</f>
        <v>0</v>
      </c>
      <c r="N669" s="27">
        <f>IFERROR(IF(BD_DETALLE!B669&gt;0,VLOOKUP(BD_DETALLE!B669,Tabla9[],10,0),""),"")</f>
        <v>0</v>
      </c>
      <c r="O669" s="28">
        <f>IFERROR(VLOOKUP(BD_DETALLE!B669,Tabla9[],11,0),0)</f>
        <v>0</v>
      </c>
      <c r="P669" s="26">
        <f>IFERROR(SUMIFS(Tabla9[CANTIDAD3],Tabla9[BUSQUEDA],Tabla3[[#This Row],[BUSQUEDA]],Tabla9[CODIGO],Tabla3[[#This Row],[CODIGO]]),0)</f>
        <v>0</v>
      </c>
      <c r="Q669" s="25">
        <f>IF(BD_DETALLE!P669&lt;=0,0,IF(BD_DETALLE!P669=BD_DETALLE!H669,2,1))</f>
        <v>0</v>
      </c>
      <c r="R669" s="41">
        <f ca="1">IF(BD_DETALLE!$C669&gt;0,(IF(BD_DETALLE!$N669=0,TODAY()-BD_DETALLE!$C669,BD_DETALLE!$N669-BD_DETALLE!$C669)),"")</f>
        <v>14</v>
      </c>
    </row>
    <row r="670" spans="2:18" x14ac:dyDescent="0.25">
      <c r="B670" s="212" t="str">
        <f t="shared" si="65"/>
        <v>2104-2-204138</v>
      </c>
      <c r="C670" s="242">
        <v>44291</v>
      </c>
      <c r="D670" s="243" t="str">
        <f>IF(BD_DETALLE!$E670&gt;=1,CONCATENATE(TEXT(BD_DETALLE!$C670,"YY"),TEXT(BD_DETALLE!$C670,"MM"),"-",BD_DETALLE!$E670),"")</f>
        <v>2104-2</v>
      </c>
      <c r="E670" s="244">
        <v>2</v>
      </c>
      <c r="F670" s="213">
        <v>204138</v>
      </c>
      <c r="G670" s="214" t="str">
        <f>IFERROR(VLOOKUP(BD_DETALLE!$B670,Tabla9[],6,0),"")</f>
        <v>HOJAS XEROX ALTA BLANCURA 75g/m A4 210 X 297mm</v>
      </c>
      <c r="H670" s="215">
        <f>IFERROR(VLOOKUP(BD_DETALLE!$B670,Tabla9[],4,0),0)</f>
        <v>10000</v>
      </c>
      <c r="I670" s="245" t="s">
        <v>15</v>
      </c>
      <c r="J670" s="216" t="s">
        <v>385</v>
      </c>
      <c r="K670" s="10">
        <f>IFERROR(VLOOKUP(BD_DETALLE!B670,Tabla9[],7,0),"")</f>
        <v>0</v>
      </c>
      <c r="L670" s="11">
        <f>IFERROR(VLOOKUP(BD_DETALLE!B670,Tabla9[],8,0),"")</f>
        <v>0</v>
      </c>
      <c r="M670" s="9">
        <f>IFERROR(SUMIFS(Tabla9[CANTIDAD2],Tabla9[BUSQUEDA],Tabla3[[#This Row],[BUSQUEDA]],Tabla9[CODIGO],Tabla3[[#This Row],[CODIGO]],Tabla9[ORDEN No.],Tabla3[[#This Row],[ORDEN de COMPRA]]),0)</f>
        <v>0</v>
      </c>
      <c r="N670" s="27">
        <f>IFERROR(IF(BD_DETALLE!B670&gt;0,VLOOKUP(BD_DETALLE!B670,Tabla9[],10,0),""),"")</f>
        <v>0</v>
      </c>
      <c r="O670" s="28">
        <f>IFERROR(VLOOKUP(BD_DETALLE!B670,Tabla9[],11,0),0)</f>
        <v>0</v>
      </c>
      <c r="P670" s="26">
        <f>IFERROR(SUMIFS(Tabla9[CANTIDAD3],Tabla9[BUSQUEDA],Tabla3[[#This Row],[BUSQUEDA]],Tabla9[CODIGO],Tabla3[[#This Row],[CODIGO]]),0)</f>
        <v>0</v>
      </c>
      <c r="Q670" s="25">
        <f>IF(BD_DETALLE!P670&lt;=0,0,IF(BD_DETALLE!P670=BD_DETALLE!H670,2,1))</f>
        <v>0</v>
      </c>
      <c r="R670" s="41">
        <f ca="1">IF(BD_DETALLE!$C670&gt;0,(IF(BD_DETALLE!$N670=0,TODAY()-BD_DETALLE!$C670,BD_DETALLE!$N670-BD_DETALLE!$C670)),"")</f>
        <v>14</v>
      </c>
    </row>
    <row r="671" spans="2:18" x14ac:dyDescent="0.25">
      <c r="B671" s="212" t="str">
        <f t="shared" si="65"/>
        <v>2104-2-305785</v>
      </c>
      <c r="C671" s="242">
        <v>44291</v>
      </c>
      <c r="D671" s="243" t="str">
        <f>IF(BD_DETALLE!$E671&gt;=1,CONCATENATE(TEXT(BD_DETALLE!$C671,"YY"),TEXT(BD_DETALLE!$C671,"MM"),"-",BD_DETALLE!$E671),"")</f>
        <v>2104-2</v>
      </c>
      <c r="E671" s="244">
        <v>2</v>
      </c>
      <c r="F671" s="213">
        <v>305785</v>
      </c>
      <c r="G671" s="214" t="str">
        <f>IFERROR(VLOOKUP(BD_DETALLE!$B671,Tabla9[],6,0),"")</f>
        <v>BLOCK EVALUACION DE MATERIA PRIMA (F-CC-001)</v>
      </c>
      <c r="H671" s="215">
        <f>IFERROR(VLOOKUP(BD_DETALLE!$B671,Tabla9[],4,0),0)</f>
        <v>30</v>
      </c>
      <c r="I671" s="245" t="s">
        <v>15</v>
      </c>
      <c r="J671" s="216" t="s">
        <v>385</v>
      </c>
      <c r="K671" s="10">
        <f>IFERROR(VLOOKUP(BD_DETALLE!B671,Tabla9[],7,0),"")</f>
        <v>0</v>
      </c>
      <c r="L671" s="11">
        <f>IFERROR(VLOOKUP(BD_DETALLE!B671,Tabla9[],8,0),"")</f>
        <v>0</v>
      </c>
      <c r="M671" s="9">
        <f>IFERROR(SUMIFS(Tabla9[CANTIDAD2],Tabla9[BUSQUEDA],Tabla3[[#This Row],[BUSQUEDA]],Tabla9[CODIGO],Tabla3[[#This Row],[CODIGO]],Tabla9[ORDEN No.],Tabla3[[#This Row],[ORDEN de COMPRA]]),0)</f>
        <v>0</v>
      </c>
      <c r="N671" s="27">
        <f>IFERROR(IF(BD_DETALLE!B671&gt;0,VLOOKUP(BD_DETALLE!B671,Tabla9[],10,0),""),"")</f>
        <v>0</v>
      </c>
      <c r="O671" s="28">
        <f>IFERROR(VLOOKUP(BD_DETALLE!B671,Tabla9[],11,0),0)</f>
        <v>0</v>
      </c>
      <c r="P671" s="26">
        <f>IFERROR(SUMIFS(Tabla9[CANTIDAD3],Tabla9[BUSQUEDA],Tabla3[[#This Row],[BUSQUEDA]],Tabla9[CODIGO],Tabla3[[#This Row],[CODIGO]]),0)</f>
        <v>0</v>
      </c>
      <c r="Q671" s="25">
        <f>IF(BD_DETALLE!P671&lt;=0,0,IF(BD_DETALLE!P671=BD_DETALLE!H671,2,1))</f>
        <v>0</v>
      </c>
      <c r="R671" s="41">
        <f ca="1">IF(BD_DETALLE!$C671&gt;0,(IF(BD_DETALLE!$N671=0,TODAY()-BD_DETALLE!$C671,BD_DETALLE!$N671-BD_DETALLE!$C671)),"")</f>
        <v>14</v>
      </c>
    </row>
    <row r="672" spans="2:18" x14ac:dyDescent="0.25">
      <c r="B672" s="212" t="str">
        <f t="shared" si="65"/>
        <v>2104-2-203879</v>
      </c>
      <c r="C672" s="242">
        <v>44291</v>
      </c>
      <c r="D672" s="243" t="str">
        <f>IF(BD_DETALLE!$E672&gt;=1,CONCATENATE(TEXT(BD_DETALLE!$C672,"YY"),TEXT(BD_DETALLE!$C672,"MM"),"-",BD_DETALLE!$E672),"")</f>
        <v>2104-2</v>
      </c>
      <c r="E672" s="244">
        <v>2</v>
      </c>
      <c r="F672" s="213">
        <v>203879</v>
      </c>
      <c r="G672" s="214" t="str">
        <f>IFERROR(VLOOKUP(BD_DETALLE!$B672,Tabla9[],6,0),"")</f>
        <v>RESALTADOR</v>
      </c>
      <c r="H672" s="215">
        <f>IFERROR(VLOOKUP(BD_DETALLE!$B672,Tabla9[],4,0),0)</f>
        <v>10</v>
      </c>
      <c r="I672" s="245" t="s">
        <v>15</v>
      </c>
      <c r="J672" s="216" t="s">
        <v>385</v>
      </c>
      <c r="K672" s="10">
        <f>IFERROR(VLOOKUP(BD_DETALLE!B672,Tabla9[],7,0),"")</f>
        <v>0</v>
      </c>
      <c r="L672" s="11">
        <f>IFERROR(VLOOKUP(BD_DETALLE!B672,Tabla9[],8,0),"")</f>
        <v>0</v>
      </c>
      <c r="M672" s="9">
        <f>IFERROR(SUMIFS(Tabla9[CANTIDAD2],Tabla9[BUSQUEDA],Tabla3[[#This Row],[BUSQUEDA]],Tabla9[CODIGO],Tabla3[[#This Row],[CODIGO]],Tabla9[ORDEN No.],Tabla3[[#This Row],[ORDEN de COMPRA]]),0)</f>
        <v>0</v>
      </c>
      <c r="N672" s="27">
        <f>IFERROR(IF(BD_DETALLE!B672&gt;0,VLOOKUP(BD_DETALLE!B672,Tabla9[],10,0),""),"")</f>
        <v>0</v>
      </c>
      <c r="O672" s="28">
        <f>IFERROR(VLOOKUP(BD_DETALLE!B672,Tabla9[],11,0),0)</f>
        <v>0</v>
      </c>
      <c r="P672" s="26">
        <f>IFERROR(SUMIFS(Tabla9[CANTIDAD3],Tabla9[BUSQUEDA],Tabla3[[#This Row],[BUSQUEDA]],Tabla9[CODIGO],Tabla3[[#This Row],[CODIGO]]),0)</f>
        <v>0</v>
      </c>
      <c r="Q672" s="25">
        <f>IF(BD_DETALLE!P672&lt;=0,0,IF(BD_DETALLE!P672=BD_DETALLE!H672,2,1))</f>
        <v>0</v>
      </c>
      <c r="R672" s="41">
        <f ca="1">IF(BD_DETALLE!$C672&gt;0,(IF(BD_DETALLE!$N672=0,TODAY()-BD_DETALLE!$C672,BD_DETALLE!$N672-BD_DETALLE!$C672)),"")</f>
        <v>14</v>
      </c>
    </row>
    <row r="673" spans="2:18" x14ac:dyDescent="0.25">
      <c r="B673" s="212" t="str">
        <f t="shared" si="65"/>
        <v>2104-2-200779</v>
      </c>
      <c r="C673" s="242">
        <v>44291</v>
      </c>
      <c r="D673" s="243" t="str">
        <f>IF(BD_DETALLE!$E673&gt;=1,CONCATENATE(TEXT(BD_DETALLE!$C673,"YY"),TEXT(BD_DETALLE!$C673,"MM"),"-",BD_DETALLE!$E673),"")</f>
        <v>2104-2</v>
      </c>
      <c r="E673" s="244">
        <v>2</v>
      </c>
      <c r="F673" s="213">
        <v>200779</v>
      </c>
      <c r="G673" s="214" t="str">
        <f>IFERROR(VLOOKUP(BD_DETALLE!$B673,Tabla9[],6,0),"")</f>
        <v>CARPETA LEITZ GRANDE</v>
      </c>
      <c r="H673" s="215">
        <f>IFERROR(VLOOKUP(BD_DETALLE!$B673,Tabla9[],4,0),0)</f>
        <v>20</v>
      </c>
      <c r="I673" s="245" t="s">
        <v>15</v>
      </c>
      <c r="J673" s="216" t="s">
        <v>385</v>
      </c>
      <c r="K673" s="10">
        <f>IFERROR(VLOOKUP(BD_DETALLE!B673,Tabla9[],7,0),"")</f>
        <v>0</v>
      </c>
      <c r="L673" s="11">
        <f>IFERROR(VLOOKUP(BD_DETALLE!B673,Tabla9[],8,0),"")</f>
        <v>0</v>
      </c>
      <c r="M673" s="9">
        <f>IFERROR(SUMIFS(Tabla9[CANTIDAD2],Tabla9[BUSQUEDA],Tabla3[[#This Row],[BUSQUEDA]],Tabla9[CODIGO],Tabla3[[#This Row],[CODIGO]],Tabla9[ORDEN No.],Tabla3[[#This Row],[ORDEN de COMPRA]]),0)</f>
        <v>0</v>
      </c>
      <c r="N673" s="27">
        <f>IFERROR(IF(BD_DETALLE!B673&gt;0,VLOOKUP(BD_DETALLE!B673,Tabla9[],10,0),""),"")</f>
        <v>0</v>
      </c>
      <c r="O673" s="28">
        <f>IFERROR(VLOOKUP(BD_DETALLE!B673,Tabla9[],11,0),0)</f>
        <v>0</v>
      </c>
      <c r="P673" s="26">
        <f>IFERROR(SUMIFS(Tabla9[CANTIDAD3],Tabla9[BUSQUEDA],Tabla3[[#This Row],[BUSQUEDA]],Tabla9[CODIGO],Tabla3[[#This Row],[CODIGO]]),0)</f>
        <v>0</v>
      </c>
      <c r="Q673" s="25">
        <f>IF(BD_DETALLE!P673&lt;=0,0,IF(BD_DETALLE!P673=BD_DETALLE!H673,2,1))</f>
        <v>0</v>
      </c>
      <c r="R673" s="41">
        <f ca="1">IF(BD_DETALLE!$C673&gt;0,(IF(BD_DETALLE!$N673=0,TODAY()-BD_DETALLE!$C673,BD_DETALLE!$N673-BD_DETALLE!$C673)),"")</f>
        <v>14</v>
      </c>
    </row>
    <row r="674" spans="2:18" x14ac:dyDescent="0.25">
      <c r="B674" s="212" t="str">
        <f t="shared" si="65"/>
        <v>2104-2-305797</v>
      </c>
      <c r="C674" s="242">
        <v>44291</v>
      </c>
      <c r="D674" s="243" t="str">
        <f>IF(BD_DETALLE!$E674&gt;=1,CONCATENATE(TEXT(BD_DETALLE!$C674,"YY"),TEXT(BD_DETALLE!$C674,"MM"),"-",BD_DETALLE!$E674),"")</f>
        <v>2104-2</v>
      </c>
      <c r="E674" s="244">
        <v>2</v>
      </c>
      <c r="F674" s="213">
        <v>305797</v>
      </c>
      <c r="G674" s="214" t="str">
        <f>IFERROR(VLOOKUP(BD_DETALLE!$B674,Tabla9[],6,0),"")</f>
        <v>TINTA EPSON MAGENTA T6643</v>
      </c>
      <c r="H674" s="215">
        <f>IFERROR(VLOOKUP(BD_DETALLE!$B674,Tabla9[],4,0),0)</f>
        <v>2</v>
      </c>
      <c r="I674" s="245" t="s">
        <v>15</v>
      </c>
      <c r="J674" s="216" t="s">
        <v>385</v>
      </c>
      <c r="K674" s="10">
        <f>IFERROR(VLOOKUP(BD_DETALLE!B674,Tabla9[],7,0),"")</f>
        <v>0</v>
      </c>
      <c r="L674" s="11">
        <f>IFERROR(VLOOKUP(BD_DETALLE!B674,Tabla9[],8,0),"")</f>
        <v>0</v>
      </c>
      <c r="M674" s="9">
        <f>IFERROR(SUMIFS(Tabla9[CANTIDAD2],Tabla9[BUSQUEDA],Tabla3[[#This Row],[BUSQUEDA]],Tabla9[CODIGO],Tabla3[[#This Row],[CODIGO]],Tabla9[ORDEN No.],Tabla3[[#This Row],[ORDEN de COMPRA]]),0)</f>
        <v>0</v>
      </c>
      <c r="N674" s="27">
        <f>IFERROR(IF(BD_DETALLE!B674&gt;0,VLOOKUP(BD_DETALLE!B674,Tabla9[],10,0),""),"")</f>
        <v>0</v>
      </c>
      <c r="O674" s="28">
        <f>IFERROR(VLOOKUP(BD_DETALLE!B674,Tabla9[],11,0),0)</f>
        <v>0</v>
      </c>
      <c r="P674" s="26">
        <f>IFERROR(SUMIFS(Tabla9[CANTIDAD3],Tabla9[BUSQUEDA],Tabla3[[#This Row],[BUSQUEDA]],Tabla9[CODIGO],Tabla3[[#This Row],[CODIGO]]),0)</f>
        <v>0</v>
      </c>
      <c r="Q674" s="25">
        <f>IF(BD_DETALLE!P674&lt;=0,0,IF(BD_DETALLE!P674=BD_DETALLE!H674,2,1))</f>
        <v>0</v>
      </c>
      <c r="R674" s="41">
        <f ca="1">IF(BD_DETALLE!$C674&gt;0,(IF(BD_DETALLE!$N674=0,TODAY()-BD_DETALLE!$C674,BD_DETALLE!$N674-BD_DETALLE!$C674)),"")</f>
        <v>14</v>
      </c>
    </row>
    <row r="675" spans="2:18" x14ac:dyDescent="0.25">
      <c r="B675" s="212" t="str">
        <f t="shared" si="65"/>
        <v>2104-2-311570</v>
      </c>
      <c r="C675" s="242">
        <v>44291</v>
      </c>
      <c r="D675" s="243" t="str">
        <f>IF(BD_DETALLE!$E675&gt;=1,CONCATENATE(TEXT(BD_DETALLE!$C675,"YY"),TEXT(BD_DETALLE!$C675,"MM"),"-",BD_DETALLE!$E675),"")</f>
        <v>2104-2</v>
      </c>
      <c r="E675" s="244">
        <v>2</v>
      </c>
      <c r="F675" s="213">
        <v>311570</v>
      </c>
      <c r="G675" s="214" t="str">
        <f>IFERROR(VLOOKUP(BD_DETALLE!$B675,Tabla9[],6,0),"")</f>
        <v>TABLERO DE CAMPO  A4</v>
      </c>
      <c r="H675" s="215">
        <f>IFERROR(VLOOKUP(BD_DETALLE!$B675,Tabla9[],4,0),0)</f>
        <v>6</v>
      </c>
      <c r="I675" s="245" t="s">
        <v>15</v>
      </c>
      <c r="J675" s="216" t="s">
        <v>385</v>
      </c>
      <c r="K675" s="10">
        <f>IFERROR(VLOOKUP(BD_DETALLE!B675,Tabla9[],7,0),"")</f>
        <v>0</v>
      </c>
      <c r="L675" s="11">
        <f>IFERROR(VLOOKUP(BD_DETALLE!B675,Tabla9[],8,0),"")</f>
        <v>0</v>
      </c>
      <c r="M675" s="9">
        <f>IFERROR(SUMIFS(Tabla9[CANTIDAD2],Tabla9[BUSQUEDA],Tabla3[[#This Row],[BUSQUEDA]],Tabla9[CODIGO],Tabla3[[#This Row],[CODIGO]],Tabla9[ORDEN No.],Tabla3[[#This Row],[ORDEN de COMPRA]]),0)</f>
        <v>0</v>
      </c>
      <c r="N675" s="27">
        <f>IFERROR(IF(BD_DETALLE!B675&gt;0,VLOOKUP(BD_DETALLE!B675,Tabla9[],10,0),""),"")</f>
        <v>0</v>
      </c>
      <c r="O675" s="28">
        <f>IFERROR(VLOOKUP(BD_DETALLE!B675,Tabla9[],11,0),0)</f>
        <v>0</v>
      </c>
      <c r="P675" s="26">
        <f>IFERROR(SUMIFS(Tabla9[CANTIDAD3],Tabla9[BUSQUEDA],Tabla3[[#This Row],[BUSQUEDA]],Tabla9[CODIGO],Tabla3[[#This Row],[CODIGO]]),0)</f>
        <v>0</v>
      </c>
      <c r="Q675" s="25">
        <f>IF(BD_DETALLE!P675&lt;=0,0,IF(BD_DETALLE!P675=BD_DETALLE!H675,2,1))</f>
        <v>0</v>
      </c>
      <c r="R675" s="41">
        <f ca="1">IF(BD_DETALLE!$C675&gt;0,(IF(BD_DETALLE!$N675=0,TODAY()-BD_DETALLE!$C675,BD_DETALLE!$N675-BD_DETALLE!$C675)),"")</f>
        <v>14</v>
      </c>
    </row>
    <row r="676" spans="2:18" x14ac:dyDescent="0.25">
      <c r="B676" s="212" t="str">
        <f t="shared" si="65"/>
        <v>2104-2-203876</v>
      </c>
      <c r="C676" s="242">
        <v>44291</v>
      </c>
      <c r="D676" s="243" t="str">
        <f>IF(BD_DETALLE!$E676&gt;=1,CONCATENATE(TEXT(BD_DETALLE!$C676,"YY"),TEXT(BD_DETALLE!$C676,"MM"),"-",BD_DETALLE!$E676),"")</f>
        <v>2104-2</v>
      </c>
      <c r="E676" s="244">
        <v>2</v>
      </c>
      <c r="F676" s="213">
        <v>203876</v>
      </c>
      <c r="G676" s="214" t="str">
        <f>IFERROR(VLOOKUP(BD_DETALLE!$B676,Tabla9[],6,0),"")</f>
        <v>MARCADOR PERMANENTE</v>
      </c>
      <c r="H676" s="215">
        <f>IFERROR(VLOOKUP(BD_DETALLE!$B676,Tabla9[],4,0),0)</f>
        <v>20</v>
      </c>
      <c r="I676" s="245" t="s">
        <v>15</v>
      </c>
      <c r="J676" s="216" t="s">
        <v>385</v>
      </c>
      <c r="K676" s="10">
        <f>IFERROR(VLOOKUP(BD_DETALLE!B676,Tabla9[],7,0),"")</f>
        <v>0</v>
      </c>
      <c r="L676" s="11">
        <f>IFERROR(VLOOKUP(BD_DETALLE!B676,Tabla9[],8,0),"")</f>
        <v>0</v>
      </c>
      <c r="M676" s="9">
        <f>IFERROR(SUMIFS(Tabla9[CANTIDAD2],Tabla9[BUSQUEDA],Tabla3[[#This Row],[BUSQUEDA]],Tabla9[CODIGO],Tabla3[[#This Row],[CODIGO]],Tabla9[ORDEN No.],Tabla3[[#This Row],[ORDEN de COMPRA]]),0)</f>
        <v>0</v>
      </c>
      <c r="N676" s="27">
        <f>IFERROR(IF(BD_DETALLE!B676&gt;0,VLOOKUP(BD_DETALLE!B676,Tabla9[],10,0),""),"")</f>
        <v>0</v>
      </c>
      <c r="O676" s="28">
        <f>IFERROR(VLOOKUP(BD_DETALLE!B676,Tabla9[],11,0),0)</f>
        <v>0</v>
      </c>
      <c r="P676" s="26">
        <f>IFERROR(SUMIFS(Tabla9[CANTIDAD3],Tabla9[BUSQUEDA],Tabla3[[#This Row],[BUSQUEDA]],Tabla9[CODIGO],Tabla3[[#This Row],[CODIGO]]),0)</f>
        <v>0</v>
      </c>
      <c r="Q676" s="25">
        <f>IF(BD_DETALLE!P676&lt;=0,0,IF(BD_DETALLE!P676=BD_DETALLE!H676,2,1))</f>
        <v>0</v>
      </c>
      <c r="R676" s="41">
        <f ca="1">IF(BD_DETALLE!$C676&gt;0,(IF(BD_DETALLE!$N676=0,TODAY()-BD_DETALLE!$C676,BD_DETALLE!$N676-BD_DETALLE!$C676)),"")</f>
        <v>14</v>
      </c>
    </row>
    <row r="677" spans="2:18" x14ac:dyDescent="0.25">
      <c r="B677" s="212" t="str">
        <f t="shared" si="65"/>
        <v>2104-3-200930</v>
      </c>
      <c r="C677" s="242">
        <v>44291</v>
      </c>
      <c r="D677" s="243" t="str">
        <f>IF(BD_DETALLE!$E677&gt;=1,CONCATENATE(TEXT(BD_DETALLE!$C677,"YY"),TEXT(BD_DETALLE!$C677,"MM"),"-",BD_DETALLE!$E677),"")</f>
        <v>2104-3</v>
      </c>
      <c r="E677" s="244">
        <v>3</v>
      </c>
      <c r="F677" s="213">
        <v>200930</v>
      </c>
      <c r="G677" s="214" t="str">
        <f>IFERROR(VLOOKUP(BD_DETALLE!$B677,Tabla9[],6,0),"")</f>
        <v>MASCARILLA DESECHABLES</v>
      </c>
      <c r="H677" s="215">
        <f>IFERROR(VLOOKUP(BD_DETALLE!$B677,Tabla9[],4,0),0)</f>
        <v>1000</v>
      </c>
      <c r="I677" s="245" t="s">
        <v>15</v>
      </c>
      <c r="J677" s="216" t="s">
        <v>385</v>
      </c>
      <c r="K677" s="10">
        <f>IFERROR(VLOOKUP(BD_DETALLE!B677,Tabla9[],7,0),"")</f>
        <v>44295</v>
      </c>
      <c r="L677" s="11">
        <f>IFERROR(VLOOKUP(BD_DETALLE!B677,Tabla9[],8,0),"")</f>
        <v>52433</v>
      </c>
      <c r="M677" s="9">
        <f>IFERROR(SUMIFS(Tabla9[CANTIDAD2],Tabla9[BUSQUEDA],Tabla3[[#This Row],[BUSQUEDA]],Tabla9[CODIGO],Tabla3[[#This Row],[CODIGO]],Tabla9[ORDEN No.],Tabla3[[#This Row],[ORDEN de COMPRA]]),0)</f>
        <v>1000</v>
      </c>
      <c r="N677" s="27">
        <f>IFERROR(IF(BD_DETALLE!B677&gt;0,VLOOKUP(BD_DETALLE!B677,Tabla9[],10,0),""),"")</f>
        <v>44301</v>
      </c>
      <c r="O677" s="28">
        <f>IFERROR(VLOOKUP(BD_DETALLE!B677,Tabla9[],11,0),0)</f>
        <v>11845</v>
      </c>
      <c r="P677" s="26">
        <f>IFERROR(SUMIFS(Tabla9[CANTIDAD3],Tabla9[BUSQUEDA],Tabla3[[#This Row],[BUSQUEDA]],Tabla9[CODIGO],Tabla3[[#This Row],[CODIGO]]),0)</f>
        <v>1000</v>
      </c>
      <c r="Q677" s="25">
        <f>IF(BD_DETALLE!P677&lt;=0,0,IF(BD_DETALLE!P677=BD_DETALLE!H677,2,1))</f>
        <v>2</v>
      </c>
      <c r="R677" s="41">
        <f ca="1">IF(BD_DETALLE!$C677&gt;0,(IF(BD_DETALLE!$N677=0,TODAY()-BD_DETALLE!$C677,BD_DETALLE!$N677-BD_DETALLE!$C677)),"")</f>
        <v>10</v>
      </c>
    </row>
    <row r="678" spans="2:18" x14ac:dyDescent="0.25">
      <c r="B678" s="212" t="str">
        <f t="shared" si="65"/>
        <v>2104-3-206149</v>
      </c>
      <c r="C678" s="242">
        <v>44291</v>
      </c>
      <c r="D678" s="243" t="str">
        <f>IF(BD_DETALLE!$E678&gt;=1,CONCATENATE(TEXT(BD_DETALLE!$C678,"YY"),TEXT(BD_DETALLE!$C678,"MM"),"-",BD_DETALLE!$E678),"")</f>
        <v>2104-3</v>
      </c>
      <c r="E678" s="244">
        <v>3</v>
      </c>
      <c r="F678" s="213">
        <v>206149</v>
      </c>
      <c r="G678" s="214" t="str">
        <f>IFERROR(VLOOKUP(BD_DETALLE!$B678,Tabla9[],6,0),"")</f>
        <v>OREJERA PELTOR P/CASCOS OPTIME III</v>
      </c>
      <c r="H678" s="215">
        <f>IFERROR(VLOOKUP(BD_DETALLE!$B678,Tabla9[],4,0),0)</f>
        <v>10</v>
      </c>
      <c r="I678" s="245" t="s">
        <v>15</v>
      </c>
      <c r="J678" s="216" t="s">
        <v>385</v>
      </c>
      <c r="K678" s="10">
        <f>IFERROR(VLOOKUP(BD_DETALLE!B678,Tabla9[],7,0),"")</f>
        <v>44295</v>
      </c>
      <c r="L678" s="11">
        <f>IFERROR(VLOOKUP(BD_DETALLE!B678,Tabla9[],8,0),"")</f>
        <v>52430</v>
      </c>
      <c r="M678" s="9">
        <f>IFERROR(SUMIFS(Tabla9[CANTIDAD2],Tabla9[BUSQUEDA],Tabla3[[#This Row],[BUSQUEDA]],Tabla9[CODIGO],Tabla3[[#This Row],[CODIGO]],Tabla9[ORDEN No.],Tabla3[[#This Row],[ORDEN de COMPRA]]),0)</f>
        <v>10</v>
      </c>
      <c r="N678" s="27">
        <f>IFERROR(IF(BD_DETALLE!B678&gt;0,VLOOKUP(BD_DETALLE!B678,Tabla9[],10,0),""),"")</f>
        <v>0</v>
      </c>
      <c r="O678" s="28">
        <f>IFERROR(VLOOKUP(BD_DETALLE!B678,Tabla9[],11,0),0)</f>
        <v>0</v>
      </c>
      <c r="P678" s="26">
        <f>IFERROR(SUMIFS(Tabla9[CANTIDAD3],Tabla9[BUSQUEDA],Tabla3[[#This Row],[BUSQUEDA]],Tabla9[CODIGO],Tabla3[[#This Row],[CODIGO]]),0)</f>
        <v>0</v>
      </c>
      <c r="Q678" s="25">
        <f>IF(BD_DETALLE!P678&lt;=0,0,IF(BD_DETALLE!P678=BD_DETALLE!H678,2,1))</f>
        <v>0</v>
      </c>
      <c r="R678" s="41">
        <f ca="1">IF(BD_DETALLE!$C678&gt;0,(IF(BD_DETALLE!$N678=0,TODAY()-BD_DETALLE!$C678,BD_DETALLE!$N678-BD_DETALLE!$C678)),"")</f>
        <v>14</v>
      </c>
    </row>
    <row r="679" spans="2:18" x14ac:dyDescent="0.25">
      <c r="B679" s="212" t="str">
        <f t="shared" si="65"/>
        <v>2104-3-206316</v>
      </c>
      <c r="C679" s="242">
        <v>44291</v>
      </c>
      <c r="D679" s="243" t="str">
        <f>IF(BD_DETALLE!$E679&gt;=1,CONCATENATE(TEXT(BD_DETALLE!$C679,"YY"),TEXT(BD_DETALLE!$C679,"MM"),"-",BD_DETALLE!$E679),"")</f>
        <v>2104-3</v>
      </c>
      <c r="E679" s="244">
        <v>3</v>
      </c>
      <c r="F679" s="213">
        <v>206316</v>
      </c>
      <c r="G679" s="214" t="str">
        <f>IFERROR(VLOOKUP(BD_DETALLE!$B679,Tabla9[],6,0),"")</f>
        <v>MANDIL DE PLASTICO</v>
      </c>
      <c r="H679" s="215">
        <f>IFERROR(VLOOKUP(BD_DETALLE!$B679,Tabla9[],4,0),0)</f>
        <v>10</v>
      </c>
      <c r="I679" s="245" t="s">
        <v>15</v>
      </c>
      <c r="J679" s="216" t="s">
        <v>385</v>
      </c>
      <c r="K679" s="10">
        <f>IFERROR(VLOOKUP(BD_DETALLE!B679,Tabla9[],7,0),"")</f>
        <v>44294</v>
      </c>
      <c r="L679" s="11">
        <f>IFERROR(VLOOKUP(BD_DETALLE!B679,Tabla9[],8,0),"")</f>
        <v>52403</v>
      </c>
      <c r="M679" s="9">
        <f>IFERROR(SUMIFS(Tabla9[CANTIDAD2],Tabla9[BUSQUEDA],Tabla3[[#This Row],[BUSQUEDA]],Tabla9[CODIGO],Tabla3[[#This Row],[CODIGO]],Tabla9[ORDEN No.],Tabla3[[#This Row],[ORDEN de COMPRA]]),0)</f>
        <v>10</v>
      </c>
      <c r="N679" s="27">
        <f>IFERROR(IF(BD_DETALLE!B679&gt;0,VLOOKUP(BD_DETALLE!B679,Tabla9[],10,0),""),"")</f>
        <v>0</v>
      </c>
      <c r="O679" s="28">
        <f>IFERROR(VLOOKUP(BD_DETALLE!B679,Tabla9[],11,0),0)</f>
        <v>0</v>
      </c>
      <c r="P679" s="26">
        <f>IFERROR(SUMIFS(Tabla9[CANTIDAD3],Tabla9[BUSQUEDA],Tabla3[[#This Row],[BUSQUEDA]],Tabla9[CODIGO],Tabla3[[#This Row],[CODIGO]]),0)</f>
        <v>0</v>
      </c>
      <c r="Q679" s="25">
        <f>IF(BD_DETALLE!P679&lt;=0,0,IF(BD_DETALLE!P679=BD_DETALLE!H679,2,1))</f>
        <v>0</v>
      </c>
      <c r="R679" s="41">
        <f ca="1">IF(BD_DETALLE!$C679&gt;0,(IF(BD_DETALLE!$N679=0,TODAY()-BD_DETALLE!$C679,BD_DETALLE!$N679-BD_DETALLE!$C679)),"")</f>
        <v>14</v>
      </c>
    </row>
    <row r="680" spans="2:18" x14ac:dyDescent="0.25">
      <c r="B680" s="212" t="str">
        <f t="shared" si="65"/>
        <v>2104-3-311660</v>
      </c>
      <c r="C680" s="242">
        <v>44291</v>
      </c>
      <c r="D680" s="243" t="str">
        <f>IF(BD_DETALLE!$E680&gt;=1,CONCATENATE(TEXT(BD_DETALLE!$C680,"YY"),TEXT(BD_DETALLE!$C680,"MM"),"-",BD_DETALLE!$E680),"")</f>
        <v>2104-3</v>
      </c>
      <c r="E680" s="244">
        <v>3</v>
      </c>
      <c r="F680" s="213">
        <v>311660</v>
      </c>
      <c r="G680" s="214" t="str">
        <f>IFERROR(VLOOKUP(BD_DETALLE!$B680,Tabla9[],6,0),"")</f>
        <v>GAFAS DE SEGURIDAD OSCURA 3M (11815-00000-20)</v>
      </c>
      <c r="H680" s="215">
        <f>IFERROR(VLOOKUP(BD_DETALLE!$B680,Tabla9[],4,0),0)</f>
        <v>20</v>
      </c>
      <c r="I680" s="245" t="s">
        <v>15</v>
      </c>
      <c r="J680" s="216" t="s">
        <v>385</v>
      </c>
      <c r="K680" s="10">
        <f>IFERROR(VLOOKUP(BD_DETALLE!B680,Tabla9[],7,0),"")</f>
        <v>44294</v>
      </c>
      <c r="L680" s="11">
        <f>IFERROR(VLOOKUP(BD_DETALLE!B680,Tabla9[],8,0),"")</f>
        <v>52403</v>
      </c>
      <c r="M680" s="9">
        <f>IFERROR(SUMIFS(Tabla9[CANTIDAD2],Tabla9[BUSQUEDA],Tabla3[[#This Row],[BUSQUEDA]],Tabla9[CODIGO],Tabla3[[#This Row],[CODIGO]],Tabla9[ORDEN No.],Tabla3[[#This Row],[ORDEN de COMPRA]]),0)</f>
        <v>20</v>
      </c>
      <c r="N680" s="27">
        <f>IFERROR(IF(BD_DETALLE!B680&gt;0,VLOOKUP(BD_DETALLE!B680,Tabla9[],10,0),""),"")</f>
        <v>0</v>
      </c>
      <c r="O680" s="28">
        <f>IFERROR(VLOOKUP(BD_DETALLE!B680,Tabla9[],11,0),0)</f>
        <v>0</v>
      </c>
      <c r="P680" s="26">
        <f>IFERROR(SUMIFS(Tabla9[CANTIDAD3],Tabla9[BUSQUEDA],Tabla3[[#This Row],[BUSQUEDA]],Tabla9[CODIGO],Tabla3[[#This Row],[CODIGO]]),0)</f>
        <v>0</v>
      </c>
      <c r="Q680" s="25">
        <f>IF(BD_DETALLE!P680&lt;=0,0,IF(BD_DETALLE!P680=BD_DETALLE!H680,2,1))</f>
        <v>0</v>
      </c>
      <c r="R680" s="41">
        <f ca="1">IF(BD_DETALLE!$C680&gt;0,(IF(BD_DETALLE!$N680=0,TODAY()-BD_DETALLE!$C680,BD_DETALLE!$N680-BD_DETALLE!$C680)),"")</f>
        <v>14</v>
      </c>
    </row>
    <row r="681" spans="2:18" x14ac:dyDescent="0.25">
      <c r="B681" s="212" t="str">
        <f t="shared" si="65"/>
        <v>2104-3-200837</v>
      </c>
      <c r="C681" s="242">
        <v>44291</v>
      </c>
      <c r="D681" s="243" t="str">
        <f>IF(BD_DETALLE!$E681&gt;=1,CONCATENATE(TEXT(BD_DETALLE!$C681,"YY"),TEXT(BD_DETALLE!$C681,"MM"),"-",BD_DETALLE!$E681),"")</f>
        <v>2104-3</v>
      </c>
      <c r="E681" s="244">
        <v>3</v>
      </c>
      <c r="F681" s="213">
        <v>200837</v>
      </c>
      <c r="G681" s="214" t="str">
        <f>IFERROR(VLOOKUP(BD_DETALLE!$B681,Tabla9[],6,0),"")</f>
        <v>GUANTE DE CAUCHO  NITRI SOLVE 747-09</v>
      </c>
      <c r="H681" s="215">
        <f>IFERROR(VLOOKUP(BD_DETALLE!$B681,Tabla9[],4,0),0)</f>
        <v>15</v>
      </c>
      <c r="I681" s="245" t="s">
        <v>15</v>
      </c>
      <c r="J681" s="216" t="s">
        <v>385</v>
      </c>
      <c r="K681" s="10">
        <f>IFERROR(VLOOKUP(BD_DETALLE!B681,Tabla9[],7,0),"")</f>
        <v>44295</v>
      </c>
      <c r="L681" s="11">
        <f>IFERROR(VLOOKUP(BD_DETALLE!B681,Tabla9[],8,0),"")</f>
        <v>52430</v>
      </c>
      <c r="M681" s="9">
        <f>IFERROR(SUMIFS(Tabla9[CANTIDAD2],Tabla9[BUSQUEDA],Tabla3[[#This Row],[BUSQUEDA]],Tabla9[CODIGO],Tabla3[[#This Row],[CODIGO]],Tabla9[ORDEN No.],Tabla3[[#This Row],[ORDEN de COMPRA]]),0)</f>
        <v>15</v>
      </c>
      <c r="N681" s="27">
        <f>IFERROR(IF(BD_DETALLE!B681&gt;0,VLOOKUP(BD_DETALLE!B681,Tabla9[],10,0),""),"")</f>
        <v>0</v>
      </c>
      <c r="O681" s="28">
        <f>IFERROR(VLOOKUP(BD_DETALLE!B681,Tabla9[],11,0),0)</f>
        <v>0</v>
      </c>
      <c r="P681" s="26">
        <f>IFERROR(SUMIFS(Tabla9[CANTIDAD3],Tabla9[BUSQUEDA],Tabla3[[#This Row],[BUSQUEDA]],Tabla9[CODIGO],Tabla3[[#This Row],[CODIGO]]),0)</f>
        <v>0</v>
      </c>
      <c r="Q681" s="25">
        <f>IF(BD_DETALLE!P681&lt;=0,0,IF(BD_DETALLE!P681=BD_DETALLE!H681,2,1))</f>
        <v>0</v>
      </c>
      <c r="R681" s="41">
        <f ca="1">IF(BD_DETALLE!$C681&gt;0,(IF(BD_DETALLE!$N681=0,TODAY()-BD_DETALLE!$C681,BD_DETALLE!$N681-BD_DETALLE!$C681)),"")</f>
        <v>14</v>
      </c>
    </row>
    <row r="682" spans="2:18" x14ac:dyDescent="0.25">
      <c r="B682" s="212" t="str">
        <f t="shared" si="65"/>
        <v>2104-3-312470</v>
      </c>
      <c r="C682" s="242">
        <v>44291</v>
      </c>
      <c r="D682" s="243" t="str">
        <f>IF(BD_DETALLE!$E682&gt;=1,CONCATENATE(TEXT(BD_DETALLE!$C682,"YY"),TEXT(BD_DETALLE!$C682,"MM"),"-",BD_DETALLE!$E682),"")</f>
        <v>2104-3</v>
      </c>
      <c r="E682" s="244">
        <v>3</v>
      </c>
      <c r="F682" s="213">
        <v>312470</v>
      </c>
      <c r="G682" s="214" t="str">
        <f>IFERROR(VLOOKUP(BD_DETALLE!$B682,Tabla9[],6,0),"")</f>
        <v>CASCO PROTECCION BLANCO C/OREJERAS</v>
      </c>
      <c r="H682" s="215">
        <f>IFERROR(VLOOKUP(BD_DETALLE!$B682,Tabla9[],4,0),0)</f>
        <v>10</v>
      </c>
      <c r="I682" s="245" t="s">
        <v>15</v>
      </c>
      <c r="J682" s="216" t="s">
        <v>385</v>
      </c>
      <c r="K682" s="10">
        <f>IFERROR(VLOOKUP(BD_DETALLE!B682,Tabla9[],7,0),"")</f>
        <v>44295</v>
      </c>
      <c r="L682" s="11">
        <f>IFERROR(VLOOKUP(BD_DETALLE!B682,Tabla9[],8,0),"")</f>
        <v>52430</v>
      </c>
      <c r="M682" s="9">
        <f>IFERROR(SUMIFS(Tabla9[CANTIDAD2],Tabla9[BUSQUEDA],Tabla3[[#This Row],[BUSQUEDA]],Tabla9[CODIGO],Tabla3[[#This Row],[CODIGO]],Tabla9[ORDEN No.],Tabla3[[#This Row],[ORDEN de COMPRA]]),0)</f>
        <v>10</v>
      </c>
      <c r="N682" s="27">
        <f>IFERROR(IF(BD_DETALLE!B682&gt;0,VLOOKUP(BD_DETALLE!B682,Tabla9[],10,0),""),"")</f>
        <v>0</v>
      </c>
      <c r="O682" s="28">
        <f>IFERROR(VLOOKUP(BD_DETALLE!B682,Tabla9[],11,0),0)</f>
        <v>0</v>
      </c>
      <c r="P682" s="26">
        <f>IFERROR(SUMIFS(Tabla9[CANTIDAD3],Tabla9[BUSQUEDA],Tabla3[[#This Row],[BUSQUEDA]],Tabla9[CODIGO],Tabla3[[#This Row],[CODIGO]]),0)</f>
        <v>0</v>
      </c>
      <c r="Q682" s="25">
        <f>IF(BD_DETALLE!P682&lt;=0,0,IF(BD_DETALLE!P682=BD_DETALLE!H682,2,1))</f>
        <v>0</v>
      </c>
      <c r="R682" s="41">
        <f ca="1">IF(BD_DETALLE!$C682&gt;0,(IF(BD_DETALLE!$N682=0,TODAY()-BD_DETALLE!$C682,BD_DETALLE!$N682-BD_DETALLE!$C682)),"")</f>
        <v>14</v>
      </c>
    </row>
    <row r="683" spans="2:18" x14ac:dyDescent="0.25">
      <c r="B683" s="212" t="str">
        <f t="shared" si="65"/>
        <v>2104-3-311507</v>
      </c>
      <c r="C683" s="242">
        <v>44291</v>
      </c>
      <c r="D683" s="243" t="str">
        <f>IF(BD_DETALLE!$E683&gt;=1,CONCATENATE(TEXT(BD_DETALLE!$C683,"YY"),TEXT(BD_DETALLE!$C683,"MM"),"-",BD_DETALLE!$E683),"")</f>
        <v>2104-3</v>
      </c>
      <c r="E683" s="244">
        <v>3</v>
      </c>
      <c r="F683" s="213">
        <v>311507</v>
      </c>
      <c r="G683" s="214" t="str">
        <f>IFERROR(VLOOKUP(BD_DETALLE!$B683,Tabla9[],6,0),"")</f>
        <v>GUANTE DE PROTECCION 3M  D-670</v>
      </c>
      <c r="H683" s="215">
        <f>IFERROR(VLOOKUP(BD_DETALLE!$B683,Tabla9[],4,0),0)</f>
        <v>20</v>
      </c>
      <c r="I683" s="245" t="s">
        <v>15</v>
      </c>
      <c r="J683" s="216" t="s">
        <v>385</v>
      </c>
      <c r="K683" s="10">
        <f>IFERROR(VLOOKUP(BD_DETALLE!B683,Tabla9[],7,0),"")</f>
        <v>44295</v>
      </c>
      <c r="L683" s="11">
        <f>IFERROR(VLOOKUP(BD_DETALLE!B683,Tabla9[],8,0),"")</f>
        <v>52430</v>
      </c>
      <c r="M683" s="9">
        <f>IFERROR(SUMIFS(Tabla9[CANTIDAD2],Tabla9[BUSQUEDA],Tabla3[[#This Row],[BUSQUEDA]],Tabla9[CODIGO],Tabla3[[#This Row],[CODIGO]],Tabla9[ORDEN No.],Tabla3[[#This Row],[ORDEN de COMPRA]]),0)</f>
        <v>10</v>
      </c>
      <c r="N683" s="27">
        <f>IFERROR(IF(BD_DETALLE!B683&gt;0,VLOOKUP(BD_DETALLE!B683,Tabla9[],10,0),""),"")</f>
        <v>0</v>
      </c>
      <c r="O683" s="28">
        <f>IFERROR(VLOOKUP(BD_DETALLE!B683,Tabla9[],11,0),0)</f>
        <v>0</v>
      </c>
      <c r="P683" s="26">
        <f>IFERROR(SUMIFS(Tabla9[CANTIDAD3],Tabla9[BUSQUEDA],Tabla3[[#This Row],[BUSQUEDA]],Tabla9[CODIGO],Tabla3[[#This Row],[CODIGO]]),0)</f>
        <v>0</v>
      </c>
      <c r="Q683" s="25">
        <f>IF(BD_DETALLE!P683&lt;=0,0,IF(BD_DETALLE!P683=BD_DETALLE!H683,2,1))</f>
        <v>0</v>
      </c>
      <c r="R683" s="41">
        <f ca="1">IF(BD_DETALLE!$C683&gt;0,(IF(BD_DETALLE!$N683=0,TODAY()-BD_DETALLE!$C683,BD_DETALLE!$N683-BD_DETALLE!$C683)),"")</f>
        <v>14</v>
      </c>
    </row>
    <row r="684" spans="2:18" x14ac:dyDescent="0.25">
      <c r="B684" s="212" t="str">
        <f t="shared" si="65"/>
        <v>2104-3-107539</v>
      </c>
      <c r="C684" s="242">
        <v>44291</v>
      </c>
      <c r="D684" s="243" t="str">
        <f>IF(BD_DETALLE!$E684&gt;=1,CONCATENATE(TEXT(BD_DETALLE!$C684,"YY"),TEXT(BD_DETALLE!$C684,"MM"),"-",BD_DETALLE!$E684),"")</f>
        <v>2104-3</v>
      </c>
      <c r="E684" s="244">
        <v>3</v>
      </c>
      <c r="F684" s="213">
        <v>107539</v>
      </c>
      <c r="G684" s="214" t="str">
        <f>IFERROR(VLOOKUP(BD_DETALLE!$B684,Tabla9[],6,0),"")</f>
        <v>GAFAS DE SEGURIDAD TRANSPARENTE 3M (11384-00000-20)</v>
      </c>
      <c r="H684" s="215">
        <f>IFERROR(VLOOKUP(BD_DETALLE!$B684,Tabla9[],4,0),0)</f>
        <v>20</v>
      </c>
      <c r="I684" s="245" t="s">
        <v>15</v>
      </c>
      <c r="J684" s="216" t="s">
        <v>385</v>
      </c>
      <c r="K684" s="10">
        <f>IFERROR(VLOOKUP(BD_DETALLE!B684,Tabla9[],7,0),"")</f>
        <v>44294</v>
      </c>
      <c r="L684" s="11">
        <f>IFERROR(VLOOKUP(BD_DETALLE!B684,Tabla9[],8,0),"")</f>
        <v>52403</v>
      </c>
      <c r="M684" s="9">
        <f>IFERROR(SUMIFS(Tabla9[CANTIDAD2],Tabla9[BUSQUEDA],Tabla3[[#This Row],[BUSQUEDA]],Tabla9[CODIGO],Tabla3[[#This Row],[CODIGO]],Tabla9[ORDEN No.],Tabla3[[#This Row],[ORDEN de COMPRA]]),0)</f>
        <v>20</v>
      </c>
      <c r="N684" s="27">
        <f>IFERROR(IF(BD_DETALLE!B684&gt;0,VLOOKUP(BD_DETALLE!B684,Tabla9[],10,0),""),"")</f>
        <v>0</v>
      </c>
      <c r="O684" s="28">
        <f>IFERROR(VLOOKUP(BD_DETALLE!B684,Tabla9[],11,0),0)</f>
        <v>0</v>
      </c>
      <c r="P684" s="26">
        <f>IFERROR(SUMIFS(Tabla9[CANTIDAD3],Tabla9[BUSQUEDA],Tabla3[[#This Row],[BUSQUEDA]],Tabla9[CODIGO],Tabla3[[#This Row],[CODIGO]]),0)</f>
        <v>0</v>
      </c>
      <c r="Q684" s="25">
        <f>IF(BD_DETALLE!P684&lt;=0,0,IF(BD_DETALLE!P684=BD_DETALLE!H684,2,1))</f>
        <v>0</v>
      </c>
      <c r="R684" s="41">
        <f ca="1">IF(BD_DETALLE!$C684&gt;0,(IF(BD_DETALLE!$N684=0,TODAY()-BD_DETALLE!$C684,BD_DETALLE!$N684-BD_DETALLE!$C684)),"")</f>
        <v>14</v>
      </c>
    </row>
    <row r="685" spans="2:18" x14ac:dyDescent="0.25">
      <c r="B685" s="212" t="str">
        <f t="shared" ref="B685:B712" si="66">IFERROR(TEXT(C685,"yy") &amp; TEXT(C685,"mm") &amp;"-"&amp;(E685) &amp;"-"&amp;(F685),"")</f>
        <v>2104-3-310416</v>
      </c>
      <c r="C685" s="242">
        <v>44291</v>
      </c>
      <c r="D685" s="243" t="str">
        <f>IF(BD_DETALLE!$E685&gt;=1,CONCATENATE(TEXT(BD_DETALLE!$C685,"YY"),TEXT(BD_DETALLE!$C685,"MM"),"-",BD_DETALLE!$E685),"")</f>
        <v>2104-3</v>
      </c>
      <c r="E685" s="244">
        <v>3</v>
      </c>
      <c r="F685" s="213">
        <v>310416</v>
      </c>
      <c r="G685" s="214" t="str">
        <f>IFERROR(VLOOKUP(BD_DETALLE!$B685,Tabla9[],6,0),"")</f>
        <v>GUANTE DE CUERO P/MANIOBRA</v>
      </c>
      <c r="H685" s="215">
        <f>IFERROR(VLOOKUP(BD_DETALLE!$B685,Tabla9[],4,0),0)</f>
        <v>30</v>
      </c>
      <c r="I685" s="245" t="s">
        <v>15</v>
      </c>
      <c r="J685" s="216" t="s">
        <v>385</v>
      </c>
      <c r="K685" s="10">
        <f>IFERROR(VLOOKUP(BD_DETALLE!B685,Tabla9[],7,0),"")</f>
        <v>44294</v>
      </c>
      <c r="L685" s="11">
        <f>IFERROR(VLOOKUP(BD_DETALLE!B685,Tabla9[],8,0),"")</f>
        <v>52403</v>
      </c>
      <c r="M685" s="9">
        <f>IFERROR(SUMIFS(Tabla9[CANTIDAD2],Tabla9[BUSQUEDA],Tabla3[[#This Row],[BUSQUEDA]],Tabla9[CODIGO],Tabla3[[#This Row],[CODIGO]],Tabla9[ORDEN No.],Tabla3[[#This Row],[ORDEN de COMPRA]]),0)</f>
        <v>30</v>
      </c>
      <c r="N685" s="27">
        <f>IFERROR(IF(BD_DETALLE!B685&gt;0,VLOOKUP(BD_DETALLE!B685,Tabla9[],10,0),""),"")</f>
        <v>0</v>
      </c>
      <c r="O685" s="28">
        <f>IFERROR(VLOOKUP(BD_DETALLE!B685,Tabla9[],11,0),0)</f>
        <v>0</v>
      </c>
      <c r="P685" s="26">
        <f>IFERROR(SUMIFS(Tabla9[CANTIDAD3],Tabla9[BUSQUEDA],Tabla3[[#This Row],[BUSQUEDA]],Tabla9[CODIGO],Tabla3[[#This Row],[CODIGO]]),0)</f>
        <v>0</v>
      </c>
      <c r="Q685" s="25">
        <f>IF(BD_DETALLE!P685&lt;=0,0,IF(BD_DETALLE!P685=BD_DETALLE!H685,2,1))</f>
        <v>0</v>
      </c>
      <c r="R685" s="41">
        <f ca="1">IF(BD_DETALLE!$C685&gt;0,(IF(BD_DETALLE!$N685=0,TODAY()-BD_DETALLE!$C685,BD_DETALLE!$N685-BD_DETALLE!$C685)),"")</f>
        <v>14</v>
      </c>
    </row>
    <row r="686" spans="2:18" x14ac:dyDescent="0.25">
      <c r="B686" s="212" t="str">
        <f t="shared" si="66"/>
        <v>2104-3-106761</v>
      </c>
      <c r="C686" s="242">
        <v>44291</v>
      </c>
      <c r="D686" s="243" t="str">
        <f>IF(BD_DETALLE!$E686&gt;=1,CONCATENATE(TEXT(BD_DETALLE!$C686,"YY"),TEXT(BD_DETALLE!$C686,"MM"),"-",BD_DETALLE!$E686),"")</f>
        <v>2104-3</v>
      </c>
      <c r="E686" s="244">
        <v>3</v>
      </c>
      <c r="F686" s="213">
        <v>106761</v>
      </c>
      <c r="G686" s="214" t="str">
        <f>IFERROR(VLOOKUP(BD_DETALLE!$B686,Tabla9[],6,0),"")</f>
        <v>GUANTE DE CUERO PARA SOLDAR</v>
      </c>
      <c r="H686" s="215">
        <f>IFERROR(VLOOKUP(BD_DETALLE!$B686,Tabla9[],4,0),0)</f>
        <v>15</v>
      </c>
      <c r="I686" s="245" t="s">
        <v>15</v>
      </c>
      <c r="J686" s="216" t="s">
        <v>385</v>
      </c>
      <c r="K686" s="10">
        <f>IFERROR(VLOOKUP(BD_DETALLE!B686,Tabla9[],7,0),"")</f>
        <v>44294</v>
      </c>
      <c r="L686" s="11">
        <f>IFERROR(VLOOKUP(BD_DETALLE!B686,Tabla9[],8,0),"")</f>
        <v>52403</v>
      </c>
      <c r="M686" s="9">
        <f>IFERROR(SUMIFS(Tabla9[CANTIDAD2],Tabla9[BUSQUEDA],Tabla3[[#This Row],[BUSQUEDA]],Tabla9[CODIGO],Tabla3[[#This Row],[CODIGO]],Tabla9[ORDEN No.],Tabla3[[#This Row],[ORDEN de COMPRA]]),0)</f>
        <v>15</v>
      </c>
      <c r="N686" s="27">
        <f>IFERROR(IF(BD_DETALLE!B686&gt;0,VLOOKUP(BD_DETALLE!B686,Tabla9[],10,0),""),"")</f>
        <v>0</v>
      </c>
      <c r="O686" s="28">
        <f>IFERROR(VLOOKUP(BD_DETALLE!B686,Tabla9[],11,0),0)</f>
        <v>0</v>
      </c>
      <c r="P686" s="26">
        <f>IFERROR(SUMIFS(Tabla9[CANTIDAD3],Tabla9[BUSQUEDA],Tabla3[[#This Row],[BUSQUEDA]],Tabla9[CODIGO],Tabla3[[#This Row],[CODIGO]]),0)</f>
        <v>0</v>
      </c>
      <c r="Q686" s="25">
        <f>IF(BD_DETALLE!P686&lt;=0,0,IF(BD_DETALLE!P686=BD_DETALLE!H686,2,1))</f>
        <v>0</v>
      </c>
      <c r="R686" s="41">
        <f ca="1">IF(BD_DETALLE!$C686&gt;0,(IF(BD_DETALLE!$N686=0,TODAY()-BD_DETALLE!$C686,BD_DETALLE!$N686-BD_DETALLE!$C686)),"")</f>
        <v>14</v>
      </c>
    </row>
    <row r="687" spans="2:18" x14ac:dyDescent="0.25">
      <c r="B687" s="212" t="str">
        <f t="shared" si="66"/>
        <v>2104-3-310867</v>
      </c>
      <c r="C687" s="242">
        <v>44291</v>
      </c>
      <c r="D687" s="243" t="str">
        <f>IF(BD_DETALLE!$E687&gt;=1,CONCATENATE(TEXT(BD_DETALLE!$C687,"YY"),TEXT(BD_DETALLE!$C687,"MM"),"-",BD_DETALLE!$E687),"")</f>
        <v>2104-3</v>
      </c>
      <c r="E687" s="244">
        <v>3</v>
      </c>
      <c r="F687" s="213">
        <v>310867</v>
      </c>
      <c r="G687" s="214" t="str">
        <f>IFERROR(VLOOKUP(BD_DETALLE!$B687,Tabla9[],6,0),"")</f>
        <v>TRAJE PROTECCION DESECHABLE 3M (4510)</v>
      </c>
      <c r="H687" s="215">
        <f>IFERROR(VLOOKUP(BD_DETALLE!$B687,Tabla9[],4,0),0)</f>
        <v>20</v>
      </c>
      <c r="I687" s="245" t="s">
        <v>15</v>
      </c>
      <c r="J687" s="216" t="s">
        <v>385</v>
      </c>
      <c r="K687" s="10">
        <f>IFERROR(VLOOKUP(BD_DETALLE!B687,Tabla9[],7,0),"")</f>
        <v>44295</v>
      </c>
      <c r="L687" s="11">
        <f>IFERROR(VLOOKUP(BD_DETALLE!B687,Tabla9[],8,0),"")</f>
        <v>52430</v>
      </c>
      <c r="M687" s="9">
        <f>IFERROR(SUMIFS(Tabla9[CANTIDAD2],Tabla9[BUSQUEDA],Tabla3[[#This Row],[BUSQUEDA]],Tabla9[CODIGO],Tabla3[[#This Row],[CODIGO]],Tabla9[ORDEN No.],Tabla3[[#This Row],[ORDEN de COMPRA]]),0)</f>
        <v>20</v>
      </c>
      <c r="N687" s="27">
        <f>IFERROR(IF(BD_DETALLE!B687&gt;0,VLOOKUP(BD_DETALLE!B687,Tabla9[],10,0),""),"")</f>
        <v>0</v>
      </c>
      <c r="O687" s="28">
        <f>IFERROR(VLOOKUP(BD_DETALLE!B687,Tabla9[],11,0),0)</f>
        <v>0</v>
      </c>
      <c r="P687" s="26">
        <f>IFERROR(SUMIFS(Tabla9[CANTIDAD3],Tabla9[BUSQUEDA],Tabla3[[#This Row],[BUSQUEDA]],Tabla9[CODIGO],Tabla3[[#This Row],[CODIGO]]),0)</f>
        <v>0</v>
      </c>
      <c r="Q687" s="25">
        <f>IF(BD_DETALLE!P687&lt;=0,0,IF(BD_DETALLE!P687=BD_DETALLE!H687,2,1))</f>
        <v>0</v>
      </c>
      <c r="R687" s="41">
        <f ca="1">IF(BD_DETALLE!$C687&gt;0,(IF(BD_DETALLE!$N687=0,TODAY()-BD_DETALLE!$C687,BD_DETALLE!$N687-BD_DETALLE!$C687)),"")</f>
        <v>14</v>
      </c>
    </row>
    <row r="688" spans="2:18" x14ac:dyDescent="0.25">
      <c r="B688" s="212" t="str">
        <f t="shared" si="66"/>
        <v>2104-3-310870</v>
      </c>
      <c r="C688" s="242">
        <v>44291</v>
      </c>
      <c r="D688" s="243" t="str">
        <f>IF(BD_DETALLE!$E688&gt;=1,CONCATENATE(TEXT(BD_DETALLE!$C688,"YY"),TEXT(BD_DETALLE!$C688,"MM"),"-",BD_DETALLE!$E688),"")</f>
        <v>2104-3</v>
      </c>
      <c r="E688" s="244">
        <v>3</v>
      </c>
      <c r="F688" s="213">
        <v>310870</v>
      </c>
      <c r="G688" s="214" t="str">
        <f>IFERROR(VLOOKUP(BD_DETALLE!$B688,Tabla9[],6,0),"")</f>
        <v>FILTRO  3M  P100  #2097</v>
      </c>
      <c r="H688" s="215">
        <f>IFERROR(VLOOKUP(BD_DETALLE!$B688,Tabla9[],4,0),0)</f>
        <v>10</v>
      </c>
      <c r="I688" s="245" t="s">
        <v>15</v>
      </c>
      <c r="J688" s="216" t="s">
        <v>385</v>
      </c>
      <c r="K688" s="10">
        <f>IFERROR(VLOOKUP(BD_DETALLE!B688,Tabla9[],7,0),"")</f>
        <v>44295</v>
      </c>
      <c r="L688" s="11">
        <f>IFERROR(VLOOKUP(BD_DETALLE!B688,Tabla9[],8,0),"")</f>
        <v>52430</v>
      </c>
      <c r="M688" s="9">
        <f>IFERROR(SUMIFS(Tabla9[CANTIDAD2],Tabla9[BUSQUEDA],Tabla3[[#This Row],[BUSQUEDA]],Tabla9[CODIGO],Tabla3[[#This Row],[CODIGO]],Tabla9[ORDEN No.],Tabla3[[#This Row],[ORDEN de COMPRA]]),0)</f>
        <v>10</v>
      </c>
      <c r="N688" s="27">
        <f>IFERROR(IF(BD_DETALLE!B688&gt;0,VLOOKUP(BD_DETALLE!B688,Tabla9[],10,0),""),"")</f>
        <v>0</v>
      </c>
      <c r="O688" s="28">
        <f>IFERROR(VLOOKUP(BD_DETALLE!B688,Tabla9[],11,0),0)</f>
        <v>0</v>
      </c>
      <c r="P688" s="26">
        <f>IFERROR(SUMIFS(Tabla9[CANTIDAD3],Tabla9[BUSQUEDA],Tabla3[[#This Row],[BUSQUEDA]],Tabla9[CODIGO],Tabla3[[#This Row],[CODIGO]]),0)</f>
        <v>0</v>
      </c>
      <c r="Q688" s="25">
        <f>IF(BD_DETALLE!P688&lt;=0,0,IF(BD_DETALLE!P688=BD_DETALLE!H688,2,1))</f>
        <v>0</v>
      </c>
      <c r="R688" s="41">
        <f ca="1">IF(BD_DETALLE!$C688&gt;0,(IF(BD_DETALLE!$N688=0,TODAY()-BD_DETALLE!$C688,BD_DETALLE!$N688-BD_DETALLE!$C688)),"")</f>
        <v>14</v>
      </c>
    </row>
    <row r="689" spans="2:18" x14ac:dyDescent="0.25">
      <c r="B689" s="212" t="str">
        <f t="shared" si="66"/>
        <v>2104-3-100277</v>
      </c>
      <c r="C689" s="242">
        <v>44291</v>
      </c>
      <c r="D689" s="243" t="str">
        <f>IF(BD_DETALLE!$E689&gt;=1,CONCATENATE(TEXT(BD_DETALLE!$C689,"YY"),TEXT(BD_DETALLE!$C689,"MM"),"-",BD_DETALLE!$E689),"")</f>
        <v>2104-3</v>
      </c>
      <c r="E689" s="244">
        <v>3</v>
      </c>
      <c r="F689" s="213">
        <v>100277</v>
      </c>
      <c r="G689" s="214" t="str">
        <f>IFERROR(VLOOKUP(BD_DETALLE!$B689,Tabla9[],6,0),"")</f>
        <v>MASCARILLA 3M (8210)</v>
      </c>
      <c r="H689" s="215">
        <f>IFERROR(VLOOKUP(BD_DETALLE!$B689,Tabla9[],4,0),0)</f>
        <v>60</v>
      </c>
      <c r="I689" s="245" t="s">
        <v>15</v>
      </c>
      <c r="J689" s="216" t="s">
        <v>385</v>
      </c>
      <c r="K689" s="10">
        <f>IFERROR(VLOOKUP(BD_DETALLE!B689,Tabla9[],7,0),"")</f>
        <v>44295</v>
      </c>
      <c r="L689" s="11">
        <f>IFERROR(VLOOKUP(BD_DETALLE!B689,Tabla9[],8,0),"")</f>
        <v>52430</v>
      </c>
      <c r="M689" s="9">
        <f>IFERROR(SUMIFS(Tabla9[CANTIDAD2],Tabla9[BUSQUEDA],Tabla3[[#This Row],[BUSQUEDA]],Tabla9[CODIGO],Tabla3[[#This Row],[CODIGO]],Tabla9[ORDEN No.],Tabla3[[#This Row],[ORDEN de COMPRA]]),0)</f>
        <v>60</v>
      </c>
      <c r="N689" s="27">
        <f>IFERROR(IF(BD_DETALLE!B689&gt;0,VLOOKUP(BD_DETALLE!B689,Tabla9[],10,0),""),"")</f>
        <v>0</v>
      </c>
      <c r="O689" s="28">
        <f>IFERROR(VLOOKUP(BD_DETALLE!B689,Tabla9[],11,0),0)</f>
        <v>0</v>
      </c>
      <c r="P689" s="26">
        <f>IFERROR(SUMIFS(Tabla9[CANTIDAD3],Tabla9[BUSQUEDA],Tabla3[[#This Row],[BUSQUEDA]],Tabla9[CODIGO],Tabla3[[#This Row],[CODIGO]]),0)</f>
        <v>0</v>
      </c>
      <c r="Q689" s="25">
        <f>IF(BD_DETALLE!P689&lt;=0,0,IF(BD_DETALLE!P689=BD_DETALLE!H689,2,1))</f>
        <v>0</v>
      </c>
      <c r="R689" s="41">
        <f ca="1">IF(BD_DETALLE!$C689&gt;0,(IF(BD_DETALLE!$N689=0,TODAY()-BD_DETALLE!$C689,BD_DETALLE!$N689-BD_DETALLE!$C689)),"")</f>
        <v>14</v>
      </c>
    </row>
    <row r="690" spans="2:18" x14ac:dyDescent="0.25">
      <c r="B690" s="212" t="str">
        <f t="shared" si="66"/>
        <v>2104-3-206218</v>
      </c>
      <c r="C690" s="242">
        <v>44291</v>
      </c>
      <c r="D690" s="243" t="str">
        <f>IF(BD_DETALLE!$E690&gt;=1,CONCATENATE(TEXT(BD_DETALLE!$C690,"YY"),TEXT(BD_DETALLE!$C690,"MM"),"-",BD_DETALLE!$E690),"")</f>
        <v>2104-3</v>
      </c>
      <c r="E690" s="244">
        <v>3</v>
      </c>
      <c r="F690" s="213">
        <v>206218</v>
      </c>
      <c r="G690" s="214" t="str">
        <f>IFERROR(VLOOKUP(BD_DETALLE!$B690,Tabla9[],6,0),"")</f>
        <v>GORRO DESECHABLES</v>
      </c>
      <c r="H690" s="215">
        <f>IFERROR(VLOOKUP(BD_DETALLE!$B690,Tabla9[],4,0),0)</f>
        <v>4000</v>
      </c>
      <c r="I690" s="245" t="s">
        <v>15</v>
      </c>
      <c r="J690" s="216" t="s">
        <v>385</v>
      </c>
      <c r="K690" s="10">
        <f>IFERROR(VLOOKUP(BD_DETALLE!B690,Tabla9[],7,0),"")</f>
        <v>44295</v>
      </c>
      <c r="L690" s="11">
        <f>IFERROR(VLOOKUP(BD_DETALLE!B690,Tabla9[],8,0),"")</f>
        <v>52433</v>
      </c>
      <c r="M690" s="9">
        <f>IFERROR(SUMIFS(Tabla9[CANTIDAD2],Tabla9[BUSQUEDA],Tabla3[[#This Row],[BUSQUEDA]],Tabla9[CODIGO],Tabla3[[#This Row],[CODIGO]],Tabla9[ORDEN No.],Tabla3[[#This Row],[ORDEN de COMPRA]]),0)</f>
        <v>4000</v>
      </c>
      <c r="N690" s="27">
        <f>IFERROR(IF(BD_DETALLE!B690&gt;0,VLOOKUP(BD_DETALLE!B690,Tabla9[],10,0),""),"")</f>
        <v>44301</v>
      </c>
      <c r="O690" s="28">
        <f>IFERROR(VLOOKUP(BD_DETALLE!B690,Tabla9[],11,0),0)</f>
        <v>11845</v>
      </c>
      <c r="P690" s="26">
        <f>IFERROR(SUMIFS(Tabla9[CANTIDAD3],Tabla9[BUSQUEDA],Tabla3[[#This Row],[BUSQUEDA]],Tabla9[CODIGO],Tabla3[[#This Row],[CODIGO]]),0)</f>
        <v>4000</v>
      </c>
      <c r="Q690" s="25">
        <f>IF(BD_DETALLE!P690&lt;=0,0,IF(BD_DETALLE!P690=BD_DETALLE!H690,2,1))</f>
        <v>2</v>
      </c>
      <c r="R690" s="41">
        <f ca="1">IF(BD_DETALLE!$C690&gt;0,(IF(BD_DETALLE!$N690=0,TODAY()-BD_DETALLE!$C690,BD_DETALLE!$N690-BD_DETALLE!$C690)),"")</f>
        <v>10</v>
      </c>
    </row>
    <row r="691" spans="2:18" x14ac:dyDescent="0.25">
      <c r="B691" s="212" t="str">
        <f t="shared" si="66"/>
        <v>2104-4-205512</v>
      </c>
      <c r="C691" s="242">
        <v>44291</v>
      </c>
      <c r="D691" s="243" t="str">
        <f>IF(BD_DETALLE!$E691&gt;=1,CONCATENATE(TEXT(BD_DETALLE!$C691,"YY"),TEXT(BD_DETALLE!$C691,"MM"),"-",BD_DETALLE!$E691),"")</f>
        <v>2104-4</v>
      </c>
      <c r="E691" s="244">
        <v>4</v>
      </c>
      <c r="F691" s="213">
        <v>205512</v>
      </c>
      <c r="G691" s="214" t="str">
        <f>IFERROR(VLOOKUP(BD_DETALLE!$B691,Tabla9[],6,0),"")</f>
        <v>ADISALM (SACOS DE 25 KG)</v>
      </c>
      <c r="H691" s="215">
        <f>IFERROR(VLOOKUP(BD_DETALLE!$B691,Tabla9[],4,0),0)</f>
        <v>20</v>
      </c>
      <c r="I691" s="245" t="s">
        <v>15</v>
      </c>
      <c r="J691" s="216" t="s">
        <v>385</v>
      </c>
      <c r="K691" s="10">
        <f>IFERROR(VLOOKUP(BD_DETALLE!B691,Tabla9[],7,0),"")</f>
        <v>0</v>
      </c>
      <c r="L691" s="11">
        <f>IFERROR(VLOOKUP(BD_DETALLE!B691,Tabla9[],8,0),"")</f>
        <v>0</v>
      </c>
      <c r="M691" s="9">
        <f>IFERROR(SUMIFS(Tabla9[CANTIDAD2],Tabla9[BUSQUEDA],Tabla3[[#This Row],[BUSQUEDA]],Tabla9[CODIGO],Tabla3[[#This Row],[CODIGO]],Tabla9[ORDEN No.],Tabla3[[#This Row],[ORDEN de COMPRA]]),0)</f>
        <v>0</v>
      </c>
      <c r="N691" s="27">
        <f>IFERROR(IF(BD_DETALLE!B691&gt;0,VLOOKUP(BD_DETALLE!B691,Tabla9[],10,0),""),"")</f>
        <v>0</v>
      </c>
      <c r="O691" s="28">
        <f>IFERROR(VLOOKUP(BD_DETALLE!B691,Tabla9[],11,0),0)</f>
        <v>0</v>
      </c>
      <c r="P691" s="26">
        <f>IFERROR(SUMIFS(Tabla9[CANTIDAD3],Tabla9[BUSQUEDA],Tabla3[[#This Row],[BUSQUEDA]],Tabla9[CODIGO],Tabla3[[#This Row],[CODIGO]]),0)</f>
        <v>0</v>
      </c>
      <c r="Q691" s="25">
        <f>IF(BD_DETALLE!P691&lt;=0,0,IF(BD_DETALLE!P691=BD_DETALLE!H691,2,1))</f>
        <v>0</v>
      </c>
      <c r="R691" s="41">
        <f ca="1">IF(BD_DETALLE!$C691&gt;0,(IF(BD_DETALLE!$N691=0,TODAY()-BD_DETALLE!$C691,BD_DETALLE!$N691-BD_DETALLE!$C691)),"")</f>
        <v>14</v>
      </c>
    </row>
    <row r="692" spans="2:18" x14ac:dyDescent="0.25">
      <c r="B692" s="212" t="str">
        <f t="shared" si="66"/>
        <v>2104-5-205558</v>
      </c>
      <c r="C692" s="242">
        <v>44291</v>
      </c>
      <c r="D692" s="243" t="str">
        <f>IF(BD_DETALLE!$E692&gt;=1,CONCATENATE(TEXT(BD_DETALLE!$C692,"YY"),TEXT(BD_DETALLE!$C692,"MM"),"-",BD_DETALLE!$E692),"")</f>
        <v>2104-5</v>
      </c>
      <c r="E692" s="244">
        <v>5</v>
      </c>
      <c r="F692" s="213">
        <v>205558</v>
      </c>
      <c r="G692" s="214" t="str">
        <f>IFERROR(VLOOKUP(BD_DETALLE!$B692,Tabla9[],6,0),"")</f>
        <v>PAPEL ALUMINIO</v>
      </c>
      <c r="H692" s="215">
        <f>IFERROR(VLOOKUP(BD_DETALLE!$B692,Tabla9[],4,0),0)</f>
        <v>10</v>
      </c>
      <c r="I692" s="245" t="s">
        <v>15</v>
      </c>
      <c r="J692" s="216" t="s">
        <v>385</v>
      </c>
      <c r="K692" s="10">
        <f>IFERROR(VLOOKUP(BD_DETALLE!B692,Tabla9[],7,0),"")</f>
        <v>0</v>
      </c>
      <c r="L692" s="11">
        <f>IFERROR(VLOOKUP(BD_DETALLE!B692,Tabla9[],8,0),"")</f>
        <v>0</v>
      </c>
      <c r="M692" s="9">
        <f>IFERROR(SUMIFS(Tabla9[CANTIDAD2],Tabla9[BUSQUEDA],Tabla3[[#This Row],[BUSQUEDA]],Tabla9[CODIGO],Tabla3[[#This Row],[CODIGO]],Tabla9[ORDEN No.],Tabla3[[#This Row],[ORDEN de COMPRA]]),0)</f>
        <v>0</v>
      </c>
      <c r="N692" s="27">
        <f>IFERROR(IF(BD_DETALLE!B692&gt;0,VLOOKUP(BD_DETALLE!B692,Tabla9[],10,0),""),"")</f>
        <v>0</v>
      </c>
      <c r="O692" s="28">
        <f>IFERROR(VLOOKUP(BD_DETALLE!B692,Tabla9[],11,0),0)</f>
        <v>0</v>
      </c>
      <c r="P692" s="26">
        <f>IFERROR(SUMIFS(Tabla9[CANTIDAD3],Tabla9[BUSQUEDA],Tabla3[[#This Row],[BUSQUEDA]],Tabla9[CODIGO],Tabla3[[#This Row],[CODIGO]]),0)</f>
        <v>0</v>
      </c>
      <c r="Q692" s="25">
        <f>IF(BD_DETALLE!P692&lt;=0,0,IF(BD_DETALLE!P692=BD_DETALLE!H692,2,1))</f>
        <v>0</v>
      </c>
      <c r="R692" s="41">
        <f ca="1">IF(BD_DETALLE!$C692&gt;0,(IF(BD_DETALLE!$N692=0,TODAY()-BD_DETALLE!$C692,BD_DETALLE!$N692-BD_DETALLE!$C692)),"")</f>
        <v>14</v>
      </c>
    </row>
    <row r="693" spans="2:18" x14ac:dyDescent="0.25">
      <c r="B693" s="212" t="str">
        <f t="shared" si="66"/>
        <v>2104-5-315720</v>
      </c>
      <c r="C693" s="242">
        <v>44291</v>
      </c>
      <c r="D693" s="243" t="str">
        <f>IF(BD_DETALLE!$E693&gt;=1,CONCATENATE(TEXT(BD_DETALLE!$C693,"YY"),TEXT(BD_DETALLE!$C693,"MM"),"-",BD_DETALLE!$E693),"")</f>
        <v>2104-5</v>
      </c>
      <c r="E693" s="244">
        <v>5</v>
      </c>
      <c r="F693" s="213">
        <v>315720</v>
      </c>
      <c r="G693" s="214" t="str">
        <f>IFERROR(VLOOKUP(BD_DETALLE!$B693,Tabla9[],6,0),"")</f>
        <v>FUNDA PLASTICA TRANSPARENTE 10 x 12 (GRUESA)</v>
      </c>
      <c r="H693" s="215">
        <f>IFERROR(VLOOKUP(BD_DETALLE!$B693,Tabla9[],4,0),0)</f>
        <v>1000</v>
      </c>
      <c r="I693" s="245" t="s">
        <v>15</v>
      </c>
      <c r="J693" s="216" t="s">
        <v>385</v>
      </c>
      <c r="K693" s="10">
        <f>IFERROR(VLOOKUP(BD_DETALLE!B693,Tabla9[],7,0),"")</f>
        <v>0</v>
      </c>
      <c r="L693" s="11">
        <f>IFERROR(VLOOKUP(BD_DETALLE!B693,Tabla9[],8,0),"")</f>
        <v>0</v>
      </c>
      <c r="M693" s="9">
        <f>IFERROR(SUMIFS(Tabla9[CANTIDAD2],Tabla9[BUSQUEDA],Tabla3[[#This Row],[BUSQUEDA]],Tabla9[CODIGO],Tabla3[[#This Row],[CODIGO]],Tabla9[ORDEN No.],Tabla3[[#This Row],[ORDEN de COMPRA]]),0)</f>
        <v>0</v>
      </c>
      <c r="N693" s="27">
        <f>IFERROR(IF(BD_DETALLE!B693&gt;0,VLOOKUP(BD_DETALLE!B693,Tabla9[],10,0),""),"")</f>
        <v>0</v>
      </c>
      <c r="O693" s="28">
        <f>IFERROR(VLOOKUP(BD_DETALLE!B693,Tabla9[],11,0),0)</f>
        <v>0</v>
      </c>
      <c r="P693" s="26">
        <f>IFERROR(SUMIFS(Tabla9[CANTIDAD3],Tabla9[BUSQUEDA],Tabla3[[#This Row],[BUSQUEDA]],Tabla9[CODIGO],Tabla3[[#This Row],[CODIGO]]),0)</f>
        <v>0</v>
      </c>
      <c r="Q693" s="25">
        <f>IF(BD_DETALLE!P693&lt;=0,0,IF(BD_DETALLE!P693=BD_DETALLE!H693,2,1))</f>
        <v>0</v>
      </c>
      <c r="R693" s="41">
        <f ca="1">IF(BD_DETALLE!$C693&gt;0,(IF(BD_DETALLE!$N693=0,TODAY()-BD_DETALLE!$C693,BD_DETALLE!$N693-BD_DETALLE!$C693)),"")</f>
        <v>14</v>
      </c>
    </row>
    <row r="694" spans="2:18" x14ac:dyDescent="0.25">
      <c r="B694" s="212" t="str">
        <f t="shared" si="66"/>
        <v>2104-5-307763</v>
      </c>
      <c r="C694" s="242">
        <v>44291</v>
      </c>
      <c r="D694" s="243" t="str">
        <f>IF(BD_DETALLE!$E694&gt;=1,CONCATENATE(TEXT(BD_DETALLE!$C694,"YY"),TEXT(BD_DETALLE!$C694,"MM"),"-",BD_DETALLE!$E694),"")</f>
        <v>2104-5</v>
      </c>
      <c r="E694" s="244">
        <v>5</v>
      </c>
      <c r="F694" s="213">
        <v>307763</v>
      </c>
      <c r="G694" s="214" t="str">
        <f>IFERROR(VLOOKUP(BD_DETALLE!$B694,Tabla9[],6,0),"")</f>
        <v>ACIDO CLORHIDRICO (HCL) 0.1 NORMAL</v>
      </c>
      <c r="H694" s="215">
        <f>IFERROR(VLOOKUP(BD_DETALLE!$B694,Tabla9[],4,0),0)</f>
        <v>10</v>
      </c>
      <c r="I694" s="245" t="s">
        <v>15</v>
      </c>
      <c r="J694" s="216" t="s">
        <v>385</v>
      </c>
      <c r="K694" s="10">
        <f>IFERROR(VLOOKUP(BD_DETALLE!B694,Tabla9[],7,0),"")</f>
        <v>0</v>
      </c>
      <c r="L694" s="11">
        <f>IFERROR(VLOOKUP(BD_DETALLE!B694,Tabla9[],8,0),"")</f>
        <v>0</v>
      </c>
      <c r="M694" s="9">
        <f>IFERROR(SUMIFS(Tabla9[CANTIDAD2],Tabla9[BUSQUEDA],Tabla3[[#This Row],[BUSQUEDA]],Tabla9[CODIGO],Tabla3[[#This Row],[CODIGO]],Tabla9[ORDEN No.],Tabla3[[#This Row],[ORDEN de COMPRA]]),0)</f>
        <v>0</v>
      </c>
      <c r="N694" s="27">
        <f>IFERROR(IF(BD_DETALLE!B694&gt;0,VLOOKUP(BD_DETALLE!B694,Tabla9[],10,0),""),"")</f>
        <v>0</v>
      </c>
      <c r="O694" s="28">
        <f>IFERROR(VLOOKUP(BD_DETALLE!B694,Tabla9[],11,0),0)</f>
        <v>0</v>
      </c>
      <c r="P694" s="26">
        <f>IFERROR(SUMIFS(Tabla9[CANTIDAD3],Tabla9[BUSQUEDA],Tabla3[[#This Row],[BUSQUEDA]],Tabla9[CODIGO],Tabla3[[#This Row],[CODIGO]]),0)</f>
        <v>0</v>
      </c>
      <c r="Q694" s="25">
        <f>IF(BD_DETALLE!P694&lt;=0,0,IF(BD_DETALLE!P694=BD_DETALLE!H694,2,1))</f>
        <v>0</v>
      </c>
      <c r="R694" s="41">
        <f ca="1">IF(BD_DETALLE!$C694&gt;0,(IF(BD_DETALLE!$N694=0,TODAY()-BD_DETALLE!$C694,BD_DETALLE!$N694-BD_DETALLE!$C694)),"")</f>
        <v>14</v>
      </c>
    </row>
    <row r="695" spans="2:18" x14ac:dyDescent="0.25">
      <c r="B695" s="212" t="str">
        <f t="shared" si="66"/>
        <v>2104-5-302248</v>
      </c>
      <c r="C695" s="242">
        <v>44291</v>
      </c>
      <c r="D695" s="243" t="str">
        <f>IF(BD_DETALLE!$E695&gt;=1,CONCATENATE(TEXT(BD_DETALLE!$C695,"YY"),TEXT(BD_DETALLE!$C695,"MM"),"-",BD_DETALLE!$E695),"")</f>
        <v>2104-5</v>
      </c>
      <c r="E695" s="244">
        <v>5</v>
      </c>
      <c r="F695" s="213">
        <v>302248</v>
      </c>
      <c r="G695" s="214" t="str">
        <f>IFERROR(VLOOKUP(BD_DETALLE!$B695,Tabla9[],6,0),"")</f>
        <v>OXIDO DE MAGNESIO</v>
      </c>
      <c r="H695" s="215">
        <f>IFERROR(VLOOKUP(BD_DETALLE!$B695,Tabla9[],4,0),0)</f>
        <v>10</v>
      </c>
      <c r="I695" s="245" t="s">
        <v>15</v>
      </c>
      <c r="J695" s="216" t="s">
        <v>385</v>
      </c>
      <c r="K695" s="10">
        <f>IFERROR(VLOOKUP(BD_DETALLE!B695,Tabla9[],7,0),"")</f>
        <v>0</v>
      </c>
      <c r="L695" s="11">
        <f>IFERROR(VLOOKUP(BD_DETALLE!B695,Tabla9[],8,0),"")</f>
        <v>0</v>
      </c>
      <c r="M695" s="9">
        <f>IFERROR(SUMIFS(Tabla9[CANTIDAD2],Tabla9[BUSQUEDA],Tabla3[[#This Row],[BUSQUEDA]],Tabla9[CODIGO],Tabla3[[#This Row],[CODIGO]],Tabla9[ORDEN No.],Tabla3[[#This Row],[ORDEN de COMPRA]]),0)</f>
        <v>0</v>
      </c>
      <c r="N695" s="27">
        <f>IFERROR(IF(BD_DETALLE!B695&gt;0,VLOOKUP(BD_DETALLE!B695,Tabla9[],10,0),""),"")</f>
        <v>0</v>
      </c>
      <c r="O695" s="28">
        <f>IFERROR(VLOOKUP(BD_DETALLE!B695,Tabla9[],11,0),0)</f>
        <v>0</v>
      </c>
      <c r="P695" s="26">
        <f>IFERROR(SUMIFS(Tabla9[CANTIDAD3],Tabla9[BUSQUEDA],Tabla3[[#This Row],[BUSQUEDA]],Tabla9[CODIGO],Tabla3[[#This Row],[CODIGO]]),0)</f>
        <v>0</v>
      </c>
      <c r="Q695" s="25">
        <f>IF(BD_DETALLE!P695&lt;=0,0,IF(BD_DETALLE!P695=BD_DETALLE!H695,2,1))</f>
        <v>0</v>
      </c>
      <c r="R695" s="41">
        <f ca="1">IF(BD_DETALLE!$C695&gt;0,(IF(BD_DETALLE!$N695=0,TODAY()-BD_DETALLE!$C695,BD_DETALLE!$N695-BD_DETALLE!$C695)),"")</f>
        <v>14</v>
      </c>
    </row>
    <row r="696" spans="2:18" x14ac:dyDescent="0.25">
      <c r="B696" s="212" t="str">
        <f t="shared" si="66"/>
        <v>2104-5-300685</v>
      </c>
      <c r="C696" s="242">
        <v>44291</v>
      </c>
      <c r="D696" s="243" t="str">
        <f>IF(BD_DETALLE!$E696&gt;=1,CONCATENATE(TEXT(BD_DETALLE!$C696,"YY"),TEXT(BD_DETALLE!$C696,"MM"),"-",BD_DETALLE!$E696),"")</f>
        <v>2104-5</v>
      </c>
      <c r="E696" s="244">
        <v>5</v>
      </c>
      <c r="F696" s="213">
        <v>300685</v>
      </c>
      <c r="G696" s="214" t="str">
        <f>IFERROR(VLOOKUP(BD_DETALLE!$B696,Tabla9[],6,0),"")</f>
        <v>FUNDA TRANSPARENTE 5 x 12</v>
      </c>
      <c r="H696" s="215">
        <f>IFERROR(VLOOKUP(BD_DETALLE!$B696,Tabla9[],4,0),0)</f>
        <v>1000</v>
      </c>
      <c r="I696" s="245" t="s">
        <v>15</v>
      </c>
      <c r="J696" s="216" t="s">
        <v>385</v>
      </c>
      <c r="K696" s="10">
        <f>IFERROR(VLOOKUP(BD_DETALLE!B696,Tabla9[],7,0),"")</f>
        <v>0</v>
      </c>
      <c r="L696" s="11">
        <f>IFERROR(VLOOKUP(BD_DETALLE!B696,Tabla9[],8,0),"")</f>
        <v>0</v>
      </c>
      <c r="M696" s="9">
        <f>IFERROR(SUMIFS(Tabla9[CANTIDAD2],Tabla9[BUSQUEDA],Tabla3[[#This Row],[BUSQUEDA]],Tabla9[CODIGO],Tabla3[[#This Row],[CODIGO]],Tabla9[ORDEN No.],Tabla3[[#This Row],[ORDEN de COMPRA]]),0)</f>
        <v>0</v>
      </c>
      <c r="N696" s="27">
        <f>IFERROR(IF(BD_DETALLE!B696&gt;0,VLOOKUP(BD_DETALLE!B696,Tabla9[],10,0),""),"")</f>
        <v>0</v>
      </c>
      <c r="O696" s="28">
        <f>IFERROR(VLOOKUP(BD_DETALLE!B696,Tabla9[],11,0),0)</f>
        <v>0</v>
      </c>
      <c r="P696" s="26">
        <f>IFERROR(SUMIFS(Tabla9[CANTIDAD3],Tabla9[BUSQUEDA],Tabla3[[#This Row],[BUSQUEDA]],Tabla9[CODIGO],Tabla3[[#This Row],[CODIGO]]),0)</f>
        <v>0</v>
      </c>
      <c r="Q696" s="25">
        <f>IF(BD_DETALLE!P696&lt;=0,0,IF(BD_DETALLE!P696=BD_DETALLE!H696,2,1))</f>
        <v>0</v>
      </c>
      <c r="R696" s="41">
        <f ca="1">IF(BD_DETALLE!$C696&gt;0,(IF(BD_DETALLE!$N696=0,TODAY()-BD_DETALLE!$C696,BD_DETALLE!$N696-BD_DETALLE!$C696)),"")</f>
        <v>14</v>
      </c>
    </row>
    <row r="697" spans="2:18" x14ac:dyDescent="0.25">
      <c r="B697" s="212" t="str">
        <f t="shared" si="66"/>
        <v>2104-6-205752</v>
      </c>
      <c r="C697" s="242">
        <v>44291</v>
      </c>
      <c r="D697" s="243" t="str">
        <f>IF(BD_DETALLE!$E697&gt;=1,CONCATENATE(TEXT(BD_DETALLE!$C697,"YY"),TEXT(BD_DETALLE!$C697,"MM"),"-",BD_DETALLE!$E697),"")</f>
        <v>2104-6</v>
      </c>
      <c r="E697" s="244">
        <v>6</v>
      </c>
      <c r="F697" s="213">
        <v>205752</v>
      </c>
      <c r="G697" s="214" t="str">
        <f>IFERROR(VLOOKUP(BD_DETALLE!$B697,Tabla9[],6,0),"")</f>
        <v>ACEITE 15W-40</v>
      </c>
      <c r="H697" s="215">
        <f>IFERROR(VLOOKUP(BD_DETALLE!$B697,Tabla9[],4,0),0)</f>
        <v>110</v>
      </c>
      <c r="I697" s="245" t="s">
        <v>15</v>
      </c>
      <c r="J697" s="216" t="s">
        <v>385</v>
      </c>
      <c r="K697" s="10">
        <f>IFERROR(VLOOKUP(BD_DETALLE!B697,Tabla9[],7,0),"")</f>
        <v>44293</v>
      </c>
      <c r="L697" s="11">
        <f>IFERROR(VLOOKUP(BD_DETALLE!B697,Tabla9[],8,0),"")</f>
        <v>52391</v>
      </c>
      <c r="M697" s="9">
        <f>IFERROR(SUMIFS(Tabla9[CANTIDAD2],Tabla9[BUSQUEDA],Tabla3[[#This Row],[BUSQUEDA]],Tabla9[CODIGO],Tabla3[[#This Row],[CODIGO]],Tabla9[ORDEN No.],Tabla3[[#This Row],[ORDEN de COMPRA]]),0)</f>
        <v>110</v>
      </c>
      <c r="N697" s="27">
        <f>IFERROR(IF(BD_DETALLE!B697&gt;0,VLOOKUP(BD_DETALLE!B697,Tabla9[],10,0),""),"")</f>
        <v>44299</v>
      </c>
      <c r="O697" s="28">
        <f>IFERROR(VLOOKUP(BD_DETALLE!B697,Tabla9[],11,0),0)</f>
        <v>11803</v>
      </c>
      <c r="P697" s="26">
        <f>IFERROR(SUMIFS(Tabla9[CANTIDAD3],Tabla9[BUSQUEDA],Tabla3[[#This Row],[BUSQUEDA]],Tabla9[CODIGO],Tabla3[[#This Row],[CODIGO]]),0)</f>
        <v>110</v>
      </c>
      <c r="Q697" s="25">
        <f>IF(BD_DETALLE!P697&lt;=0,0,IF(BD_DETALLE!P697=BD_DETALLE!H697,2,1))</f>
        <v>2</v>
      </c>
      <c r="R697" s="41">
        <f ca="1">IF(BD_DETALLE!$C697&gt;0,(IF(BD_DETALLE!$N697=0,TODAY()-BD_DETALLE!$C697,BD_DETALLE!$N697-BD_DETALLE!$C697)),"")</f>
        <v>8</v>
      </c>
    </row>
    <row r="698" spans="2:18" x14ac:dyDescent="0.25">
      <c r="B698" s="212" t="str">
        <f t="shared" si="66"/>
        <v>2104-6-205291</v>
      </c>
      <c r="C698" s="242">
        <v>44291</v>
      </c>
      <c r="D698" s="243" t="str">
        <f>IF(BD_DETALLE!$E698&gt;=1,CONCATENATE(TEXT(BD_DETALLE!$C698,"YY"),TEXT(BD_DETALLE!$C698,"MM"),"-",BD_DETALLE!$E698),"")</f>
        <v>2104-6</v>
      </c>
      <c r="E698" s="244">
        <v>6</v>
      </c>
      <c r="F698" s="213">
        <v>205291</v>
      </c>
      <c r="G698" s="214" t="str">
        <f>IFERROR(VLOOKUP(BD_DETALLE!$B698,Tabla9[],6,0),"")</f>
        <v>ACEITE 80W90</v>
      </c>
      <c r="H698" s="215">
        <f>IFERROR(VLOOKUP(BD_DETALLE!$B698,Tabla9[],4,0),0)</f>
        <v>55</v>
      </c>
      <c r="I698" s="245" t="s">
        <v>15</v>
      </c>
      <c r="J698" s="216" t="s">
        <v>385</v>
      </c>
      <c r="K698" s="10">
        <f>IFERROR(VLOOKUP(BD_DETALLE!B698,Tabla9[],7,0),"")</f>
        <v>44293</v>
      </c>
      <c r="L698" s="11">
        <f>IFERROR(VLOOKUP(BD_DETALLE!B698,Tabla9[],8,0),"")</f>
        <v>52391</v>
      </c>
      <c r="M698" s="9">
        <f>IFERROR(SUMIFS(Tabla9[CANTIDAD2],Tabla9[BUSQUEDA],Tabla3[[#This Row],[BUSQUEDA]],Tabla9[CODIGO],Tabla3[[#This Row],[CODIGO]],Tabla9[ORDEN No.],Tabla3[[#This Row],[ORDEN de COMPRA]]),0)</f>
        <v>55</v>
      </c>
      <c r="N698" s="27">
        <f>IFERROR(IF(BD_DETALLE!B698&gt;0,VLOOKUP(BD_DETALLE!B698,Tabla9[],10,0),""),"")</f>
        <v>44299</v>
      </c>
      <c r="O698" s="28">
        <f>IFERROR(VLOOKUP(BD_DETALLE!B698,Tabla9[],11,0),0)</f>
        <v>11803</v>
      </c>
      <c r="P698" s="26">
        <f>IFERROR(SUMIFS(Tabla9[CANTIDAD3],Tabla9[BUSQUEDA],Tabla3[[#This Row],[BUSQUEDA]],Tabla9[CODIGO],Tabla3[[#This Row],[CODIGO]]),0)</f>
        <v>55</v>
      </c>
      <c r="Q698" s="25">
        <f>IF(BD_DETALLE!P698&lt;=0,0,IF(BD_DETALLE!P698=BD_DETALLE!H698,2,1))</f>
        <v>2</v>
      </c>
      <c r="R698" s="41">
        <f ca="1">IF(BD_DETALLE!$C698&gt;0,(IF(BD_DETALLE!$N698=0,TODAY()-BD_DETALLE!$C698,BD_DETALLE!$N698-BD_DETALLE!$C698)),"")</f>
        <v>8</v>
      </c>
    </row>
    <row r="699" spans="2:18" x14ac:dyDescent="0.25">
      <c r="B699" s="212" t="str">
        <f t="shared" si="66"/>
        <v>2104-8-206211</v>
      </c>
      <c r="C699" s="242">
        <v>44291</v>
      </c>
      <c r="D699" s="243" t="str">
        <f>IF(BD_DETALLE!$E699&gt;=1,CONCATENATE(TEXT(BD_DETALLE!$C699,"YY"),TEXT(BD_DETALLE!$C699,"MM"),"-",BD_DETALLE!$E699),"")</f>
        <v>2104-8</v>
      </c>
      <c r="E699" s="244">
        <v>8</v>
      </c>
      <c r="F699" s="213">
        <v>206211</v>
      </c>
      <c r="G699" s="214" t="str">
        <f>IFERROR(VLOOKUP(BD_DETALLE!$B699,Tabla9[],6,0),"")</f>
        <v>BATERIA DE 17 PLACA 105AMP 12VOLT</v>
      </c>
      <c r="H699" s="215">
        <f>IFERROR(VLOOKUP(BD_DETALLE!$B699,Tabla9[],4,0),0)</f>
        <v>4</v>
      </c>
      <c r="I699" s="245" t="s">
        <v>5</v>
      </c>
      <c r="J699" s="216" t="s">
        <v>2167</v>
      </c>
      <c r="K699" s="10">
        <f>IFERROR(VLOOKUP(BD_DETALLE!B699,Tabla9[],7,0),"")</f>
        <v>44292</v>
      </c>
      <c r="L699" s="11">
        <f>IFERROR(VLOOKUP(BD_DETALLE!B699,Tabla9[],8,0),"")</f>
        <v>52366</v>
      </c>
      <c r="M699" s="9">
        <f>IFERROR(SUMIFS(Tabla9[CANTIDAD2],Tabla9[BUSQUEDA],Tabla3[[#This Row],[BUSQUEDA]],Tabla9[CODIGO],Tabla3[[#This Row],[CODIGO]],Tabla9[ORDEN No.],Tabla3[[#This Row],[ORDEN de COMPRA]]),0)</f>
        <v>4</v>
      </c>
      <c r="N699" s="27">
        <f>IFERROR(IF(BD_DETALLE!B699&gt;0,VLOOKUP(BD_DETALLE!B699,Tabla9[],10,0),""),"")</f>
        <v>44294</v>
      </c>
      <c r="O699" s="28">
        <f>IFERROR(VLOOKUP(BD_DETALLE!B699,Tabla9[],11,0),0)</f>
        <v>11744</v>
      </c>
      <c r="P699" s="26">
        <f>IFERROR(SUMIFS(Tabla9[CANTIDAD3],Tabla9[BUSQUEDA],Tabla3[[#This Row],[BUSQUEDA]],Tabla9[CODIGO],Tabla3[[#This Row],[CODIGO]]),0)</f>
        <v>4</v>
      </c>
      <c r="Q699" s="25">
        <f>IF(BD_DETALLE!P699&lt;=0,0,IF(BD_DETALLE!P699=BD_DETALLE!H699,2,1))</f>
        <v>2</v>
      </c>
      <c r="R699" s="41">
        <f ca="1">IF(BD_DETALLE!$C699&gt;0,(IF(BD_DETALLE!$N699=0,TODAY()-BD_DETALLE!$C699,BD_DETALLE!$N699-BD_DETALLE!$C699)),"")</f>
        <v>3</v>
      </c>
    </row>
    <row r="700" spans="2:18" x14ac:dyDescent="0.25">
      <c r="B700" s="212" t="str">
        <f t="shared" si="66"/>
        <v>2104-8-312508</v>
      </c>
      <c r="C700" s="242">
        <v>44291</v>
      </c>
      <c r="D700" s="243" t="str">
        <f>IF(BD_DETALLE!$E700&gt;=1,CONCATENATE(TEXT(BD_DETALLE!$C700,"YY"),TEXT(BD_DETALLE!$C700,"MM"),"-",BD_DETALLE!$E700),"")</f>
        <v>2104-8</v>
      </c>
      <c r="E700" s="244">
        <v>8</v>
      </c>
      <c r="F700" s="213">
        <v>312508</v>
      </c>
      <c r="G700" s="214" t="str">
        <f>IFERROR(VLOOKUP(BD_DETALLE!$B700,Tabla9[],6,0),"")</f>
        <v>PULMON DOBLE ACCION TIPO 30/30</v>
      </c>
      <c r="H700" s="215">
        <f>IFERROR(VLOOKUP(BD_DETALLE!$B700,Tabla9[],4,0),0)</f>
        <v>1</v>
      </c>
      <c r="I700" s="245" t="s">
        <v>5</v>
      </c>
      <c r="J700" s="216" t="s">
        <v>2167</v>
      </c>
      <c r="K700" s="10">
        <f>IFERROR(VLOOKUP(BD_DETALLE!B700,Tabla9[],7,0),"")</f>
        <v>44299</v>
      </c>
      <c r="L700" s="11">
        <f>IFERROR(VLOOKUP(BD_DETALLE!B700,Tabla9[],8,0),"")</f>
        <v>52450</v>
      </c>
      <c r="M700" s="9">
        <f>IFERROR(SUMIFS(Tabla9[CANTIDAD2],Tabla9[BUSQUEDA],Tabla3[[#This Row],[BUSQUEDA]],Tabla9[CODIGO],Tabla3[[#This Row],[CODIGO]],Tabla9[ORDEN No.],Tabla3[[#This Row],[ORDEN de COMPRA]]),0)</f>
        <v>1</v>
      </c>
      <c r="N700" s="27">
        <f>IFERROR(IF(BD_DETALLE!B700&gt;0,VLOOKUP(BD_DETALLE!B700,Tabla9[],10,0),""),"")</f>
        <v>44294</v>
      </c>
      <c r="O700" s="28">
        <f>IFERROR(VLOOKUP(BD_DETALLE!B700,Tabla9[],11,0),0)</f>
        <v>11760</v>
      </c>
      <c r="P700" s="26">
        <f>IFERROR(SUMIFS(Tabla9[CANTIDAD3],Tabla9[BUSQUEDA],Tabla3[[#This Row],[BUSQUEDA]],Tabla9[CODIGO],Tabla3[[#This Row],[CODIGO]]),0)</f>
        <v>1</v>
      </c>
      <c r="Q700" s="25">
        <f>IF(BD_DETALLE!P700&lt;=0,0,IF(BD_DETALLE!P700=BD_DETALLE!H700,2,1))</f>
        <v>2</v>
      </c>
      <c r="R700" s="41">
        <f ca="1">IF(BD_DETALLE!$C700&gt;0,(IF(BD_DETALLE!$N700=0,TODAY()-BD_DETALLE!$C700,BD_DETALLE!$N700-BD_DETALLE!$C700)),"")</f>
        <v>3</v>
      </c>
    </row>
    <row r="701" spans="2:18" x14ac:dyDescent="0.25">
      <c r="B701" s="212" t="str">
        <f t="shared" si="66"/>
        <v>2104-9-309630</v>
      </c>
      <c r="C701" s="250">
        <v>44291</v>
      </c>
      <c r="D701" s="243" t="str">
        <f>IF(BD_DETALLE!$E701&gt;=1,CONCATENATE(TEXT(BD_DETALLE!$C701,"YY"),TEXT(BD_DETALLE!$C701,"MM"),"-",BD_DETALLE!$E701),"")</f>
        <v>2104-9</v>
      </c>
      <c r="E701" s="244">
        <v>9</v>
      </c>
      <c r="F701" s="213">
        <v>309630</v>
      </c>
      <c r="G701" s="214" t="str">
        <f>IFERROR(VLOOKUP(BD_DETALLE!$B701,Tabla9[],6,0),"")</f>
        <v>RETENEDOR DE EJE DE RUEDA</v>
      </c>
      <c r="H701" s="215">
        <f>IFERROR(VLOOKUP(BD_DETALLE!$B701,Tabla9[],4,0),0)</f>
        <v>6</v>
      </c>
      <c r="I701" s="245" t="s">
        <v>5</v>
      </c>
      <c r="J701" s="216" t="s">
        <v>2168</v>
      </c>
      <c r="K701" s="10">
        <f>IFERROR(VLOOKUP(BD_DETALLE!B701,Tabla9[],7,0),"")</f>
        <v>44291</v>
      </c>
      <c r="L701" s="11">
        <f>IFERROR(VLOOKUP(BD_DETALLE!B701,Tabla9[],8,0),"")</f>
        <v>52360</v>
      </c>
      <c r="M701" s="9">
        <f>IFERROR(SUMIFS(Tabla9[CANTIDAD2],Tabla9[BUSQUEDA],Tabla3[[#This Row],[BUSQUEDA]],Tabla9[CODIGO],Tabla3[[#This Row],[CODIGO]],Tabla9[ORDEN No.],Tabla3[[#This Row],[ORDEN de COMPRA]]),0)</f>
        <v>6</v>
      </c>
      <c r="N701" s="27">
        <f>IFERROR(IF(BD_DETALLE!B701&gt;0,VLOOKUP(BD_DETALLE!B701,Tabla9[],10,0),""),"")</f>
        <v>44292</v>
      </c>
      <c r="O701" s="28">
        <f>IFERROR(VLOOKUP(BD_DETALLE!B701,Tabla9[],11,0),0)</f>
        <v>11725</v>
      </c>
      <c r="P701" s="26">
        <f>IFERROR(SUMIFS(Tabla9[CANTIDAD3],Tabla9[BUSQUEDA],Tabla3[[#This Row],[BUSQUEDA]],Tabla9[CODIGO],Tabla3[[#This Row],[CODIGO]]),0)</f>
        <v>6</v>
      </c>
      <c r="Q701" s="25">
        <f>IF(BD_DETALLE!P701&lt;=0,0,IF(BD_DETALLE!P701=BD_DETALLE!H701,2,1))</f>
        <v>2</v>
      </c>
      <c r="R701" s="41">
        <f ca="1">IF(BD_DETALLE!$C701&gt;0,(IF(BD_DETALLE!$N701=0,TODAY()-BD_DETALLE!$C701,BD_DETALLE!$N701-BD_DETALLE!$C701)),"")</f>
        <v>1</v>
      </c>
    </row>
    <row r="702" spans="2:18" x14ac:dyDescent="0.25">
      <c r="B702" s="212" t="str">
        <f t="shared" si="66"/>
        <v>2104-9-308979</v>
      </c>
      <c r="C702" s="242">
        <v>44291</v>
      </c>
      <c r="D702" s="243" t="str">
        <f>IF(BD_DETALLE!$E702&gt;=1,CONCATENATE(TEXT(BD_DETALLE!$C702,"YY"),TEXT(BD_DETALLE!$C702,"MM"),"-",BD_DETALLE!$E702),"")</f>
        <v>2104-9</v>
      </c>
      <c r="E702" s="244">
        <v>9</v>
      </c>
      <c r="F702" s="213">
        <v>308979</v>
      </c>
      <c r="G702" s="214" t="str">
        <f>IFERROR(VLOOKUP(BD_DETALLE!$B702,Tabla9[],6,0),"")</f>
        <v>TAMBOR EJE CUADRADO</v>
      </c>
      <c r="H702" s="215">
        <f>IFERROR(VLOOKUP(BD_DETALLE!$B702,Tabla9[],4,0),0)</f>
        <v>6</v>
      </c>
      <c r="I702" s="245" t="s">
        <v>5</v>
      </c>
      <c r="J702" s="216" t="s">
        <v>2168</v>
      </c>
      <c r="K702" s="10">
        <f>IFERROR(VLOOKUP(BD_DETALLE!B702,Tabla9[],7,0),"")</f>
        <v>44291</v>
      </c>
      <c r="L702" s="11">
        <f>IFERROR(VLOOKUP(BD_DETALLE!B702,Tabla9[],8,0),"")</f>
        <v>52360</v>
      </c>
      <c r="M702" s="9">
        <f>IFERROR(SUMIFS(Tabla9[CANTIDAD2],Tabla9[BUSQUEDA],Tabla3[[#This Row],[BUSQUEDA]],Tabla9[CODIGO],Tabla3[[#This Row],[CODIGO]],Tabla9[ORDEN No.],Tabla3[[#This Row],[ORDEN de COMPRA]]),0)</f>
        <v>6</v>
      </c>
      <c r="N702" s="27">
        <f>IFERROR(IF(BD_DETALLE!B702&gt;0,VLOOKUP(BD_DETALLE!B702,Tabla9[],10,0),""),"")</f>
        <v>44292</v>
      </c>
      <c r="O702" s="28">
        <f>IFERROR(VLOOKUP(BD_DETALLE!B702,Tabla9[],11,0),0)</f>
        <v>11725</v>
      </c>
      <c r="P702" s="26">
        <f>IFERROR(SUMIFS(Tabla9[CANTIDAD3],Tabla9[BUSQUEDA],Tabla3[[#This Row],[BUSQUEDA]],Tabla9[CODIGO],Tabla3[[#This Row],[CODIGO]]),0)</f>
        <v>6</v>
      </c>
      <c r="Q702" s="25">
        <f>IF(BD_DETALLE!P702&lt;=0,0,IF(BD_DETALLE!P702=BD_DETALLE!H702,2,1))</f>
        <v>2</v>
      </c>
      <c r="R702" s="41">
        <f ca="1">IF(BD_DETALLE!$C702&gt;0,(IF(BD_DETALLE!$N702=0,TODAY()-BD_DETALLE!$C702,BD_DETALLE!$N702-BD_DETALLE!$C702)),"")</f>
        <v>1</v>
      </c>
    </row>
    <row r="703" spans="2:18" x14ac:dyDescent="0.25">
      <c r="B703" s="212" t="str">
        <f t="shared" si="66"/>
        <v>2104-10-321034</v>
      </c>
      <c r="C703" s="242">
        <v>44291</v>
      </c>
      <c r="D703" s="243" t="str">
        <f>IF(BD_DETALLE!$E703&gt;=1,CONCATENATE(TEXT(BD_DETALLE!$C703,"YY"),TEXT(BD_DETALLE!$C703,"MM"),"-",BD_DETALLE!$E703),"")</f>
        <v>2104-10</v>
      </c>
      <c r="E703" s="244">
        <v>10</v>
      </c>
      <c r="F703" s="213">
        <v>321034</v>
      </c>
      <c r="G703" s="214" t="str">
        <f>IFERROR(VLOOKUP(BD_DETALLE!$B703,Tabla9[],6,0),"")</f>
        <v>ANILLO INFERIOR DE ARMAZON # 524216-90</v>
      </c>
      <c r="H703" s="215">
        <f>IFERROR(VLOOKUP(BD_DETALLE!$B703,Tabla9[],4,0),0)</f>
        <v>1</v>
      </c>
      <c r="I703" s="245" t="s">
        <v>19</v>
      </c>
      <c r="J703" s="216" t="s">
        <v>2169</v>
      </c>
      <c r="K703" s="10">
        <f>IFERROR(VLOOKUP(BD_DETALLE!B703,Tabla9[],7,0),"")</f>
        <v>0</v>
      </c>
      <c r="L703" s="11">
        <f>IFERROR(VLOOKUP(BD_DETALLE!B703,Tabla9[],8,0),"")</f>
        <v>0</v>
      </c>
      <c r="M703" s="9">
        <f>IFERROR(SUMIFS(Tabla9[CANTIDAD2],Tabla9[BUSQUEDA],Tabla3[[#This Row],[BUSQUEDA]],Tabla9[CODIGO],Tabla3[[#This Row],[CODIGO]],Tabla9[ORDEN No.],Tabla3[[#This Row],[ORDEN de COMPRA]]),0)</f>
        <v>0</v>
      </c>
      <c r="N703" s="27">
        <f>IFERROR(IF(BD_DETALLE!B703&gt;0,VLOOKUP(BD_DETALLE!B703,Tabla9[],10,0),""),"")</f>
        <v>0</v>
      </c>
      <c r="O703" s="28">
        <f>IFERROR(VLOOKUP(BD_DETALLE!B703,Tabla9[],11,0),0)</f>
        <v>0</v>
      </c>
      <c r="P703" s="26">
        <f>IFERROR(SUMIFS(Tabla9[CANTIDAD3],Tabla9[BUSQUEDA],Tabla3[[#This Row],[BUSQUEDA]],Tabla9[CODIGO],Tabla3[[#This Row],[CODIGO]]),0)</f>
        <v>0</v>
      </c>
      <c r="Q703" s="25">
        <f>IF(BD_DETALLE!P703&lt;=0,0,IF(BD_DETALLE!P703=BD_DETALLE!H703,2,1))</f>
        <v>0</v>
      </c>
      <c r="R703" s="41">
        <f ca="1">IF(BD_DETALLE!$C703&gt;0,(IF(BD_DETALLE!$N703=0,TODAY()-BD_DETALLE!$C703,BD_DETALLE!$N703-BD_DETALLE!$C703)),"")</f>
        <v>14</v>
      </c>
    </row>
    <row r="704" spans="2:18" x14ac:dyDescent="0.25">
      <c r="B704" s="212" t="str">
        <f t="shared" si="66"/>
        <v>2104-10-321033</v>
      </c>
      <c r="C704" s="242">
        <v>44291</v>
      </c>
      <c r="D704" s="243" t="str">
        <f>IF(BD_DETALLE!$E704&gt;=1,CONCATENATE(TEXT(BD_DETALLE!$C704,"YY"),TEXT(BD_DETALLE!$C704,"MM"),"-",BD_DETALLE!$E704),"")</f>
        <v>2104-10</v>
      </c>
      <c r="E704" s="244">
        <v>10</v>
      </c>
      <c r="F704" s="213">
        <v>321033</v>
      </c>
      <c r="G704" s="214" t="str">
        <f>IFERROR(VLOOKUP(BD_DETALLE!$B704,Tabla9[],6,0),"")</f>
        <v>ANILLO SUPERIOR DE ARMAZON # 516352-80</v>
      </c>
      <c r="H704" s="215">
        <f>IFERROR(VLOOKUP(BD_DETALLE!$B704,Tabla9[],4,0),0)</f>
        <v>1</v>
      </c>
      <c r="I704" s="245" t="s">
        <v>19</v>
      </c>
      <c r="J704" s="216" t="s">
        <v>2169</v>
      </c>
      <c r="K704" s="10">
        <f>IFERROR(VLOOKUP(BD_DETALLE!B704,Tabla9[],7,0),"")</f>
        <v>0</v>
      </c>
      <c r="L704" s="11">
        <f>IFERROR(VLOOKUP(BD_DETALLE!B704,Tabla9[],8,0),"")</f>
        <v>0</v>
      </c>
      <c r="M704" s="9">
        <f>IFERROR(SUMIFS(Tabla9[CANTIDAD2],Tabla9[BUSQUEDA],Tabla3[[#This Row],[BUSQUEDA]],Tabla9[CODIGO],Tabla3[[#This Row],[CODIGO]],Tabla9[ORDEN No.],Tabla3[[#This Row],[ORDEN de COMPRA]]),0)</f>
        <v>0</v>
      </c>
      <c r="N704" s="27">
        <f>IFERROR(IF(BD_DETALLE!B704&gt;0,VLOOKUP(BD_DETALLE!B704,Tabla9[],10,0),""),"")</f>
        <v>0</v>
      </c>
      <c r="O704" s="28">
        <f>IFERROR(VLOOKUP(BD_DETALLE!B704,Tabla9[],11,0),0)</f>
        <v>0</v>
      </c>
      <c r="P704" s="26">
        <f>IFERROR(SUMIFS(Tabla9[CANTIDAD3],Tabla9[BUSQUEDA],Tabla3[[#This Row],[BUSQUEDA]],Tabla9[CODIGO],Tabla3[[#This Row],[CODIGO]]),0)</f>
        <v>0</v>
      </c>
      <c r="Q704" s="25">
        <f>IF(BD_DETALLE!P704&lt;=0,0,IF(BD_DETALLE!P704=BD_DETALLE!H704,2,1))</f>
        <v>0</v>
      </c>
      <c r="R704" s="41">
        <f ca="1">IF(BD_DETALLE!$C704&gt;0,(IF(BD_DETALLE!$N704=0,TODAY()-BD_DETALLE!$C704,BD_DETALLE!$N704-BD_DETALLE!$C704)),"")</f>
        <v>14</v>
      </c>
    </row>
    <row r="705" spans="2:18" x14ac:dyDescent="0.25">
      <c r="B705" s="212" t="str">
        <f t="shared" si="66"/>
        <v>2104-10-317339</v>
      </c>
      <c r="C705" s="242">
        <v>44291</v>
      </c>
      <c r="D705" s="243" t="str">
        <f>IF(BD_DETALLE!$E705&gt;=1,CONCATENATE(TEXT(BD_DETALLE!$C705,"YY"),TEXT(BD_DETALLE!$C705,"MM"),"-",BD_DETALLE!$E705),"")</f>
        <v>2104-10</v>
      </c>
      <c r="E705" s="244">
        <v>10</v>
      </c>
      <c r="F705" s="213">
        <v>317339</v>
      </c>
      <c r="G705" s="214" t="str">
        <f>IFERROR(VLOOKUP(BD_DETALLE!$B705,Tabla9[],6,0),"")</f>
        <v>ANILLO OBTURADOR # 67675</v>
      </c>
      <c r="H705" s="215">
        <f>IFERROR(VLOOKUP(BD_DETALLE!$B705,Tabla9[],4,0),0)</f>
        <v>2</v>
      </c>
      <c r="I705" s="245" t="s">
        <v>19</v>
      </c>
      <c r="J705" s="216" t="s">
        <v>2169</v>
      </c>
      <c r="K705" s="10">
        <f>IFERROR(VLOOKUP(BD_DETALLE!B705,Tabla9[],7,0),"")</f>
        <v>0</v>
      </c>
      <c r="L705" s="11">
        <f>IFERROR(VLOOKUP(BD_DETALLE!B705,Tabla9[],8,0),"")</f>
        <v>0</v>
      </c>
      <c r="M705" s="9">
        <f>IFERROR(SUMIFS(Tabla9[CANTIDAD2],Tabla9[BUSQUEDA],Tabla3[[#This Row],[BUSQUEDA]],Tabla9[CODIGO],Tabla3[[#This Row],[CODIGO]],Tabla9[ORDEN No.],Tabla3[[#This Row],[ORDEN de COMPRA]]),0)</f>
        <v>0</v>
      </c>
      <c r="N705" s="27">
        <f>IFERROR(IF(BD_DETALLE!B705&gt;0,VLOOKUP(BD_DETALLE!B705,Tabla9[],10,0),""),"")</f>
        <v>0</v>
      </c>
      <c r="O705" s="28">
        <f>IFERROR(VLOOKUP(BD_DETALLE!B705,Tabla9[],11,0),0)</f>
        <v>0</v>
      </c>
      <c r="P705" s="26">
        <f>IFERROR(SUMIFS(Tabla9[CANTIDAD3],Tabla9[BUSQUEDA],Tabla3[[#This Row],[BUSQUEDA]],Tabla9[CODIGO],Tabla3[[#This Row],[CODIGO]]),0)</f>
        <v>0</v>
      </c>
      <c r="Q705" s="25">
        <f>IF(BD_DETALLE!P705&lt;=0,0,IF(BD_DETALLE!P705=BD_DETALLE!H705,2,1))</f>
        <v>0</v>
      </c>
      <c r="R705" s="41">
        <f ca="1">IF(BD_DETALLE!$C705&gt;0,(IF(BD_DETALLE!$N705=0,TODAY()-BD_DETALLE!$C705,BD_DETALLE!$N705-BD_DETALLE!$C705)),"")</f>
        <v>14</v>
      </c>
    </row>
    <row r="706" spans="2:18" x14ac:dyDescent="0.25">
      <c r="B706" s="212" t="str">
        <f t="shared" si="66"/>
        <v>2104-11-321035</v>
      </c>
      <c r="C706" s="242">
        <v>44291</v>
      </c>
      <c r="D706" s="243" t="str">
        <f>IF(BD_DETALLE!$E706&gt;=1,CONCATENATE(TEXT(BD_DETALLE!$C706,"YY"),TEXT(BD_DETALLE!$C706,"MM"),"-",BD_DETALLE!$E706),"")</f>
        <v>2104-11</v>
      </c>
      <c r="E706" s="244">
        <v>11</v>
      </c>
      <c r="F706" s="213">
        <v>321035</v>
      </c>
      <c r="G706" s="214" t="str">
        <f>IFERROR(VLOOKUP(BD_DETALLE!$B706,Tabla9[],6,0),"")</f>
        <v>CORREDERA DE MANIOBRA # 539740-80</v>
      </c>
      <c r="H706" s="215">
        <f>IFERROR(VLOOKUP(BD_DETALLE!$B706,Tabla9[],4,0),0)</f>
        <v>1</v>
      </c>
      <c r="I706" s="245" t="s">
        <v>19</v>
      </c>
      <c r="J706" s="216" t="s">
        <v>2169</v>
      </c>
      <c r="K706" s="10">
        <f>IFERROR(VLOOKUP(BD_DETALLE!B706,Tabla9[],7,0),"")</f>
        <v>0</v>
      </c>
      <c r="L706" s="11">
        <f>IFERROR(VLOOKUP(BD_DETALLE!B706,Tabla9[],8,0),"")</f>
        <v>0</v>
      </c>
      <c r="M706" s="9">
        <f>IFERROR(SUMIFS(Tabla9[CANTIDAD2],Tabla9[BUSQUEDA],Tabla3[[#This Row],[BUSQUEDA]],Tabla9[CODIGO],Tabla3[[#This Row],[CODIGO]],Tabla9[ORDEN No.],Tabla3[[#This Row],[ORDEN de COMPRA]]),0)</f>
        <v>0</v>
      </c>
      <c r="N706" s="27">
        <f>IFERROR(IF(BD_DETALLE!B706&gt;0,VLOOKUP(BD_DETALLE!B706,Tabla9[],10,0),""),"")</f>
        <v>0</v>
      </c>
      <c r="O706" s="28">
        <f>IFERROR(VLOOKUP(BD_DETALLE!B706,Tabla9[],11,0),0)</f>
        <v>0</v>
      </c>
      <c r="P706" s="26">
        <f>IFERROR(SUMIFS(Tabla9[CANTIDAD3],Tabla9[BUSQUEDA],Tabla3[[#This Row],[BUSQUEDA]],Tabla9[CODIGO],Tabla3[[#This Row],[CODIGO]]),0)</f>
        <v>0</v>
      </c>
      <c r="Q706" s="25">
        <f>IF(BD_DETALLE!P706&lt;=0,0,IF(BD_DETALLE!P706=BD_DETALLE!H706,2,1))</f>
        <v>0</v>
      </c>
      <c r="R706" s="41">
        <f ca="1">IF(BD_DETALLE!$C706&gt;0,(IF(BD_DETALLE!$N706=0,TODAY()-BD_DETALLE!$C706,BD_DETALLE!$N706-BD_DETALLE!$C706)),"")</f>
        <v>14</v>
      </c>
    </row>
    <row r="707" spans="2:18" x14ac:dyDescent="0.25">
      <c r="B707" s="212" t="str">
        <f t="shared" si="66"/>
        <v>2104-11-321038</v>
      </c>
      <c r="C707" s="242">
        <v>44291</v>
      </c>
      <c r="D707" s="243" t="str">
        <f>IF(BD_DETALLE!$E707&gt;=1,CONCATENATE(TEXT(BD_DETALLE!$C707,"YY"),TEXT(BD_DETALLE!$C707,"MM"),"-",BD_DETALLE!$E707),"")</f>
        <v>2104-11</v>
      </c>
      <c r="E707" s="244">
        <v>11</v>
      </c>
      <c r="F707" s="213">
        <v>321038</v>
      </c>
      <c r="G707" s="214" t="str">
        <f>IFERROR(VLOOKUP(BD_DETALLE!$B707,Tabla9[],6,0),"")</f>
        <v>TAPA DEL ARMAZON # 535417-80</v>
      </c>
      <c r="H707" s="215">
        <f>IFERROR(VLOOKUP(BD_DETALLE!$B707,Tabla9[],4,0),0)</f>
        <v>1</v>
      </c>
      <c r="I707" s="245" t="s">
        <v>19</v>
      </c>
      <c r="J707" s="216" t="s">
        <v>2169</v>
      </c>
      <c r="K707" s="10">
        <f>IFERROR(VLOOKUP(BD_DETALLE!B707,Tabla9[],7,0),"")</f>
        <v>0</v>
      </c>
      <c r="L707" s="11">
        <f>IFERROR(VLOOKUP(BD_DETALLE!B707,Tabla9[],8,0),"")</f>
        <v>0</v>
      </c>
      <c r="M707" s="9">
        <f>IFERROR(SUMIFS(Tabla9[CANTIDAD2],Tabla9[BUSQUEDA],Tabla3[[#This Row],[BUSQUEDA]],Tabla9[CODIGO],Tabla3[[#This Row],[CODIGO]],Tabla9[ORDEN No.],Tabla3[[#This Row],[ORDEN de COMPRA]]),0)</f>
        <v>0</v>
      </c>
      <c r="N707" s="27">
        <f>IFERROR(IF(BD_DETALLE!B707&gt;0,VLOOKUP(BD_DETALLE!B707,Tabla9[],10,0),""),"")</f>
        <v>0</v>
      </c>
      <c r="O707" s="28">
        <f>IFERROR(VLOOKUP(BD_DETALLE!B707,Tabla9[],11,0),0)</f>
        <v>0</v>
      </c>
      <c r="P707" s="26">
        <f>IFERROR(SUMIFS(Tabla9[CANTIDAD3],Tabla9[BUSQUEDA],Tabla3[[#This Row],[BUSQUEDA]],Tabla9[CODIGO],Tabla3[[#This Row],[CODIGO]]),0)</f>
        <v>0</v>
      </c>
      <c r="Q707" s="25">
        <f>IF(BD_DETALLE!P707&lt;=0,0,IF(BD_DETALLE!P707=BD_DETALLE!H707,2,1))</f>
        <v>0</v>
      </c>
      <c r="R707" s="41">
        <f ca="1">IF(BD_DETALLE!$C707&gt;0,(IF(BD_DETALLE!$N707=0,TODAY()-BD_DETALLE!$C707,BD_DETALLE!$N707-BD_DETALLE!$C707)),"")</f>
        <v>14</v>
      </c>
    </row>
    <row r="708" spans="2:18" x14ac:dyDescent="0.25">
      <c r="B708" s="212" t="str">
        <f t="shared" si="66"/>
        <v>2104-11-321036</v>
      </c>
      <c r="C708" s="242">
        <v>44291</v>
      </c>
      <c r="D708" s="243" t="str">
        <f>IF(BD_DETALLE!$E708&gt;=1,CONCATENATE(TEXT(BD_DETALLE!$C708,"YY"),TEXT(BD_DETALLE!$C708,"MM"),"-",BD_DETALLE!$E708),"")</f>
        <v>2104-11</v>
      </c>
      <c r="E708" s="244">
        <v>11</v>
      </c>
      <c r="F708" s="213">
        <v>321036</v>
      </c>
      <c r="G708" s="214" t="str">
        <f>IFERROR(VLOOKUP(BD_DETALLE!$B708,Tabla9[],6,0),"")</f>
        <v>ANILLO INTERMEDIO # 535358-01</v>
      </c>
      <c r="H708" s="215">
        <f>IFERROR(VLOOKUP(BD_DETALLE!$B708,Tabla9[],4,0),0)</f>
        <v>1</v>
      </c>
      <c r="I708" s="245" t="s">
        <v>19</v>
      </c>
      <c r="J708" s="216" t="s">
        <v>2169</v>
      </c>
      <c r="K708" s="10">
        <f>IFERROR(VLOOKUP(BD_DETALLE!B708,Tabla9[],7,0),"")</f>
        <v>0</v>
      </c>
      <c r="L708" s="11">
        <f>IFERROR(VLOOKUP(BD_DETALLE!B708,Tabla9[],8,0),"")</f>
        <v>0</v>
      </c>
      <c r="M708" s="9">
        <f>IFERROR(SUMIFS(Tabla9[CANTIDAD2],Tabla9[BUSQUEDA],Tabla3[[#This Row],[BUSQUEDA]],Tabla9[CODIGO],Tabla3[[#This Row],[CODIGO]],Tabla9[ORDEN No.],Tabla3[[#This Row],[ORDEN de COMPRA]]),0)</f>
        <v>0</v>
      </c>
      <c r="N708" s="27">
        <f>IFERROR(IF(BD_DETALLE!B708&gt;0,VLOOKUP(BD_DETALLE!B708,Tabla9[],10,0),""),"")</f>
        <v>0</v>
      </c>
      <c r="O708" s="28">
        <f>IFERROR(VLOOKUP(BD_DETALLE!B708,Tabla9[],11,0),0)</f>
        <v>0</v>
      </c>
      <c r="P708" s="26">
        <f>IFERROR(SUMIFS(Tabla9[CANTIDAD3],Tabla9[BUSQUEDA],Tabla3[[#This Row],[BUSQUEDA]],Tabla9[CODIGO],Tabla3[[#This Row],[CODIGO]]),0)</f>
        <v>0</v>
      </c>
      <c r="Q708" s="25">
        <f>IF(BD_DETALLE!P708&lt;=0,0,IF(BD_DETALLE!P708=BD_DETALLE!H708,2,1))</f>
        <v>0</v>
      </c>
      <c r="R708" s="41">
        <f ca="1">IF(BD_DETALLE!$C708&gt;0,(IF(BD_DETALLE!$N708=0,TODAY()-BD_DETALLE!$C708,BD_DETALLE!$N708-BD_DETALLE!$C708)),"")</f>
        <v>14</v>
      </c>
    </row>
    <row r="709" spans="2:18" x14ac:dyDescent="0.25">
      <c r="B709" s="212" t="str">
        <f t="shared" si="66"/>
        <v>2104-11-321037</v>
      </c>
      <c r="C709" s="242">
        <v>44291</v>
      </c>
      <c r="D709" s="243" t="str">
        <f>IF(BD_DETALLE!$E709&gt;=1,CONCATENATE(TEXT(BD_DETALLE!$C709,"YY"),TEXT(BD_DETALLE!$C709,"MM"),"-",BD_DETALLE!$E709),"")</f>
        <v>2104-11</v>
      </c>
      <c r="E709" s="244">
        <v>11</v>
      </c>
      <c r="F709" s="213">
        <v>321037</v>
      </c>
      <c r="G709" s="214" t="str">
        <f>IFERROR(VLOOKUP(BD_DETALLE!$B709,Tabla9[],6,0),"")</f>
        <v>ANILLO DE DOSIFICACION # 539615-01</v>
      </c>
      <c r="H709" s="215">
        <f>IFERROR(VLOOKUP(BD_DETALLE!$B709,Tabla9[],4,0),0)</f>
        <v>1</v>
      </c>
      <c r="I709" s="245" t="s">
        <v>19</v>
      </c>
      <c r="J709" s="216" t="s">
        <v>2169</v>
      </c>
      <c r="K709" s="10">
        <f>IFERROR(VLOOKUP(BD_DETALLE!B709,Tabla9[],7,0),"")</f>
        <v>0</v>
      </c>
      <c r="L709" s="11">
        <f>IFERROR(VLOOKUP(BD_DETALLE!B709,Tabla9[],8,0),"")</f>
        <v>0</v>
      </c>
      <c r="M709" s="9">
        <f>IFERROR(SUMIFS(Tabla9[CANTIDAD2],Tabla9[BUSQUEDA],Tabla3[[#This Row],[BUSQUEDA]],Tabla9[CODIGO],Tabla3[[#This Row],[CODIGO]],Tabla9[ORDEN No.],Tabla3[[#This Row],[ORDEN de COMPRA]]),0)</f>
        <v>0</v>
      </c>
      <c r="N709" s="27">
        <f>IFERROR(IF(BD_DETALLE!B709&gt;0,VLOOKUP(BD_DETALLE!B709,Tabla9[],10,0),""),"")</f>
        <v>0</v>
      </c>
      <c r="O709" s="28">
        <f>IFERROR(VLOOKUP(BD_DETALLE!B709,Tabla9[],11,0),0)</f>
        <v>0</v>
      </c>
      <c r="P709" s="26">
        <f>IFERROR(SUMIFS(Tabla9[CANTIDAD3],Tabla9[BUSQUEDA],Tabla3[[#This Row],[BUSQUEDA]],Tabla9[CODIGO],Tabla3[[#This Row],[CODIGO]]),0)</f>
        <v>0</v>
      </c>
      <c r="Q709" s="25">
        <f>IF(BD_DETALLE!P709&lt;=0,0,IF(BD_DETALLE!P709=BD_DETALLE!H709,2,1))</f>
        <v>0</v>
      </c>
      <c r="R709" s="41">
        <f ca="1">IF(BD_DETALLE!$C709&gt;0,(IF(BD_DETALLE!$N709=0,TODAY()-BD_DETALLE!$C709,BD_DETALLE!$N709-BD_DETALLE!$C709)),"")</f>
        <v>14</v>
      </c>
    </row>
    <row r="710" spans="2:18" x14ac:dyDescent="0.25">
      <c r="B710" s="212" t="str">
        <f t="shared" si="66"/>
        <v>2104-12-300379</v>
      </c>
      <c r="C710" s="242">
        <v>44291</v>
      </c>
      <c r="D710" s="243" t="str">
        <f>IF(BD_DETALLE!$E710&gt;=1,CONCATENATE(TEXT(BD_DETALLE!$C710,"YY"),TEXT(BD_DETALLE!$C710,"MM"),"-",BD_DETALLE!$E710),"")</f>
        <v>2104-12</v>
      </c>
      <c r="E710" s="244">
        <v>12</v>
      </c>
      <c r="F710" s="213">
        <v>300379</v>
      </c>
      <c r="G710" s="214" t="str">
        <f>IFERROR(VLOOKUP(BD_DETALLE!$B710,Tabla9[],6,0),"")</f>
        <v>RETENEDOR 25 x 40 x 7</v>
      </c>
      <c r="H710" s="215">
        <f>IFERROR(VLOOKUP(BD_DETALLE!$B710,Tabla9[],4,0),0)</f>
        <v>4</v>
      </c>
      <c r="I710" s="245" t="s">
        <v>19</v>
      </c>
      <c r="J710" s="216" t="s">
        <v>2171</v>
      </c>
      <c r="K710" s="10">
        <f>IFERROR(VLOOKUP(BD_DETALLE!B710,Tabla9[],7,0),"")</f>
        <v>0</v>
      </c>
      <c r="L710" s="11">
        <f>IFERROR(VLOOKUP(BD_DETALLE!B710,Tabla9[],8,0),"")</f>
        <v>0</v>
      </c>
      <c r="M710" s="9">
        <f>IFERROR(SUMIFS(Tabla9[CANTIDAD2],Tabla9[BUSQUEDA],Tabla3[[#This Row],[BUSQUEDA]],Tabla9[CODIGO],Tabla3[[#This Row],[CODIGO]],Tabla9[ORDEN No.],Tabla3[[#This Row],[ORDEN de COMPRA]]),0)</f>
        <v>0</v>
      </c>
      <c r="N710" s="27">
        <f>IFERROR(IF(BD_DETALLE!B710&gt;0,VLOOKUP(BD_DETALLE!B710,Tabla9[],10,0),""),"")</f>
        <v>0</v>
      </c>
      <c r="O710" s="28">
        <f>IFERROR(VLOOKUP(BD_DETALLE!B710,Tabla9[],11,0),0)</f>
        <v>0</v>
      </c>
      <c r="P710" s="26">
        <f>IFERROR(SUMIFS(Tabla9[CANTIDAD3],Tabla9[BUSQUEDA],Tabla3[[#This Row],[BUSQUEDA]],Tabla9[CODIGO],Tabla3[[#This Row],[CODIGO]]),0)</f>
        <v>0</v>
      </c>
      <c r="Q710" s="25">
        <f>IF(BD_DETALLE!P710&lt;=0,0,IF(BD_DETALLE!P710=BD_DETALLE!H710,2,1))</f>
        <v>0</v>
      </c>
      <c r="R710" s="41">
        <f ca="1">IF(BD_DETALLE!$C710&gt;0,(IF(BD_DETALLE!$N710=0,TODAY()-BD_DETALLE!$C710,BD_DETALLE!$N710-BD_DETALLE!$C710)),"")</f>
        <v>14</v>
      </c>
    </row>
    <row r="711" spans="2:18" x14ac:dyDescent="0.25">
      <c r="B711" s="212" t="str">
        <f t="shared" si="66"/>
        <v>2104-13-319139</v>
      </c>
      <c r="C711" s="242">
        <v>44291</v>
      </c>
      <c r="D711" s="243" t="str">
        <f>IF(BD_DETALLE!$E711&gt;=1,CONCATENATE(TEXT(BD_DETALLE!$C711,"YY"),TEXT(BD_DETALLE!$C711,"MM"),"-",BD_DETALLE!$E711),"")</f>
        <v>2104-13</v>
      </c>
      <c r="E711" s="244">
        <v>13</v>
      </c>
      <c r="F711" s="213">
        <v>319139</v>
      </c>
      <c r="G711" s="214" t="str">
        <f>IFERROR(VLOOKUP(BD_DETALLE!$B711,Tabla9[],6,0),"")</f>
        <v>BANDA B-85</v>
      </c>
      <c r="H711" s="215">
        <f>IFERROR(VLOOKUP(BD_DETALLE!$B711,Tabla9[],4,0),0)</f>
        <v>2</v>
      </c>
      <c r="I711" s="245" t="s">
        <v>19</v>
      </c>
      <c r="J711" s="216" t="s">
        <v>2170</v>
      </c>
      <c r="K711" s="10">
        <f>IFERROR(VLOOKUP(BD_DETALLE!B711,Tabla9[],7,0),"")</f>
        <v>0</v>
      </c>
      <c r="L711" s="11">
        <f>IFERROR(VLOOKUP(BD_DETALLE!B711,Tabla9[],8,0),"")</f>
        <v>0</v>
      </c>
      <c r="M711" s="9">
        <f>IFERROR(SUMIFS(Tabla9[CANTIDAD2],Tabla9[BUSQUEDA],Tabla3[[#This Row],[BUSQUEDA]],Tabla9[CODIGO],Tabla3[[#This Row],[CODIGO]],Tabla9[ORDEN No.],Tabla3[[#This Row],[ORDEN de COMPRA]]),0)</f>
        <v>0</v>
      </c>
      <c r="N711" s="27">
        <f>IFERROR(IF(BD_DETALLE!B711&gt;0,VLOOKUP(BD_DETALLE!B711,Tabla9[],10,0),""),"")</f>
        <v>0</v>
      </c>
      <c r="O711" s="28">
        <f>IFERROR(VLOOKUP(BD_DETALLE!B711,Tabla9[],11,0),0)</f>
        <v>0</v>
      </c>
      <c r="P711" s="26">
        <f>IFERROR(SUMIFS(Tabla9[CANTIDAD3],Tabla9[BUSQUEDA],Tabla3[[#This Row],[BUSQUEDA]],Tabla9[CODIGO],Tabla3[[#This Row],[CODIGO]]),0)</f>
        <v>0</v>
      </c>
      <c r="Q711" s="25">
        <f>IF(BD_DETALLE!P711&lt;=0,0,IF(BD_DETALLE!P711=BD_DETALLE!H711,2,1))</f>
        <v>0</v>
      </c>
      <c r="R711" s="41">
        <f ca="1">IF(BD_DETALLE!$C711&gt;0,(IF(BD_DETALLE!$N711=0,TODAY()-BD_DETALLE!$C711,BD_DETALLE!$N711-BD_DETALLE!$C711)),"")</f>
        <v>14</v>
      </c>
    </row>
    <row r="712" spans="2:18" x14ac:dyDescent="0.25">
      <c r="B712" s="212" t="str">
        <f t="shared" si="66"/>
        <v>2104-14-320357</v>
      </c>
      <c r="C712" s="242">
        <v>44291</v>
      </c>
      <c r="D712" s="243" t="str">
        <f>IF(BD_DETALLE!$E712&gt;=1,CONCATENATE(TEXT(BD_DETALLE!$C712,"YY"),TEXT(BD_DETALLE!$C712,"MM"),"-",BD_DETALLE!$E712),"")</f>
        <v>2104-14</v>
      </c>
      <c r="E712" s="244">
        <v>14</v>
      </c>
      <c r="F712" s="213">
        <v>320357</v>
      </c>
      <c r="G712" s="214" t="str">
        <f>IFERROR(VLOOKUP(BD_DETALLE!$B712,Tabla9[],6,0),"")</f>
        <v/>
      </c>
      <c r="H712" s="215">
        <f>IFERROR(VLOOKUP(BD_DETALLE!$B712,Tabla9[],4,0),0)</f>
        <v>0</v>
      </c>
      <c r="I712" s="245" t="s">
        <v>1</v>
      </c>
      <c r="J712" s="216" t="s">
        <v>1043</v>
      </c>
      <c r="K712" s="10" t="str">
        <f>IFERROR(VLOOKUP(BD_DETALLE!B712,Tabla9[],7,0),"")</f>
        <v/>
      </c>
      <c r="L712" s="11" t="str">
        <f>IFERROR(VLOOKUP(BD_DETALLE!B712,Tabla9[],8,0),"")</f>
        <v/>
      </c>
      <c r="M712" s="9">
        <f>IFERROR(SUMIFS(Tabla9[CANTIDAD2],Tabla9[BUSQUEDA],Tabla3[[#This Row],[BUSQUEDA]],Tabla9[CODIGO],Tabla3[[#This Row],[CODIGO]],Tabla9[ORDEN No.],Tabla3[[#This Row],[ORDEN de COMPRA]]),0)</f>
        <v>0</v>
      </c>
      <c r="N712" s="27" t="str">
        <f>IFERROR(IF(BD_DETALLE!B712&gt;0,VLOOKUP(BD_DETALLE!B712,Tabla9[],10,0),""),"")</f>
        <v/>
      </c>
      <c r="O712" s="28">
        <f>IFERROR(VLOOKUP(BD_DETALLE!B712,Tabla9[],11,0),0)</f>
        <v>0</v>
      </c>
      <c r="P712" s="26">
        <f>IFERROR(SUMIFS(Tabla9[CANTIDAD3],Tabla9[BUSQUEDA],Tabla3[[#This Row],[BUSQUEDA]],Tabla9[CODIGO],Tabla3[[#This Row],[CODIGO]]),0)</f>
        <v>0</v>
      </c>
      <c r="Q712" s="25">
        <f>IF(BD_DETALLE!P712&lt;=0,0,IF(BD_DETALLE!P712=BD_DETALLE!H712,2,1))</f>
        <v>0</v>
      </c>
      <c r="R712" s="41" t="e">
        <f ca="1">IF(BD_DETALLE!$C712&gt;0,(IF(BD_DETALLE!$N712=0,TODAY()-BD_DETALLE!$C712,BD_DETALLE!$N712-BD_DETALLE!$C712)),"")</f>
        <v>#VALUE!</v>
      </c>
    </row>
    <row r="713" spans="2:18" x14ac:dyDescent="0.25">
      <c r="B713" s="254" t="str">
        <f t="shared" ref="B713:B728" si="67">IFERROR(TEXT(C713,"yy") &amp; TEXT(C713,"mm") &amp;"-"&amp;(E713) &amp;"-"&amp;(F713),"")</f>
        <v>2104-16-315697</v>
      </c>
      <c r="C713" s="255">
        <v>44291</v>
      </c>
      <c r="D713" s="256" t="str">
        <f>IF(BD_DETALLE!$E713&gt;=1,CONCATENATE(TEXT(BD_DETALLE!$C713,"YY"),TEXT(BD_DETALLE!$C713,"MM"),"-",BD_DETALLE!$E713),"")</f>
        <v>2104-16</v>
      </c>
      <c r="E713" s="257">
        <v>16</v>
      </c>
      <c r="F713" s="258">
        <v>315697</v>
      </c>
      <c r="G713" s="259" t="str">
        <f>IFERROR(VLOOKUP(BD_DETALLE!$B713,Tabla9[],6,0),"")</f>
        <v>SENSOR DE COMBUSTIBLE</v>
      </c>
      <c r="H713" s="260">
        <f>IFERROR(VLOOKUP(BD_DETALLE!$B713,Tabla9[],4,0),0)</f>
        <v>1</v>
      </c>
      <c r="I713" s="245" t="s">
        <v>5</v>
      </c>
      <c r="J713" s="216"/>
      <c r="K713" s="10">
        <f>IFERROR(VLOOKUP(BD_DETALLE!B713,Tabla9[],7,0),"")</f>
        <v>0</v>
      </c>
      <c r="L713" s="11">
        <f>IFERROR(VLOOKUP(BD_DETALLE!B713,Tabla9[],8,0),"")</f>
        <v>0</v>
      </c>
      <c r="M713" s="9">
        <f>IFERROR(SUMIFS(Tabla9[CANTIDAD2],Tabla9[BUSQUEDA],Tabla3[[#This Row],[BUSQUEDA]],Tabla9[CODIGO],Tabla3[[#This Row],[CODIGO]],Tabla9[ORDEN No.],Tabla3[[#This Row],[ORDEN de COMPRA]]),0)</f>
        <v>0</v>
      </c>
      <c r="N713" s="27">
        <f>IFERROR(IF(BD_DETALLE!B713&gt;0,VLOOKUP(BD_DETALLE!B713,Tabla9[],10,0),""),"")</f>
        <v>0</v>
      </c>
      <c r="O713" s="28">
        <f>IFERROR(VLOOKUP(BD_DETALLE!B713,Tabla9[],11,0),0)</f>
        <v>0</v>
      </c>
      <c r="P713" s="26">
        <f>IFERROR(SUMIFS(Tabla9[CANTIDAD3],Tabla9[BUSQUEDA],Tabla3[[#This Row],[BUSQUEDA]],Tabla9[CODIGO],Tabla3[[#This Row],[CODIGO]]),0)</f>
        <v>0</v>
      </c>
      <c r="Q713" s="25">
        <f>IF(BD_DETALLE!P713&lt;=0,0,IF(BD_DETALLE!P713=BD_DETALLE!H713,2,1))</f>
        <v>0</v>
      </c>
      <c r="R713" s="41">
        <f ca="1">IF(BD_DETALLE!$C713&gt;0,(IF(BD_DETALLE!$N713=0,TODAY()-BD_DETALLE!$C713,BD_DETALLE!$N713-BD_DETALLE!$C713)),"")</f>
        <v>14</v>
      </c>
    </row>
    <row r="714" spans="2:18" x14ac:dyDescent="0.25">
      <c r="B714" s="254" t="str">
        <f t="shared" si="67"/>
        <v>2104-18-301225</v>
      </c>
      <c r="C714" s="255">
        <v>44291</v>
      </c>
      <c r="D714" s="256" t="str">
        <f>IF(BD_DETALLE!$E714&gt;=1,CONCATENATE(TEXT(BD_DETALLE!$C714,"YY"),TEXT(BD_DETALLE!$C714,"MM"),"-",BD_DETALLE!$E714),"")</f>
        <v>2104-18</v>
      </c>
      <c r="E714" s="257">
        <v>18</v>
      </c>
      <c r="F714" s="258">
        <v>301225</v>
      </c>
      <c r="G714" s="259" t="str">
        <f>IFERROR(VLOOKUP(BD_DETALLE!$B714,Tabla9[],6,0),"")</f>
        <v>LLANTA GOOD YEAR 12R22.5 G667 POSTERIOR</v>
      </c>
      <c r="H714" s="260">
        <f>IFERROR(VLOOKUP(BD_DETALLE!$B714,Tabla9[],4,0),0)</f>
        <v>8</v>
      </c>
      <c r="I714" s="245" t="s">
        <v>5</v>
      </c>
      <c r="J714" s="216" t="s">
        <v>2137</v>
      </c>
      <c r="K714" s="10">
        <f>IFERROR(VLOOKUP(BD_DETALLE!B714,Tabla9[],7,0),"")</f>
        <v>0</v>
      </c>
      <c r="L714" s="11">
        <f>IFERROR(VLOOKUP(BD_DETALLE!B714,Tabla9[],8,0),"")</f>
        <v>0</v>
      </c>
      <c r="M714" s="9">
        <f>IFERROR(SUMIFS(Tabla9[CANTIDAD2],Tabla9[BUSQUEDA],Tabla3[[#This Row],[BUSQUEDA]],Tabla9[CODIGO],Tabla3[[#This Row],[CODIGO]],Tabla9[ORDEN No.],Tabla3[[#This Row],[ORDEN de COMPRA]]),0)</f>
        <v>0</v>
      </c>
      <c r="N714" s="27">
        <f>IFERROR(IF(BD_DETALLE!B714&gt;0,VLOOKUP(BD_DETALLE!B714,Tabla9[],10,0),""),"")</f>
        <v>0</v>
      </c>
      <c r="O714" s="28">
        <f>IFERROR(VLOOKUP(BD_DETALLE!B714,Tabla9[],11,0),0)</f>
        <v>0</v>
      </c>
      <c r="P714" s="26">
        <f>IFERROR(SUMIFS(Tabla9[CANTIDAD3],Tabla9[BUSQUEDA],Tabla3[[#This Row],[BUSQUEDA]],Tabla9[CODIGO],Tabla3[[#This Row],[CODIGO]]),0)</f>
        <v>0</v>
      </c>
      <c r="Q714" s="25">
        <f>IF(BD_DETALLE!P714&lt;=0,0,IF(BD_DETALLE!P714=BD_DETALLE!H714,2,1))</f>
        <v>0</v>
      </c>
      <c r="R714" s="41">
        <f ca="1">IF(BD_DETALLE!$C714&gt;0,(IF(BD_DETALLE!$N714=0,TODAY()-BD_DETALLE!$C714,BD_DETALLE!$N714-BD_DETALLE!$C714)),"")</f>
        <v>14</v>
      </c>
    </row>
    <row r="715" spans="2:18" x14ac:dyDescent="0.25">
      <c r="B715" s="254" t="str">
        <f t="shared" si="67"/>
        <v>2104-18-301224</v>
      </c>
      <c r="C715" s="255">
        <v>44291</v>
      </c>
      <c r="D715" s="256" t="str">
        <f>IF(BD_DETALLE!$E715&gt;=1,CONCATENATE(TEXT(BD_DETALLE!$C715,"YY"),TEXT(BD_DETALLE!$C715,"MM"),"-",BD_DETALLE!$E715),"")</f>
        <v>2104-18</v>
      </c>
      <c r="E715" s="257">
        <v>18</v>
      </c>
      <c r="F715" s="258">
        <v>301224</v>
      </c>
      <c r="G715" s="259" t="str">
        <f>IFERROR(VLOOKUP(BD_DETALLE!$B715,Tabla9[],6,0),"")</f>
        <v>LLANTA GOOD YEAR 12R22.5 G658 DELANTERA</v>
      </c>
      <c r="H715" s="260">
        <f>IFERROR(VLOOKUP(BD_DETALLE!$B715,Tabla9[],4,0),0)</f>
        <v>2</v>
      </c>
      <c r="I715" s="245" t="s">
        <v>5</v>
      </c>
      <c r="J715" s="216" t="s">
        <v>2137</v>
      </c>
      <c r="K715" s="10">
        <f>IFERROR(VLOOKUP(BD_DETALLE!B715,Tabla9[],7,0),"")</f>
        <v>0</v>
      </c>
      <c r="L715" s="11">
        <f>IFERROR(VLOOKUP(BD_DETALLE!B715,Tabla9[],8,0),"")</f>
        <v>0</v>
      </c>
      <c r="M715" s="9">
        <f>IFERROR(SUMIFS(Tabla9[CANTIDAD2],Tabla9[BUSQUEDA],Tabla3[[#This Row],[BUSQUEDA]],Tabla9[CODIGO],Tabla3[[#This Row],[CODIGO]],Tabla9[ORDEN No.],Tabla3[[#This Row],[ORDEN de COMPRA]]),0)</f>
        <v>0</v>
      </c>
      <c r="N715" s="27">
        <f>IFERROR(IF(BD_DETALLE!B715&gt;0,VLOOKUP(BD_DETALLE!B715,Tabla9[],10,0),""),"")</f>
        <v>0</v>
      </c>
      <c r="O715" s="28">
        <f>IFERROR(VLOOKUP(BD_DETALLE!B715,Tabla9[],11,0),0)</f>
        <v>0</v>
      </c>
      <c r="P715" s="26">
        <f>IFERROR(SUMIFS(Tabla9[CANTIDAD3],Tabla9[BUSQUEDA],Tabla3[[#This Row],[BUSQUEDA]],Tabla9[CODIGO],Tabla3[[#This Row],[CODIGO]]),0)</f>
        <v>0</v>
      </c>
      <c r="Q715" s="25">
        <f>IF(BD_DETALLE!P715&lt;=0,0,IF(BD_DETALLE!P715=BD_DETALLE!H715,2,1))</f>
        <v>0</v>
      </c>
      <c r="R715" s="41">
        <f ca="1">IF(BD_DETALLE!$C715&gt;0,(IF(BD_DETALLE!$N715=0,TODAY()-BD_DETALLE!$C715,BD_DETALLE!$N715-BD_DETALLE!$C715)),"")</f>
        <v>14</v>
      </c>
    </row>
    <row r="716" spans="2:18" x14ac:dyDescent="0.25">
      <c r="B716" s="254" t="str">
        <f t="shared" si="67"/>
        <v>2104-19-311021</v>
      </c>
      <c r="C716" s="255">
        <v>44292</v>
      </c>
      <c r="D716" s="256" t="str">
        <f>IF(BD_DETALLE!$E716&gt;=1,CONCATENATE(TEXT(BD_DETALLE!$C716,"YY"),TEXT(BD_DETALLE!$C716,"MM"),"-",BD_DETALLE!$E716),"")</f>
        <v>2104-19</v>
      </c>
      <c r="E716" s="257">
        <v>19</v>
      </c>
      <c r="F716" s="258">
        <v>311021</v>
      </c>
      <c r="G716" s="259" t="str">
        <f>IFERROR(VLOOKUP(BD_DETALLE!$B716,Tabla9[],6,0),"")</f>
        <v>CASCO PROTECCION AZUL</v>
      </c>
      <c r="H716" s="260">
        <f>IFERROR(VLOOKUP(BD_DETALLE!$B716,Tabla9[],4,0),0)</f>
        <v>20</v>
      </c>
      <c r="I716" s="19" t="s">
        <v>15</v>
      </c>
      <c r="J716" s="20" t="s">
        <v>385</v>
      </c>
      <c r="K716" s="10">
        <f>IFERROR(VLOOKUP(BD_DETALLE!B716,Tabla9[],7,0),"")</f>
        <v>0</v>
      </c>
      <c r="L716" s="11">
        <f>IFERROR(VLOOKUP(BD_DETALLE!B716,Tabla9[],8,0),"")</f>
        <v>0</v>
      </c>
      <c r="M716" s="9">
        <f>IFERROR(SUMIFS(Tabla9[CANTIDAD2],Tabla9[BUSQUEDA],Tabla3[[#This Row],[BUSQUEDA]],Tabla9[CODIGO],Tabla3[[#This Row],[CODIGO]],Tabla9[ORDEN No.],Tabla3[[#This Row],[ORDEN de COMPRA]]),0)</f>
        <v>0</v>
      </c>
      <c r="N716" s="27">
        <f>IFERROR(IF(BD_DETALLE!B716&gt;0,VLOOKUP(BD_DETALLE!B716,Tabla9[],10,0),""),"")</f>
        <v>0</v>
      </c>
      <c r="O716" s="28">
        <f>IFERROR(VLOOKUP(BD_DETALLE!B716,Tabla9[],11,0),0)</f>
        <v>0</v>
      </c>
      <c r="P716" s="26">
        <f>IFERROR(SUMIFS(Tabla9[CANTIDAD3],Tabla9[BUSQUEDA],Tabla3[[#This Row],[BUSQUEDA]],Tabla9[CODIGO],Tabla3[[#This Row],[CODIGO]]),0)</f>
        <v>0</v>
      </c>
      <c r="Q716" s="25">
        <f>IF(BD_DETALLE!P716&lt;=0,0,IF(BD_DETALLE!P716=BD_DETALLE!H716,2,1))</f>
        <v>0</v>
      </c>
      <c r="R716" s="41">
        <f ca="1">IF(BD_DETALLE!$C716&gt;0,(IF(BD_DETALLE!$N716=0,TODAY()-BD_DETALLE!$C716,BD_DETALLE!$N716-BD_DETALLE!$C716)),"")</f>
        <v>13</v>
      </c>
    </row>
    <row r="717" spans="2:18" x14ac:dyDescent="0.25">
      <c r="B717" s="254" t="str">
        <f t="shared" si="67"/>
        <v>2104-20-206149</v>
      </c>
      <c r="C717" s="255">
        <v>44292</v>
      </c>
      <c r="D717" s="256" t="str">
        <f>IF(BD_DETALLE!$E717&gt;=1,CONCATENATE(TEXT(BD_DETALLE!$C717,"YY"),TEXT(BD_DETALLE!$C717,"MM"),"-",BD_DETALLE!$E717),"")</f>
        <v>2104-20</v>
      </c>
      <c r="E717" s="257">
        <v>20</v>
      </c>
      <c r="F717" s="258">
        <v>206149</v>
      </c>
      <c r="G717" s="259" t="str">
        <f>IFERROR(VLOOKUP(BD_DETALLE!$B717,Tabla9[],6,0),"")</f>
        <v>OREJERA PELTOR P/CASCOS OPTIME III</v>
      </c>
      <c r="H717" s="260">
        <f>IFERROR(VLOOKUP(BD_DETALLE!$B717,Tabla9[],4,0),0)</f>
        <v>20</v>
      </c>
      <c r="I717" s="19" t="s">
        <v>15</v>
      </c>
      <c r="J717" s="20" t="s">
        <v>385</v>
      </c>
      <c r="K717" s="10">
        <f>IFERROR(VLOOKUP(BD_DETALLE!B717,Tabla9[],7,0),"")</f>
        <v>0</v>
      </c>
      <c r="L717" s="11">
        <f>IFERROR(VLOOKUP(BD_DETALLE!B717,Tabla9[],8,0),"")</f>
        <v>0</v>
      </c>
      <c r="M717" s="9">
        <f>IFERROR(SUMIFS(Tabla9[CANTIDAD2],Tabla9[BUSQUEDA],Tabla3[[#This Row],[BUSQUEDA]],Tabla9[CODIGO],Tabla3[[#This Row],[CODIGO]],Tabla9[ORDEN No.],Tabla3[[#This Row],[ORDEN de COMPRA]]),0)</f>
        <v>0</v>
      </c>
      <c r="N717" s="27">
        <f>IFERROR(IF(BD_DETALLE!B717&gt;0,VLOOKUP(BD_DETALLE!B717,Tabla9[],10,0),""),"")</f>
        <v>0</v>
      </c>
      <c r="O717" s="28">
        <f>IFERROR(VLOOKUP(BD_DETALLE!B717,Tabla9[],11,0),0)</f>
        <v>0</v>
      </c>
      <c r="P717" s="26">
        <f>IFERROR(SUMIFS(Tabla9[CANTIDAD3],Tabla9[BUSQUEDA],Tabla3[[#This Row],[BUSQUEDA]],Tabla9[CODIGO],Tabla3[[#This Row],[CODIGO]]),0)</f>
        <v>0</v>
      </c>
      <c r="Q717" s="25">
        <f>IF(BD_DETALLE!P717&lt;=0,0,IF(BD_DETALLE!P717=BD_DETALLE!H717,2,1))</f>
        <v>0</v>
      </c>
      <c r="R717" s="41">
        <f ca="1">IF(BD_DETALLE!$C717&gt;0,(IF(BD_DETALLE!$N717=0,TODAY()-BD_DETALLE!$C717,BD_DETALLE!$N717-BD_DETALLE!$C717)),"")</f>
        <v>13</v>
      </c>
    </row>
    <row r="718" spans="2:18" x14ac:dyDescent="0.25">
      <c r="B718" s="254" t="str">
        <f t="shared" si="67"/>
        <v>2104-21-311020</v>
      </c>
      <c r="C718" s="255">
        <v>44292</v>
      </c>
      <c r="D718" s="256" t="str">
        <f>IF(BD_DETALLE!$E718&gt;=1,CONCATENATE(TEXT(BD_DETALLE!$C718,"YY"),TEXT(BD_DETALLE!$C718,"MM"),"-",BD_DETALLE!$E718),"")</f>
        <v>2104-21</v>
      </c>
      <c r="E718" s="257">
        <v>21</v>
      </c>
      <c r="F718" s="258">
        <v>311020</v>
      </c>
      <c r="G718" s="259" t="str">
        <f>IFERROR(VLOOKUP(BD_DETALLE!$B718,Tabla9[],6,0),"")</f>
        <v>CASCO PROTECCION BLANCO</v>
      </c>
      <c r="H718" s="260">
        <f>IFERROR(VLOOKUP(BD_DETALLE!$B718,Tabla9[],4,0),0)</f>
        <v>15</v>
      </c>
      <c r="I718" s="19" t="s">
        <v>15</v>
      </c>
      <c r="J718" s="20" t="s">
        <v>385</v>
      </c>
      <c r="K718" s="10">
        <f>IFERROR(VLOOKUP(BD_DETALLE!B718,Tabla9[],7,0),"")</f>
        <v>0</v>
      </c>
      <c r="L718" s="11">
        <f>IFERROR(VLOOKUP(BD_DETALLE!B718,Tabla9[],8,0),"")</f>
        <v>0</v>
      </c>
      <c r="M718" s="9">
        <f>IFERROR(SUMIFS(Tabla9[CANTIDAD2],Tabla9[BUSQUEDA],Tabla3[[#This Row],[BUSQUEDA]],Tabla9[CODIGO],Tabla3[[#This Row],[CODIGO]],Tabla9[ORDEN No.],Tabla3[[#This Row],[ORDEN de COMPRA]]),0)</f>
        <v>0</v>
      </c>
      <c r="N718" s="27">
        <f>IFERROR(IF(BD_DETALLE!B718&gt;0,VLOOKUP(BD_DETALLE!B718,Tabla9[],10,0),""),"")</f>
        <v>0</v>
      </c>
      <c r="O718" s="28">
        <f>IFERROR(VLOOKUP(BD_DETALLE!B718,Tabla9[],11,0),0)</f>
        <v>0</v>
      </c>
      <c r="P718" s="26">
        <f>IFERROR(SUMIFS(Tabla9[CANTIDAD3],Tabla9[BUSQUEDA],Tabla3[[#This Row],[BUSQUEDA]],Tabla9[CODIGO],Tabla3[[#This Row],[CODIGO]]),0)</f>
        <v>0</v>
      </c>
      <c r="Q718" s="25">
        <f>IF(BD_DETALLE!P718&lt;=0,0,IF(BD_DETALLE!P718=BD_DETALLE!H718,2,1))</f>
        <v>0</v>
      </c>
      <c r="R718" s="41">
        <f ca="1">IF(BD_DETALLE!$C718&gt;0,(IF(BD_DETALLE!$N718=0,TODAY()-BD_DETALLE!$C718,BD_DETALLE!$N718-BD_DETALLE!$C718)),"")</f>
        <v>13</v>
      </c>
    </row>
    <row r="719" spans="2:18" x14ac:dyDescent="0.25">
      <c r="B719" s="254" t="str">
        <f t="shared" si="67"/>
        <v>2104-22-319849</v>
      </c>
      <c r="C719" s="255">
        <v>44292</v>
      </c>
      <c r="D719" s="256" t="str">
        <f>IF(BD_DETALLE!$E719&gt;=1,CONCATENATE(TEXT(BD_DETALLE!$C719,"YY"),TEXT(BD_DETALLE!$C719,"MM"),"-",BD_DETALLE!$E719),"")</f>
        <v>2104-22</v>
      </c>
      <c r="E719" s="257">
        <v>22</v>
      </c>
      <c r="F719" s="258">
        <v>319849</v>
      </c>
      <c r="G719" s="259" t="str">
        <f>IFERROR(VLOOKUP(BD_DETALLE!$B719,Tabla9[],6,0),"")</f>
        <v>CAMISETA AZUL MARINO CON REFLECTIVO Y LOGO FORTIDEX TALLA 44</v>
      </c>
      <c r="H719" s="260">
        <f>IFERROR(VLOOKUP(BD_DETALLE!$B719,Tabla9[],4,0),0)</f>
        <v>20</v>
      </c>
      <c r="I719" s="261" t="s">
        <v>1059</v>
      </c>
      <c r="J719" s="262" t="s">
        <v>2208</v>
      </c>
      <c r="K719" s="10">
        <f>IFERROR(VLOOKUP(BD_DETALLE!B719,Tabla9[],7,0),"")</f>
        <v>0</v>
      </c>
      <c r="L719" s="11">
        <f>IFERROR(VLOOKUP(BD_DETALLE!B719,Tabla9[],8,0),"")</f>
        <v>0</v>
      </c>
      <c r="M719" s="9">
        <f>IFERROR(SUMIFS(Tabla9[CANTIDAD2],Tabla9[BUSQUEDA],Tabla3[[#This Row],[BUSQUEDA]],Tabla9[CODIGO],Tabla3[[#This Row],[CODIGO]],Tabla9[ORDEN No.],Tabla3[[#This Row],[ORDEN de COMPRA]]),0)</f>
        <v>0</v>
      </c>
      <c r="N719" s="27">
        <f>IFERROR(IF(BD_DETALLE!B719&gt;0,VLOOKUP(BD_DETALLE!B719,Tabla9[],10,0),""),"")</f>
        <v>0</v>
      </c>
      <c r="O719" s="28">
        <f>IFERROR(VLOOKUP(BD_DETALLE!B719,Tabla9[],11,0),0)</f>
        <v>0</v>
      </c>
      <c r="P719" s="26">
        <f>IFERROR(SUMIFS(Tabla9[CANTIDAD3],Tabla9[BUSQUEDA],Tabla3[[#This Row],[BUSQUEDA]],Tabla9[CODIGO],Tabla3[[#This Row],[CODIGO]]),0)</f>
        <v>0</v>
      </c>
      <c r="Q719" s="25">
        <f>IF(BD_DETALLE!P719&lt;=0,0,IF(BD_DETALLE!P719=BD_DETALLE!H719,2,1))</f>
        <v>0</v>
      </c>
      <c r="R719" s="41">
        <f ca="1">IF(BD_DETALLE!$C719&gt;0,(IF(BD_DETALLE!$N719=0,TODAY()-BD_DETALLE!$C719,BD_DETALLE!$N719-BD_DETALLE!$C719)),"")</f>
        <v>13</v>
      </c>
    </row>
    <row r="720" spans="2:18" x14ac:dyDescent="0.25">
      <c r="B720" s="254" t="str">
        <f t="shared" si="67"/>
        <v>2104-22-319847</v>
      </c>
      <c r="C720" s="255">
        <v>44292</v>
      </c>
      <c r="D720" s="256" t="str">
        <f>IF(BD_DETALLE!$E720&gt;=1,CONCATENATE(TEXT(BD_DETALLE!$C720,"YY"),TEXT(BD_DETALLE!$C720,"MM"),"-",BD_DETALLE!$E720),"")</f>
        <v>2104-22</v>
      </c>
      <c r="E720" s="257">
        <v>22</v>
      </c>
      <c r="F720" s="258">
        <v>319847</v>
      </c>
      <c r="G720" s="259" t="str">
        <f>IFERROR(VLOOKUP(BD_DETALLE!$B720,Tabla9[],6,0),"")</f>
        <v>CAMISETA AZUL MARINO CON REFLECTIVO Y LOGO FORTIDEX TALLA 40</v>
      </c>
      <c r="H720" s="260">
        <f>IFERROR(VLOOKUP(BD_DETALLE!$B720,Tabla9[],4,0),0)</f>
        <v>33</v>
      </c>
      <c r="I720" s="261" t="s">
        <v>1059</v>
      </c>
      <c r="J720" s="262" t="s">
        <v>2208</v>
      </c>
      <c r="K720" s="10">
        <f>IFERROR(VLOOKUP(BD_DETALLE!B720,Tabla9[],7,0),"")</f>
        <v>0</v>
      </c>
      <c r="L720" s="11">
        <f>IFERROR(VLOOKUP(BD_DETALLE!B720,Tabla9[],8,0),"")</f>
        <v>0</v>
      </c>
      <c r="M720" s="9">
        <f>IFERROR(SUMIFS(Tabla9[CANTIDAD2],Tabla9[BUSQUEDA],Tabla3[[#This Row],[BUSQUEDA]],Tabla9[CODIGO],Tabla3[[#This Row],[CODIGO]],Tabla9[ORDEN No.],Tabla3[[#This Row],[ORDEN de COMPRA]]),0)</f>
        <v>0</v>
      </c>
      <c r="N720" s="27">
        <f>IFERROR(IF(BD_DETALLE!B720&gt;0,VLOOKUP(BD_DETALLE!B720,Tabla9[],10,0),""),"")</f>
        <v>0</v>
      </c>
      <c r="O720" s="28">
        <f>IFERROR(VLOOKUP(BD_DETALLE!B720,Tabla9[],11,0),0)</f>
        <v>0</v>
      </c>
      <c r="P720" s="26">
        <f>IFERROR(SUMIFS(Tabla9[CANTIDAD3],Tabla9[BUSQUEDA],Tabla3[[#This Row],[BUSQUEDA]],Tabla9[CODIGO],Tabla3[[#This Row],[CODIGO]]),0)</f>
        <v>0</v>
      </c>
      <c r="Q720" s="25">
        <f>IF(BD_DETALLE!P720&lt;=0,0,IF(BD_DETALLE!P720=BD_DETALLE!H720,2,1))</f>
        <v>0</v>
      </c>
      <c r="R720" s="41">
        <f ca="1">IF(BD_DETALLE!$C720&gt;0,(IF(BD_DETALLE!$N720=0,TODAY()-BD_DETALLE!$C720,BD_DETALLE!$N720-BD_DETALLE!$C720)),"")</f>
        <v>13</v>
      </c>
    </row>
    <row r="721" spans="2:18" x14ac:dyDescent="0.25">
      <c r="B721" s="254" t="str">
        <f t="shared" si="67"/>
        <v>2104-22-319848</v>
      </c>
      <c r="C721" s="255">
        <v>44292</v>
      </c>
      <c r="D721" s="256" t="str">
        <f>IF(BD_DETALLE!$E721&gt;=1,CONCATENATE(TEXT(BD_DETALLE!$C721,"YY"),TEXT(BD_DETALLE!$C721,"MM"),"-",BD_DETALLE!$E721),"")</f>
        <v>2104-22</v>
      </c>
      <c r="E721" s="257">
        <v>22</v>
      </c>
      <c r="F721" s="258">
        <v>319848</v>
      </c>
      <c r="G721" s="259" t="str">
        <f>IFERROR(VLOOKUP(BD_DETALLE!$B721,Tabla9[],6,0),"")</f>
        <v>CAMISETA AZUL MARINO CON REFLECTIVO Y LOGO FORTIDEX TALLA 42</v>
      </c>
      <c r="H721" s="260">
        <f>IFERROR(VLOOKUP(BD_DETALLE!$B721,Tabla9[],4,0),0)</f>
        <v>30</v>
      </c>
      <c r="I721" s="261" t="s">
        <v>1059</v>
      </c>
      <c r="J721" s="262" t="s">
        <v>2208</v>
      </c>
      <c r="K721" s="10">
        <f>IFERROR(VLOOKUP(BD_DETALLE!B721,Tabla9[],7,0),"")</f>
        <v>0</v>
      </c>
      <c r="L721" s="11">
        <f>IFERROR(VLOOKUP(BD_DETALLE!B721,Tabla9[],8,0),"")</f>
        <v>0</v>
      </c>
      <c r="M721" s="9">
        <f>IFERROR(SUMIFS(Tabla9[CANTIDAD2],Tabla9[BUSQUEDA],Tabla3[[#This Row],[BUSQUEDA]],Tabla9[CODIGO],Tabla3[[#This Row],[CODIGO]],Tabla9[ORDEN No.],Tabla3[[#This Row],[ORDEN de COMPRA]]),0)</f>
        <v>0</v>
      </c>
      <c r="N721" s="27">
        <f>IFERROR(IF(BD_DETALLE!B721&gt;0,VLOOKUP(BD_DETALLE!B721,Tabla9[],10,0),""),"")</f>
        <v>0</v>
      </c>
      <c r="O721" s="28">
        <f>IFERROR(VLOOKUP(BD_DETALLE!B721,Tabla9[],11,0),0)</f>
        <v>0</v>
      </c>
      <c r="P721" s="26">
        <f>IFERROR(SUMIFS(Tabla9[CANTIDAD3],Tabla9[BUSQUEDA],Tabla3[[#This Row],[BUSQUEDA]],Tabla9[CODIGO],Tabla3[[#This Row],[CODIGO]]),0)</f>
        <v>0</v>
      </c>
      <c r="Q721" s="25">
        <f>IF(BD_DETALLE!P721&lt;=0,0,IF(BD_DETALLE!P721=BD_DETALLE!H721,2,1))</f>
        <v>0</v>
      </c>
      <c r="R721" s="41">
        <f ca="1">IF(BD_DETALLE!$C721&gt;0,(IF(BD_DETALLE!$N721=0,TODAY()-BD_DETALLE!$C721,BD_DETALLE!$N721-BD_DETALLE!$C721)),"")</f>
        <v>13</v>
      </c>
    </row>
    <row r="722" spans="2:18" x14ac:dyDescent="0.25">
      <c r="B722" s="254" t="str">
        <f t="shared" si="67"/>
        <v>2104-25-321040</v>
      </c>
      <c r="C722" s="255">
        <v>44292</v>
      </c>
      <c r="D722" s="256" t="str">
        <f>IF(BD_DETALLE!$E722&gt;=1,CONCATENATE(TEXT(BD_DETALLE!$C722,"YY"),TEXT(BD_DETALLE!$C722,"MM"),"-",BD_DETALLE!$E722),"")</f>
        <v>2104-25</v>
      </c>
      <c r="E722" s="257">
        <v>25</v>
      </c>
      <c r="F722" s="258">
        <v>321040</v>
      </c>
      <c r="G722" s="259" t="str">
        <f>IFERROR(VLOOKUP(BD_DETALLE!$B722,Tabla9[],6,0),"")</f>
        <v/>
      </c>
      <c r="H722" s="260">
        <f>IFERROR(VLOOKUP(BD_DETALLE!$B722,Tabla9[],4,0),0)</f>
        <v>0</v>
      </c>
      <c r="I722" s="261" t="s">
        <v>12</v>
      </c>
      <c r="J722" s="262" t="s">
        <v>2209</v>
      </c>
      <c r="K722" s="10" t="str">
        <f>IFERROR(VLOOKUP(BD_DETALLE!B722,Tabla9[],7,0),"")</f>
        <v/>
      </c>
      <c r="L722" s="11" t="str">
        <f>IFERROR(VLOOKUP(BD_DETALLE!B722,Tabla9[],8,0),"")</f>
        <v/>
      </c>
      <c r="M722" s="9">
        <f>IFERROR(SUMIFS(Tabla9[CANTIDAD2],Tabla9[BUSQUEDA],Tabla3[[#This Row],[BUSQUEDA]],Tabla9[CODIGO],Tabla3[[#This Row],[CODIGO]],Tabla9[ORDEN No.],Tabla3[[#This Row],[ORDEN de COMPRA]]),0)</f>
        <v>0</v>
      </c>
      <c r="N722" s="27" t="str">
        <f>IFERROR(IF(BD_DETALLE!B722&gt;0,VLOOKUP(BD_DETALLE!B722,Tabla9[],10,0),""),"")</f>
        <v/>
      </c>
      <c r="O722" s="28">
        <f>IFERROR(VLOOKUP(BD_DETALLE!B722,Tabla9[],11,0),0)</f>
        <v>0</v>
      </c>
      <c r="P722" s="26">
        <f>IFERROR(SUMIFS(Tabla9[CANTIDAD3],Tabla9[BUSQUEDA],Tabla3[[#This Row],[BUSQUEDA]],Tabla9[CODIGO],Tabla3[[#This Row],[CODIGO]]),0)</f>
        <v>0</v>
      </c>
      <c r="Q722" s="25">
        <f>IF(BD_DETALLE!P722&lt;=0,0,IF(BD_DETALLE!P722=BD_DETALLE!H722,2,1))</f>
        <v>0</v>
      </c>
      <c r="R722" s="41" t="e">
        <f ca="1">IF(BD_DETALLE!$C722&gt;0,(IF(BD_DETALLE!$N722=0,TODAY()-BD_DETALLE!$C722,BD_DETALLE!$N722-BD_DETALLE!$C722)),"")</f>
        <v>#VALUE!</v>
      </c>
    </row>
    <row r="723" spans="2:18" x14ac:dyDescent="0.25">
      <c r="B723" s="254" t="str">
        <f t="shared" si="67"/>
        <v>2104-27-321039</v>
      </c>
      <c r="C723" s="255">
        <v>44292</v>
      </c>
      <c r="D723" s="256" t="str">
        <f>IF(BD_DETALLE!$E723&gt;=1,CONCATENATE(TEXT(BD_DETALLE!$C723,"YY"),TEXT(BD_DETALLE!$C723,"MM"),"-",BD_DETALLE!$E723),"")</f>
        <v>2104-27</v>
      </c>
      <c r="E723" s="257">
        <v>27</v>
      </c>
      <c r="F723" s="258">
        <v>321039</v>
      </c>
      <c r="G723" s="259" t="str">
        <f>IFERROR(VLOOKUP(BD_DETALLE!$B723,Tabla9[],6,0),"")</f>
        <v/>
      </c>
      <c r="H723" s="260">
        <f>IFERROR(VLOOKUP(BD_DETALLE!$B723,Tabla9[],4,0),0)</f>
        <v>0</v>
      </c>
      <c r="I723" s="261" t="s">
        <v>12</v>
      </c>
      <c r="J723" s="262" t="s">
        <v>2210</v>
      </c>
      <c r="K723" s="10" t="str">
        <f>IFERROR(VLOOKUP(BD_DETALLE!B723,Tabla9[],7,0),"")</f>
        <v/>
      </c>
      <c r="L723" s="11" t="str">
        <f>IFERROR(VLOOKUP(BD_DETALLE!B723,Tabla9[],8,0),"")</f>
        <v/>
      </c>
      <c r="M723" s="9">
        <f>IFERROR(SUMIFS(Tabla9[CANTIDAD2],Tabla9[BUSQUEDA],Tabla3[[#This Row],[BUSQUEDA]],Tabla9[CODIGO],Tabla3[[#This Row],[CODIGO]],Tabla9[ORDEN No.],Tabla3[[#This Row],[ORDEN de COMPRA]]),0)</f>
        <v>0</v>
      </c>
      <c r="N723" s="27" t="str">
        <f>IFERROR(IF(BD_DETALLE!B723&gt;0,VLOOKUP(BD_DETALLE!B723,Tabla9[],10,0),""),"")</f>
        <v/>
      </c>
      <c r="O723" s="28">
        <f>IFERROR(VLOOKUP(BD_DETALLE!B723,Tabla9[],11,0),0)</f>
        <v>0</v>
      </c>
      <c r="P723" s="26">
        <f>IFERROR(SUMIFS(Tabla9[CANTIDAD3],Tabla9[BUSQUEDA],Tabla3[[#This Row],[BUSQUEDA]],Tabla9[CODIGO],Tabla3[[#This Row],[CODIGO]]),0)</f>
        <v>0</v>
      </c>
      <c r="Q723" s="25">
        <f>IF(BD_DETALLE!P723&lt;=0,0,IF(BD_DETALLE!P723=BD_DETALLE!H723,2,1))</f>
        <v>0</v>
      </c>
      <c r="R723" s="41" t="e">
        <f ca="1">IF(BD_DETALLE!$C723&gt;0,(IF(BD_DETALLE!$N723=0,TODAY()-BD_DETALLE!$C723,BD_DETALLE!$N723-BD_DETALLE!$C723)),"")</f>
        <v>#VALUE!</v>
      </c>
    </row>
    <row r="724" spans="2:18" x14ac:dyDescent="0.25">
      <c r="B724" s="254" t="str">
        <f t="shared" si="67"/>
        <v>2104-31-204038</v>
      </c>
      <c r="C724" s="255">
        <v>44292</v>
      </c>
      <c r="D724" s="256" t="str">
        <f>IF(BD_DETALLE!$E724&gt;=1,CONCATENATE(TEXT(BD_DETALLE!$C724,"YY"),TEXT(BD_DETALLE!$C724,"MM"),"-",BD_DETALLE!$E724),"")</f>
        <v>2104-31</v>
      </c>
      <c r="E724" s="257">
        <v>31</v>
      </c>
      <c r="F724" s="258">
        <v>204038</v>
      </c>
      <c r="G724" s="259" t="str">
        <f>IFERROR(VLOOKUP(BD_DETALLE!$B724,Tabla9[],6,0),"")</f>
        <v>TERMOMETRO DIGITAL PARA HARINA DE 0 A 300║</v>
      </c>
      <c r="H724" s="260">
        <f>IFERROR(VLOOKUP(BD_DETALLE!$B724,Tabla9[],4,0),0)</f>
        <v>5</v>
      </c>
      <c r="I724" s="261" t="s">
        <v>9</v>
      </c>
      <c r="J724" s="262" t="s">
        <v>1217</v>
      </c>
      <c r="K724" s="10">
        <f>IFERROR(VLOOKUP(BD_DETALLE!B724,Tabla9[],7,0),"")</f>
        <v>0</v>
      </c>
      <c r="L724" s="11">
        <f>IFERROR(VLOOKUP(BD_DETALLE!B724,Tabla9[],8,0),"")</f>
        <v>0</v>
      </c>
      <c r="M724" s="9">
        <f>IFERROR(SUMIFS(Tabla9[CANTIDAD2],Tabla9[BUSQUEDA],Tabla3[[#This Row],[BUSQUEDA]],Tabla9[CODIGO],Tabla3[[#This Row],[CODIGO]],Tabla9[ORDEN No.],Tabla3[[#This Row],[ORDEN de COMPRA]]),0)</f>
        <v>0</v>
      </c>
      <c r="N724" s="27">
        <f>IFERROR(IF(BD_DETALLE!B724&gt;0,VLOOKUP(BD_DETALLE!B724,Tabla9[],10,0),""),"")</f>
        <v>0</v>
      </c>
      <c r="O724" s="28">
        <f>IFERROR(VLOOKUP(BD_DETALLE!B724,Tabla9[],11,0),0)</f>
        <v>0</v>
      </c>
      <c r="P724" s="26">
        <f>IFERROR(SUMIFS(Tabla9[CANTIDAD3],Tabla9[BUSQUEDA],Tabla3[[#This Row],[BUSQUEDA]],Tabla9[CODIGO],Tabla3[[#This Row],[CODIGO]]),0)</f>
        <v>0</v>
      </c>
      <c r="Q724" s="25">
        <f>IF(BD_DETALLE!P724&lt;=0,0,IF(BD_DETALLE!P724=BD_DETALLE!H724,2,1))</f>
        <v>0</v>
      </c>
      <c r="R724" s="41">
        <f ca="1">IF(BD_DETALLE!$C724&gt;0,(IF(BD_DETALLE!$N724=0,TODAY()-BD_DETALLE!$C724,BD_DETALLE!$N724-BD_DETALLE!$C724)),"")</f>
        <v>13</v>
      </c>
    </row>
    <row r="725" spans="2:18" x14ac:dyDescent="0.25">
      <c r="B725" s="254" t="str">
        <f t="shared" si="67"/>
        <v>2104-31-315848</v>
      </c>
      <c r="C725" s="255">
        <v>44292</v>
      </c>
      <c r="D725" s="256" t="str">
        <f>IF(BD_DETALLE!$E725&gt;=1,CONCATENATE(TEXT(BD_DETALLE!$C725,"YY"),TEXT(BD_DETALLE!$C725,"MM"),"-",BD_DETALLE!$E725),"")</f>
        <v>2104-31</v>
      </c>
      <c r="E725" s="257">
        <v>31</v>
      </c>
      <c r="F725" s="258">
        <v>315848</v>
      </c>
      <c r="G725" s="259" t="str">
        <f>IFERROR(VLOOKUP(BD_DETALLE!$B725,Tabla9[],6,0),"")</f>
        <v>JARRA PLASTICA 1000ml</v>
      </c>
      <c r="H725" s="260">
        <f>IFERROR(VLOOKUP(BD_DETALLE!$B725,Tabla9[],4,0),0)</f>
        <v>5</v>
      </c>
      <c r="I725" s="261" t="s">
        <v>9</v>
      </c>
      <c r="J725" s="262" t="s">
        <v>1217</v>
      </c>
      <c r="K725" s="10">
        <f>IFERROR(VLOOKUP(BD_DETALLE!B725,Tabla9[],7,0),"")</f>
        <v>0</v>
      </c>
      <c r="L725" s="11">
        <f>IFERROR(VLOOKUP(BD_DETALLE!B725,Tabla9[],8,0),"")</f>
        <v>0</v>
      </c>
      <c r="M725" s="9">
        <f>IFERROR(SUMIFS(Tabla9[CANTIDAD2],Tabla9[BUSQUEDA],Tabla3[[#This Row],[BUSQUEDA]],Tabla9[CODIGO],Tabla3[[#This Row],[CODIGO]],Tabla9[ORDEN No.],Tabla3[[#This Row],[ORDEN de COMPRA]]),0)</f>
        <v>0</v>
      </c>
      <c r="N725" s="27">
        <f>IFERROR(IF(BD_DETALLE!B725&gt;0,VLOOKUP(BD_DETALLE!B725,Tabla9[],10,0),""),"")</f>
        <v>0</v>
      </c>
      <c r="O725" s="28">
        <f>IFERROR(VLOOKUP(BD_DETALLE!B725,Tabla9[],11,0),0)</f>
        <v>0</v>
      </c>
      <c r="P725" s="26">
        <f>IFERROR(SUMIFS(Tabla9[CANTIDAD3],Tabla9[BUSQUEDA],Tabla3[[#This Row],[BUSQUEDA]],Tabla9[CODIGO],Tabla3[[#This Row],[CODIGO]]),0)</f>
        <v>0</v>
      </c>
      <c r="Q725" s="25">
        <f>IF(BD_DETALLE!P725&lt;=0,0,IF(BD_DETALLE!P725=BD_DETALLE!H725,2,1))</f>
        <v>0</v>
      </c>
      <c r="R725" s="41">
        <f ca="1">IF(BD_DETALLE!$C725&gt;0,(IF(BD_DETALLE!$N725=0,TODAY()-BD_DETALLE!$C725,BD_DETALLE!$N725-BD_DETALLE!$C725)),"")</f>
        <v>13</v>
      </c>
    </row>
    <row r="726" spans="2:18" x14ac:dyDescent="0.25">
      <c r="B726" s="254" t="str">
        <f t="shared" si="67"/>
        <v>2104-31-312389</v>
      </c>
      <c r="C726" s="255">
        <v>44292</v>
      </c>
      <c r="D726" s="256" t="str">
        <f>IF(BD_DETALLE!$E726&gt;=1,CONCATENATE(TEXT(BD_DETALLE!$C726,"YY"),TEXT(BD_DETALLE!$C726,"MM"),"-",BD_DETALLE!$E726),"")</f>
        <v>2104-31</v>
      </c>
      <c r="E726" s="257">
        <v>31</v>
      </c>
      <c r="F726" s="258">
        <v>312389</v>
      </c>
      <c r="G726" s="259" t="str">
        <f>IFERROR(VLOOKUP(BD_DETALLE!$B726,Tabla9[],6,0),"")</f>
        <v>BOTELLA PLASTICA AMBAR 1000 ml.</v>
      </c>
      <c r="H726" s="260">
        <f>IFERROR(VLOOKUP(BD_DETALLE!$B726,Tabla9[],4,0),0)</f>
        <v>100</v>
      </c>
      <c r="I726" s="261" t="s">
        <v>9</v>
      </c>
      <c r="J726" s="262" t="s">
        <v>1217</v>
      </c>
      <c r="K726" s="10">
        <f>IFERROR(VLOOKUP(BD_DETALLE!B726,Tabla9[],7,0),"")</f>
        <v>0</v>
      </c>
      <c r="L726" s="11">
        <f>IFERROR(VLOOKUP(BD_DETALLE!B726,Tabla9[],8,0),"")</f>
        <v>0</v>
      </c>
      <c r="M726" s="9">
        <f>IFERROR(SUMIFS(Tabla9[CANTIDAD2],Tabla9[BUSQUEDA],Tabla3[[#This Row],[BUSQUEDA]],Tabla9[CODIGO],Tabla3[[#This Row],[CODIGO]],Tabla9[ORDEN No.],Tabla3[[#This Row],[ORDEN de COMPRA]]),0)</f>
        <v>0</v>
      </c>
      <c r="N726" s="27">
        <f>IFERROR(IF(BD_DETALLE!B726&gt;0,VLOOKUP(BD_DETALLE!B726,Tabla9[],10,0),""),"")</f>
        <v>0</v>
      </c>
      <c r="O726" s="28">
        <f>IFERROR(VLOOKUP(BD_DETALLE!B726,Tabla9[],11,0),0)</f>
        <v>0</v>
      </c>
      <c r="P726" s="26">
        <f>IFERROR(SUMIFS(Tabla9[CANTIDAD3],Tabla9[BUSQUEDA],Tabla3[[#This Row],[BUSQUEDA]],Tabla9[CODIGO],Tabla3[[#This Row],[CODIGO]]),0)</f>
        <v>0</v>
      </c>
      <c r="Q726" s="25">
        <f>IF(BD_DETALLE!P726&lt;=0,0,IF(BD_DETALLE!P726=BD_DETALLE!H726,2,1))</f>
        <v>0</v>
      </c>
      <c r="R726" s="41">
        <f ca="1">IF(BD_DETALLE!$C726&gt;0,(IF(BD_DETALLE!$N726=0,TODAY()-BD_DETALLE!$C726,BD_DETALLE!$N726-BD_DETALLE!$C726)),"")</f>
        <v>13</v>
      </c>
    </row>
    <row r="727" spans="2:18" x14ac:dyDescent="0.25">
      <c r="B727" s="254" t="str">
        <f t="shared" si="67"/>
        <v>2104-31-315847</v>
      </c>
      <c r="C727" s="255">
        <v>44292</v>
      </c>
      <c r="D727" s="256" t="str">
        <f>IF(BD_DETALLE!$E727&gt;=1,CONCATENATE(TEXT(BD_DETALLE!$C727,"YY"),TEXT(BD_DETALLE!$C727,"MM"),"-",BD_DETALLE!$E727),"")</f>
        <v>2104-31</v>
      </c>
      <c r="E727" s="257">
        <v>31</v>
      </c>
      <c r="F727" s="258">
        <v>315847</v>
      </c>
      <c r="G727" s="259" t="str">
        <f>IFERROR(VLOOKUP(BD_DETALLE!$B727,Tabla9[],6,0),"")</f>
        <v>JARRA PLASTICA 500ml</v>
      </c>
      <c r="H727" s="260">
        <f>IFERROR(VLOOKUP(BD_DETALLE!$B727,Tabla9[],4,0),0)</f>
        <v>4</v>
      </c>
      <c r="I727" s="261" t="s">
        <v>9</v>
      </c>
      <c r="J727" s="262" t="s">
        <v>1217</v>
      </c>
      <c r="K727" s="10">
        <f>IFERROR(VLOOKUP(BD_DETALLE!B727,Tabla9[],7,0),"")</f>
        <v>0</v>
      </c>
      <c r="L727" s="11">
        <f>IFERROR(VLOOKUP(BD_DETALLE!B727,Tabla9[],8,0),"")</f>
        <v>0</v>
      </c>
      <c r="M727" s="9">
        <f>IFERROR(SUMIFS(Tabla9[CANTIDAD2],Tabla9[BUSQUEDA],Tabla3[[#This Row],[BUSQUEDA]],Tabla9[CODIGO],Tabla3[[#This Row],[CODIGO]],Tabla9[ORDEN No.],Tabla3[[#This Row],[ORDEN de COMPRA]]),0)</f>
        <v>0</v>
      </c>
      <c r="N727" s="27">
        <f>IFERROR(IF(BD_DETALLE!B727&gt;0,VLOOKUP(BD_DETALLE!B727,Tabla9[],10,0),""),"")</f>
        <v>0</v>
      </c>
      <c r="O727" s="28">
        <f>IFERROR(VLOOKUP(BD_DETALLE!B727,Tabla9[],11,0),0)</f>
        <v>0</v>
      </c>
      <c r="P727" s="26">
        <f>IFERROR(SUMIFS(Tabla9[CANTIDAD3],Tabla9[BUSQUEDA],Tabla3[[#This Row],[BUSQUEDA]],Tabla9[CODIGO],Tabla3[[#This Row],[CODIGO]]),0)</f>
        <v>0</v>
      </c>
      <c r="Q727" s="25">
        <f>IF(BD_DETALLE!P727&lt;=0,0,IF(BD_DETALLE!P727=BD_DETALLE!H727,2,1))</f>
        <v>0</v>
      </c>
      <c r="R727" s="41">
        <f ca="1">IF(BD_DETALLE!$C727&gt;0,(IF(BD_DETALLE!$N727=0,TODAY()-BD_DETALLE!$C727,BD_DETALLE!$N727-BD_DETALLE!$C727)),"")</f>
        <v>13</v>
      </c>
    </row>
    <row r="728" spans="2:18" x14ac:dyDescent="0.25">
      <c r="B728" s="254" t="str">
        <f t="shared" si="67"/>
        <v>2104-31-307441</v>
      </c>
      <c r="C728" s="255">
        <v>44292</v>
      </c>
      <c r="D728" s="256" t="str">
        <f>IF(BD_DETALLE!$E728&gt;=1,CONCATENATE(TEXT(BD_DETALLE!$C728,"YY"),TEXT(BD_DETALLE!$C728,"MM"),"-",BD_DETALLE!$E728),"")</f>
        <v>2104-31</v>
      </c>
      <c r="E728" s="257">
        <v>31</v>
      </c>
      <c r="F728" s="258">
        <v>307441</v>
      </c>
      <c r="G728" s="259" t="str">
        <f>IFERROR(VLOOKUP(BD_DETALLE!$B728,Tabla9[],6,0),"")</f>
        <v>TUBO ENSAYO PLASTICO DE 10ML</v>
      </c>
      <c r="H728" s="260">
        <f>IFERROR(VLOOKUP(BD_DETALLE!$B728,Tabla9[],4,0),0)</f>
        <v>48</v>
      </c>
      <c r="I728" s="261" t="s">
        <v>9</v>
      </c>
      <c r="J728" s="262" t="s">
        <v>1217</v>
      </c>
      <c r="K728" s="10">
        <f>IFERROR(VLOOKUP(BD_DETALLE!B728,Tabla9[],7,0),"")</f>
        <v>0</v>
      </c>
      <c r="L728" s="11">
        <f>IFERROR(VLOOKUP(BD_DETALLE!B728,Tabla9[],8,0),"")</f>
        <v>0</v>
      </c>
      <c r="M728" s="9">
        <f>IFERROR(SUMIFS(Tabla9[CANTIDAD2],Tabla9[BUSQUEDA],Tabla3[[#This Row],[BUSQUEDA]],Tabla9[CODIGO],Tabla3[[#This Row],[CODIGO]],Tabla9[ORDEN No.],Tabla3[[#This Row],[ORDEN de COMPRA]]),0)</f>
        <v>0</v>
      </c>
      <c r="N728" s="27">
        <f>IFERROR(IF(BD_DETALLE!B728&gt;0,VLOOKUP(BD_DETALLE!B728,Tabla9[],10,0),""),"")</f>
        <v>0</v>
      </c>
      <c r="O728" s="28">
        <f>IFERROR(VLOOKUP(BD_DETALLE!B728,Tabla9[],11,0),0)</f>
        <v>0</v>
      </c>
      <c r="P728" s="26">
        <f>IFERROR(SUMIFS(Tabla9[CANTIDAD3],Tabla9[BUSQUEDA],Tabla3[[#This Row],[BUSQUEDA]],Tabla9[CODIGO],Tabla3[[#This Row],[CODIGO]]),0)</f>
        <v>0</v>
      </c>
      <c r="Q728" s="25">
        <f>IF(BD_DETALLE!P728&lt;=0,0,IF(BD_DETALLE!P728=BD_DETALLE!H728,2,1))</f>
        <v>0</v>
      </c>
      <c r="R728" s="41">
        <f ca="1">IF(BD_DETALLE!$C728&gt;0,(IF(BD_DETALLE!$N728=0,TODAY()-BD_DETALLE!$C728,BD_DETALLE!$N728-BD_DETALLE!$C728)),"")</f>
        <v>13</v>
      </c>
    </row>
    <row r="729" spans="2:18" x14ac:dyDescent="0.25">
      <c r="B729" s="254" t="str">
        <f t="shared" ref="B729:B735" si="68">IFERROR(TEXT(C729,"yy") &amp; TEXT(C729,"mm") &amp;"-"&amp;(E729) &amp;"-"&amp;(F729),"")</f>
        <v>2104-31-308308</v>
      </c>
      <c r="C729" s="255">
        <v>44292</v>
      </c>
      <c r="D729" s="256" t="str">
        <f>IF(BD_DETALLE!$E729&gt;=1,CONCATENATE(TEXT(BD_DETALLE!$C729,"YY"),TEXT(BD_DETALLE!$C729,"MM"),"-",BD_DETALLE!$E729),"")</f>
        <v>2104-31</v>
      </c>
      <c r="E729" s="257">
        <v>31</v>
      </c>
      <c r="F729" s="258">
        <v>308308</v>
      </c>
      <c r="G729" s="259" t="str">
        <f>IFERROR(VLOOKUP(BD_DETALLE!$B729,Tabla9[],6,0),"")</f>
        <v>DENSIMETRO DE VIDRIO BAUME DE 0 - 70%</v>
      </c>
      <c r="H729" s="260">
        <f>IFERROR(VLOOKUP(BD_DETALLE!$B729,Tabla9[],4,0),0)</f>
        <v>1</v>
      </c>
      <c r="I729" s="261" t="s">
        <v>9</v>
      </c>
      <c r="J729" s="262" t="s">
        <v>1217</v>
      </c>
      <c r="K729" s="10">
        <f>IFERROR(VLOOKUP(BD_DETALLE!B729,Tabla9[],7,0),"")</f>
        <v>0</v>
      </c>
      <c r="L729" s="11">
        <f>IFERROR(VLOOKUP(BD_DETALLE!B729,Tabla9[],8,0),"")</f>
        <v>0</v>
      </c>
      <c r="M729" s="9">
        <f>IFERROR(SUMIFS(Tabla9[CANTIDAD2],Tabla9[BUSQUEDA],Tabla3[[#This Row],[BUSQUEDA]],Tabla9[CODIGO],Tabla3[[#This Row],[CODIGO]],Tabla9[ORDEN No.],Tabla3[[#This Row],[ORDEN de COMPRA]]),0)</f>
        <v>0</v>
      </c>
      <c r="N729" s="27">
        <f>IFERROR(IF(BD_DETALLE!B729&gt;0,VLOOKUP(BD_DETALLE!B729,Tabla9[],10,0),""),"")</f>
        <v>0</v>
      </c>
      <c r="O729" s="28">
        <f>IFERROR(VLOOKUP(BD_DETALLE!B729,Tabla9[],11,0),0)</f>
        <v>0</v>
      </c>
      <c r="P729" s="26">
        <f>IFERROR(SUMIFS(Tabla9[CANTIDAD3],Tabla9[BUSQUEDA],Tabla3[[#This Row],[BUSQUEDA]],Tabla9[CODIGO],Tabla3[[#This Row],[CODIGO]]),0)</f>
        <v>0</v>
      </c>
      <c r="Q729" s="25">
        <f>IF(BD_DETALLE!P729&lt;=0,0,IF(BD_DETALLE!P729=BD_DETALLE!H729,2,1))</f>
        <v>0</v>
      </c>
      <c r="R729" s="41">
        <f ca="1">IF(BD_DETALLE!$C729&gt;0,(IF(BD_DETALLE!$N729=0,TODAY()-BD_DETALLE!$C729,BD_DETALLE!$N729-BD_DETALLE!$C729)),"")</f>
        <v>13</v>
      </c>
    </row>
    <row r="730" spans="2:18" x14ac:dyDescent="0.25">
      <c r="B730" s="254" t="str">
        <f t="shared" si="68"/>
        <v>2104-31-318852</v>
      </c>
      <c r="C730" s="255">
        <v>44292</v>
      </c>
      <c r="D730" s="256" t="str">
        <f>IF(BD_DETALLE!$E730&gt;=1,CONCATENATE(TEXT(BD_DETALLE!$C730,"YY"),TEXT(BD_DETALLE!$C730,"MM"),"-",BD_DETALLE!$E730),"")</f>
        <v>2104-31</v>
      </c>
      <c r="E730" s="257">
        <v>31</v>
      </c>
      <c r="F730" s="258">
        <v>318852</v>
      </c>
      <c r="G730" s="259" t="str">
        <f>IFERROR(VLOOKUP(BD_DETALLE!$B730,Tabla9[],6,0),"")</f>
        <v>AGITADOR MAGNETICO DE 6CM</v>
      </c>
      <c r="H730" s="260">
        <f>IFERROR(VLOOKUP(BD_DETALLE!$B730,Tabla9[],4,0),0)</f>
        <v>6</v>
      </c>
      <c r="I730" s="261" t="s">
        <v>9</v>
      </c>
      <c r="J730" s="262" t="s">
        <v>1217</v>
      </c>
      <c r="K730" s="10">
        <f>IFERROR(VLOOKUP(BD_DETALLE!B730,Tabla9[],7,0),"")</f>
        <v>0</v>
      </c>
      <c r="L730" s="11">
        <f>IFERROR(VLOOKUP(BD_DETALLE!B730,Tabla9[],8,0),"")</f>
        <v>0</v>
      </c>
      <c r="M730" s="9">
        <f>IFERROR(SUMIFS(Tabla9[CANTIDAD2],Tabla9[BUSQUEDA],Tabla3[[#This Row],[BUSQUEDA]],Tabla9[CODIGO],Tabla3[[#This Row],[CODIGO]],Tabla9[ORDEN No.],Tabla3[[#This Row],[ORDEN de COMPRA]]),0)</f>
        <v>0</v>
      </c>
      <c r="N730" s="27">
        <f>IFERROR(IF(BD_DETALLE!B730&gt;0,VLOOKUP(BD_DETALLE!B730,Tabla9[],10,0),""),"")</f>
        <v>0</v>
      </c>
      <c r="O730" s="28">
        <f>IFERROR(VLOOKUP(BD_DETALLE!B730,Tabla9[],11,0),0)</f>
        <v>0</v>
      </c>
      <c r="P730" s="26">
        <f>IFERROR(SUMIFS(Tabla9[CANTIDAD3],Tabla9[BUSQUEDA],Tabla3[[#This Row],[BUSQUEDA]],Tabla9[CODIGO],Tabla3[[#This Row],[CODIGO]]),0)</f>
        <v>0</v>
      </c>
      <c r="Q730" s="25">
        <f>IF(BD_DETALLE!P730&lt;=0,0,IF(BD_DETALLE!P730=BD_DETALLE!H730,2,1))</f>
        <v>0</v>
      </c>
      <c r="R730" s="41">
        <f ca="1">IF(BD_DETALLE!$C730&gt;0,(IF(BD_DETALLE!$N730=0,TODAY()-BD_DETALLE!$C730,BD_DETALLE!$N730-BD_DETALLE!$C730)),"")</f>
        <v>13</v>
      </c>
    </row>
    <row r="731" spans="2:18" x14ac:dyDescent="0.25">
      <c r="B731" s="254" t="str">
        <f t="shared" si="68"/>
        <v>2104-31-308702</v>
      </c>
      <c r="C731" s="255">
        <v>44292</v>
      </c>
      <c r="D731" s="256" t="str">
        <f>IF(BD_DETALLE!$E731&gt;=1,CONCATENATE(TEXT(BD_DETALLE!$C731,"YY"),TEXT(BD_DETALLE!$C731,"MM"),"-",BD_DETALLE!$E731),"")</f>
        <v>2104-31</v>
      </c>
      <c r="E731" s="257">
        <v>31</v>
      </c>
      <c r="F731" s="258">
        <v>308702</v>
      </c>
      <c r="G731" s="259" t="str">
        <f>IFERROR(VLOOKUP(BD_DETALLE!$B731,Tabla9[],6,0),"")</f>
        <v>REFRACTOMETRO DIGITAL  DE 0║ - 85║ BRIX</v>
      </c>
      <c r="H731" s="260">
        <f>IFERROR(VLOOKUP(BD_DETALLE!$B731,Tabla9[],4,0),0)</f>
        <v>2</v>
      </c>
      <c r="I731" s="261" t="s">
        <v>9</v>
      </c>
      <c r="J731" s="262" t="s">
        <v>1217</v>
      </c>
      <c r="K731" s="10">
        <f>IFERROR(VLOOKUP(BD_DETALLE!B731,Tabla9[],7,0),"")</f>
        <v>44294</v>
      </c>
      <c r="L731" s="11">
        <f>IFERROR(VLOOKUP(BD_DETALLE!B731,Tabla9[],8,0),"")</f>
        <v>52400</v>
      </c>
      <c r="M731" s="9">
        <f>IFERROR(SUMIFS(Tabla9[CANTIDAD2],Tabla9[BUSQUEDA],Tabla3[[#This Row],[BUSQUEDA]],Tabla9[CODIGO],Tabla3[[#This Row],[CODIGO]],Tabla9[ORDEN No.],Tabla3[[#This Row],[ORDEN de COMPRA]]),0)</f>
        <v>2</v>
      </c>
      <c r="N731" s="27">
        <f>IFERROR(IF(BD_DETALLE!B731&gt;0,VLOOKUP(BD_DETALLE!B731,Tabla9[],10,0),""),"")</f>
        <v>44298</v>
      </c>
      <c r="O731" s="28">
        <f>IFERROR(VLOOKUP(BD_DETALLE!B731,Tabla9[],11,0),0)</f>
        <v>11781</v>
      </c>
      <c r="P731" s="26">
        <f>IFERROR(SUMIFS(Tabla9[CANTIDAD3],Tabla9[BUSQUEDA],Tabla3[[#This Row],[BUSQUEDA]],Tabla9[CODIGO],Tabla3[[#This Row],[CODIGO]]),0)</f>
        <v>2</v>
      </c>
      <c r="Q731" s="25">
        <f>IF(BD_DETALLE!P731&lt;=0,0,IF(BD_DETALLE!P731=BD_DETALLE!H731,2,1))</f>
        <v>2</v>
      </c>
      <c r="R731" s="41">
        <f ca="1">IF(BD_DETALLE!$C731&gt;0,(IF(BD_DETALLE!$N731=0,TODAY()-BD_DETALLE!$C731,BD_DETALLE!$N731-BD_DETALLE!$C731)),"")</f>
        <v>6</v>
      </c>
    </row>
    <row r="732" spans="2:18" x14ac:dyDescent="0.25">
      <c r="B732" s="254" t="str">
        <f t="shared" si="68"/>
        <v>2104-32-317525</v>
      </c>
      <c r="C732" s="255">
        <v>44292</v>
      </c>
      <c r="D732" s="256" t="str">
        <f>IF(BD_DETALLE!$E732&gt;=1,CONCATENATE(TEXT(BD_DETALLE!$C732,"YY"),TEXT(BD_DETALLE!$C732,"MM"),"-",BD_DETALLE!$E732),"")</f>
        <v>2104-32</v>
      </c>
      <c r="E732" s="257">
        <v>32</v>
      </c>
      <c r="F732" s="258">
        <v>317525</v>
      </c>
      <c r="G732" s="259" t="str">
        <f>IFERROR(VLOOKUP(BD_DETALLE!$B732,Tabla9[],6,0),"")</f>
        <v>UPS 10KVA DE 120V/240V</v>
      </c>
      <c r="H732" s="260">
        <f>IFERROR(VLOOKUP(BD_DETALLE!$B732,Tabla9[],4,0),0)</f>
        <v>1</v>
      </c>
      <c r="I732" s="261" t="s">
        <v>14</v>
      </c>
      <c r="J732" s="262" t="s">
        <v>2211</v>
      </c>
      <c r="K732" s="10">
        <f>IFERROR(VLOOKUP(BD_DETALLE!B732,Tabla9[],7,0),"")</f>
        <v>0</v>
      </c>
      <c r="L732" s="11">
        <f>IFERROR(VLOOKUP(BD_DETALLE!B732,Tabla9[],8,0),"")</f>
        <v>0</v>
      </c>
      <c r="M732" s="9">
        <f>IFERROR(SUMIFS(Tabla9[CANTIDAD2],Tabla9[BUSQUEDA],Tabla3[[#This Row],[BUSQUEDA]],Tabla9[CODIGO],Tabla3[[#This Row],[CODIGO]],Tabla9[ORDEN No.],Tabla3[[#This Row],[ORDEN de COMPRA]]),0)</f>
        <v>0</v>
      </c>
      <c r="N732" s="27">
        <f>IFERROR(IF(BD_DETALLE!B732&gt;0,VLOOKUP(BD_DETALLE!B732,Tabla9[],10,0),""),"")</f>
        <v>0</v>
      </c>
      <c r="O732" s="28">
        <f>IFERROR(VLOOKUP(BD_DETALLE!B732,Tabla9[],11,0),0)</f>
        <v>0</v>
      </c>
      <c r="P732" s="26">
        <f>IFERROR(SUMIFS(Tabla9[CANTIDAD3],Tabla9[BUSQUEDA],Tabla3[[#This Row],[BUSQUEDA]],Tabla9[CODIGO],Tabla3[[#This Row],[CODIGO]]),0)</f>
        <v>0</v>
      </c>
      <c r="Q732" s="25">
        <f>IF(BD_DETALLE!P732&lt;=0,0,IF(BD_DETALLE!P732=BD_DETALLE!H732,2,1))</f>
        <v>0</v>
      </c>
      <c r="R732" s="41">
        <f ca="1">IF(BD_DETALLE!$C732&gt;0,(IF(BD_DETALLE!$N732=0,TODAY()-BD_DETALLE!$C732,BD_DETALLE!$N732-BD_DETALLE!$C732)),"")</f>
        <v>13</v>
      </c>
    </row>
    <row r="733" spans="2:18" x14ac:dyDescent="0.25">
      <c r="B733" s="254" t="str">
        <f t="shared" si="68"/>
        <v>2104-32-317525</v>
      </c>
      <c r="C733" s="255">
        <v>44292</v>
      </c>
      <c r="D733" s="256" t="str">
        <f>IF(BD_DETALLE!$E733&gt;=1,CONCATENATE(TEXT(BD_DETALLE!$C733,"YY"),TEXT(BD_DETALLE!$C733,"MM"),"-",BD_DETALLE!$E733),"")</f>
        <v>2104-32</v>
      </c>
      <c r="E733" s="257">
        <v>32</v>
      </c>
      <c r="F733" s="258">
        <v>317525</v>
      </c>
      <c r="G733" s="259" t="str">
        <f>IFERROR(VLOOKUP(BD_DETALLE!$B733,Tabla9[],6,0),"")</f>
        <v>UPS 10KVA DE 120V/240V</v>
      </c>
      <c r="H733" s="260">
        <f>IFERROR(VLOOKUP(BD_DETALLE!$B733,Tabla9[],4,0),0)</f>
        <v>1</v>
      </c>
      <c r="I733" s="261" t="s">
        <v>14</v>
      </c>
      <c r="J733" s="262" t="s">
        <v>2211</v>
      </c>
      <c r="K733" s="10">
        <f>IFERROR(VLOOKUP(BD_DETALLE!B733,Tabla9[],7,0),"")</f>
        <v>0</v>
      </c>
      <c r="L733" s="11">
        <f>IFERROR(VLOOKUP(BD_DETALLE!B733,Tabla9[],8,0),"")</f>
        <v>0</v>
      </c>
      <c r="M733" s="9">
        <f>IFERROR(SUMIFS(Tabla9[CANTIDAD2],Tabla9[BUSQUEDA],Tabla3[[#This Row],[BUSQUEDA]],Tabla9[CODIGO],Tabla3[[#This Row],[CODIGO]],Tabla9[ORDEN No.],Tabla3[[#This Row],[ORDEN de COMPRA]]),0)</f>
        <v>0</v>
      </c>
      <c r="N733" s="27">
        <f>IFERROR(IF(BD_DETALLE!B733&gt;0,VLOOKUP(BD_DETALLE!B733,Tabla9[],10,0),""),"")</f>
        <v>0</v>
      </c>
      <c r="O733" s="28">
        <f>IFERROR(VLOOKUP(BD_DETALLE!B733,Tabla9[],11,0),0)</f>
        <v>0</v>
      </c>
      <c r="P733" s="26">
        <f>IFERROR(SUMIFS(Tabla9[CANTIDAD3],Tabla9[BUSQUEDA],Tabla3[[#This Row],[BUSQUEDA]],Tabla9[CODIGO],Tabla3[[#This Row],[CODIGO]]),0)</f>
        <v>0</v>
      </c>
      <c r="Q733" s="25">
        <f>IF(BD_DETALLE!P733&lt;=0,0,IF(BD_DETALLE!P733=BD_DETALLE!H733,2,1))</f>
        <v>0</v>
      </c>
      <c r="R733" s="41">
        <f ca="1">IF(BD_DETALLE!$C733&gt;0,(IF(BD_DETALLE!$N733=0,TODAY()-BD_DETALLE!$C733,BD_DETALLE!$N733-BD_DETALLE!$C733)),"")</f>
        <v>13</v>
      </c>
    </row>
    <row r="734" spans="2:18" x14ac:dyDescent="0.25">
      <c r="B734" s="254" t="str">
        <f t="shared" si="68"/>
        <v>2104-39-200525</v>
      </c>
      <c r="C734" s="255">
        <v>44292</v>
      </c>
      <c r="D734" s="256" t="str">
        <f>IF(BD_DETALLE!$E734&gt;=1,CONCATENATE(TEXT(BD_DETALLE!$C734,"YY"),TEXT(BD_DETALLE!$C734,"MM"),"-",BD_DETALLE!$E734),"")</f>
        <v>2104-39</v>
      </c>
      <c r="E734" s="257">
        <v>39</v>
      </c>
      <c r="F734" s="258">
        <v>200525</v>
      </c>
      <c r="G734" s="259" t="str">
        <f>IFERROR(VLOOKUP(BD_DETALLE!$B734,Tabla9[],6,0),"")</f>
        <v>FILTRO DE AIRE PARA CARRO</v>
      </c>
      <c r="H734" s="260">
        <f>IFERROR(VLOOKUP(BD_DETALLE!$B734,Tabla9[],4,0),0)</f>
        <v>1</v>
      </c>
      <c r="I734" s="261" t="s">
        <v>5</v>
      </c>
      <c r="J734" s="262" t="s">
        <v>2212</v>
      </c>
      <c r="K734" s="10">
        <f>IFERROR(VLOOKUP(BD_DETALLE!B734,Tabla9[],7,0),"")</f>
        <v>44293</v>
      </c>
      <c r="L734" s="11">
        <f>IFERROR(VLOOKUP(BD_DETALLE!B734,Tabla9[],8,0),"")</f>
        <v>52379</v>
      </c>
      <c r="M734" s="9">
        <f>IFERROR(SUMIFS(Tabla9[CANTIDAD2],Tabla9[BUSQUEDA],Tabla3[[#This Row],[BUSQUEDA]],Tabla9[CODIGO],Tabla3[[#This Row],[CODIGO]],Tabla9[ORDEN No.],Tabla3[[#This Row],[ORDEN de COMPRA]]),0)</f>
        <v>1</v>
      </c>
      <c r="N734" s="27">
        <f>IFERROR(IF(BD_DETALLE!B734&gt;0,VLOOKUP(BD_DETALLE!B734,Tabla9[],10,0),""),"")</f>
        <v>0</v>
      </c>
      <c r="O734" s="28">
        <f>IFERROR(VLOOKUP(BD_DETALLE!B734,Tabla9[],11,0),0)</f>
        <v>0</v>
      </c>
      <c r="P734" s="26">
        <f>IFERROR(SUMIFS(Tabla9[CANTIDAD3],Tabla9[BUSQUEDA],Tabla3[[#This Row],[BUSQUEDA]],Tabla9[CODIGO],Tabla3[[#This Row],[CODIGO]]),0)</f>
        <v>0</v>
      </c>
      <c r="Q734" s="25">
        <f>IF(BD_DETALLE!P734&lt;=0,0,IF(BD_DETALLE!P734=BD_DETALLE!H734,2,1))</f>
        <v>0</v>
      </c>
      <c r="R734" s="41">
        <f ca="1">IF(BD_DETALLE!$C734&gt;0,(IF(BD_DETALLE!$N734=0,TODAY()-BD_DETALLE!$C734,BD_DETALLE!$N734-BD_DETALLE!$C734)),"")</f>
        <v>13</v>
      </c>
    </row>
    <row r="735" spans="2:18" x14ac:dyDescent="0.25">
      <c r="B735" s="254" t="str">
        <f t="shared" si="68"/>
        <v>2104-39-205416</v>
      </c>
      <c r="C735" s="255">
        <v>44292</v>
      </c>
      <c r="D735" s="256" t="str">
        <f>IF(BD_DETALLE!$E735&gt;=1,CONCATENATE(TEXT(BD_DETALLE!$C735,"YY"),TEXT(BD_DETALLE!$C735,"MM"),"-",BD_DETALLE!$E735),"")</f>
        <v>2104-39</v>
      </c>
      <c r="E735" s="257">
        <v>39</v>
      </c>
      <c r="F735" s="258">
        <v>205416</v>
      </c>
      <c r="G735" s="259" t="str">
        <f>IFERROR(VLOOKUP(BD_DETALLE!$B735,Tabla9[],6,0),"")</f>
        <v>DISCO DE FRICCION (MONTACARGA)</v>
      </c>
      <c r="H735" s="260">
        <f>IFERROR(VLOOKUP(BD_DETALLE!$B735,Tabla9[],4,0),0)</f>
        <v>8</v>
      </c>
      <c r="I735" s="261" t="s">
        <v>5</v>
      </c>
      <c r="J735" s="262" t="s">
        <v>2212</v>
      </c>
      <c r="K735" s="10">
        <f>IFERROR(VLOOKUP(BD_DETALLE!B735,Tabla9[],7,0),"")</f>
        <v>44293</v>
      </c>
      <c r="L735" s="11">
        <f>IFERROR(VLOOKUP(BD_DETALLE!B735,Tabla9[],8,0),"")</f>
        <v>52379</v>
      </c>
      <c r="M735" s="9">
        <f>IFERROR(SUMIFS(Tabla9[CANTIDAD2],Tabla9[BUSQUEDA],Tabla3[[#This Row],[BUSQUEDA]],Tabla9[CODIGO],Tabla3[[#This Row],[CODIGO]],Tabla9[ORDEN No.],Tabla3[[#This Row],[ORDEN de COMPRA]]),0)</f>
        <v>8</v>
      </c>
      <c r="N735" s="27">
        <f>IFERROR(IF(BD_DETALLE!B735&gt;0,VLOOKUP(BD_DETALLE!B735,Tabla9[],10,0),""),"")</f>
        <v>44294</v>
      </c>
      <c r="O735" s="28">
        <f>IFERROR(VLOOKUP(BD_DETALLE!B735,Tabla9[],11,0),0)</f>
        <v>11749</v>
      </c>
      <c r="P735" s="26">
        <f>IFERROR(SUMIFS(Tabla9[CANTIDAD3],Tabla9[BUSQUEDA],Tabla3[[#This Row],[BUSQUEDA]],Tabla9[CODIGO],Tabla3[[#This Row],[CODIGO]]),0)</f>
        <v>8</v>
      </c>
      <c r="Q735" s="25">
        <f>IF(BD_DETALLE!P735&lt;=0,0,IF(BD_DETALLE!P735=BD_DETALLE!H735,2,1))</f>
        <v>2</v>
      </c>
      <c r="R735" s="41">
        <f ca="1">IF(BD_DETALLE!$C735&gt;0,(IF(BD_DETALLE!$N735=0,TODAY()-BD_DETALLE!$C735,BD_DETALLE!$N735-BD_DETALLE!$C735)),"")</f>
        <v>2</v>
      </c>
    </row>
    <row r="736" spans="2:18" x14ac:dyDescent="0.25">
      <c r="B736" s="254" t="str">
        <f t="shared" ref="B736:B742" si="69">IFERROR(TEXT(C736,"yy") &amp; TEXT(C736,"mm") &amp;"-"&amp;(E736) &amp;"-"&amp;(F736),"")</f>
        <v>2104-39-309173</v>
      </c>
      <c r="C736" s="255">
        <v>44292</v>
      </c>
      <c r="D736" s="256" t="str">
        <f>IF(BD_DETALLE!$E736&gt;=1,CONCATENATE(TEXT(BD_DETALLE!$C736,"YY"),TEXT(BD_DETALLE!$C736,"MM"),"-",BD_DETALLE!$E736),"")</f>
        <v>2104-39</v>
      </c>
      <c r="E736" s="257">
        <v>39</v>
      </c>
      <c r="F736" s="258">
        <v>309173</v>
      </c>
      <c r="G736" s="259" t="str">
        <f>IFERROR(VLOOKUP(BD_DETALLE!$B736,Tabla9[],6,0),"")</f>
        <v>RULIMAN CAJA CAMBIO</v>
      </c>
      <c r="H736" s="260">
        <f>IFERROR(VLOOKUP(BD_DETALLE!$B736,Tabla9[],4,0),0)</f>
        <v>2</v>
      </c>
      <c r="I736" s="261" t="s">
        <v>5</v>
      </c>
      <c r="J736" s="262" t="s">
        <v>2212</v>
      </c>
      <c r="K736" s="10">
        <f>IFERROR(VLOOKUP(BD_DETALLE!B736,Tabla9[],7,0),"")</f>
        <v>44293</v>
      </c>
      <c r="L736" s="11">
        <f>IFERROR(VLOOKUP(BD_DETALLE!B736,Tabla9[],8,0),"")</f>
        <v>52379</v>
      </c>
      <c r="M736" s="9">
        <f>IFERROR(SUMIFS(Tabla9[CANTIDAD2],Tabla9[BUSQUEDA],Tabla3[[#This Row],[BUSQUEDA]],Tabla9[CODIGO],Tabla3[[#This Row],[CODIGO]],Tabla9[ORDEN No.],Tabla3[[#This Row],[ORDEN de COMPRA]]),0)</f>
        <v>2</v>
      </c>
      <c r="N736" s="27">
        <f>IFERROR(IF(BD_DETALLE!B736&gt;0,VLOOKUP(BD_DETALLE!B736,Tabla9[],10,0),""),"")</f>
        <v>0</v>
      </c>
      <c r="O736" s="28">
        <f>IFERROR(VLOOKUP(BD_DETALLE!B736,Tabla9[],11,0),0)</f>
        <v>0</v>
      </c>
      <c r="P736" s="26">
        <f>IFERROR(SUMIFS(Tabla9[CANTIDAD3],Tabla9[BUSQUEDA],Tabla3[[#This Row],[BUSQUEDA]],Tabla9[CODIGO],Tabla3[[#This Row],[CODIGO]]),0)</f>
        <v>0</v>
      </c>
      <c r="Q736" s="25">
        <f>IF(BD_DETALLE!P736&lt;=0,0,IF(BD_DETALLE!P736=BD_DETALLE!H736,2,1))</f>
        <v>0</v>
      </c>
      <c r="R736" s="41">
        <f ca="1">IF(BD_DETALLE!$C736&gt;0,(IF(BD_DETALLE!$N736=0,TODAY()-BD_DETALLE!$C736,BD_DETALLE!$N736-BD_DETALLE!$C736)),"")</f>
        <v>13</v>
      </c>
    </row>
    <row r="737" spans="2:18" x14ac:dyDescent="0.25">
      <c r="B737" s="254" t="str">
        <f t="shared" si="69"/>
        <v>2104-39-302490</v>
      </c>
      <c r="C737" s="255">
        <v>44292</v>
      </c>
      <c r="D737" s="256" t="str">
        <f>IF(BD_DETALLE!$E737&gt;=1,CONCATENATE(TEXT(BD_DETALLE!$C737,"YY"),TEXT(BD_DETALLE!$C737,"MM"),"-",BD_DETALLE!$E737),"")</f>
        <v>2104-39</v>
      </c>
      <c r="E737" s="257">
        <v>39</v>
      </c>
      <c r="F737" s="258">
        <v>302490</v>
      </c>
      <c r="G737" s="259" t="str">
        <f>IFERROR(VLOOKUP(BD_DETALLE!$B737,Tabla9[],6,0),"")</f>
        <v>FILTRO DE AIRE FSA 025</v>
      </c>
      <c r="H737" s="260">
        <f>IFERROR(VLOOKUP(BD_DETALLE!$B737,Tabla9[],4,0),0)</f>
        <v>1</v>
      </c>
      <c r="I737" s="261" t="s">
        <v>5</v>
      </c>
      <c r="J737" s="262" t="s">
        <v>2212</v>
      </c>
      <c r="K737" s="10">
        <f>IFERROR(VLOOKUP(BD_DETALLE!B737,Tabla9[],7,0),"")</f>
        <v>44293</v>
      </c>
      <c r="L737" s="11">
        <f>IFERROR(VLOOKUP(BD_DETALLE!B737,Tabla9[],8,0),"")</f>
        <v>52379</v>
      </c>
      <c r="M737" s="9">
        <f>IFERROR(SUMIFS(Tabla9[CANTIDAD2],Tabla9[BUSQUEDA],Tabla3[[#This Row],[BUSQUEDA]],Tabla9[CODIGO],Tabla3[[#This Row],[CODIGO]],Tabla9[ORDEN No.],Tabla3[[#This Row],[ORDEN de COMPRA]]),0)</f>
        <v>1</v>
      </c>
      <c r="N737" s="27">
        <f>IFERROR(IF(BD_DETALLE!B737&gt;0,VLOOKUP(BD_DETALLE!B737,Tabla9[],10,0),""),"")</f>
        <v>0</v>
      </c>
      <c r="O737" s="28">
        <f>IFERROR(VLOOKUP(BD_DETALLE!B737,Tabla9[],11,0),0)</f>
        <v>0</v>
      </c>
      <c r="P737" s="26">
        <f>IFERROR(SUMIFS(Tabla9[CANTIDAD3],Tabla9[BUSQUEDA],Tabla3[[#This Row],[BUSQUEDA]],Tabla9[CODIGO],Tabla3[[#This Row],[CODIGO]]),0)</f>
        <v>0</v>
      </c>
      <c r="Q737" s="25">
        <f>IF(BD_DETALLE!P737&lt;=0,0,IF(BD_DETALLE!P737=BD_DETALLE!H737,2,1))</f>
        <v>0</v>
      </c>
      <c r="R737" s="41">
        <f ca="1">IF(BD_DETALLE!$C737&gt;0,(IF(BD_DETALLE!$N737=0,TODAY()-BD_DETALLE!$C737,BD_DETALLE!$N737-BD_DETALLE!$C737)),"")</f>
        <v>13</v>
      </c>
    </row>
    <row r="738" spans="2:18" x14ac:dyDescent="0.25">
      <c r="B738" s="254" t="str">
        <f t="shared" si="69"/>
        <v>2104-39-100035</v>
      </c>
      <c r="C738" s="255">
        <v>44292</v>
      </c>
      <c r="D738" s="256" t="str">
        <f>IF(BD_DETALLE!$E738&gt;=1,CONCATENATE(TEXT(BD_DETALLE!$C738,"YY"),TEXT(BD_DETALLE!$C738,"MM"),"-",BD_DETALLE!$E738),"")</f>
        <v>2104-39</v>
      </c>
      <c r="E738" s="257">
        <v>39</v>
      </c>
      <c r="F738" s="258">
        <v>100035</v>
      </c>
      <c r="G738" s="259" t="str">
        <f>IFERROR(VLOOKUP(BD_DETALLE!$B738,Tabla9[],6,0),"")</f>
        <v>FILTRO HIDRAULICO</v>
      </c>
      <c r="H738" s="260">
        <f>IFERROR(VLOOKUP(BD_DETALLE!$B738,Tabla9[],4,0),0)</f>
        <v>1</v>
      </c>
      <c r="I738" s="261" t="s">
        <v>5</v>
      </c>
      <c r="J738" s="262" t="s">
        <v>2212</v>
      </c>
      <c r="K738" s="10">
        <f>IFERROR(VLOOKUP(BD_DETALLE!B738,Tabla9[],7,0),"")</f>
        <v>44293</v>
      </c>
      <c r="L738" s="11">
        <f>IFERROR(VLOOKUP(BD_DETALLE!B738,Tabla9[],8,0),"")</f>
        <v>52379</v>
      </c>
      <c r="M738" s="9">
        <f>IFERROR(SUMIFS(Tabla9[CANTIDAD2],Tabla9[BUSQUEDA],Tabla3[[#This Row],[BUSQUEDA]],Tabla9[CODIGO],Tabla3[[#This Row],[CODIGO]],Tabla9[ORDEN No.],Tabla3[[#This Row],[ORDEN de COMPRA]]),0)</f>
        <v>1</v>
      </c>
      <c r="N738" s="27">
        <f>IFERROR(IF(BD_DETALLE!B738&gt;0,VLOOKUP(BD_DETALLE!B738,Tabla9[],10,0),""),"")</f>
        <v>44294</v>
      </c>
      <c r="O738" s="28">
        <f>IFERROR(VLOOKUP(BD_DETALLE!B738,Tabla9[],11,0),0)</f>
        <v>11749</v>
      </c>
      <c r="P738" s="26">
        <f>IFERROR(SUMIFS(Tabla9[CANTIDAD3],Tabla9[BUSQUEDA],Tabla3[[#This Row],[BUSQUEDA]],Tabla9[CODIGO],Tabla3[[#This Row],[CODIGO]]),0)</f>
        <v>1</v>
      </c>
      <c r="Q738" s="25">
        <f>IF(BD_DETALLE!P738&lt;=0,0,IF(BD_DETALLE!P738=BD_DETALLE!H738,2,1))</f>
        <v>2</v>
      </c>
      <c r="R738" s="41">
        <f ca="1">IF(BD_DETALLE!$C738&gt;0,(IF(BD_DETALLE!$N738=0,TODAY()-BD_DETALLE!$C738,BD_DETALLE!$N738-BD_DETALLE!$C738)),"")</f>
        <v>2</v>
      </c>
    </row>
    <row r="739" spans="2:18" x14ac:dyDescent="0.25">
      <c r="B739" s="254" t="str">
        <f t="shared" si="69"/>
        <v>2104-39-105118</v>
      </c>
      <c r="C739" s="255">
        <v>44292</v>
      </c>
      <c r="D739" s="256" t="str">
        <f>IF(BD_DETALLE!$E739&gt;=1,CONCATENATE(TEXT(BD_DETALLE!$C739,"YY"),TEXT(BD_DETALLE!$C739,"MM"),"-",BD_DETALLE!$E739),"")</f>
        <v>2104-39</v>
      </c>
      <c r="E739" s="257">
        <v>39</v>
      </c>
      <c r="F739" s="258">
        <v>105118</v>
      </c>
      <c r="G739" s="259" t="str">
        <f>IFERROR(VLOOKUP(BD_DETALLE!$B739,Tabla9[],6,0),"")</f>
        <v>ORING 034</v>
      </c>
      <c r="H739" s="260">
        <f>IFERROR(VLOOKUP(BD_DETALLE!$B739,Tabla9[],4,0),0)</f>
        <v>1</v>
      </c>
      <c r="I739" s="261" t="s">
        <v>5</v>
      </c>
      <c r="J739" s="262" t="s">
        <v>2212</v>
      </c>
      <c r="K739" s="10">
        <f>IFERROR(VLOOKUP(BD_DETALLE!B739,Tabla9[],7,0),"")</f>
        <v>44293</v>
      </c>
      <c r="L739" s="11">
        <f>IFERROR(VLOOKUP(BD_DETALLE!B739,Tabla9[],8,0),"")</f>
        <v>52379</v>
      </c>
      <c r="M739" s="9">
        <f>IFERROR(SUMIFS(Tabla9[CANTIDAD2],Tabla9[BUSQUEDA],Tabla3[[#This Row],[BUSQUEDA]],Tabla9[CODIGO],Tabla3[[#This Row],[CODIGO]],Tabla9[ORDEN No.],Tabla3[[#This Row],[ORDEN de COMPRA]]),0)</f>
        <v>1</v>
      </c>
      <c r="N739" s="27">
        <f>IFERROR(IF(BD_DETALLE!B739&gt;0,VLOOKUP(BD_DETALLE!B739,Tabla9[],10,0),""),"")</f>
        <v>44294</v>
      </c>
      <c r="O739" s="28">
        <f>IFERROR(VLOOKUP(BD_DETALLE!B739,Tabla9[],11,0),0)</f>
        <v>11749</v>
      </c>
      <c r="P739" s="26">
        <f>IFERROR(SUMIFS(Tabla9[CANTIDAD3],Tabla9[BUSQUEDA],Tabla3[[#This Row],[BUSQUEDA]],Tabla9[CODIGO],Tabla3[[#This Row],[CODIGO]]),0)</f>
        <v>1</v>
      </c>
      <c r="Q739" s="25">
        <f>IF(BD_DETALLE!P739&lt;=0,0,IF(BD_DETALLE!P739=BD_DETALLE!H739,2,1))</f>
        <v>2</v>
      </c>
      <c r="R739" s="41">
        <f ca="1">IF(BD_DETALLE!$C739&gt;0,(IF(BD_DETALLE!$N739=0,TODAY()-BD_DETALLE!$C739,BD_DETALLE!$N739-BD_DETALLE!$C739)),"")</f>
        <v>2</v>
      </c>
    </row>
    <row r="740" spans="2:18" x14ac:dyDescent="0.25">
      <c r="B740" s="254" t="str">
        <f t="shared" si="69"/>
        <v>2104-39-320175</v>
      </c>
      <c r="C740" s="255">
        <v>44292</v>
      </c>
      <c r="D740" s="256" t="str">
        <f>IF(BD_DETALLE!$E740&gt;=1,CONCATENATE(TEXT(BD_DETALLE!$C740,"YY"),TEXT(BD_DETALLE!$C740,"MM"),"-",BD_DETALLE!$E740),"")</f>
        <v>2104-39</v>
      </c>
      <c r="E740" s="257">
        <v>39</v>
      </c>
      <c r="F740" s="258">
        <v>320175</v>
      </c>
      <c r="G740" s="259" t="str">
        <f>IFERROR(VLOOKUP(BD_DETALLE!$B740,Tabla9[],6,0),"")</f>
        <v>FILTRO DE AIRE N║ AF872</v>
      </c>
      <c r="H740" s="260">
        <f>IFERROR(VLOOKUP(BD_DETALLE!$B740,Tabla9[],4,0),0)</f>
        <v>1</v>
      </c>
      <c r="I740" s="261" t="s">
        <v>5</v>
      </c>
      <c r="J740" s="262" t="s">
        <v>2212</v>
      </c>
      <c r="K740" s="10">
        <f>IFERROR(VLOOKUP(BD_DETALLE!B740,Tabla9[],7,0),"")</f>
        <v>44293</v>
      </c>
      <c r="L740" s="11">
        <f>IFERROR(VLOOKUP(BD_DETALLE!B740,Tabla9[],8,0),"")</f>
        <v>52379</v>
      </c>
      <c r="M740" s="9">
        <f>IFERROR(SUMIFS(Tabla9[CANTIDAD2],Tabla9[BUSQUEDA],Tabla3[[#This Row],[BUSQUEDA]],Tabla9[CODIGO],Tabla3[[#This Row],[CODIGO]],Tabla9[ORDEN No.],Tabla3[[#This Row],[ORDEN de COMPRA]]),0)</f>
        <v>1</v>
      </c>
      <c r="N740" s="27">
        <f>IFERROR(IF(BD_DETALLE!B740&gt;0,VLOOKUP(BD_DETALLE!B740,Tabla9[],10,0),""),"")</f>
        <v>0</v>
      </c>
      <c r="O740" s="28">
        <f>IFERROR(VLOOKUP(BD_DETALLE!B740,Tabla9[],11,0),0)</f>
        <v>0</v>
      </c>
      <c r="P740" s="26">
        <f>IFERROR(SUMIFS(Tabla9[CANTIDAD3],Tabla9[BUSQUEDA],Tabla3[[#This Row],[BUSQUEDA]],Tabla9[CODIGO],Tabla3[[#This Row],[CODIGO]]),0)</f>
        <v>0</v>
      </c>
      <c r="Q740" s="25">
        <f>IF(BD_DETALLE!P740&lt;=0,0,IF(BD_DETALLE!P740=BD_DETALLE!H740,2,1))</f>
        <v>0</v>
      </c>
      <c r="R740" s="41">
        <f ca="1">IF(BD_DETALLE!$C740&gt;0,(IF(BD_DETALLE!$N740=0,TODAY()-BD_DETALLE!$C740,BD_DETALLE!$N740-BD_DETALLE!$C740)),"")</f>
        <v>13</v>
      </c>
    </row>
    <row r="741" spans="2:18" x14ac:dyDescent="0.25">
      <c r="B741" s="254" t="str">
        <f t="shared" si="69"/>
        <v>2104-39-316537</v>
      </c>
      <c r="C741" s="255">
        <v>44292</v>
      </c>
      <c r="D741" s="256" t="str">
        <f>IF(BD_DETALLE!$E741&gt;=1,CONCATENATE(TEXT(BD_DETALLE!$C741,"YY"),TEXT(BD_DETALLE!$C741,"MM"),"-",BD_DETALLE!$E741),"")</f>
        <v>2104-39</v>
      </c>
      <c r="E741" s="257">
        <v>39</v>
      </c>
      <c r="F741" s="258">
        <v>316537</v>
      </c>
      <c r="G741" s="259" t="str">
        <f>IFERROR(VLOOKUP(BD_DETALLE!$B741,Tabla9[],6,0),"")</f>
        <v>SELLO COLOP</v>
      </c>
      <c r="H741" s="260">
        <f>IFERROR(VLOOKUP(BD_DETALLE!$B741,Tabla9[],4,0),0)</f>
        <v>1</v>
      </c>
      <c r="I741" s="261" t="s">
        <v>5</v>
      </c>
      <c r="J741" s="262" t="s">
        <v>2212</v>
      </c>
      <c r="K741" s="10">
        <f>IFERROR(VLOOKUP(BD_DETALLE!B741,Tabla9[],7,0),"")</f>
        <v>44293</v>
      </c>
      <c r="L741" s="11">
        <f>IFERROR(VLOOKUP(BD_DETALLE!B741,Tabla9[],8,0),"")</f>
        <v>52379</v>
      </c>
      <c r="M741" s="9">
        <f>IFERROR(SUMIFS(Tabla9[CANTIDAD2],Tabla9[BUSQUEDA],Tabla3[[#This Row],[BUSQUEDA]],Tabla9[CODIGO],Tabla3[[#This Row],[CODIGO]],Tabla9[ORDEN No.],Tabla3[[#This Row],[ORDEN de COMPRA]]),0)</f>
        <v>1</v>
      </c>
      <c r="N741" s="27">
        <f>IFERROR(IF(BD_DETALLE!B741&gt;0,VLOOKUP(BD_DETALLE!B741,Tabla9[],10,0),""),"")</f>
        <v>44294</v>
      </c>
      <c r="O741" s="28">
        <f>IFERROR(VLOOKUP(BD_DETALLE!B741,Tabla9[],11,0),0)</f>
        <v>11749</v>
      </c>
      <c r="P741" s="26">
        <f>IFERROR(SUMIFS(Tabla9[CANTIDAD3],Tabla9[BUSQUEDA],Tabla3[[#This Row],[BUSQUEDA]],Tabla9[CODIGO],Tabla3[[#This Row],[CODIGO]]),0)</f>
        <v>1</v>
      </c>
      <c r="Q741" s="25">
        <f>IF(BD_DETALLE!P741&lt;=0,0,IF(BD_DETALLE!P741=BD_DETALLE!H741,2,1))</f>
        <v>2</v>
      </c>
      <c r="R741" s="41">
        <f ca="1">IF(BD_DETALLE!$C741&gt;0,(IF(BD_DETALLE!$N741=0,TODAY()-BD_DETALLE!$C741,BD_DETALLE!$N741-BD_DETALLE!$C741)),"")</f>
        <v>2</v>
      </c>
    </row>
    <row r="742" spans="2:18" x14ac:dyDescent="0.25">
      <c r="B742" s="254" t="str">
        <f t="shared" si="69"/>
        <v>2104-39-307534</v>
      </c>
      <c r="C742" s="255">
        <v>44292</v>
      </c>
      <c r="D742" s="256" t="str">
        <f>IF(BD_DETALLE!$E742&gt;=1,CONCATENATE(TEXT(BD_DETALLE!$C742,"YY"),TEXT(BD_DETALLE!$C742,"MM"),"-",BD_DETALLE!$E742),"")</f>
        <v>2104-39</v>
      </c>
      <c r="E742" s="257">
        <v>39</v>
      </c>
      <c r="F742" s="258">
        <v>307534</v>
      </c>
      <c r="G742" s="259" t="str">
        <f>IFERROR(VLOOKUP(BD_DETALLE!$B742,Tabla9[],6,0),"")</f>
        <v>CLUTCH DETENT COD.22328 (EMBRAGUE)</v>
      </c>
      <c r="H742" s="260">
        <f>IFERROR(VLOOKUP(BD_DETALLE!$B742,Tabla9[],4,0),0)</f>
        <v>8</v>
      </c>
      <c r="I742" s="261" t="s">
        <v>5</v>
      </c>
      <c r="J742" s="262" t="s">
        <v>2212</v>
      </c>
      <c r="K742" s="10">
        <f>IFERROR(VLOOKUP(BD_DETALLE!B742,Tabla9[],7,0),"")</f>
        <v>44293</v>
      </c>
      <c r="L742" s="11">
        <f>IFERROR(VLOOKUP(BD_DETALLE!B742,Tabla9[],8,0),"")</f>
        <v>52379</v>
      </c>
      <c r="M742" s="9">
        <f>IFERROR(SUMIFS(Tabla9[CANTIDAD2],Tabla9[BUSQUEDA],Tabla3[[#This Row],[BUSQUEDA]],Tabla9[CODIGO],Tabla3[[#This Row],[CODIGO]],Tabla9[ORDEN No.],Tabla3[[#This Row],[ORDEN de COMPRA]]),0)</f>
        <v>8</v>
      </c>
      <c r="N742" s="27">
        <f>IFERROR(IF(BD_DETALLE!B742&gt;0,VLOOKUP(BD_DETALLE!B742,Tabla9[],10,0),""),"")</f>
        <v>44294</v>
      </c>
      <c r="O742" s="28">
        <f>IFERROR(VLOOKUP(BD_DETALLE!B742,Tabla9[],11,0),0)</f>
        <v>11749</v>
      </c>
      <c r="P742" s="26">
        <f>IFERROR(SUMIFS(Tabla9[CANTIDAD3],Tabla9[BUSQUEDA],Tabla3[[#This Row],[BUSQUEDA]],Tabla9[CODIGO],Tabla3[[#This Row],[CODIGO]]),0)</f>
        <v>8</v>
      </c>
      <c r="Q742" s="25">
        <f>IF(BD_DETALLE!P742&lt;=0,0,IF(BD_DETALLE!P742=BD_DETALLE!H742,2,1))</f>
        <v>2</v>
      </c>
      <c r="R742" s="41">
        <f ca="1">IF(BD_DETALLE!$C742&gt;0,(IF(BD_DETALLE!$N742=0,TODAY()-BD_DETALLE!$C742,BD_DETALLE!$N742-BD_DETALLE!$C742)),"")</f>
        <v>2</v>
      </c>
    </row>
    <row r="743" spans="2:18" x14ac:dyDescent="0.25">
      <c r="B743" s="254" t="str">
        <f t="shared" ref="B743:B750" si="70">IFERROR(TEXT(C743,"yy") &amp; TEXT(C743,"mm") &amp;"-"&amp;(E743) &amp;"-"&amp;(F743),"")</f>
        <v>2104-46-319688</v>
      </c>
      <c r="C743" s="255">
        <v>44293</v>
      </c>
      <c r="D743" s="256" t="str">
        <f>IF(BD_DETALLE!$E743&gt;=1,CONCATENATE(TEXT(BD_DETALLE!$C743,"YY"),TEXT(BD_DETALLE!$C743,"MM"),"-",BD_DETALLE!$E743),"")</f>
        <v>2104-46</v>
      </c>
      <c r="E743" s="257">
        <v>46</v>
      </c>
      <c r="F743" s="258">
        <v>319688</v>
      </c>
      <c r="G743" s="259" t="str">
        <f>IFERROR(VLOOKUP(BD_DETALLE!$B743,Tabla9[],6,0),"")</f>
        <v>RENDOX AT 20 LIQ.</v>
      </c>
      <c r="H743" s="260">
        <f>IFERROR(VLOOKUP(BD_DETALLE!$B743,Tabla9[],4,0),0)</f>
        <v>2000</v>
      </c>
      <c r="I743" s="261" t="s">
        <v>15</v>
      </c>
      <c r="J743" s="262" t="s">
        <v>385</v>
      </c>
      <c r="K743" s="10">
        <f>IFERROR(VLOOKUP(BD_DETALLE!B743,Tabla9[],7,0),"")</f>
        <v>44294</v>
      </c>
      <c r="L743" s="11">
        <f>IFERROR(VLOOKUP(BD_DETALLE!B743,Tabla9[],8,0),"")</f>
        <v>52397</v>
      </c>
      <c r="M743" s="9">
        <f>IFERROR(SUMIFS(Tabla9[CANTIDAD2],Tabla9[BUSQUEDA],Tabla3[[#This Row],[BUSQUEDA]],Tabla9[CODIGO],Tabla3[[#This Row],[CODIGO]],Tabla9[ORDEN No.],Tabla3[[#This Row],[ORDEN de COMPRA]]),0)</f>
        <v>2000</v>
      </c>
      <c r="N743" s="27">
        <f>IFERROR(IF(BD_DETALLE!B743&gt;0,VLOOKUP(BD_DETALLE!B743,Tabla9[],10,0),""),"")</f>
        <v>44298</v>
      </c>
      <c r="O743" s="28">
        <f>IFERROR(VLOOKUP(BD_DETALLE!B743,Tabla9[],11,0),0)</f>
        <v>11780</v>
      </c>
      <c r="P743" s="26">
        <f>IFERROR(SUMIFS(Tabla9[CANTIDAD3],Tabla9[BUSQUEDA],Tabla3[[#This Row],[BUSQUEDA]],Tabla9[CODIGO],Tabla3[[#This Row],[CODIGO]]),0)</f>
        <v>2000</v>
      </c>
      <c r="Q743" s="25">
        <f>IF(BD_DETALLE!P743&lt;=0,0,IF(BD_DETALLE!P743=BD_DETALLE!H743,2,1))</f>
        <v>2</v>
      </c>
      <c r="R743" s="41">
        <f ca="1">IF(BD_DETALLE!$C743&gt;0,(IF(BD_DETALLE!$N743=0,TODAY()-BD_DETALLE!$C743,BD_DETALLE!$N743-BD_DETALLE!$C743)),"")</f>
        <v>5</v>
      </c>
    </row>
    <row r="744" spans="2:18" x14ac:dyDescent="0.25">
      <c r="B744" s="254" t="str">
        <f t="shared" si="70"/>
        <v>2104-47-315137</v>
      </c>
      <c r="C744" s="255">
        <v>44293</v>
      </c>
      <c r="D744" s="256" t="str">
        <f>IF(BD_DETALLE!$E744&gt;=1,CONCATENATE(TEXT(BD_DETALLE!$C744,"YY"),TEXT(BD_DETALLE!$C744,"MM"),"-",BD_DETALLE!$E744),"")</f>
        <v>2104-47</v>
      </c>
      <c r="E744" s="257">
        <v>47</v>
      </c>
      <c r="F744" s="258">
        <v>315137</v>
      </c>
      <c r="G744" s="259" t="str">
        <f>IFERROR(VLOOKUP(BD_DETALLE!$B744,Tabla9[],6,0),"")</f>
        <v>MASCARILLA MEDIA CARA 6200 - 3M</v>
      </c>
      <c r="H744" s="260">
        <f>IFERROR(VLOOKUP(BD_DETALLE!$B744,Tabla9[],4,0),0)</f>
        <v>8</v>
      </c>
      <c r="I744" s="261" t="s">
        <v>15</v>
      </c>
      <c r="J744" s="262" t="s">
        <v>385</v>
      </c>
      <c r="K744" s="10">
        <f>IFERROR(VLOOKUP(BD_DETALLE!B744,Tabla9[],7,0),"")</f>
        <v>44295</v>
      </c>
      <c r="L744" s="11">
        <f>IFERROR(VLOOKUP(BD_DETALLE!B744,Tabla9[],8,0),"")</f>
        <v>52431</v>
      </c>
      <c r="M744" s="9">
        <f>IFERROR(SUMIFS(Tabla9[CANTIDAD2],Tabla9[BUSQUEDA],Tabla3[[#This Row],[BUSQUEDA]],Tabla9[CODIGO],Tabla3[[#This Row],[CODIGO]],Tabla9[ORDEN No.],Tabla3[[#This Row],[ORDEN de COMPRA]]),0)</f>
        <v>8</v>
      </c>
      <c r="N744" s="27">
        <f>IFERROR(IF(BD_DETALLE!B744&gt;0,VLOOKUP(BD_DETALLE!B744,Tabla9[],10,0),""),"")</f>
        <v>0</v>
      </c>
      <c r="O744" s="28">
        <f>IFERROR(VLOOKUP(BD_DETALLE!B744,Tabla9[],11,0),0)</f>
        <v>0</v>
      </c>
      <c r="P744" s="26">
        <f>IFERROR(SUMIFS(Tabla9[CANTIDAD3],Tabla9[BUSQUEDA],Tabla3[[#This Row],[BUSQUEDA]],Tabla9[CODIGO],Tabla3[[#This Row],[CODIGO]]),0)</f>
        <v>0</v>
      </c>
      <c r="Q744" s="25">
        <f>IF(BD_DETALLE!P744&lt;=0,0,IF(BD_DETALLE!P744=BD_DETALLE!H744,2,1))</f>
        <v>0</v>
      </c>
      <c r="R744" s="41">
        <f ca="1">IF(BD_DETALLE!$C744&gt;0,(IF(BD_DETALLE!$N744=0,TODAY()-BD_DETALLE!$C744,BD_DETALLE!$N744-BD_DETALLE!$C744)),"")</f>
        <v>12</v>
      </c>
    </row>
    <row r="745" spans="2:18" x14ac:dyDescent="0.25">
      <c r="B745" s="254" t="str">
        <f t="shared" si="70"/>
        <v>2104-48-319524</v>
      </c>
      <c r="C745" s="255">
        <v>44294</v>
      </c>
      <c r="D745" s="256" t="str">
        <f>IF(BD_DETALLE!$E745&gt;=1,CONCATENATE(TEXT(BD_DETALLE!$C745,"YY"),TEXT(BD_DETALLE!$C745,"MM"),"-",BD_DETALLE!$E745),"")</f>
        <v>2104-48</v>
      </c>
      <c r="E745" s="257">
        <v>48</v>
      </c>
      <c r="F745" s="258">
        <v>319524</v>
      </c>
      <c r="G745" s="259" t="str">
        <f>IFERROR(VLOOKUP(BD_DETALLE!$B745,Tabla9[],6,0),"")</f>
        <v>CADENA P/MONTACARGA</v>
      </c>
      <c r="H745" s="260">
        <f>IFERROR(VLOOKUP(BD_DETALLE!$B745,Tabla9[],4,0),0)</f>
        <v>1</v>
      </c>
      <c r="I745" s="261" t="s">
        <v>5</v>
      </c>
      <c r="J745" s="262" t="s">
        <v>2213</v>
      </c>
      <c r="K745" s="10">
        <f>IFERROR(VLOOKUP(BD_DETALLE!B745,Tabla9[],7,0),"")</f>
        <v>44294</v>
      </c>
      <c r="L745" s="11">
        <f>IFERROR(VLOOKUP(BD_DETALLE!B745,Tabla9[],8,0),"")</f>
        <v>52402</v>
      </c>
      <c r="M745" s="9">
        <f>IFERROR(SUMIFS(Tabla9[CANTIDAD2],Tabla9[BUSQUEDA],Tabla3[[#This Row],[BUSQUEDA]],Tabla9[CODIGO],Tabla3[[#This Row],[CODIGO]],Tabla9[ORDEN No.],Tabla3[[#This Row],[ORDEN de COMPRA]]),0)</f>
        <v>1</v>
      </c>
      <c r="N745" s="27">
        <f>IFERROR(IF(BD_DETALLE!B745&gt;0,VLOOKUP(BD_DETALLE!B745,Tabla9[],10,0),""),"")</f>
        <v>44298</v>
      </c>
      <c r="O745" s="28">
        <f>IFERROR(VLOOKUP(BD_DETALLE!B745,Tabla9[],11,0),0)</f>
        <v>11784</v>
      </c>
      <c r="P745" s="26">
        <f>IFERROR(SUMIFS(Tabla9[CANTIDAD3],Tabla9[BUSQUEDA],Tabla3[[#This Row],[BUSQUEDA]],Tabla9[CODIGO],Tabla3[[#This Row],[CODIGO]]),0)</f>
        <v>1</v>
      </c>
      <c r="Q745" s="25">
        <f>IF(BD_DETALLE!P745&lt;=0,0,IF(BD_DETALLE!P745=BD_DETALLE!H745,2,1))</f>
        <v>2</v>
      </c>
      <c r="R745" s="41">
        <f ca="1">IF(BD_DETALLE!$C745&gt;0,(IF(BD_DETALLE!$N745=0,TODAY()-BD_DETALLE!$C745,BD_DETALLE!$N745-BD_DETALLE!$C745)),"")</f>
        <v>4</v>
      </c>
    </row>
    <row r="746" spans="2:18" x14ac:dyDescent="0.25">
      <c r="B746" s="254" t="str">
        <f t="shared" si="70"/>
        <v>2104-48-320698</v>
      </c>
      <c r="C746" s="255">
        <v>44294</v>
      </c>
      <c r="D746" s="256" t="str">
        <f>IF(BD_DETALLE!$E746&gt;=1,CONCATENATE(TEXT(BD_DETALLE!$C746,"YY"),TEXT(BD_DETALLE!$C746,"MM"),"-",BD_DETALLE!$E746),"")</f>
        <v>2104-48</v>
      </c>
      <c r="E746" s="257">
        <v>48</v>
      </c>
      <c r="F746" s="258">
        <v>320698</v>
      </c>
      <c r="G746" s="259" t="str">
        <f>IFERROR(VLOOKUP(BD_DETALLE!$B746,Tabla9[],6,0),"")</f>
        <v>RUEDA K25 P/MONTACARGA</v>
      </c>
      <c r="H746" s="260">
        <f>IFERROR(VLOOKUP(BD_DETALLE!$B746,Tabla9[],4,0),0)</f>
        <v>1</v>
      </c>
      <c r="I746" s="261" t="s">
        <v>5</v>
      </c>
      <c r="J746" s="262" t="s">
        <v>2213</v>
      </c>
      <c r="K746" s="10">
        <f>IFERROR(VLOOKUP(BD_DETALLE!B746,Tabla9[],7,0),"")</f>
        <v>44294</v>
      </c>
      <c r="L746" s="11">
        <f>IFERROR(VLOOKUP(BD_DETALLE!B746,Tabla9[],8,0),"")</f>
        <v>52398</v>
      </c>
      <c r="M746" s="9">
        <f>IFERROR(SUMIFS(Tabla9[CANTIDAD2],Tabla9[BUSQUEDA],Tabla3[[#This Row],[BUSQUEDA]],Tabla9[CODIGO],Tabla3[[#This Row],[CODIGO]],Tabla9[ORDEN No.],Tabla3[[#This Row],[ORDEN de COMPRA]]),0)</f>
        <v>2</v>
      </c>
      <c r="N746" s="27">
        <f>IFERROR(IF(BD_DETALLE!B746&gt;0,VLOOKUP(BD_DETALLE!B746,Tabla9[],10,0),""),"")</f>
        <v>0</v>
      </c>
      <c r="O746" s="28">
        <f>IFERROR(VLOOKUP(BD_DETALLE!B746,Tabla9[],11,0),0)</f>
        <v>0</v>
      </c>
      <c r="P746" s="26">
        <f>IFERROR(SUMIFS(Tabla9[CANTIDAD3],Tabla9[BUSQUEDA],Tabla3[[#This Row],[BUSQUEDA]],Tabla9[CODIGO],Tabla3[[#This Row],[CODIGO]]),0)</f>
        <v>0</v>
      </c>
      <c r="Q746" s="25">
        <f>IF(BD_DETALLE!P746&lt;=0,0,IF(BD_DETALLE!P746=BD_DETALLE!H746,2,1))</f>
        <v>0</v>
      </c>
      <c r="R746" s="41">
        <f ca="1">IF(BD_DETALLE!$C746&gt;0,(IF(BD_DETALLE!$N746=0,TODAY()-BD_DETALLE!$C746,BD_DETALLE!$N746-BD_DETALLE!$C746)),"")</f>
        <v>11</v>
      </c>
    </row>
    <row r="747" spans="2:18" x14ac:dyDescent="0.25">
      <c r="B747" s="254" t="str">
        <f t="shared" si="70"/>
        <v>2104-48-320698</v>
      </c>
      <c r="C747" s="255">
        <v>44294</v>
      </c>
      <c r="D747" s="256" t="str">
        <f>IF(BD_DETALLE!$E747&gt;=1,CONCATENATE(TEXT(BD_DETALLE!$C747,"YY"),TEXT(BD_DETALLE!$C747,"MM"),"-",BD_DETALLE!$E747),"")</f>
        <v>2104-48</v>
      </c>
      <c r="E747" s="257">
        <v>48</v>
      </c>
      <c r="F747" s="258">
        <v>320698</v>
      </c>
      <c r="G747" s="259" t="str">
        <f>IFERROR(VLOOKUP(BD_DETALLE!$B747,Tabla9[],6,0),"")</f>
        <v>RUEDA K25 P/MONTACARGA</v>
      </c>
      <c r="H747" s="260">
        <f>IFERROR(VLOOKUP(BD_DETALLE!$B747,Tabla9[],4,0),0)</f>
        <v>1</v>
      </c>
      <c r="I747" s="261" t="s">
        <v>5</v>
      </c>
      <c r="J747" s="262" t="s">
        <v>2213</v>
      </c>
      <c r="K747" s="10">
        <f>IFERROR(VLOOKUP(BD_DETALLE!B747,Tabla9[],7,0),"")</f>
        <v>44294</v>
      </c>
      <c r="L747" s="11">
        <f>IFERROR(VLOOKUP(BD_DETALLE!B747,Tabla9[],8,0),"")</f>
        <v>52398</v>
      </c>
      <c r="M747" s="9">
        <f>IFERROR(SUMIFS(Tabla9[CANTIDAD2],Tabla9[BUSQUEDA],Tabla3[[#This Row],[BUSQUEDA]],Tabla9[CODIGO],Tabla3[[#This Row],[CODIGO]],Tabla9[ORDEN No.],Tabla3[[#This Row],[ORDEN de COMPRA]]),0)</f>
        <v>2</v>
      </c>
      <c r="N747" s="27">
        <f>IFERROR(IF(BD_DETALLE!B747&gt;0,VLOOKUP(BD_DETALLE!B747,Tabla9[],10,0),""),"")</f>
        <v>0</v>
      </c>
      <c r="O747" s="28">
        <f>IFERROR(VLOOKUP(BD_DETALLE!B747,Tabla9[],11,0),0)</f>
        <v>0</v>
      </c>
      <c r="P747" s="26">
        <f>IFERROR(SUMIFS(Tabla9[CANTIDAD3],Tabla9[BUSQUEDA],Tabla3[[#This Row],[BUSQUEDA]],Tabla9[CODIGO],Tabla3[[#This Row],[CODIGO]]),0)</f>
        <v>0</v>
      </c>
      <c r="Q747" s="25">
        <f>IF(BD_DETALLE!P747&lt;=0,0,IF(BD_DETALLE!P747=BD_DETALLE!H747,2,1))</f>
        <v>0</v>
      </c>
      <c r="R747" s="41">
        <f ca="1">IF(BD_DETALLE!$C747&gt;0,(IF(BD_DETALLE!$N747=0,TODAY()-BD_DETALLE!$C747,BD_DETALLE!$N747-BD_DETALLE!$C747)),"")</f>
        <v>11</v>
      </c>
    </row>
    <row r="748" spans="2:18" x14ac:dyDescent="0.25">
      <c r="B748" s="254" t="str">
        <f t="shared" si="70"/>
        <v>2104-50-202477</v>
      </c>
      <c r="C748" s="255">
        <v>44294</v>
      </c>
      <c r="D748" s="256" t="str">
        <f>IF(BD_DETALLE!$E748&gt;=1,CONCATENATE(TEXT(BD_DETALLE!$C748,"YY"),TEXT(BD_DETALLE!$C748,"MM"),"-",BD_DETALLE!$E748),"")</f>
        <v>2104-50</v>
      </c>
      <c r="E748" s="257">
        <v>50</v>
      </c>
      <c r="F748" s="258">
        <v>202477</v>
      </c>
      <c r="G748" s="259" t="str">
        <f>IFERROR(VLOOKUP(BD_DETALLE!$B748,Tabla9[],6,0),"")</f>
        <v>CADENA PASO 120</v>
      </c>
      <c r="H748" s="260">
        <f>IFERROR(VLOOKUP(BD_DETALLE!$B748,Tabla9[],4,0),0)</f>
        <v>4</v>
      </c>
      <c r="I748" s="261" t="s">
        <v>15</v>
      </c>
      <c r="J748" s="262" t="s">
        <v>385</v>
      </c>
      <c r="K748" s="10">
        <f>IFERROR(VLOOKUP(BD_DETALLE!B748,Tabla9[],7,0),"")</f>
        <v>0</v>
      </c>
      <c r="L748" s="11">
        <f>IFERROR(VLOOKUP(BD_DETALLE!B748,Tabla9[],8,0),"")</f>
        <v>0</v>
      </c>
      <c r="M748" s="9">
        <f>IFERROR(SUMIFS(Tabla9[CANTIDAD2],Tabla9[BUSQUEDA],Tabla3[[#This Row],[BUSQUEDA]],Tabla9[CODIGO],Tabla3[[#This Row],[CODIGO]],Tabla9[ORDEN No.],Tabla3[[#This Row],[ORDEN de COMPRA]]),0)</f>
        <v>0</v>
      </c>
      <c r="N748" s="27">
        <f>IFERROR(IF(BD_DETALLE!B748&gt;0,VLOOKUP(BD_DETALLE!B748,Tabla9[],10,0),""),"")</f>
        <v>0</v>
      </c>
      <c r="O748" s="28">
        <f>IFERROR(VLOOKUP(BD_DETALLE!B748,Tabla9[],11,0),0)</f>
        <v>0</v>
      </c>
      <c r="P748" s="26">
        <f>IFERROR(SUMIFS(Tabla9[CANTIDAD3],Tabla9[BUSQUEDA],Tabla3[[#This Row],[BUSQUEDA]],Tabla9[CODIGO],Tabla3[[#This Row],[CODIGO]]),0)</f>
        <v>0</v>
      </c>
      <c r="Q748" s="25">
        <f>IF(BD_DETALLE!P748&lt;=0,0,IF(BD_DETALLE!P748=BD_DETALLE!H748,2,1))</f>
        <v>0</v>
      </c>
      <c r="R748" s="41">
        <f ca="1">IF(BD_DETALLE!$C748&gt;0,(IF(BD_DETALLE!$N748=0,TODAY()-BD_DETALLE!$C748,BD_DETALLE!$N748-BD_DETALLE!$C748)),"")</f>
        <v>11</v>
      </c>
    </row>
    <row r="749" spans="2:18" x14ac:dyDescent="0.25">
      <c r="B749" s="254" t="str">
        <f t="shared" si="70"/>
        <v>2104-50-202478</v>
      </c>
      <c r="C749" s="255">
        <v>44294</v>
      </c>
      <c r="D749" s="256" t="str">
        <f>IF(BD_DETALLE!$E749&gt;=1,CONCATENATE(TEXT(BD_DETALLE!$C749,"YY"),TEXT(BD_DETALLE!$C749,"MM"),"-",BD_DETALLE!$E749),"")</f>
        <v>2104-50</v>
      </c>
      <c r="E749" s="257">
        <v>50</v>
      </c>
      <c r="F749" s="258">
        <v>202478</v>
      </c>
      <c r="G749" s="259" t="str">
        <f>IFERROR(VLOOKUP(BD_DETALLE!$B749,Tabla9[],6,0),"")</f>
        <v>CANDADO MEDIO PASO 120</v>
      </c>
      <c r="H749" s="260">
        <f>IFERROR(VLOOKUP(BD_DETALLE!$B749,Tabla9[],4,0),0)</f>
        <v>20</v>
      </c>
      <c r="I749" s="261" t="s">
        <v>15</v>
      </c>
      <c r="J749" s="262" t="s">
        <v>385</v>
      </c>
      <c r="K749" s="10">
        <f>IFERROR(VLOOKUP(BD_DETALLE!B749,Tabla9[],7,0),"")</f>
        <v>0</v>
      </c>
      <c r="L749" s="11">
        <f>IFERROR(VLOOKUP(BD_DETALLE!B749,Tabla9[],8,0),"")</f>
        <v>0</v>
      </c>
      <c r="M749" s="9">
        <f>IFERROR(SUMIFS(Tabla9[CANTIDAD2],Tabla9[BUSQUEDA],Tabla3[[#This Row],[BUSQUEDA]],Tabla9[CODIGO],Tabla3[[#This Row],[CODIGO]],Tabla9[ORDEN No.],Tabla3[[#This Row],[ORDEN de COMPRA]]),0)</f>
        <v>0</v>
      </c>
      <c r="N749" s="27">
        <f>IFERROR(IF(BD_DETALLE!B749&gt;0,VLOOKUP(BD_DETALLE!B749,Tabla9[],10,0),""),"")</f>
        <v>0</v>
      </c>
      <c r="O749" s="28">
        <f>IFERROR(VLOOKUP(BD_DETALLE!B749,Tabla9[],11,0),0)</f>
        <v>0</v>
      </c>
      <c r="P749" s="26">
        <f>IFERROR(SUMIFS(Tabla9[CANTIDAD3],Tabla9[BUSQUEDA],Tabla3[[#This Row],[BUSQUEDA]],Tabla9[CODIGO],Tabla3[[#This Row],[CODIGO]]),0)</f>
        <v>0</v>
      </c>
      <c r="Q749" s="25">
        <f>IF(BD_DETALLE!P749&lt;=0,0,IF(BD_DETALLE!P749=BD_DETALLE!H749,2,1))</f>
        <v>0</v>
      </c>
      <c r="R749" s="41">
        <f ca="1">IF(BD_DETALLE!$C749&gt;0,(IF(BD_DETALLE!$N749=0,TODAY()-BD_DETALLE!$C749,BD_DETALLE!$N749-BD_DETALLE!$C749)),"")</f>
        <v>11</v>
      </c>
    </row>
    <row r="750" spans="2:18" x14ac:dyDescent="0.25">
      <c r="B750" s="254" t="str">
        <f t="shared" si="70"/>
        <v>2104-50-206168</v>
      </c>
      <c r="C750" s="255">
        <v>44294</v>
      </c>
      <c r="D750" s="256" t="str">
        <f>IF(BD_DETALLE!$E750&gt;=1,CONCATENATE(TEXT(BD_DETALLE!$C750,"YY"),TEXT(BD_DETALLE!$C750,"MM"),"-",BD_DETALLE!$E750),"")</f>
        <v>2104-50</v>
      </c>
      <c r="E750" s="257">
        <v>50</v>
      </c>
      <c r="F750" s="258">
        <v>206168</v>
      </c>
      <c r="G750" s="259" t="str">
        <f>IFERROR(VLOOKUP(BD_DETALLE!$B750,Tabla9[],6,0),"")</f>
        <v>CANDADO SIMPLE PASO 120</v>
      </c>
      <c r="H750" s="260">
        <f>IFERROR(VLOOKUP(BD_DETALLE!$B750,Tabla9[],4,0),0)</f>
        <v>20</v>
      </c>
      <c r="I750" s="261" t="s">
        <v>15</v>
      </c>
      <c r="J750" s="262" t="s">
        <v>385</v>
      </c>
      <c r="K750" s="10">
        <f>IFERROR(VLOOKUP(BD_DETALLE!B750,Tabla9[],7,0),"")</f>
        <v>0</v>
      </c>
      <c r="L750" s="11">
        <f>IFERROR(VLOOKUP(BD_DETALLE!B750,Tabla9[],8,0),"")</f>
        <v>0</v>
      </c>
      <c r="M750" s="9">
        <f>IFERROR(SUMIFS(Tabla9[CANTIDAD2],Tabla9[BUSQUEDA],Tabla3[[#This Row],[BUSQUEDA]],Tabla9[CODIGO],Tabla3[[#This Row],[CODIGO]],Tabla9[ORDEN No.],Tabla3[[#This Row],[ORDEN de COMPRA]]),0)</f>
        <v>0</v>
      </c>
      <c r="N750" s="27">
        <f>IFERROR(IF(BD_DETALLE!B750&gt;0,VLOOKUP(BD_DETALLE!B750,Tabla9[],10,0),""),"")</f>
        <v>0</v>
      </c>
      <c r="O750" s="28">
        <f>IFERROR(VLOOKUP(BD_DETALLE!B750,Tabla9[],11,0),0)</f>
        <v>0</v>
      </c>
      <c r="P750" s="26">
        <f>IFERROR(SUMIFS(Tabla9[CANTIDAD3],Tabla9[BUSQUEDA],Tabla3[[#This Row],[BUSQUEDA]],Tabla9[CODIGO],Tabla3[[#This Row],[CODIGO]]),0)</f>
        <v>0</v>
      </c>
      <c r="Q750" s="25">
        <f>IF(BD_DETALLE!P750&lt;=0,0,IF(BD_DETALLE!P750=BD_DETALLE!H750,2,1))</f>
        <v>0</v>
      </c>
      <c r="R750" s="41">
        <f ca="1">IF(BD_DETALLE!$C750&gt;0,(IF(BD_DETALLE!$N750=0,TODAY()-BD_DETALLE!$C750,BD_DETALLE!$N750-BD_DETALLE!$C750)),"")</f>
        <v>11</v>
      </c>
    </row>
    <row r="751" spans="2:18" x14ac:dyDescent="0.25">
      <c r="B751" s="254" t="str">
        <f t="shared" ref="B751:B752" si="71">IFERROR(TEXT(C751,"yy") &amp; TEXT(C751,"mm") &amp;"-"&amp;(E751) &amp;"-"&amp;(F751),"")</f>
        <v>2104-55-202512</v>
      </c>
      <c r="C751" s="255">
        <v>44294</v>
      </c>
      <c r="D751" s="256" t="str">
        <f>IF(BD_DETALLE!$E751&gt;=1,CONCATENATE(TEXT(BD_DETALLE!$C751,"YY"),TEXT(BD_DETALLE!$C751,"MM"),"-",BD_DETALLE!$E751),"")</f>
        <v>2104-55</v>
      </c>
      <c r="E751" s="257">
        <v>55</v>
      </c>
      <c r="F751" s="258">
        <v>202512</v>
      </c>
      <c r="G751" s="259" t="str">
        <f>IFERROR(VLOOKUP(BD_DETALLE!$B751,Tabla9[],6,0),"")</f>
        <v>CHUMACERA DE PARED DE 3" UCF315-300D1</v>
      </c>
      <c r="H751" s="260">
        <f>IFERROR(VLOOKUP(BD_DETALLE!$B751,Tabla9[],4,0),0)</f>
        <v>2</v>
      </c>
      <c r="I751" s="261" t="s">
        <v>15</v>
      </c>
      <c r="J751" s="262" t="s">
        <v>385</v>
      </c>
      <c r="K751" s="10">
        <f>IFERROR(VLOOKUP(BD_DETALLE!B751,Tabla9[],7,0),"")</f>
        <v>0</v>
      </c>
      <c r="L751" s="11">
        <f>IFERROR(VLOOKUP(BD_DETALLE!B751,Tabla9[],8,0),"")</f>
        <v>0</v>
      </c>
      <c r="M751" s="9">
        <f>IFERROR(SUMIFS(Tabla9[CANTIDAD2],Tabla9[BUSQUEDA],Tabla3[[#This Row],[BUSQUEDA]],Tabla9[CODIGO],Tabla3[[#This Row],[CODIGO]],Tabla9[ORDEN No.],Tabla3[[#This Row],[ORDEN de COMPRA]]),0)</f>
        <v>0</v>
      </c>
      <c r="N751" s="27">
        <f>IFERROR(IF(BD_DETALLE!B751&gt;0,VLOOKUP(BD_DETALLE!B751,Tabla9[],10,0),""),"")</f>
        <v>0</v>
      </c>
      <c r="O751" s="28">
        <f>IFERROR(VLOOKUP(BD_DETALLE!B751,Tabla9[],11,0),0)</f>
        <v>0</v>
      </c>
      <c r="P751" s="26">
        <f>IFERROR(SUMIFS(Tabla9[CANTIDAD3],Tabla9[BUSQUEDA],Tabla3[[#This Row],[BUSQUEDA]],Tabla9[CODIGO],Tabla3[[#This Row],[CODIGO]]),0)</f>
        <v>0</v>
      </c>
      <c r="Q751" s="25">
        <f>IF(BD_DETALLE!P751&lt;=0,0,IF(BD_DETALLE!P751=BD_DETALLE!H751,2,1))</f>
        <v>0</v>
      </c>
      <c r="R751" s="41">
        <f ca="1">IF(BD_DETALLE!$C751&gt;0,(IF(BD_DETALLE!$N751=0,TODAY()-BD_DETALLE!$C751,BD_DETALLE!$N751-BD_DETALLE!$C751)),"")</f>
        <v>11</v>
      </c>
    </row>
    <row r="752" spans="2:18" x14ac:dyDescent="0.25">
      <c r="B752" s="254" t="str">
        <f t="shared" si="71"/>
        <v>2104-55-319327</v>
      </c>
      <c r="C752" s="255">
        <v>44294</v>
      </c>
      <c r="D752" s="256" t="str">
        <f>IF(BD_DETALLE!$E752&gt;=1,CONCATENATE(TEXT(BD_DETALLE!$C752,"YY"),TEXT(BD_DETALLE!$C752,"MM"),"-",BD_DETALLE!$E752),"")</f>
        <v>2104-55</v>
      </c>
      <c r="E752" s="257">
        <v>55</v>
      </c>
      <c r="F752" s="258">
        <v>319327</v>
      </c>
      <c r="G752" s="259" t="str">
        <f>IFERROR(VLOOKUP(BD_DETALLE!$B752,Tabla9[],6,0),"")</f>
        <v>CHUMACERA DE PARED DE 3" UCF215-300D1</v>
      </c>
      <c r="H752" s="260">
        <f>IFERROR(VLOOKUP(BD_DETALLE!$B752,Tabla9[],4,0),0)</f>
        <v>8</v>
      </c>
      <c r="I752" s="261" t="s">
        <v>15</v>
      </c>
      <c r="J752" s="262" t="s">
        <v>385</v>
      </c>
      <c r="K752" s="10">
        <f>IFERROR(VLOOKUP(BD_DETALLE!B752,Tabla9[],7,0),"")</f>
        <v>0</v>
      </c>
      <c r="L752" s="11">
        <f>IFERROR(VLOOKUP(BD_DETALLE!B752,Tabla9[],8,0),"")</f>
        <v>0</v>
      </c>
      <c r="M752" s="9">
        <f>IFERROR(SUMIFS(Tabla9[CANTIDAD2],Tabla9[BUSQUEDA],Tabla3[[#This Row],[BUSQUEDA]],Tabla9[CODIGO],Tabla3[[#This Row],[CODIGO]],Tabla9[ORDEN No.],Tabla3[[#This Row],[ORDEN de COMPRA]]),0)</f>
        <v>0</v>
      </c>
      <c r="N752" s="27">
        <f>IFERROR(IF(BD_DETALLE!B752&gt;0,VLOOKUP(BD_DETALLE!B752,Tabla9[],10,0),""),"")</f>
        <v>0</v>
      </c>
      <c r="O752" s="28">
        <f>IFERROR(VLOOKUP(BD_DETALLE!B752,Tabla9[],11,0),0)</f>
        <v>0</v>
      </c>
      <c r="P752" s="26">
        <f>IFERROR(SUMIFS(Tabla9[CANTIDAD3],Tabla9[BUSQUEDA],Tabla3[[#This Row],[BUSQUEDA]],Tabla9[CODIGO],Tabla3[[#This Row],[CODIGO]]),0)</f>
        <v>0</v>
      </c>
      <c r="Q752" s="25">
        <f>IF(BD_DETALLE!P752&lt;=0,0,IF(BD_DETALLE!P752=BD_DETALLE!H752,2,1))</f>
        <v>0</v>
      </c>
      <c r="R752" s="41">
        <f ca="1">IF(BD_DETALLE!$C752&gt;0,(IF(BD_DETALLE!$N752=0,TODAY()-BD_DETALLE!$C752,BD_DETALLE!$N752-BD_DETALLE!$C752)),"")</f>
        <v>11</v>
      </c>
    </row>
    <row r="753" spans="2:18" x14ac:dyDescent="0.25">
      <c r="B753" s="15" t="str">
        <f t="shared" ref="B753:B765" si="72">IFERROR(TEXT(C753,"yy") &amp; TEXT(C753,"mm") &amp;"-"&amp;(E753) &amp;"-"&amp;(F753),"")</f>
        <v>2104-66-312811</v>
      </c>
      <c r="C753" s="7">
        <v>44294</v>
      </c>
      <c r="D753" s="5" t="str">
        <f>IF(BD_DETALLE!$E753&gt;=1,CONCATENATE(TEXT(BD_DETALLE!$C753,"YY"),TEXT(BD_DETALLE!$C753,"MM"),"-",BD_DETALLE!$E753),"")</f>
        <v>2104-66</v>
      </c>
      <c r="E753" s="12">
        <v>66</v>
      </c>
      <c r="F753" s="21">
        <v>312811</v>
      </c>
      <c r="G753" s="4" t="str">
        <f>IFERROR(VLOOKUP(BD_DETALLE!$B753,Tabla9[],6,0),"")</f>
        <v>SELLADORA PEDESTAL 80CM (ME-805FDT)</v>
      </c>
      <c r="H753" s="6">
        <f>IFERROR(VLOOKUP(BD_DETALLE!$B753,Tabla9[],4,0),0)</f>
        <v>2</v>
      </c>
      <c r="I753" s="19" t="s">
        <v>16</v>
      </c>
      <c r="J753" s="20" t="s">
        <v>2223</v>
      </c>
      <c r="K753" s="10">
        <f>IFERROR(VLOOKUP(BD_DETALLE!B753,Tabla9[],7,0),"")</f>
        <v>0</v>
      </c>
      <c r="L753" s="11">
        <f>IFERROR(VLOOKUP(BD_DETALLE!B753,Tabla9[],8,0),"")</f>
        <v>0</v>
      </c>
      <c r="M753" s="9">
        <f>IFERROR(SUMIFS(Tabla9[CANTIDAD2],Tabla9[BUSQUEDA],Tabla3[[#This Row],[BUSQUEDA]],Tabla9[CODIGO],Tabla3[[#This Row],[CODIGO]],Tabla9[ORDEN No.],Tabla3[[#This Row],[ORDEN de COMPRA]]),0)</f>
        <v>0</v>
      </c>
      <c r="N753" s="27">
        <f>IFERROR(IF(BD_DETALLE!B753&gt;0,VLOOKUP(BD_DETALLE!B753,Tabla9[],10,0),""),"")</f>
        <v>0</v>
      </c>
      <c r="O753" s="28">
        <f>IFERROR(VLOOKUP(BD_DETALLE!B753,Tabla9[],11,0),0)</f>
        <v>0</v>
      </c>
      <c r="P753" s="26">
        <f>IFERROR(SUMIFS(Tabla9[CANTIDAD3],Tabla9[BUSQUEDA],Tabla3[[#This Row],[BUSQUEDA]],Tabla9[CODIGO],Tabla3[[#This Row],[CODIGO]]),0)</f>
        <v>0</v>
      </c>
      <c r="Q753" s="25">
        <f>IF(BD_DETALLE!P753&lt;=0,0,IF(BD_DETALLE!P753=BD_DETALLE!H753,2,1))</f>
        <v>0</v>
      </c>
      <c r="R753" s="41">
        <f ca="1">IF(BD_DETALLE!$C753&gt;0,(IF(BD_DETALLE!$N753=0,TODAY()-BD_DETALLE!$C753,BD_DETALLE!$N753-BD_DETALLE!$C753)),"")</f>
        <v>11</v>
      </c>
    </row>
    <row r="754" spans="2:18" x14ac:dyDescent="0.25">
      <c r="B754" s="15" t="str">
        <f t="shared" si="72"/>
        <v>2104-66-305120</v>
      </c>
      <c r="C754" s="7">
        <v>44294</v>
      </c>
      <c r="D754" s="5" t="str">
        <f>IF(BD_DETALLE!$E754&gt;=1,CONCATENATE(TEXT(BD_DETALLE!$C754,"YY"),TEXT(BD_DETALLE!$C754,"MM"),"-",BD_DETALLE!$E754),"")</f>
        <v>2104-66</v>
      </c>
      <c r="E754" s="12">
        <v>66</v>
      </c>
      <c r="F754" s="21">
        <v>305120</v>
      </c>
      <c r="G754" s="4" t="str">
        <f>IFERROR(VLOOKUP(BD_DETALLE!$B754,Tabla9[],6,0),"")</f>
        <v>TERMOHIGROMETRO C/SONDA EXTERNA ELC (TH-0510)</v>
      </c>
      <c r="H754" s="6">
        <f>IFERROR(VLOOKUP(BD_DETALLE!$B754,Tabla9[],4,0),0)</f>
        <v>2</v>
      </c>
      <c r="I754" s="19" t="s">
        <v>16</v>
      </c>
      <c r="J754" s="20" t="s">
        <v>2223</v>
      </c>
      <c r="K754" s="10">
        <f>IFERROR(VLOOKUP(BD_DETALLE!B754,Tabla9[],7,0),"")</f>
        <v>0</v>
      </c>
      <c r="L754" s="11">
        <f>IFERROR(VLOOKUP(BD_DETALLE!B754,Tabla9[],8,0),"")</f>
        <v>0</v>
      </c>
      <c r="M754" s="9">
        <f>IFERROR(SUMIFS(Tabla9[CANTIDAD2],Tabla9[BUSQUEDA],Tabla3[[#This Row],[BUSQUEDA]],Tabla9[CODIGO],Tabla3[[#This Row],[CODIGO]],Tabla9[ORDEN No.],Tabla3[[#This Row],[ORDEN de COMPRA]]),0)</f>
        <v>0</v>
      </c>
      <c r="N754" s="27">
        <f>IFERROR(IF(BD_DETALLE!B754&gt;0,VLOOKUP(BD_DETALLE!B754,Tabla9[],10,0),""),"")</f>
        <v>0</v>
      </c>
      <c r="O754" s="28">
        <f>IFERROR(VLOOKUP(BD_DETALLE!B754,Tabla9[],11,0),0)</f>
        <v>0</v>
      </c>
      <c r="P754" s="26">
        <f>IFERROR(SUMIFS(Tabla9[CANTIDAD3],Tabla9[BUSQUEDA],Tabla3[[#This Row],[BUSQUEDA]],Tabla9[CODIGO],Tabla3[[#This Row],[CODIGO]]),0)</f>
        <v>0</v>
      </c>
      <c r="Q754" s="25">
        <f>IF(BD_DETALLE!P754&lt;=0,0,IF(BD_DETALLE!P754=BD_DETALLE!H754,2,1))</f>
        <v>0</v>
      </c>
      <c r="R754" s="41">
        <f ca="1">IF(BD_DETALLE!$C754&gt;0,(IF(BD_DETALLE!$N754=0,TODAY()-BD_DETALLE!$C754,BD_DETALLE!$N754-BD_DETALLE!$C754)),"")</f>
        <v>11</v>
      </c>
    </row>
    <row r="755" spans="2:18" x14ac:dyDescent="0.25">
      <c r="B755" s="15" t="str">
        <f t="shared" si="72"/>
        <v>2104-66-318777</v>
      </c>
      <c r="C755" s="7">
        <v>44294</v>
      </c>
      <c r="D755" s="5" t="str">
        <f>IF(BD_DETALLE!$E755&gt;=1,CONCATENATE(TEXT(BD_DETALLE!$C755,"YY"),TEXT(BD_DETALLE!$C755,"MM"),"-",BD_DETALLE!$E755),"")</f>
        <v>2104-66</v>
      </c>
      <c r="E755" s="12">
        <v>66</v>
      </c>
      <c r="F755" s="21">
        <v>318777</v>
      </c>
      <c r="G755" s="4" t="str">
        <f>IFERROR(VLOOKUP(BD_DETALLE!$B755,Tabla9[],6,0),"")</f>
        <v>CHILLER DE RECIRCULACION FL300</v>
      </c>
      <c r="H755" s="6">
        <f>IFERROR(VLOOKUP(BD_DETALLE!$B755,Tabla9[],4,0),0)</f>
        <v>1</v>
      </c>
      <c r="I755" s="19" t="s">
        <v>16</v>
      </c>
      <c r="J755" s="20" t="s">
        <v>2223</v>
      </c>
      <c r="K755" s="10">
        <f>IFERROR(VLOOKUP(BD_DETALLE!B755,Tabla9[],7,0),"")</f>
        <v>0</v>
      </c>
      <c r="L755" s="11">
        <f>IFERROR(VLOOKUP(BD_DETALLE!B755,Tabla9[],8,0),"")</f>
        <v>0</v>
      </c>
      <c r="M755" s="9">
        <f>IFERROR(SUMIFS(Tabla9[CANTIDAD2],Tabla9[BUSQUEDA],Tabla3[[#This Row],[BUSQUEDA]],Tabla9[CODIGO],Tabla3[[#This Row],[CODIGO]],Tabla9[ORDEN No.],Tabla3[[#This Row],[ORDEN de COMPRA]]),0)</f>
        <v>0</v>
      </c>
      <c r="N755" s="27">
        <f>IFERROR(IF(BD_DETALLE!B755&gt;0,VLOOKUP(BD_DETALLE!B755,Tabla9[],10,0),""),"")</f>
        <v>0</v>
      </c>
      <c r="O755" s="28">
        <f>IFERROR(VLOOKUP(BD_DETALLE!B755,Tabla9[],11,0),0)</f>
        <v>0</v>
      </c>
      <c r="P755" s="26">
        <f>IFERROR(SUMIFS(Tabla9[CANTIDAD3],Tabla9[BUSQUEDA],Tabla3[[#This Row],[BUSQUEDA]],Tabla9[CODIGO],Tabla3[[#This Row],[CODIGO]]),0)</f>
        <v>0</v>
      </c>
      <c r="Q755" s="25">
        <f>IF(BD_DETALLE!P755&lt;=0,0,IF(BD_DETALLE!P755=BD_DETALLE!H755,2,1))</f>
        <v>0</v>
      </c>
      <c r="R755" s="41">
        <f ca="1">IF(BD_DETALLE!$C755&gt;0,(IF(BD_DETALLE!$N755=0,TODAY()-BD_DETALLE!$C755,BD_DETALLE!$N755-BD_DETALLE!$C755)),"")</f>
        <v>11</v>
      </c>
    </row>
    <row r="756" spans="2:18" x14ac:dyDescent="0.25">
      <c r="B756" s="15" t="str">
        <f t="shared" si="72"/>
        <v>2104-68-319359</v>
      </c>
      <c r="C756" s="7">
        <v>44294</v>
      </c>
      <c r="D756" s="5" t="str">
        <f>IF(BD_DETALLE!$E756&gt;=1,CONCATENATE(TEXT(BD_DETALLE!$C756,"YY"),TEXT(BD_DETALLE!$C756,"MM"),"-",BD_DETALLE!$E756),"")</f>
        <v>2104-68</v>
      </c>
      <c r="E756" s="12">
        <v>68</v>
      </c>
      <c r="F756" s="21">
        <v>319359</v>
      </c>
      <c r="G756" s="4" t="str">
        <f>IFERROR(VLOOKUP(BD_DETALLE!$B756,Tabla9[],6,0),"")</f>
        <v>ACIDNOVA</v>
      </c>
      <c r="H756" s="6">
        <f>IFERROR(VLOOKUP(BD_DETALLE!$B756,Tabla9[],4,0),0)</f>
        <v>6000</v>
      </c>
      <c r="I756" s="19" t="s">
        <v>15</v>
      </c>
      <c r="J756" s="20" t="s">
        <v>385</v>
      </c>
      <c r="K756" s="10">
        <f>IFERROR(VLOOKUP(BD_DETALLE!B756,Tabla9[],7,0),"")</f>
        <v>0</v>
      </c>
      <c r="L756" s="11">
        <f>IFERROR(VLOOKUP(BD_DETALLE!B756,Tabla9[],8,0),"")</f>
        <v>0</v>
      </c>
      <c r="M756" s="9">
        <f>IFERROR(SUMIFS(Tabla9[CANTIDAD2],Tabla9[BUSQUEDA],Tabla3[[#This Row],[BUSQUEDA]],Tabla9[CODIGO],Tabla3[[#This Row],[CODIGO]],Tabla9[ORDEN No.],Tabla3[[#This Row],[ORDEN de COMPRA]]),0)</f>
        <v>0</v>
      </c>
      <c r="N756" s="27">
        <f>IFERROR(IF(BD_DETALLE!B756&gt;0,VLOOKUP(BD_DETALLE!B756,Tabla9[],10,0),""),"")</f>
        <v>44298</v>
      </c>
      <c r="O756" s="28">
        <f>IFERROR(VLOOKUP(BD_DETALLE!B756,Tabla9[],11,0),0)</f>
        <v>11797</v>
      </c>
      <c r="P756" s="26">
        <f>IFERROR(SUMIFS(Tabla9[CANTIDAD3],Tabla9[BUSQUEDA],Tabla3[[#This Row],[BUSQUEDA]],Tabla9[CODIGO],Tabla3[[#This Row],[CODIGO]]),0)</f>
        <v>6000</v>
      </c>
      <c r="Q756" s="25">
        <f>IF(BD_DETALLE!P756&lt;=0,0,IF(BD_DETALLE!P756=BD_DETALLE!H756,2,1))</f>
        <v>2</v>
      </c>
      <c r="R756" s="41">
        <f ca="1">IF(BD_DETALLE!$C756&gt;0,(IF(BD_DETALLE!$N756=0,TODAY()-BD_DETALLE!$C756,BD_DETALLE!$N756-BD_DETALLE!$C756)),"")</f>
        <v>4</v>
      </c>
    </row>
    <row r="757" spans="2:18" x14ac:dyDescent="0.25">
      <c r="B757" s="15" t="str">
        <f t="shared" si="72"/>
        <v>2104-69-200751</v>
      </c>
      <c r="C757" s="7">
        <v>44294</v>
      </c>
      <c r="D757" s="5" t="str">
        <f>IF(BD_DETALLE!$E757&gt;=1,CONCATENATE(TEXT(BD_DETALLE!$C757,"YY"),TEXT(BD_DETALLE!$C757,"MM"),"-",BD_DETALLE!$E757),"")</f>
        <v>2104-69</v>
      </c>
      <c r="E757" s="12">
        <v>69</v>
      </c>
      <c r="F757" s="21">
        <v>200751</v>
      </c>
      <c r="G757" s="4" t="str">
        <f>IFERROR(VLOOKUP(BD_DETALLE!$B757,Tabla9[],6,0),"")</f>
        <v>BUNKER</v>
      </c>
      <c r="H757" s="6">
        <f>IFERROR(VLOOKUP(BD_DETALLE!$B757,Tabla9[],4,0),0)</f>
        <v>20000</v>
      </c>
      <c r="I757" s="19" t="s">
        <v>15</v>
      </c>
      <c r="J757" s="20" t="s">
        <v>385</v>
      </c>
      <c r="K757" s="10">
        <f>IFERROR(VLOOKUP(BD_DETALLE!B757,Tabla9[],7,0),"")</f>
        <v>0</v>
      </c>
      <c r="L757" s="11">
        <f>IFERROR(VLOOKUP(BD_DETALLE!B757,Tabla9[],8,0),"")</f>
        <v>0</v>
      </c>
      <c r="M757" s="9">
        <f>IFERROR(SUMIFS(Tabla9[CANTIDAD2],Tabla9[BUSQUEDA],Tabla3[[#This Row],[BUSQUEDA]],Tabla9[CODIGO],Tabla3[[#This Row],[CODIGO]],Tabla9[ORDEN No.],Tabla3[[#This Row],[ORDEN de COMPRA]]),0)</f>
        <v>0</v>
      </c>
      <c r="N757" s="27">
        <f>IFERROR(IF(BD_DETALLE!B757&gt;0,VLOOKUP(BD_DETALLE!B757,Tabla9[],10,0),""),"")</f>
        <v>44299</v>
      </c>
      <c r="O757" s="28">
        <f>IFERROR(VLOOKUP(BD_DETALLE!B757,Tabla9[],11,0),0)</f>
        <v>11818</v>
      </c>
      <c r="P757" s="26">
        <f>IFERROR(SUMIFS(Tabla9[CANTIDAD3],Tabla9[BUSQUEDA],Tabla3[[#This Row],[BUSQUEDA]],Tabla9[CODIGO],Tabla3[[#This Row],[CODIGO]]),0)</f>
        <v>19434</v>
      </c>
      <c r="Q757" s="25">
        <f>IF(BD_DETALLE!P757&lt;=0,0,IF(BD_DETALLE!P757=BD_DETALLE!H757,2,1))</f>
        <v>1</v>
      </c>
      <c r="R757" s="41">
        <f ca="1">IF(BD_DETALLE!$C757&gt;0,(IF(BD_DETALLE!$N757=0,TODAY()-BD_DETALLE!$C757,BD_DETALLE!$N757-BD_DETALLE!$C757)),"")</f>
        <v>5</v>
      </c>
    </row>
    <row r="758" spans="2:18" x14ac:dyDescent="0.25">
      <c r="B758" s="15" t="str">
        <f t="shared" si="72"/>
        <v>2104-70-316612</v>
      </c>
      <c r="C758" s="7">
        <v>44295</v>
      </c>
      <c r="D758" s="5" t="str">
        <f>IF(BD_DETALLE!$E758&gt;=1,CONCATENATE(TEXT(BD_DETALLE!$C758,"YY"),TEXT(BD_DETALLE!$C758,"MM"),"-",BD_DETALLE!$E758),"")</f>
        <v>2104-70</v>
      </c>
      <c r="E758" s="12">
        <v>70</v>
      </c>
      <c r="F758" s="21">
        <v>316612</v>
      </c>
      <c r="G758" s="4" t="str">
        <f>IFERROR(VLOOKUP(BD_DETALLE!$B758,Tabla9[],6,0),"")</f>
        <v>COROLAZE 8000</v>
      </c>
      <c r="H758" s="6">
        <f>IFERROR(VLOOKUP(BD_DETALLE!$B758,Tabla9[],4,0),0)</f>
        <v>500</v>
      </c>
      <c r="I758" s="19" t="s">
        <v>15</v>
      </c>
      <c r="J758" s="20" t="s">
        <v>385</v>
      </c>
      <c r="K758" s="10">
        <f>IFERROR(VLOOKUP(BD_DETALLE!B758,Tabla9[],7,0),"")</f>
        <v>44299</v>
      </c>
      <c r="L758" s="11">
        <f>IFERROR(VLOOKUP(BD_DETALLE!B758,Tabla9[],8,0),"")</f>
        <v>52479</v>
      </c>
      <c r="M758" s="9">
        <f>IFERROR(SUMIFS(Tabla9[CANTIDAD2],Tabla9[BUSQUEDA],Tabla3[[#This Row],[BUSQUEDA]],Tabla9[CODIGO],Tabla3[[#This Row],[CODIGO]],Tabla9[ORDEN No.],Tabla3[[#This Row],[ORDEN de COMPRA]]),0)</f>
        <v>500</v>
      </c>
      <c r="N758" s="27">
        <f>IFERROR(IF(BD_DETALLE!B758&gt;0,VLOOKUP(BD_DETALLE!B758,Tabla9[],10,0),""),"")</f>
        <v>44301</v>
      </c>
      <c r="O758" s="28">
        <f>IFERROR(VLOOKUP(BD_DETALLE!B758,Tabla9[],11,0),0)</f>
        <v>11847</v>
      </c>
      <c r="P758" s="26">
        <f>IFERROR(SUMIFS(Tabla9[CANTIDAD3],Tabla9[BUSQUEDA],Tabla3[[#This Row],[BUSQUEDA]],Tabla9[CODIGO],Tabla3[[#This Row],[CODIGO]]),0)</f>
        <v>500</v>
      </c>
      <c r="Q758" s="25">
        <f>IF(BD_DETALLE!P758&lt;=0,0,IF(BD_DETALLE!P758=BD_DETALLE!H758,2,1))</f>
        <v>2</v>
      </c>
      <c r="R758" s="41">
        <f ca="1">IF(BD_DETALLE!$C758&gt;0,(IF(BD_DETALLE!$N758=0,TODAY()-BD_DETALLE!$C758,BD_DETALLE!$N758-BD_DETALLE!$C758)),"")</f>
        <v>6</v>
      </c>
    </row>
    <row r="759" spans="2:18" x14ac:dyDescent="0.25">
      <c r="B759" s="15" t="str">
        <f t="shared" si="72"/>
        <v>2104-70-320657</v>
      </c>
      <c r="C759" s="7">
        <v>44295</v>
      </c>
      <c r="D759" s="5" t="str">
        <f>IF(BD_DETALLE!$E759&gt;=1,CONCATENATE(TEXT(BD_DETALLE!$C759,"YY"),TEXT(BD_DETALLE!$C759,"MM"),"-",BD_DETALLE!$E759),"")</f>
        <v>2104-70</v>
      </c>
      <c r="E759" s="12">
        <v>70</v>
      </c>
      <c r="F759" s="21">
        <v>320657</v>
      </c>
      <c r="G759" s="4" t="str">
        <f>IFERROR(VLOOKUP(BD_DETALLE!$B759,Tabla9[],6,0),"")</f>
        <v>ACIDO CITRICO</v>
      </c>
      <c r="H759" s="6">
        <f>IFERROR(VLOOKUP(BD_DETALLE!$B759,Tabla9[],4,0),0)</f>
        <v>100</v>
      </c>
      <c r="I759" s="19" t="s">
        <v>15</v>
      </c>
      <c r="J759" s="20" t="s">
        <v>385</v>
      </c>
      <c r="K759" s="10">
        <f>IFERROR(VLOOKUP(BD_DETALLE!B759,Tabla9[],7,0),"")</f>
        <v>44299</v>
      </c>
      <c r="L759" s="11">
        <f>IFERROR(VLOOKUP(BD_DETALLE!B759,Tabla9[],8,0),"")</f>
        <v>52480</v>
      </c>
      <c r="M759" s="9">
        <f>IFERROR(SUMIFS(Tabla9[CANTIDAD2],Tabla9[BUSQUEDA],Tabla3[[#This Row],[BUSQUEDA]],Tabla9[CODIGO],Tabla3[[#This Row],[CODIGO]],Tabla9[ORDEN No.],Tabla3[[#This Row],[ORDEN de COMPRA]]),0)</f>
        <v>100</v>
      </c>
      <c r="N759" s="27">
        <f>IFERROR(IF(BD_DETALLE!B759&gt;0,VLOOKUP(BD_DETALLE!B759,Tabla9[],10,0),""),"")</f>
        <v>44302</v>
      </c>
      <c r="O759" s="28">
        <f>IFERROR(VLOOKUP(BD_DETALLE!B759,Tabla9[],11,0),0)</f>
        <v>11848</v>
      </c>
      <c r="P759" s="26">
        <f>IFERROR(SUMIFS(Tabla9[CANTIDAD3],Tabla9[BUSQUEDA],Tabla3[[#This Row],[BUSQUEDA]],Tabla9[CODIGO],Tabla3[[#This Row],[CODIGO]]),0)</f>
        <v>100</v>
      </c>
      <c r="Q759" s="25">
        <f>IF(BD_DETALLE!P759&lt;=0,0,IF(BD_DETALLE!P759=BD_DETALLE!H759,2,1))</f>
        <v>2</v>
      </c>
      <c r="R759" s="41">
        <f ca="1">IF(BD_DETALLE!$C759&gt;0,(IF(BD_DETALLE!$N759=0,TODAY()-BD_DETALLE!$C759,BD_DETALLE!$N759-BD_DETALLE!$C759)),"")</f>
        <v>7</v>
      </c>
    </row>
    <row r="760" spans="2:18" x14ac:dyDescent="0.25">
      <c r="B760" s="15" t="str">
        <f t="shared" si="72"/>
        <v>2104-70-320659</v>
      </c>
      <c r="C760" s="7">
        <v>44295</v>
      </c>
      <c r="D760" s="5" t="str">
        <f>IF(BD_DETALLE!$E760&gt;=1,CONCATENATE(TEXT(BD_DETALLE!$C760,"YY"),TEXT(BD_DETALLE!$C760,"MM"),"-",BD_DETALLE!$E760),"")</f>
        <v>2104-70</v>
      </c>
      <c r="E760" s="12">
        <v>70</v>
      </c>
      <c r="F760" s="21">
        <v>320659</v>
      </c>
      <c r="G760" s="4" t="str">
        <f>IFERROR(VLOOKUP(BD_DETALLE!$B760,Tabla9[],6,0),"")</f>
        <v>SORBATO DE POTASIO</v>
      </c>
      <c r="H760" s="6">
        <f>IFERROR(VLOOKUP(BD_DETALLE!$B760,Tabla9[],4,0),0)</f>
        <v>300</v>
      </c>
      <c r="I760" s="19" t="s">
        <v>15</v>
      </c>
      <c r="J760" s="20" t="s">
        <v>385</v>
      </c>
      <c r="K760" s="10">
        <f>IFERROR(VLOOKUP(BD_DETALLE!B760,Tabla9[],7,0),"")</f>
        <v>44299</v>
      </c>
      <c r="L760" s="11">
        <f>IFERROR(VLOOKUP(BD_DETALLE!B760,Tabla9[],8,0),"")</f>
        <v>52480</v>
      </c>
      <c r="M760" s="9">
        <f>IFERROR(SUMIFS(Tabla9[CANTIDAD2],Tabla9[BUSQUEDA],Tabla3[[#This Row],[BUSQUEDA]],Tabla9[CODIGO],Tabla3[[#This Row],[CODIGO]],Tabla9[ORDEN No.],Tabla3[[#This Row],[ORDEN de COMPRA]]),0)</f>
        <v>300</v>
      </c>
      <c r="N760" s="27">
        <f>IFERROR(IF(BD_DETALLE!B760&gt;0,VLOOKUP(BD_DETALLE!B760,Tabla9[],10,0),""),"")</f>
        <v>44302</v>
      </c>
      <c r="O760" s="28">
        <f>IFERROR(VLOOKUP(BD_DETALLE!B760,Tabla9[],11,0),0)</f>
        <v>11848</v>
      </c>
      <c r="P760" s="26">
        <f>IFERROR(SUMIFS(Tabla9[CANTIDAD3],Tabla9[BUSQUEDA],Tabla3[[#This Row],[BUSQUEDA]],Tabla9[CODIGO],Tabla3[[#This Row],[CODIGO]]),0)</f>
        <v>300</v>
      </c>
      <c r="Q760" s="25">
        <f>IF(BD_DETALLE!P760&lt;=0,0,IF(BD_DETALLE!P760=BD_DETALLE!H760,2,1))</f>
        <v>2</v>
      </c>
      <c r="R760" s="41">
        <f ca="1">IF(BD_DETALLE!$C760&gt;0,(IF(BD_DETALLE!$N760=0,TODAY()-BD_DETALLE!$C760,BD_DETALLE!$N760-BD_DETALLE!$C760)),"")</f>
        <v>7</v>
      </c>
    </row>
    <row r="761" spans="2:18" x14ac:dyDescent="0.25">
      <c r="B761" s="15" t="str">
        <f t="shared" si="72"/>
        <v>2104-70-320658</v>
      </c>
      <c r="C761" s="7">
        <v>44295</v>
      </c>
      <c r="D761" s="5" t="str">
        <f>IF(BD_DETALLE!$E761&gt;=1,CONCATENATE(TEXT(BD_DETALLE!$C761,"YY"),TEXT(BD_DETALLE!$C761,"MM"),"-",BD_DETALLE!$E761),"")</f>
        <v>2104-70</v>
      </c>
      <c r="E761" s="12">
        <v>70</v>
      </c>
      <c r="F761" s="21">
        <v>320658</v>
      </c>
      <c r="G761" s="4" t="str">
        <f>IFERROR(VLOOKUP(BD_DETALLE!$B761,Tabla9[],6,0),"")</f>
        <v>ACIDO ASCORBICO</v>
      </c>
      <c r="H761" s="6">
        <f>IFERROR(VLOOKUP(BD_DETALLE!$B761,Tabla9[],4,0),0)</f>
        <v>100</v>
      </c>
      <c r="I761" s="19" t="s">
        <v>15</v>
      </c>
      <c r="J761" s="20" t="s">
        <v>385</v>
      </c>
      <c r="K761" s="10">
        <f>IFERROR(VLOOKUP(BD_DETALLE!B761,Tabla9[],7,0),"")</f>
        <v>44299</v>
      </c>
      <c r="L761" s="11">
        <f>IFERROR(VLOOKUP(BD_DETALLE!B761,Tabla9[],8,0),"")</f>
        <v>52480</v>
      </c>
      <c r="M761" s="9">
        <f>IFERROR(SUMIFS(Tabla9[CANTIDAD2],Tabla9[BUSQUEDA],Tabla3[[#This Row],[BUSQUEDA]],Tabla9[CODIGO],Tabla3[[#This Row],[CODIGO]],Tabla9[ORDEN No.],Tabla3[[#This Row],[ORDEN de COMPRA]]),0)</f>
        <v>100</v>
      </c>
      <c r="N761" s="27">
        <f>IFERROR(IF(BD_DETALLE!B761&gt;0,VLOOKUP(BD_DETALLE!B761,Tabla9[],10,0),""),"")</f>
        <v>44302</v>
      </c>
      <c r="O761" s="28">
        <f>IFERROR(VLOOKUP(BD_DETALLE!B761,Tabla9[],11,0),0)</f>
        <v>11848</v>
      </c>
      <c r="P761" s="26">
        <f>IFERROR(SUMIFS(Tabla9[CANTIDAD3],Tabla9[BUSQUEDA],Tabla3[[#This Row],[BUSQUEDA]],Tabla9[CODIGO],Tabla3[[#This Row],[CODIGO]]),0)</f>
        <v>100</v>
      </c>
      <c r="Q761" s="25">
        <f>IF(BD_DETALLE!P761&lt;=0,0,IF(BD_DETALLE!P761=BD_DETALLE!H761,2,1))</f>
        <v>2</v>
      </c>
      <c r="R761" s="41">
        <f ca="1">IF(BD_DETALLE!$C761&gt;0,(IF(BD_DETALLE!$N761=0,TODAY()-BD_DETALLE!$C761,BD_DETALLE!$N761-BD_DETALLE!$C761)),"")</f>
        <v>7</v>
      </c>
    </row>
    <row r="762" spans="2:18" x14ac:dyDescent="0.25">
      <c r="B762" s="15" t="str">
        <f t="shared" si="72"/>
        <v>2104-71-301684</v>
      </c>
      <c r="C762" s="7">
        <v>44295</v>
      </c>
      <c r="D762" s="5" t="str">
        <f>IF(BD_DETALLE!$E762&gt;=1,CONCATENATE(TEXT(BD_DETALLE!$C762,"YY"),TEXT(BD_DETALLE!$C762,"MM"),"-",BD_DETALLE!$E762),"")</f>
        <v>2104-71</v>
      </c>
      <c r="E762" s="12">
        <v>71</v>
      </c>
      <c r="F762" s="21">
        <v>301684</v>
      </c>
      <c r="G762" s="4" t="str">
        <f>IFERROR(VLOOKUP(BD_DETALLE!$B762,Tabla9[],6,0),"")</f>
        <v>TECLE DE 2TN.</v>
      </c>
      <c r="H762" s="6">
        <f>IFERROR(VLOOKUP(BD_DETALLE!$B762,Tabla9[],4,0),0)</f>
        <v>2</v>
      </c>
      <c r="I762" s="19" t="s">
        <v>12</v>
      </c>
      <c r="J762" s="20" t="s">
        <v>960</v>
      </c>
      <c r="K762" s="10">
        <f>IFERROR(VLOOKUP(BD_DETALLE!B762,Tabla9[],7,0),"")</f>
        <v>0</v>
      </c>
      <c r="L762" s="11">
        <f>IFERROR(VLOOKUP(BD_DETALLE!B762,Tabla9[],8,0),"")</f>
        <v>0</v>
      </c>
      <c r="M762" s="9">
        <f>IFERROR(SUMIFS(Tabla9[CANTIDAD2],Tabla9[BUSQUEDA],Tabla3[[#This Row],[BUSQUEDA]],Tabla9[CODIGO],Tabla3[[#This Row],[CODIGO]],Tabla9[ORDEN No.],Tabla3[[#This Row],[ORDEN de COMPRA]]),0)</f>
        <v>0</v>
      </c>
      <c r="N762" s="27">
        <f>IFERROR(IF(BD_DETALLE!B762&gt;0,VLOOKUP(BD_DETALLE!B762,Tabla9[],10,0),""),"")</f>
        <v>0</v>
      </c>
      <c r="O762" s="28">
        <f>IFERROR(VLOOKUP(BD_DETALLE!B762,Tabla9[],11,0),0)</f>
        <v>0</v>
      </c>
      <c r="P762" s="26">
        <f>IFERROR(SUMIFS(Tabla9[CANTIDAD3],Tabla9[BUSQUEDA],Tabla3[[#This Row],[BUSQUEDA]],Tabla9[CODIGO],Tabla3[[#This Row],[CODIGO]]),0)</f>
        <v>0</v>
      </c>
      <c r="Q762" s="25">
        <f>IF(BD_DETALLE!P762&lt;=0,0,IF(BD_DETALLE!P762=BD_DETALLE!H762,2,1))</f>
        <v>0</v>
      </c>
      <c r="R762" s="41">
        <f ca="1">IF(BD_DETALLE!$C762&gt;0,(IF(BD_DETALLE!$N762=0,TODAY()-BD_DETALLE!$C762,BD_DETALLE!$N762-BD_DETALLE!$C762)),"")</f>
        <v>10</v>
      </c>
    </row>
    <row r="763" spans="2:18" x14ac:dyDescent="0.25">
      <c r="B763" s="15" t="str">
        <f t="shared" si="72"/>
        <v>2104-72-205515</v>
      </c>
      <c r="C763" s="7">
        <v>44295</v>
      </c>
      <c r="D763" s="5" t="str">
        <f>IF(BD_DETALLE!$E763&gt;=1,CONCATENATE(TEXT(BD_DETALLE!$C763,"YY"),TEXT(BD_DETALLE!$C763,"MM"),"-",BD_DETALLE!$E763),"")</f>
        <v>2104-72</v>
      </c>
      <c r="E763" s="12">
        <v>72</v>
      </c>
      <c r="F763" s="21">
        <v>205515</v>
      </c>
      <c r="G763" s="4" t="str">
        <f>IFERROR(VLOOKUP(BD_DETALLE!$B763,Tabla9[],6,0),"")</f>
        <v>RETENEDOR 70 x 90 x 10</v>
      </c>
      <c r="H763" s="6">
        <f>IFERROR(VLOOKUP(BD_DETALLE!$B763,Tabla9[],4,0),0)</f>
        <v>4</v>
      </c>
      <c r="I763" s="19" t="s">
        <v>12</v>
      </c>
      <c r="J763" s="20" t="s">
        <v>2224</v>
      </c>
      <c r="K763" s="10">
        <f>IFERROR(VLOOKUP(BD_DETALLE!B763,Tabla9[],7,0),"")</f>
        <v>0</v>
      </c>
      <c r="L763" s="11">
        <f>IFERROR(VLOOKUP(BD_DETALLE!B763,Tabla9[],8,0),"")</f>
        <v>0</v>
      </c>
      <c r="M763" s="9">
        <f>IFERROR(SUMIFS(Tabla9[CANTIDAD2],Tabla9[BUSQUEDA],Tabla3[[#This Row],[BUSQUEDA]],Tabla9[CODIGO],Tabla3[[#This Row],[CODIGO]],Tabla9[ORDEN No.],Tabla3[[#This Row],[ORDEN de COMPRA]]),0)</f>
        <v>0</v>
      </c>
      <c r="N763" s="27">
        <f>IFERROR(IF(BD_DETALLE!B763&gt;0,VLOOKUP(BD_DETALLE!B763,Tabla9[],10,0),""),"")</f>
        <v>0</v>
      </c>
      <c r="O763" s="28">
        <f>IFERROR(VLOOKUP(BD_DETALLE!B763,Tabla9[],11,0),0)</f>
        <v>0</v>
      </c>
      <c r="P763" s="26">
        <f>IFERROR(SUMIFS(Tabla9[CANTIDAD3],Tabla9[BUSQUEDA],Tabla3[[#This Row],[BUSQUEDA]],Tabla9[CODIGO],Tabla3[[#This Row],[CODIGO]]),0)</f>
        <v>0</v>
      </c>
      <c r="Q763" s="25">
        <f>IF(BD_DETALLE!P763&lt;=0,0,IF(BD_DETALLE!P763=BD_DETALLE!H763,2,1))</f>
        <v>0</v>
      </c>
      <c r="R763" s="41">
        <f ca="1">IF(BD_DETALLE!$C763&gt;0,(IF(BD_DETALLE!$N763=0,TODAY()-BD_DETALLE!$C763,BD_DETALLE!$N763-BD_DETALLE!$C763)),"")</f>
        <v>10</v>
      </c>
    </row>
    <row r="764" spans="2:18" x14ac:dyDescent="0.25">
      <c r="B764" s="15" t="str">
        <f t="shared" si="72"/>
        <v>2104-72-319091</v>
      </c>
      <c r="C764" s="7">
        <v>44295</v>
      </c>
      <c r="D764" s="5" t="str">
        <f>IF(BD_DETALLE!$E764&gt;=1,CONCATENATE(TEXT(BD_DETALLE!$C764,"YY"),TEXT(BD_DETALLE!$C764,"MM"),"-",BD_DETALLE!$E764),"")</f>
        <v>2104-72</v>
      </c>
      <c r="E764" s="12">
        <v>72</v>
      </c>
      <c r="F764" s="21">
        <v>319091</v>
      </c>
      <c r="G764" s="4" t="str">
        <f>IFERROR(VLOOKUP(BD_DETALLE!$B764,Tabla9[],6,0),"")</f>
        <v>RETENEDOR 38 x 65 x 10</v>
      </c>
      <c r="H764" s="6">
        <f>IFERROR(VLOOKUP(BD_DETALLE!$B764,Tabla9[],4,0),0)</f>
        <v>4</v>
      </c>
      <c r="I764" s="19" t="s">
        <v>12</v>
      </c>
      <c r="J764" s="20" t="s">
        <v>2224</v>
      </c>
      <c r="K764" s="10">
        <f>IFERROR(VLOOKUP(BD_DETALLE!B764,Tabla9[],7,0),"")</f>
        <v>0</v>
      </c>
      <c r="L764" s="11">
        <f>IFERROR(VLOOKUP(BD_DETALLE!B764,Tabla9[],8,0),"")</f>
        <v>0</v>
      </c>
      <c r="M764" s="9">
        <f>IFERROR(SUMIFS(Tabla9[CANTIDAD2],Tabla9[BUSQUEDA],Tabla3[[#This Row],[BUSQUEDA]],Tabla9[CODIGO],Tabla3[[#This Row],[CODIGO]],Tabla9[ORDEN No.],Tabla3[[#This Row],[ORDEN de COMPRA]]),0)</f>
        <v>0</v>
      </c>
      <c r="N764" s="27">
        <f>IFERROR(IF(BD_DETALLE!B764&gt;0,VLOOKUP(BD_DETALLE!B764,Tabla9[],10,0),""),"")</f>
        <v>0</v>
      </c>
      <c r="O764" s="28">
        <f>IFERROR(VLOOKUP(BD_DETALLE!B764,Tabla9[],11,0),0)</f>
        <v>0</v>
      </c>
      <c r="P764" s="26">
        <f>IFERROR(SUMIFS(Tabla9[CANTIDAD3],Tabla9[BUSQUEDA],Tabla3[[#This Row],[BUSQUEDA]],Tabla9[CODIGO],Tabla3[[#This Row],[CODIGO]]),0)</f>
        <v>0</v>
      </c>
      <c r="Q764" s="25">
        <f>IF(BD_DETALLE!P764&lt;=0,0,IF(BD_DETALLE!P764=BD_DETALLE!H764,2,1))</f>
        <v>0</v>
      </c>
      <c r="R764" s="41">
        <f ca="1">IF(BD_DETALLE!$C764&gt;0,(IF(BD_DETALLE!$N764=0,TODAY()-BD_DETALLE!$C764,BD_DETALLE!$N764-BD_DETALLE!$C764)),"")</f>
        <v>10</v>
      </c>
    </row>
    <row r="765" spans="2:18" x14ac:dyDescent="0.25">
      <c r="B765" s="15" t="str">
        <f t="shared" si="72"/>
        <v>2104-73-315665</v>
      </c>
      <c r="C765" s="7">
        <v>44295</v>
      </c>
      <c r="D765" s="5" t="str">
        <f>IF(BD_DETALLE!$E765&gt;=1,CONCATENATE(TEXT(BD_DETALLE!$C765,"YY"),TEXT(BD_DETALLE!$C765,"MM"),"-",BD_DETALLE!$E765),"")</f>
        <v>2104-73</v>
      </c>
      <c r="E765" s="12">
        <v>73</v>
      </c>
      <c r="F765" s="21">
        <v>315665</v>
      </c>
      <c r="G765" s="4" t="str">
        <f>IFERROR(VLOOKUP(BD_DETALLE!$B765,Tabla9[],6,0),"")</f>
        <v>BINS PARA HLP (HIDROLIZADO LIQUIDO PESCADO)</v>
      </c>
      <c r="H765" s="6">
        <f>IFERROR(VLOOKUP(BD_DETALLE!$B765,Tabla9[],4,0),0)</f>
        <v>10</v>
      </c>
      <c r="I765" s="19" t="s">
        <v>1218</v>
      </c>
      <c r="J765" s="20" t="s">
        <v>2225</v>
      </c>
      <c r="K765" s="10">
        <f>IFERROR(VLOOKUP(BD_DETALLE!B765,Tabla9[],7,0),"")</f>
        <v>0</v>
      </c>
      <c r="L765" s="11">
        <f>IFERROR(VLOOKUP(BD_DETALLE!B765,Tabla9[],8,0),"")</f>
        <v>0</v>
      </c>
      <c r="M765" s="9">
        <f>IFERROR(SUMIFS(Tabla9[CANTIDAD2],Tabla9[BUSQUEDA],Tabla3[[#This Row],[BUSQUEDA]],Tabla9[CODIGO],Tabla3[[#This Row],[CODIGO]],Tabla9[ORDEN No.],Tabla3[[#This Row],[ORDEN de COMPRA]]),0)</f>
        <v>0</v>
      </c>
      <c r="N765" s="27">
        <f>IFERROR(IF(BD_DETALLE!B765&gt;0,VLOOKUP(BD_DETALLE!B765,Tabla9[],10,0),""),"")</f>
        <v>44295</v>
      </c>
      <c r="O765" s="28">
        <f>IFERROR(VLOOKUP(BD_DETALLE!B765,Tabla9[],11,0),0)</f>
        <v>11773</v>
      </c>
      <c r="P765" s="26">
        <f>IFERROR(SUMIFS(Tabla9[CANTIDAD3],Tabla9[BUSQUEDA],Tabla3[[#This Row],[BUSQUEDA]],Tabla9[CODIGO],Tabla3[[#This Row],[CODIGO]]),0)</f>
        <v>10</v>
      </c>
      <c r="Q765" s="25">
        <f>IF(BD_DETALLE!P765&lt;=0,0,IF(BD_DETALLE!P765=BD_DETALLE!H765,2,1))</f>
        <v>2</v>
      </c>
      <c r="R765" s="41">
        <f ca="1">IF(BD_DETALLE!$C765&gt;0,(IF(BD_DETALLE!$N765=0,TODAY()-BD_DETALLE!$C765,BD_DETALLE!$N765-BD_DETALLE!$C765)),"")</f>
        <v>0</v>
      </c>
    </row>
    <row r="766" spans="2:18" x14ac:dyDescent="0.25">
      <c r="B766" s="15" t="str">
        <f t="shared" ref="B766:B797" si="73">IFERROR(TEXT(C766,"yy") &amp; TEXT(C766,"mm") &amp;"-"&amp;(E766) &amp;"-"&amp;(F766),"")</f>
        <v>2104-75-107653</v>
      </c>
      <c r="C766" s="264">
        <v>44298</v>
      </c>
      <c r="D766" s="5" t="str">
        <f>IF(BD_DETALLE!$E766&gt;=1,CONCATENATE(TEXT(BD_DETALLE!$C766,"YY"),TEXT(BD_DETALLE!$C766,"MM"),"-",BD_DETALLE!$E766),"")</f>
        <v>2104-75</v>
      </c>
      <c r="E766" s="12">
        <v>75</v>
      </c>
      <c r="F766" s="21">
        <v>107653</v>
      </c>
      <c r="G766" s="4" t="str">
        <f>IFERROR(VLOOKUP(BD_DETALLE!$B766,Tabla9[],6,0),"")</f>
        <v>MANGUERA CAUCHO Y LONA DE 2"</v>
      </c>
      <c r="H766" s="6">
        <f>IFERROR(VLOOKUP(BD_DETALLE!$B766,Tabla9[],4,0),0)</f>
        <v>2.7</v>
      </c>
      <c r="I766" s="19" t="s">
        <v>2</v>
      </c>
      <c r="J766" s="20" t="s">
        <v>2315</v>
      </c>
      <c r="K766" s="10">
        <f>IFERROR(VLOOKUP(BD_DETALLE!B766,Tabla9[],7,0),"")</f>
        <v>0</v>
      </c>
      <c r="L766" s="11">
        <f>IFERROR(VLOOKUP(BD_DETALLE!B766,Tabla9[],8,0),"")</f>
        <v>0</v>
      </c>
      <c r="M766" s="9">
        <f>IFERROR(SUMIFS(Tabla9[CANTIDAD2],Tabla9[BUSQUEDA],Tabla3[[#This Row],[BUSQUEDA]],Tabla9[CODIGO],Tabla3[[#This Row],[CODIGO]],Tabla9[ORDEN No.],Tabla3[[#This Row],[ORDEN de COMPRA]]),0)</f>
        <v>0</v>
      </c>
      <c r="N766" s="27">
        <f>IFERROR(IF(BD_DETALLE!B766&gt;0,VLOOKUP(BD_DETALLE!B766,Tabla9[],10,0),""),"")</f>
        <v>44298</v>
      </c>
      <c r="O766" s="28">
        <f>IFERROR(VLOOKUP(BD_DETALLE!B766,Tabla9[],11,0),0)</f>
        <v>11776</v>
      </c>
      <c r="P766" s="26">
        <f>IFERROR(SUMIFS(Tabla9[CANTIDAD3],Tabla9[BUSQUEDA],Tabla3[[#This Row],[BUSQUEDA]],Tabla9[CODIGO],Tabla3[[#This Row],[CODIGO]]),0)</f>
        <v>2.7</v>
      </c>
      <c r="Q766" s="25">
        <f>IF(BD_DETALLE!P766&lt;=0,0,IF(BD_DETALLE!P766=BD_DETALLE!H766,2,1))</f>
        <v>2</v>
      </c>
      <c r="R766" s="41">
        <f ca="1">IF(BD_DETALLE!$C766&gt;0,(IF(BD_DETALLE!$N766=0,TODAY()-BD_DETALLE!$C766,BD_DETALLE!$N766-BD_DETALLE!$C766)),"")</f>
        <v>0</v>
      </c>
    </row>
    <row r="767" spans="2:18" x14ac:dyDescent="0.25">
      <c r="B767" s="15" t="str">
        <f t="shared" si="73"/>
        <v>2104-75-203657</v>
      </c>
      <c r="C767" s="7">
        <v>44298</v>
      </c>
      <c r="D767" s="5" t="str">
        <f>IF(BD_DETALLE!$E767&gt;=1,CONCATENATE(TEXT(BD_DETALLE!$C767,"YY"),TEXT(BD_DETALLE!$C767,"MM"),"-",BD_DETALLE!$E767),"")</f>
        <v>2104-75</v>
      </c>
      <c r="E767" s="12">
        <v>75</v>
      </c>
      <c r="F767" s="21">
        <v>203657</v>
      </c>
      <c r="G767" s="4" t="str">
        <f>IFERROR(VLOOKUP(BD_DETALLE!$B767,Tabla9[],6,0),"")</f>
        <v>ABRAZADERA DE 2"</v>
      </c>
      <c r="H767" s="6">
        <f>IFERROR(VLOOKUP(BD_DETALLE!$B767,Tabla9[],4,0),0)</f>
        <v>4</v>
      </c>
      <c r="I767" s="19" t="s">
        <v>2</v>
      </c>
      <c r="J767" s="20" t="s">
        <v>2315</v>
      </c>
      <c r="K767" s="10">
        <f>IFERROR(VLOOKUP(BD_DETALLE!B767,Tabla9[],7,0),"")</f>
        <v>0</v>
      </c>
      <c r="L767" s="11">
        <f>IFERROR(VLOOKUP(BD_DETALLE!B767,Tabla9[],8,0),"")</f>
        <v>0</v>
      </c>
      <c r="M767" s="9">
        <f>IFERROR(SUMIFS(Tabla9[CANTIDAD2],Tabla9[BUSQUEDA],Tabla3[[#This Row],[BUSQUEDA]],Tabla9[CODIGO],Tabla3[[#This Row],[CODIGO]],Tabla9[ORDEN No.],Tabla3[[#This Row],[ORDEN de COMPRA]]),0)</f>
        <v>0</v>
      </c>
      <c r="N767" s="27">
        <f>IFERROR(IF(BD_DETALLE!B767&gt;0,VLOOKUP(BD_DETALLE!B767,Tabla9[],10,0),""),"")</f>
        <v>44298</v>
      </c>
      <c r="O767" s="28">
        <f>IFERROR(VLOOKUP(BD_DETALLE!B767,Tabla9[],11,0),0)</f>
        <v>11776</v>
      </c>
      <c r="P767" s="26">
        <f>IFERROR(SUMIFS(Tabla9[CANTIDAD3],Tabla9[BUSQUEDA],Tabla3[[#This Row],[BUSQUEDA]],Tabla9[CODIGO],Tabla3[[#This Row],[CODIGO]]),0)</f>
        <v>4</v>
      </c>
      <c r="Q767" s="25">
        <f>IF(BD_DETALLE!P767&lt;=0,0,IF(BD_DETALLE!P767=BD_DETALLE!H767,2,1))</f>
        <v>2</v>
      </c>
      <c r="R767" s="41">
        <f ca="1">IF(BD_DETALLE!$C767&gt;0,(IF(BD_DETALLE!$N767=0,TODAY()-BD_DETALLE!$C767,BD_DETALLE!$N767-BD_DETALLE!$C767)),"")</f>
        <v>0</v>
      </c>
    </row>
    <row r="768" spans="2:18" x14ac:dyDescent="0.25">
      <c r="B768" s="15" t="str">
        <f t="shared" si="73"/>
        <v>2104-76-203748</v>
      </c>
      <c r="C768" s="7">
        <v>44298</v>
      </c>
      <c r="D768" s="5" t="str">
        <f>IF(BD_DETALLE!$E768&gt;=1,CONCATENATE(TEXT(BD_DETALLE!$C768,"YY"),TEXT(BD_DETALLE!$C768,"MM"),"-",BD_DETALLE!$E768),"")</f>
        <v>2104-76</v>
      </c>
      <c r="E768" s="12">
        <v>76</v>
      </c>
      <c r="F768" s="21">
        <v>203748</v>
      </c>
      <c r="G768" s="4" t="str">
        <f>IFERROR(VLOOKUP(BD_DETALLE!$B768,Tabla9[],6,0),"")</f>
        <v>CARTUCHOS</v>
      </c>
      <c r="H768" s="6">
        <f>IFERROR(VLOOKUP(BD_DETALLE!$B768,Tabla9[],4,0),0)</f>
        <v>1</v>
      </c>
      <c r="I768" s="19" t="s">
        <v>2</v>
      </c>
      <c r="J768" s="20" t="s">
        <v>2316</v>
      </c>
      <c r="K768" s="10">
        <f>IFERROR(VLOOKUP(BD_DETALLE!B768,Tabla9[],7,0),"")</f>
        <v>0</v>
      </c>
      <c r="L768" s="11">
        <f>IFERROR(VLOOKUP(BD_DETALLE!B768,Tabla9[],8,0),"")</f>
        <v>0</v>
      </c>
      <c r="M768" s="9">
        <f>IFERROR(SUMIFS(Tabla9[CANTIDAD2],Tabla9[BUSQUEDA],Tabla3[[#This Row],[BUSQUEDA]],Tabla9[CODIGO],Tabla3[[#This Row],[CODIGO]],Tabla9[ORDEN No.],Tabla3[[#This Row],[ORDEN de COMPRA]]),0)</f>
        <v>0</v>
      </c>
      <c r="N768" s="27">
        <f>IFERROR(IF(BD_DETALLE!B768&gt;0,VLOOKUP(BD_DETALLE!B768,Tabla9[],10,0),""),"")</f>
        <v>44298</v>
      </c>
      <c r="O768" s="28">
        <f>IFERROR(VLOOKUP(BD_DETALLE!B768,Tabla9[],11,0),0)</f>
        <v>11777</v>
      </c>
      <c r="P768" s="26">
        <f>IFERROR(SUMIFS(Tabla9[CANTIDAD3],Tabla9[BUSQUEDA],Tabla3[[#This Row],[BUSQUEDA]],Tabla9[CODIGO],Tabla3[[#This Row],[CODIGO]]),0)</f>
        <v>1</v>
      </c>
      <c r="Q768" s="25">
        <f>IF(BD_DETALLE!P768&lt;=0,0,IF(BD_DETALLE!P768=BD_DETALLE!H768,2,1))</f>
        <v>2</v>
      </c>
      <c r="R768" s="41">
        <f ca="1">IF(BD_DETALLE!$C768&gt;0,(IF(BD_DETALLE!$N768=0,TODAY()-BD_DETALLE!$C768,BD_DETALLE!$N768-BD_DETALLE!$C768)),"")</f>
        <v>0</v>
      </c>
    </row>
    <row r="769" spans="2:18" x14ac:dyDescent="0.25">
      <c r="B769" s="15" t="str">
        <f t="shared" si="73"/>
        <v>2104-77-320505</v>
      </c>
      <c r="C769" s="7">
        <v>44298</v>
      </c>
      <c r="D769" s="5" t="str">
        <f>IF(BD_DETALLE!$E769&gt;=1,CONCATENATE(TEXT(BD_DETALLE!$C769,"YY"),TEXT(BD_DETALLE!$C769,"MM"),"-",BD_DETALLE!$E769),"")</f>
        <v>2104-77</v>
      </c>
      <c r="E769" s="12">
        <v>77</v>
      </c>
      <c r="F769" s="21">
        <v>320505</v>
      </c>
      <c r="G769" s="4" t="str">
        <f>IFERROR(VLOOKUP(BD_DETALLE!$B769,Tabla9[],6,0),"")</f>
        <v>SEGURO EXTERIOR DE 23mm</v>
      </c>
      <c r="H769" s="6">
        <f>IFERROR(VLOOKUP(BD_DETALLE!$B769,Tabla9[],4,0),0)</f>
        <v>1</v>
      </c>
      <c r="I769" s="19" t="s">
        <v>2</v>
      </c>
      <c r="J769" s="20" t="s">
        <v>2317</v>
      </c>
      <c r="K769" s="10">
        <f>IFERROR(VLOOKUP(BD_DETALLE!B769,Tabla9[],7,0),"")</f>
        <v>0</v>
      </c>
      <c r="L769" s="11">
        <f>IFERROR(VLOOKUP(BD_DETALLE!B769,Tabla9[],8,0),"")</f>
        <v>0</v>
      </c>
      <c r="M769" s="9">
        <f>IFERROR(SUMIFS(Tabla9[CANTIDAD2],Tabla9[BUSQUEDA],Tabla3[[#This Row],[BUSQUEDA]],Tabla9[CODIGO],Tabla3[[#This Row],[CODIGO]],Tabla9[ORDEN No.],Tabla3[[#This Row],[ORDEN de COMPRA]]),0)</f>
        <v>0</v>
      </c>
      <c r="N769" s="27">
        <f>IFERROR(IF(BD_DETALLE!B769&gt;0,VLOOKUP(BD_DETALLE!B769,Tabla9[],10,0),""),"")</f>
        <v>44298</v>
      </c>
      <c r="O769" s="28">
        <f>IFERROR(VLOOKUP(BD_DETALLE!B769,Tabla9[],11,0),0)</f>
        <v>11778</v>
      </c>
      <c r="P769" s="26">
        <f>IFERROR(SUMIFS(Tabla9[CANTIDAD3],Tabla9[BUSQUEDA],Tabla3[[#This Row],[BUSQUEDA]],Tabla9[CODIGO],Tabla3[[#This Row],[CODIGO]]),0)</f>
        <v>1</v>
      </c>
      <c r="Q769" s="25">
        <f>IF(BD_DETALLE!P769&lt;=0,0,IF(BD_DETALLE!P769=BD_DETALLE!H769,2,1))</f>
        <v>2</v>
      </c>
      <c r="R769" s="41">
        <f ca="1">IF(BD_DETALLE!$C769&gt;0,(IF(BD_DETALLE!$N769=0,TODAY()-BD_DETALLE!$C769,BD_DETALLE!$N769-BD_DETALLE!$C769)),"")</f>
        <v>0</v>
      </c>
    </row>
    <row r="770" spans="2:18" x14ac:dyDescent="0.25">
      <c r="B770" s="15" t="str">
        <f t="shared" si="73"/>
        <v>2104-77-310107</v>
      </c>
      <c r="C770" s="7">
        <v>44298</v>
      </c>
      <c r="D770" s="5" t="str">
        <f>IF(BD_DETALLE!$E770&gt;=1,CONCATENATE(TEXT(BD_DETALLE!$C770,"YY"),TEXT(BD_DETALLE!$C770,"MM"),"-",BD_DETALLE!$E770),"")</f>
        <v>2104-77</v>
      </c>
      <c r="E770" s="12">
        <v>77</v>
      </c>
      <c r="F770" s="21">
        <v>310107</v>
      </c>
      <c r="G770" s="4" t="str">
        <f>IFERROR(VLOOKUP(BD_DETALLE!$B770,Tabla9[],6,0),"")</f>
        <v>SEGURO E 20</v>
      </c>
      <c r="H770" s="6">
        <f>IFERROR(VLOOKUP(BD_DETALLE!$B770,Tabla9[],4,0),0)</f>
        <v>3</v>
      </c>
      <c r="I770" s="19" t="s">
        <v>2</v>
      </c>
      <c r="J770" s="20" t="s">
        <v>2317</v>
      </c>
      <c r="K770" s="10">
        <f>IFERROR(VLOOKUP(BD_DETALLE!B770,Tabla9[],7,0),"")</f>
        <v>0</v>
      </c>
      <c r="L770" s="11">
        <f>IFERROR(VLOOKUP(BD_DETALLE!B770,Tabla9[],8,0),"")</f>
        <v>0</v>
      </c>
      <c r="M770" s="9">
        <f>IFERROR(SUMIFS(Tabla9[CANTIDAD2],Tabla9[BUSQUEDA],Tabla3[[#This Row],[BUSQUEDA]],Tabla9[CODIGO],Tabla3[[#This Row],[CODIGO]],Tabla9[ORDEN No.],Tabla3[[#This Row],[ORDEN de COMPRA]]),0)</f>
        <v>0</v>
      </c>
      <c r="N770" s="27">
        <f>IFERROR(IF(BD_DETALLE!B770&gt;0,VLOOKUP(BD_DETALLE!B770,Tabla9[],10,0),""),"")</f>
        <v>44298</v>
      </c>
      <c r="O770" s="28">
        <f>IFERROR(VLOOKUP(BD_DETALLE!B770,Tabla9[],11,0),0)</f>
        <v>11778</v>
      </c>
      <c r="P770" s="26">
        <f>IFERROR(SUMIFS(Tabla9[CANTIDAD3],Tabla9[BUSQUEDA],Tabla3[[#This Row],[BUSQUEDA]],Tabla9[CODIGO],Tabla3[[#This Row],[CODIGO]]),0)</f>
        <v>3</v>
      </c>
      <c r="Q770" s="25">
        <f>IF(BD_DETALLE!P770&lt;=0,0,IF(BD_DETALLE!P770=BD_DETALLE!H770,2,1))</f>
        <v>2</v>
      </c>
      <c r="R770" s="41">
        <f ca="1">IF(BD_DETALLE!$C770&gt;0,(IF(BD_DETALLE!$N770=0,TODAY()-BD_DETALLE!$C770,BD_DETALLE!$N770-BD_DETALLE!$C770)),"")</f>
        <v>0</v>
      </c>
    </row>
    <row r="771" spans="2:18" x14ac:dyDescent="0.25">
      <c r="B771" s="15" t="str">
        <f t="shared" si="73"/>
        <v>2104-77-205865</v>
      </c>
      <c r="C771" s="7">
        <v>44298</v>
      </c>
      <c r="D771" s="5" t="str">
        <f>IF(BD_DETALLE!$E771&gt;=1,CONCATENATE(TEXT(BD_DETALLE!$C771,"YY"),TEXT(BD_DETALLE!$C771,"MM"),"-",BD_DETALLE!$E771),"")</f>
        <v>2104-77</v>
      </c>
      <c r="E771" s="12">
        <v>77</v>
      </c>
      <c r="F771" s="21">
        <v>205865</v>
      </c>
      <c r="G771" s="4" t="str">
        <f>IFERROR(VLOOKUP(BD_DETALLE!$B771,Tabla9[],6,0),"")</f>
        <v>SEGURO</v>
      </c>
      <c r="H771" s="6">
        <f>IFERROR(VLOOKUP(BD_DETALLE!$B771,Tabla9[],4,0),0)</f>
        <v>4</v>
      </c>
      <c r="I771" s="19" t="s">
        <v>2</v>
      </c>
      <c r="J771" s="20" t="s">
        <v>2317</v>
      </c>
      <c r="K771" s="10">
        <f>IFERROR(VLOOKUP(BD_DETALLE!B771,Tabla9[],7,0),"")</f>
        <v>0</v>
      </c>
      <c r="L771" s="11">
        <f>IFERROR(VLOOKUP(BD_DETALLE!B771,Tabla9[],8,0),"")</f>
        <v>0</v>
      </c>
      <c r="M771" s="9">
        <f>IFERROR(SUMIFS(Tabla9[CANTIDAD2],Tabla9[BUSQUEDA],Tabla3[[#This Row],[BUSQUEDA]],Tabla9[CODIGO],Tabla3[[#This Row],[CODIGO]],Tabla9[ORDEN No.],Tabla3[[#This Row],[ORDEN de COMPRA]]),0)</f>
        <v>0</v>
      </c>
      <c r="N771" s="27">
        <f>IFERROR(IF(BD_DETALLE!B771&gt;0,VLOOKUP(BD_DETALLE!B771,Tabla9[],10,0),""),"")</f>
        <v>44298</v>
      </c>
      <c r="O771" s="28">
        <f>IFERROR(VLOOKUP(BD_DETALLE!B771,Tabla9[],11,0),0)</f>
        <v>11778</v>
      </c>
      <c r="P771" s="26">
        <f>IFERROR(SUMIFS(Tabla9[CANTIDAD3],Tabla9[BUSQUEDA],Tabla3[[#This Row],[BUSQUEDA]],Tabla9[CODIGO],Tabla3[[#This Row],[CODIGO]]),0)</f>
        <v>4</v>
      </c>
      <c r="Q771" s="25">
        <f>IF(BD_DETALLE!P771&lt;=0,0,IF(BD_DETALLE!P771=BD_DETALLE!H771,2,1))</f>
        <v>2</v>
      </c>
      <c r="R771" s="41">
        <f ca="1">IF(BD_DETALLE!$C771&gt;0,(IF(BD_DETALLE!$N771=0,TODAY()-BD_DETALLE!$C771,BD_DETALLE!$N771-BD_DETALLE!$C771)),"")</f>
        <v>0</v>
      </c>
    </row>
    <row r="772" spans="2:18" x14ac:dyDescent="0.25">
      <c r="B772" s="15" t="str">
        <f t="shared" si="73"/>
        <v>2104-78-304674</v>
      </c>
      <c r="C772" s="7">
        <v>44298</v>
      </c>
      <c r="D772" s="5" t="str">
        <f>IF(BD_DETALLE!$E772&gt;=1,CONCATENATE(TEXT(BD_DETALLE!$C772,"YY"),TEXT(BD_DETALLE!$C772,"MM"),"-",BD_DETALLE!$E772),"")</f>
        <v>2104-78</v>
      </c>
      <c r="E772" s="12">
        <v>78</v>
      </c>
      <c r="F772" s="21">
        <v>304674</v>
      </c>
      <c r="G772" s="4" t="str">
        <f>IFERROR(VLOOKUP(BD_DETALLE!$B772,Tabla9[],6,0),"")</f>
        <v>ACOPLE RAPIDO 3/8"</v>
      </c>
      <c r="H772" s="6">
        <f>IFERROR(VLOOKUP(BD_DETALLE!$B772,Tabla9[],4,0),0)</f>
        <v>2</v>
      </c>
      <c r="I772" s="19" t="s">
        <v>3</v>
      </c>
      <c r="J772" s="20" t="s">
        <v>2318</v>
      </c>
      <c r="K772" s="10">
        <f>IFERROR(VLOOKUP(BD_DETALLE!B772,Tabla9[],7,0),"")</f>
        <v>0</v>
      </c>
      <c r="L772" s="11">
        <f>IFERROR(VLOOKUP(BD_DETALLE!B772,Tabla9[],8,0),"")</f>
        <v>0</v>
      </c>
      <c r="M772" s="9">
        <f>IFERROR(SUMIFS(Tabla9[CANTIDAD2],Tabla9[BUSQUEDA],Tabla3[[#This Row],[BUSQUEDA]],Tabla9[CODIGO],Tabla3[[#This Row],[CODIGO]],Tabla9[ORDEN No.],Tabla3[[#This Row],[ORDEN de COMPRA]]),0)</f>
        <v>0</v>
      </c>
      <c r="N772" s="27">
        <f>IFERROR(IF(BD_DETALLE!B772&gt;0,VLOOKUP(BD_DETALLE!B772,Tabla9[],10,0),""),"")</f>
        <v>44298</v>
      </c>
      <c r="O772" s="28">
        <f>IFERROR(VLOOKUP(BD_DETALLE!B772,Tabla9[],11,0),0)</f>
        <v>11788</v>
      </c>
      <c r="P772" s="26">
        <f>IFERROR(SUMIFS(Tabla9[CANTIDAD3],Tabla9[BUSQUEDA],Tabla3[[#This Row],[BUSQUEDA]],Tabla9[CODIGO],Tabla3[[#This Row],[CODIGO]]),0)</f>
        <v>2</v>
      </c>
      <c r="Q772" s="25">
        <f>IF(BD_DETALLE!P772&lt;=0,0,IF(BD_DETALLE!P772=BD_DETALLE!H772,2,1))</f>
        <v>2</v>
      </c>
      <c r="R772" s="41">
        <f ca="1">IF(BD_DETALLE!$C772&gt;0,(IF(BD_DETALLE!$N772=0,TODAY()-BD_DETALLE!$C772,BD_DETALLE!$N772-BD_DETALLE!$C772)),"")</f>
        <v>0</v>
      </c>
    </row>
    <row r="773" spans="2:18" x14ac:dyDescent="0.25">
      <c r="B773" s="15" t="str">
        <f t="shared" si="73"/>
        <v>2104-78-305448</v>
      </c>
      <c r="C773" s="7">
        <v>44298</v>
      </c>
      <c r="D773" s="5" t="str">
        <f>IF(BD_DETALLE!$E773&gt;=1,CONCATENATE(TEXT(BD_DETALLE!$C773,"YY"),TEXT(BD_DETALLE!$C773,"MM"),"-",BD_DETALLE!$E773),"")</f>
        <v>2104-78</v>
      </c>
      <c r="E773" s="12">
        <v>78</v>
      </c>
      <c r="F773" s="21">
        <v>305448</v>
      </c>
      <c r="G773" s="4" t="str">
        <f>IFERROR(VLOOKUP(BD_DETALLE!$B773,Tabla9[],6,0),"")</f>
        <v>ACOPLE RAPIDO 1/4"</v>
      </c>
      <c r="H773" s="6">
        <f>IFERROR(VLOOKUP(BD_DETALLE!$B773,Tabla9[],4,0),0)</f>
        <v>3</v>
      </c>
      <c r="I773" s="19" t="s">
        <v>3</v>
      </c>
      <c r="J773" s="20" t="s">
        <v>2318</v>
      </c>
      <c r="K773" s="10">
        <f>IFERROR(VLOOKUP(BD_DETALLE!B773,Tabla9[],7,0),"")</f>
        <v>0</v>
      </c>
      <c r="L773" s="11">
        <f>IFERROR(VLOOKUP(BD_DETALLE!B773,Tabla9[],8,0),"")</f>
        <v>0</v>
      </c>
      <c r="M773" s="9">
        <f>IFERROR(SUMIFS(Tabla9[CANTIDAD2],Tabla9[BUSQUEDA],Tabla3[[#This Row],[BUSQUEDA]],Tabla9[CODIGO],Tabla3[[#This Row],[CODIGO]],Tabla9[ORDEN No.],Tabla3[[#This Row],[ORDEN de COMPRA]]),0)</f>
        <v>0</v>
      </c>
      <c r="N773" s="27">
        <f>IFERROR(IF(BD_DETALLE!B773&gt;0,VLOOKUP(BD_DETALLE!B773,Tabla9[],10,0),""),"")</f>
        <v>44298</v>
      </c>
      <c r="O773" s="28">
        <f>IFERROR(VLOOKUP(BD_DETALLE!B773,Tabla9[],11,0),0)</f>
        <v>11788</v>
      </c>
      <c r="P773" s="26">
        <f>IFERROR(SUMIFS(Tabla9[CANTIDAD3],Tabla9[BUSQUEDA],Tabla3[[#This Row],[BUSQUEDA]],Tabla9[CODIGO],Tabla3[[#This Row],[CODIGO]]),0)</f>
        <v>3</v>
      </c>
      <c r="Q773" s="25">
        <f>IF(BD_DETALLE!P773&lt;=0,0,IF(BD_DETALLE!P773=BD_DETALLE!H773,2,1))</f>
        <v>2</v>
      </c>
      <c r="R773" s="41">
        <f ca="1">IF(BD_DETALLE!$C773&gt;0,(IF(BD_DETALLE!$N773=0,TODAY()-BD_DETALLE!$C773,BD_DETALLE!$N773-BD_DETALLE!$C773)),"")</f>
        <v>0</v>
      </c>
    </row>
    <row r="774" spans="2:18" x14ac:dyDescent="0.25">
      <c r="B774" s="15" t="str">
        <f t="shared" si="73"/>
        <v>2104-78-301153</v>
      </c>
      <c r="C774" s="7">
        <v>44298</v>
      </c>
      <c r="D774" s="5" t="str">
        <f>IF(BD_DETALLE!$E774&gt;=1,CONCATENATE(TEXT(BD_DETALLE!$C774,"YY"),TEXT(BD_DETALLE!$C774,"MM"),"-",BD_DETALLE!$E774),"")</f>
        <v>2104-78</v>
      </c>
      <c r="E774" s="12">
        <v>78</v>
      </c>
      <c r="F774" s="21">
        <v>301153</v>
      </c>
      <c r="G774" s="4" t="str">
        <f>IFERROR(VLOOKUP(BD_DETALLE!$B774,Tabla9[],6,0),"")</f>
        <v>ACOPLE MANGUERA DE 1/2"</v>
      </c>
      <c r="H774" s="6">
        <f>IFERROR(VLOOKUP(BD_DETALLE!$B774,Tabla9[],4,0),0)</f>
        <v>3</v>
      </c>
      <c r="I774" s="19" t="s">
        <v>3</v>
      </c>
      <c r="J774" s="20" t="s">
        <v>2318</v>
      </c>
      <c r="K774" s="10">
        <f>IFERROR(VLOOKUP(BD_DETALLE!B774,Tabla9[],7,0),"")</f>
        <v>0</v>
      </c>
      <c r="L774" s="11">
        <f>IFERROR(VLOOKUP(BD_DETALLE!B774,Tabla9[],8,0),"")</f>
        <v>0</v>
      </c>
      <c r="M774" s="9">
        <f>IFERROR(SUMIFS(Tabla9[CANTIDAD2],Tabla9[BUSQUEDA],Tabla3[[#This Row],[BUSQUEDA]],Tabla9[CODIGO],Tabla3[[#This Row],[CODIGO]],Tabla9[ORDEN No.],Tabla3[[#This Row],[ORDEN de COMPRA]]),0)</f>
        <v>0</v>
      </c>
      <c r="N774" s="27">
        <f>IFERROR(IF(BD_DETALLE!B774&gt;0,VLOOKUP(BD_DETALLE!B774,Tabla9[],10,0),""),"")</f>
        <v>44298</v>
      </c>
      <c r="O774" s="28">
        <f>IFERROR(VLOOKUP(BD_DETALLE!B774,Tabla9[],11,0),0)</f>
        <v>11788</v>
      </c>
      <c r="P774" s="26">
        <f>IFERROR(SUMIFS(Tabla9[CANTIDAD3],Tabla9[BUSQUEDA],Tabla3[[#This Row],[BUSQUEDA]],Tabla9[CODIGO],Tabla3[[#This Row],[CODIGO]]),0)</f>
        <v>3</v>
      </c>
      <c r="Q774" s="25">
        <f>IF(BD_DETALLE!P774&lt;=0,0,IF(BD_DETALLE!P774=BD_DETALLE!H774,2,1))</f>
        <v>2</v>
      </c>
      <c r="R774" s="41">
        <f ca="1">IF(BD_DETALLE!$C774&gt;0,(IF(BD_DETALLE!$N774=0,TODAY()-BD_DETALLE!$C774,BD_DETALLE!$N774-BD_DETALLE!$C774)),"")</f>
        <v>0</v>
      </c>
    </row>
    <row r="775" spans="2:18" x14ac:dyDescent="0.25">
      <c r="B775" s="15" t="str">
        <f t="shared" si="73"/>
        <v>2104-79-206069</v>
      </c>
      <c r="C775" s="7">
        <v>44298</v>
      </c>
      <c r="D775" s="5" t="str">
        <f>IF(BD_DETALLE!$E775&gt;=1,CONCATENATE(TEXT(BD_DETALLE!$C775,"YY"),TEXT(BD_DETALLE!$C775,"MM"),"-",BD_DETALLE!$E775),"")</f>
        <v>2104-79</v>
      </c>
      <c r="E775" s="12">
        <v>79</v>
      </c>
      <c r="F775" s="21">
        <v>206069</v>
      </c>
      <c r="G775" s="4" t="str">
        <f>IFERROR(VLOOKUP(BD_DETALLE!$B775,Tabla9[],6,0),"")</f>
        <v>PERNO H/N 5/8" X 4" COMPLETO</v>
      </c>
      <c r="H775" s="6">
        <f>IFERROR(VLOOKUP(BD_DETALLE!$B775,Tabla9[],4,0),0)</f>
        <v>10</v>
      </c>
      <c r="I775" s="19" t="s">
        <v>2</v>
      </c>
      <c r="J775" s="20" t="s">
        <v>2319</v>
      </c>
      <c r="K775" s="10">
        <f>IFERROR(VLOOKUP(BD_DETALLE!B775,Tabla9[],7,0),"")</f>
        <v>0</v>
      </c>
      <c r="L775" s="11">
        <f>IFERROR(VLOOKUP(BD_DETALLE!B775,Tabla9[],8,0),"")</f>
        <v>0</v>
      </c>
      <c r="M775" s="9">
        <f>IFERROR(SUMIFS(Tabla9[CANTIDAD2],Tabla9[BUSQUEDA],Tabla3[[#This Row],[BUSQUEDA]],Tabla9[CODIGO],Tabla3[[#This Row],[CODIGO]],Tabla9[ORDEN No.],Tabla3[[#This Row],[ORDEN de COMPRA]]),0)</f>
        <v>0</v>
      </c>
      <c r="N775" s="27">
        <f>IFERROR(IF(BD_DETALLE!B775&gt;0,VLOOKUP(BD_DETALLE!B775,Tabla9[],10,0),""),"")</f>
        <v>44298</v>
      </c>
      <c r="O775" s="28">
        <f>IFERROR(VLOOKUP(BD_DETALLE!B775,Tabla9[],11,0),0)</f>
        <v>11789</v>
      </c>
      <c r="P775" s="26">
        <f>IFERROR(SUMIFS(Tabla9[CANTIDAD3],Tabla9[BUSQUEDA],Tabla3[[#This Row],[BUSQUEDA]],Tabla9[CODIGO],Tabla3[[#This Row],[CODIGO]]),0)</f>
        <v>10</v>
      </c>
      <c r="Q775" s="25">
        <f>IF(BD_DETALLE!P775&lt;=0,0,IF(BD_DETALLE!P775=BD_DETALLE!H775,2,1))</f>
        <v>2</v>
      </c>
      <c r="R775" s="41">
        <f ca="1">IF(BD_DETALLE!$C775&gt;0,(IF(BD_DETALLE!$N775=0,TODAY()-BD_DETALLE!$C775,BD_DETALLE!$N775-BD_DETALLE!$C775)),"")</f>
        <v>0</v>
      </c>
    </row>
    <row r="776" spans="2:18" x14ac:dyDescent="0.25">
      <c r="B776" s="15" t="str">
        <f t="shared" si="73"/>
        <v>2104-79-303669</v>
      </c>
      <c r="C776" s="7">
        <v>44298</v>
      </c>
      <c r="D776" s="5" t="str">
        <f>IF(BD_DETALLE!$E776&gt;=1,CONCATENATE(TEXT(BD_DETALLE!$C776,"YY"),TEXT(BD_DETALLE!$C776,"MM"),"-",BD_DETALLE!$E776),"")</f>
        <v>2104-79</v>
      </c>
      <c r="E776" s="12">
        <v>79</v>
      </c>
      <c r="F776" s="21">
        <v>303669</v>
      </c>
      <c r="G776" s="4" t="str">
        <f>IFERROR(VLOOKUP(BD_DETALLE!$B776,Tabla9[],6,0),"")</f>
        <v>BROCA COBALTO DE 1/2"</v>
      </c>
      <c r="H776" s="6">
        <f>IFERROR(VLOOKUP(BD_DETALLE!$B776,Tabla9[],4,0),0)</f>
        <v>4</v>
      </c>
      <c r="I776" s="19" t="s">
        <v>2</v>
      </c>
      <c r="J776" s="20" t="s">
        <v>2319</v>
      </c>
      <c r="K776" s="10">
        <f>IFERROR(VLOOKUP(BD_DETALLE!B776,Tabla9[],7,0),"")</f>
        <v>0</v>
      </c>
      <c r="L776" s="11">
        <f>IFERROR(VLOOKUP(BD_DETALLE!B776,Tabla9[],8,0),"")</f>
        <v>0</v>
      </c>
      <c r="M776" s="9">
        <f>IFERROR(SUMIFS(Tabla9[CANTIDAD2],Tabla9[BUSQUEDA],Tabla3[[#This Row],[BUSQUEDA]],Tabla9[CODIGO],Tabla3[[#This Row],[CODIGO]],Tabla9[ORDEN No.],Tabla3[[#This Row],[ORDEN de COMPRA]]),0)</f>
        <v>0</v>
      </c>
      <c r="N776" s="27">
        <f>IFERROR(IF(BD_DETALLE!B776&gt;0,VLOOKUP(BD_DETALLE!B776,Tabla9[],10,0),""),"")</f>
        <v>44298</v>
      </c>
      <c r="O776" s="28">
        <f>IFERROR(VLOOKUP(BD_DETALLE!B776,Tabla9[],11,0),0)</f>
        <v>11789</v>
      </c>
      <c r="P776" s="26">
        <f>IFERROR(SUMIFS(Tabla9[CANTIDAD3],Tabla9[BUSQUEDA],Tabla3[[#This Row],[BUSQUEDA]],Tabla9[CODIGO],Tabla3[[#This Row],[CODIGO]]),0)</f>
        <v>4</v>
      </c>
      <c r="Q776" s="25">
        <f>IF(BD_DETALLE!P776&lt;=0,0,IF(BD_DETALLE!P776=BD_DETALLE!H776,2,1))</f>
        <v>2</v>
      </c>
      <c r="R776" s="41">
        <f ca="1">IF(BD_DETALLE!$C776&gt;0,(IF(BD_DETALLE!$N776=0,TODAY()-BD_DETALLE!$C776,BD_DETALLE!$N776-BD_DETALLE!$C776)),"")</f>
        <v>0</v>
      </c>
    </row>
    <row r="777" spans="2:18" x14ac:dyDescent="0.25">
      <c r="B777" s="15" t="str">
        <f t="shared" si="73"/>
        <v>2104-80-206618</v>
      </c>
      <c r="C777" s="7">
        <v>44298</v>
      </c>
      <c r="D777" s="5" t="str">
        <f>IF(BD_DETALLE!$E777&gt;=1,CONCATENATE(TEXT(BD_DETALLE!$C777,"YY"),TEXT(BD_DETALLE!$C777,"MM"),"-",BD_DETALLE!$E777),"")</f>
        <v>2104-80</v>
      </c>
      <c r="E777" s="12">
        <v>80</v>
      </c>
      <c r="F777" s="21">
        <v>206618</v>
      </c>
      <c r="G777" s="4" t="str">
        <f>IFERROR(VLOOKUP(BD_DETALLE!$B777,Tabla9[],6,0),"")</f>
        <v>PIÐON 20D - PASO 120</v>
      </c>
      <c r="H777" s="6">
        <f>IFERROR(VLOOKUP(BD_DETALLE!$B777,Tabla9[],4,0),0)</f>
        <v>2</v>
      </c>
      <c r="I777" s="19" t="s">
        <v>12</v>
      </c>
      <c r="J777" s="20" t="s">
        <v>960</v>
      </c>
      <c r="K777" s="10">
        <f>IFERROR(VLOOKUP(BD_DETALLE!B777,Tabla9[],7,0),"")</f>
        <v>0</v>
      </c>
      <c r="L777" s="11">
        <f>IFERROR(VLOOKUP(BD_DETALLE!B777,Tabla9[],8,0),"")</f>
        <v>0</v>
      </c>
      <c r="M777" s="9">
        <f>IFERROR(SUMIFS(Tabla9[CANTIDAD2],Tabla9[BUSQUEDA],Tabla3[[#This Row],[BUSQUEDA]],Tabla9[CODIGO],Tabla3[[#This Row],[CODIGO]],Tabla9[ORDEN No.],Tabla3[[#This Row],[ORDEN de COMPRA]]),0)</f>
        <v>0</v>
      </c>
      <c r="N777" s="27">
        <f>IFERROR(IF(BD_DETALLE!B777&gt;0,VLOOKUP(BD_DETALLE!B777,Tabla9[],10,0),""),"")</f>
        <v>0</v>
      </c>
      <c r="O777" s="28">
        <f>IFERROR(VLOOKUP(BD_DETALLE!B777,Tabla9[],11,0),0)</f>
        <v>0</v>
      </c>
      <c r="P777" s="26">
        <f>IFERROR(SUMIFS(Tabla9[CANTIDAD3],Tabla9[BUSQUEDA],Tabla3[[#This Row],[BUSQUEDA]],Tabla9[CODIGO],Tabla3[[#This Row],[CODIGO]]),0)</f>
        <v>0</v>
      </c>
      <c r="Q777" s="25">
        <f>IF(BD_DETALLE!P777&lt;=0,0,IF(BD_DETALLE!P777=BD_DETALLE!H777,2,1))</f>
        <v>0</v>
      </c>
      <c r="R777" s="41">
        <f ca="1">IF(BD_DETALLE!$C777&gt;0,(IF(BD_DETALLE!$N777=0,TODAY()-BD_DETALLE!$C777,BD_DETALLE!$N777-BD_DETALLE!$C777)),"")</f>
        <v>7</v>
      </c>
    </row>
    <row r="778" spans="2:18" x14ac:dyDescent="0.25">
      <c r="B778" s="15" t="str">
        <f t="shared" si="73"/>
        <v>2104-80-312036</v>
      </c>
      <c r="C778" s="7">
        <v>44298</v>
      </c>
      <c r="D778" s="5" t="str">
        <f>IF(BD_DETALLE!$E778&gt;=1,CONCATENATE(TEXT(BD_DETALLE!$C778,"YY"),TEXT(BD_DETALLE!$C778,"MM"),"-",BD_DETALLE!$E778),"")</f>
        <v>2104-80</v>
      </c>
      <c r="E778" s="12">
        <v>80</v>
      </c>
      <c r="F778" s="21">
        <v>312036</v>
      </c>
      <c r="G778" s="4" t="str">
        <f>IFERROR(VLOOKUP(BD_DETALLE!$B778,Tabla9[],6,0),"")</f>
        <v>MOTORREDUCTOR DE 5HP - 220/440V - 100RPM</v>
      </c>
      <c r="H778" s="6">
        <f>IFERROR(VLOOKUP(BD_DETALLE!$B778,Tabla9[],4,0),0)</f>
        <v>2</v>
      </c>
      <c r="I778" s="19" t="s">
        <v>12</v>
      </c>
      <c r="J778" s="20" t="s">
        <v>960</v>
      </c>
      <c r="K778" s="10">
        <f>IFERROR(VLOOKUP(BD_DETALLE!B778,Tabla9[],7,0),"")</f>
        <v>0</v>
      </c>
      <c r="L778" s="11">
        <f>IFERROR(VLOOKUP(BD_DETALLE!B778,Tabla9[],8,0),"")</f>
        <v>0</v>
      </c>
      <c r="M778" s="9">
        <f>IFERROR(SUMIFS(Tabla9[CANTIDAD2],Tabla9[BUSQUEDA],Tabla3[[#This Row],[BUSQUEDA]],Tabla9[CODIGO],Tabla3[[#This Row],[CODIGO]],Tabla9[ORDEN No.],Tabla3[[#This Row],[ORDEN de COMPRA]]),0)</f>
        <v>0</v>
      </c>
      <c r="N778" s="27">
        <f>IFERROR(IF(BD_DETALLE!B778&gt;0,VLOOKUP(BD_DETALLE!B778,Tabla9[],10,0),""),"")</f>
        <v>0</v>
      </c>
      <c r="O778" s="28">
        <f>IFERROR(VLOOKUP(BD_DETALLE!B778,Tabla9[],11,0),0)</f>
        <v>0</v>
      </c>
      <c r="P778" s="26">
        <f>IFERROR(SUMIFS(Tabla9[CANTIDAD3],Tabla9[BUSQUEDA],Tabla3[[#This Row],[BUSQUEDA]],Tabla9[CODIGO],Tabla3[[#This Row],[CODIGO]]),0)</f>
        <v>0</v>
      </c>
      <c r="Q778" s="25">
        <f>IF(BD_DETALLE!P778&lt;=0,0,IF(BD_DETALLE!P778=BD_DETALLE!H778,2,1))</f>
        <v>0</v>
      </c>
      <c r="R778" s="41">
        <f ca="1">IF(BD_DETALLE!$C778&gt;0,(IF(BD_DETALLE!$N778=0,TODAY()-BD_DETALLE!$C778,BD_DETALLE!$N778-BD_DETALLE!$C778)),"")</f>
        <v>7</v>
      </c>
    </row>
    <row r="779" spans="2:18" x14ac:dyDescent="0.25">
      <c r="B779" s="15" t="str">
        <f t="shared" si="73"/>
        <v>2104-80-203639</v>
      </c>
      <c r="C779" s="7">
        <v>44298</v>
      </c>
      <c r="D779" s="5" t="str">
        <f>IF(BD_DETALLE!$E779&gt;=1,CONCATENATE(TEXT(BD_DETALLE!$C779,"YY"),TEXT(BD_DETALLE!$C779,"MM"),"-",BD_DETALLE!$E779),"")</f>
        <v>2104-80</v>
      </c>
      <c r="E779" s="12">
        <v>80</v>
      </c>
      <c r="F779" s="21">
        <v>203639</v>
      </c>
      <c r="G779" s="4" t="str">
        <f>IFERROR(VLOOKUP(BD_DETALLE!$B779,Tabla9[],6,0),"")</f>
        <v>PIÐON PAS0 120 DE 16 DIENTES</v>
      </c>
      <c r="H779" s="6">
        <f>IFERROR(VLOOKUP(BD_DETALLE!$B779,Tabla9[],4,0),0)</f>
        <v>2</v>
      </c>
      <c r="I779" s="19" t="s">
        <v>12</v>
      </c>
      <c r="J779" s="20" t="s">
        <v>960</v>
      </c>
      <c r="K779" s="10">
        <f>IFERROR(VLOOKUP(BD_DETALLE!B779,Tabla9[],7,0),"")</f>
        <v>0</v>
      </c>
      <c r="L779" s="11">
        <f>IFERROR(VLOOKUP(BD_DETALLE!B779,Tabla9[],8,0),"")</f>
        <v>0</v>
      </c>
      <c r="M779" s="9">
        <f>IFERROR(SUMIFS(Tabla9[CANTIDAD2],Tabla9[BUSQUEDA],Tabla3[[#This Row],[BUSQUEDA]],Tabla9[CODIGO],Tabla3[[#This Row],[CODIGO]],Tabla9[ORDEN No.],Tabla3[[#This Row],[ORDEN de COMPRA]]),0)</f>
        <v>0</v>
      </c>
      <c r="N779" s="27">
        <f>IFERROR(IF(BD_DETALLE!B779&gt;0,VLOOKUP(BD_DETALLE!B779,Tabla9[],10,0),""),"")</f>
        <v>0</v>
      </c>
      <c r="O779" s="28">
        <f>IFERROR(VLOOKUP(BD_DETALLE!B779,Tabla9[],11,0),0)</f>
        <v>0</v>
      </c>
      <c r="P779" s="26">
        <f>IFERROR(SUMIFS(Tabla9[CANTIDAD3],Tabla9[BUSQUEDA],Tabla3[[#This Row],[BUSQUEDA]],Tabla9[CODIGO],Tabla3[[#This Row],[CODIGO]]),0)</f>
        <v>0</v>
      </c>
      <c r="Q779" s="25">
        <f>IF(BD_DETALLE!P779&lt;=0,0,IF(BD_DETALLE!P779=BD_DETALLE!H779,2,1))</f>
        <v>0</v>
      </c>
      <c r="R779" s="41">
        <f ca="1">IF(BD_DETALLE!$C779&gt;0,(IF(BD_DETALLE!$N779=0,TODAY()-BD_DETALLE!$C779,BD_DETALLE!$N779-BD_DETALLE!$C779)),"")</f>
        <v>7</v>
      </c>
    </row>
    <row r="780" spans="2:18" x14ac:dyDescent="0.25">
      <c r="B780" s="15" t="str">
        <f t="shared" si="73"/>
        <v>2104-81-107102</v>
      </c>
      <c r="C780" s="7">
        <v>44298</v>
      </c>
      <c r="D780" s="5" t="str">
        <f>IF(BD_DETALLE!$E780&gt;=1,CONCATENATE(TEXT(BD_DETALLE!$C780,"YY"),TEXT(BD_DETALLE!$C780,"MM"),"-",BD_DETALLE!$E780),"")</f>
        <v>2104-81</v>
      </c>
      <c r="E780" s="12">
        <v>81</v>
      </c>
      <c r="F780" s="21">
        <v>107102</v>
      </c>
      <c r="G780" s="4" t="str">
        <f>IFERROR(VLOOKUP(BD_DETALLE!$B780,Tabla9[],6,0),"")</f>
        <v>LLAVE ESFERICA DE 1/2"</v>
      </c>
      <c r="H780" s="6">
        <f>IFERROR(VLOOKUP(BD_DETALLE!$B780,Tabla9[],4,0),0)</f>
        <v>2</v>
      </c>
      <c r="I780" s="19" t="s">
        <v>2</v>
      </c>
      <c r="J780" s="20" t="s">
        <v>1075</v>
      </c>
      <c r="K780" s="10">
        <f>IFERROR(VLOOKUP(BD_DETALLE!B780,Tabla9[],7,0),"")</f>
        <v>0</v>
      </c>
      <c r="L780" s="11">
        <f>IFERROR(VLOOKUP(BD_DETALLE!B780,Tabla9[],8,0),"")</f>
        <v>0</v>
      </c>
      <c r="M780" s="9">
        <f>IFERROR(SUMIFS(Tabla9[CANTIDAD2],Tabla9[BUSQUEDA],Tabla3[[#This Row],[BUSQUEDA]],Tabla9[CODIGO],Tabla3[[#This Row],[CODIGO]],Tabla9[ORDEN No.],Tabla3[[#This Row],[ORDEN de COMPRA]]),0)</f>
        <v>0</v>
      </c>
      <c r="N780" s="27">
        <f>IFERROR(IF(BD_DETALLE!B780&gt;0,VLOOKUP(BD_DETALLE!B780,Tabla9[],10,0),""),"")</f>
        <v>44298</v>
      </c>
      <c r="O780" s="28">
        <f>IFERROR(VLOOKUP(BD_DETALLE!B780,Tabla9[],11,0),0)</f>
        <v>11790</v>
      </c>
      <c r="P780" s="26">
        <f>IFERROR(SUMIFS(Tabla9[CANTIDAD3],Tabla9[BUSQUEDA],Tabla3[[#This Row],[BUSQUEDA]],Tabla9[CODIGO],Tabla3[[#This Row],[CODIGO]]),0)</f>
        <v>2</v>
      </c>
      <c r="Q780" s="25">
        <f>IF(BD_DETALLE!P780&lt;=0,0,IF(BD_DETALLE!P780=BD_DETALLE!H780,2,1))</f>
        <v>2</v>
      </c>
      <c r="R780" s="41">
        <f ca="1">IF(BD_DETALLE!$C780&gt;0,(IF(BD_DETALLE!$N780=0,TODAY()-BD_DETALLE!$C780,BD_DETALLE!$N780-BD_DETALLE!$C780)),"")</f>
        <v>0</v>
      </c>
    </row>
    <row r="781" spans="2:18" x14ac:dyDescent="0.25">
      <c r="B781" s="15" t="str">
        <f t="shared" si="73"/>
        <v>2104-82-203739</v>
      </c>
      <c r="C781" s="7">
        <v>44298</v>
      </c>
      <c r="D781" s="5" t="str">
        <f>IF(BD_DETALLE!$E781&gt;=1,CONCATENATE(TEXT(BD_DETALLE!$C781,"YY"),TEXT(BD_DETALLE!$C781,"MM"),"-",BD_DETALLE!$E781),"")</f>
        <v>2104-82</v>
      </c>
      <c r="E781" s="12">
        <v>82</v>
      </c>
      <c r="F781" s="21">
        <v>203739</v>
      </c>
      <c r="G781" s="4" t="str">
        <f>IFERROR(VLOOKUP(BD_DETALLE!$B781,Tabla9[],6,0),"")</f>
        <v>ACOPLE</v>
      </c>
      <c r="H781" s="6">
        <f>IFERROR(VLOOKUP(BD_DETALLE!$B781,Tabla9[],4,0),0)</f>
        <v>1</v>
      </c>
      <c r="I781" s="19" t="s">
        <v>2</v>
      </c>
      <c r="J781" s="20" t="s">
        <v>2139</v>
      </c>
      <c r="K781" s="10">
        <f>IFERROR(VLOOKUP(BD_DETALLE!B781,Tabla9[],7,0),"")</f>
        <v>0</v>
      </c>
      <c r="L781" s="11">
        <f>IFERROR(VLOOKUP(BD_DETALLE!B781,Tabla9[],8,0),"")</f>
        <v>0</v>
      </c>
      <c r="M781" s="9">
        <f>IFERROR(SUMIFS(Tabla9[CANTIDAD2],Tabla9[BUSQUEDA],Tabla3[[#This Row],[BUSQUEDA]],Tabla9[CODIGO],Tabla3[[#This Row],[CODIGO]],Tabla9[ORDEN No.],Tabla3[[#This Row],[ORDEN de COMPRA]]),0)</f>
        <v>0</v>
      </c>
      <c r="N781" s="27">
        <f>IFERROR(IF(BD_DETALLE!B781&gt;0,VLOOKUP(BD_DETALLE!B781,Tabla9[],10,0),""),"")</f>
        <v>44298</v>
      </c>
      <c r="O781" s="28">
        <f>IFERROR(VLOOKUP(BD_DETALLE!B781,Tabla9[],11,0),0)</f>
        <v>11791</v>
      </c>
      <c r="P781" s="26">
        <f>IFERROR(SUMIFS(Tabla9[CANTIDAD3],Tabla9[BUSQUEDA],Tabla3[[#This Row],[BUSQUEDA]],Tabla9[CODIGO],Tabla3[[#This Row],[CODIGO]]),0)</f>
        <v>1</v>
      </c>
      <c r="Q781" s="25">
        <f>IF(BD_DETALLE!P781&lt;=0,0,IF(BD_DETALLE!P781=BD_DETALLE!H781,2,1))</f>
        <v>2</v>
      </c>
      <c r="R781" s="41">
        <f ca="1">IF(BD_DETALLE!$C781&gt;0,(IF(BD_DETALLE!$N781=0,TODAY()-BD_DETALLE!$C781,BD_DETALLE!$N781-BD_DETALLE!$C781)),"")</f>
        <v>0</v>
      </c>
    </row>
    <row r="782" spans="2:18" x14ac:dyDescent="0.25">
      <c r="B782" s="15" t="str">
        <f t="shared" si="73"/>
        <v>2104-83-309995</v>
      </c>
      <c r="C782" s="7">
        <v>44298</v>
      </c>
      <c r="D782" s="5" t="str">
        <f>IF(BD_DETALLE!$E782&gt;=1,CONCATENATE(TEXT(BD_DETALLE!$C782,"YY"),TEXT(BD_DETALLE!$C782,"MM"),"-",BD_DETALLE!$E782),"")</f>
        <v>2104-83</v>
      </c>
      <c r="E782" s="12">
        <v>83</v>
      </c>
      <c r="F782" s="21">
        <v>309995</v>
      </c>
      <c r="G782" s="4" t="str">
        <f>IFERROR(VLOOKUP(BD_DETALLE!$B782,Tabla9[],6,0),"")</f>
        <v>RETENEDOR 40 x 65 x 10</v>
      </c>
      <c r="H782" s="6">
        <f>IFERROR(VLOOKUP(BD_DETALLE!$B782,Tabla9[],4,0),0)</f>
        <v>6</v>
      </c>
      <c r="I782" s="19" t="s">
        <v>12</v>
      </c>
      <c r="J782" s="20" t="s">
        <v>1860</v>
      </c>
      <c r="K782" s="10">
        <f>IFERROR(VLOOKUP(BD_DETALLE!B782,Tabla9[],7,0),"")</f>
        <v>0</v>
      </c>
      <c r="L782" s="11">
        <f>IFERROR(VLOOKUP(BD_DETALLE!B782,Tabla9[],8,0),"")</f>
        <v>0</v>
      </c>
      <c r="M782" s="9">
        <f>IFERROR(SUMIFS(Tabla9[CANTIDAD2],Tabla9[BUSQUEDA],Tabla3[[#This Row],[BUSQUEDA]],Tabla9[CODIGO],Tabla3[[#This Row],[CODIGO]],Tabla9[ORDEN No.],Tabla3[[#This Row],[ORDEN de COMPRA]]),0)</f>
        <v>0</v>
      </c>
      <c r="N782" s="27">
        <f>IFERROR(IF(BD_DETALLE!B782&gt;0,VLOOKUP(BD_DETALLE!B782,Tabla9[],10,0),""),"")</f>
        <v>0</v>
      </c>
      <c r="O782" s="28">
        <f>IFERROR(VLOOKUP(BD_DETALLE!B782,Tabla9[],11,0),0)</f>
        <v>0</v>
      </c>
      <c r="P782" s="26">
        <f>IFERROR(SUMIFS(Tabla9[CANTIDAD3],Tabla9[BUSQUEDA],Tabla3[[#This Row],[BUSQUEDA]],Tabla9[CODIGO],Tabla3[[#This Row],[CODIGO]]),0)</f>
        <v>0</v>
      </c>
      <c r="Q782" s="25">
        <f>IF(BD_DETALLE!P782&lt;=0,0,IF(BD_DETALLE!P782=BD_DETALLE!H782,2,1))</f>
        <v>0</v>
      </c>
      <c r="R782" s="41">
        <f ca="1">IF(BD_DETALLE!$C782&gt;0,(IF(BD_DETALLE!$N782=0,TODAY()-BD_DETALLE!$C782,BD_DETALLE!$N782-BD_DETALLE!$C782)),"")</f>
        <v>7</v>
      </c>
    </row>
    <row r="783" spans="2:18" x14ac:dyDescent="0.25">
      <c r="B783" s="15" t="str">
        <f t="shared" si="73"/>
        <v>2104-83-300653</v>
      </c>
      <c r="C783" s="7">
        <v>44298</v>
      </c>
      <c r="D783" s="5" t="str">
        <f>IF(BD_DETALLE!$E783&gt;=1,CONCATENATE(TEXT(BD_DETALLE!$C783,"YY"),TEXT(BD_DETALLE!$C783,"MM"),"-",BD_DETALLE!$E783),"")</f>
        <v>2104-83</v>
      </c>
      <c r="E783" s="12">
        <v>83</v>
      </c>
      <c r="F783" s="21">
        <v>300653</v>
      </c>
      <c r="G783" s="4" t="str">
        <f>IFERROR(VLOOKUP(BD_DETALLE!$B783,Tabla9[],6,0),"")</f>
        <v>RULIMAN 6307-2RS</v>
      </c>
      <c r="H783" s="6">
        <f>IFERROR(VLOOKUP(BD_DETALLE!$B783,Tabla9[],4,0),0)</f>
        <v>8</v>
      </c>
      <c r="I783" s="19" t="s">
        <v>12</v>
      </c>
      <c r="J783" s="20" t="s">
        <v>1860</v>
      </c>
      <c r="K783" s="10">
        <f>IFERROR(VLOOKUP(BD_DETALLE!B783,Tabla9[],7,0),"")</f>
        <v>0</v>
      </c>
      <c r="L783" s="11">
        <f>IFERROR(VLOOKUP(BD_DETALLE!B783,Tabla9[],8,0),"")</f>
        <v>0</v>
      </c>
      <c r="M783" s="9">
        <f>IFERROR(SUMIFS(Tabla9[CANTIDAD2],Tabla9[BUSQUEDA],Tabla3[[#This Row],[BUSQUEDA]],Tabla9[CODIGO],Tabla3[[#This Row],[CODIGO]],Tabla9[ORDEN No.],Tabla3[[#This Row],[ORDEN de COMPRA]]),0)</f>
        <v>0</v>
      </c>
      <c r="N783" s="27">
        <f>IFERROR(IF(BD_DETALLE!B783&gt;0,VLOOKUP(BD_DETALLE!B783,Tabla9[],10,0),""),"")</f>
        <v>0</v>
      </c>
      <c r="O783" s="28">
        <f>IFERROR(VLOOKUP(BD_DETALLE!B783,Tabla9[],11,0),0)</f>
        <v>0</v>
      </c>
      <c r="P783" s="26">
        <f>IFERROR(SUMIFS(Tabla9[CANTIDAD3],Tabla9[BUSQUEDA],Tabla3[[#This Row],[BUSQUEDA]],Tabla9[CODIGO],Tabla3[[#This Row],[CODIGO]]),0)</f>
        <v>0</v>
      </c>
      <c r="Q783" s="25">
        <f>IF(BD_DETALLE!P783&lt;=0,0,IF(BD_DETALLE!P783=BD_DETALLE!H783,2,1))</f>
        <v>0</v>
      </c>
      <c r="R783" s="41">
        <f ca="1">IF(BD_DETALLE!$C783&gt;0,(IF(BD_DETALLE!$N783=0,TODAY()-BD_DETALLE!$C783,BD_DETALLE!$N783-BD_DETALLE!$C783)),"")</f>
        <v>7</v>
      </c>
    </row>
    <row r="784" spans="2:18" x14ac:dyDescent="0.25">
      <c r="B784" s="15" t="str">
        <f t="shared" si="73"/>
        <v>2104-83-309830</v>
      </c>
      <c r="C784" s="7">
        <v>44298</v>
      </c>
      <c r="D784" s="5" t="str">
        <f>IF(BD_DETALLE!$E784&gt;=1,CONCATENATE(TEXT(BD_DETALLE!$C784,"YY"),TEXT(BD_DETALLE!$C784,"MM"),"-",BD_DETALLE!$E784),"")</f>
        <v>2104-83</v>
      </c>
      <c r="E784" s="12">
        <v>83</v>
      </c>
      <c r="F784" s="21">
        <v>309830</v>
      </c>
      <c r="G784" s="4" t="str">
        <f>IFERROR(VLOOKUP(BD_DETALLE!$B784,Tabla9[],6,0),"")</f>
        <v>RETENEDOR 35 X 50 X 9</v>
      </c>
      <c r="H784" s="6">
        <f>IFERROR(VLOOKUP(BD_DETALLE!$B784,Tabla9[],4,0),0)</f>
        <v>6</v>
      </c>
      <c r="I784" s="19" t="s">
        <v>12</v>
      </c>
      <c r="J784" s="20" t="s">
        <v>1860</v>
      </c>
      <c r="K784" s="10">
        <f>IFERROR(VLOOKUP(BD_DETALLE!B784,Tabla9[],7,0),"")</f>
        <v>0</v>
      </c>
      <c r="L784" s="11">
        <f>IFERROR(VLOOKUP(BD_DETALLE!B784,Tabla9[],8,0),"")</f>
        <v>0</v>
      </c>
      <c r="M784" s="9">
        <f>IFERROR(SUMIFS(Tabla9[CANTIDAD2],Tabla9[BUSQUEDA],Tabla3[[#This Row],[BUSQUEDA]],Tabla9[CODIGO],Tabla3[[#This Row],[CODIGO]],Tabla9[ORDEN No.],Tabla3[[#This Row],[ORDEN de COMPRA]]),0)</f>
        <v>0</v>
      </c>
      <c r="N784" s="27">
        <f>IFERROR(IF(BD_DETALLE!B784&gt;0,VLOOKUP(BD_DETALLE!B784,Tabla9[],10,0),""),"")</f>
        <v>0</v>
      </c>
      <c r="O784" s="28">
        <f>IFERROR(VLOOKUP(BD_DETALLE!B784,Tabla9[],11,0),0)</f>
        <v>0</v>
      </c>
      <c r="P784" s="26">
        <f>IFERROR(SUMIFS(Tabla9[CANTIDAD3],Tabla9[BUSQUEDA],Tabla3[[#This Row],[BUSQUEDA]],Tabla9[CODIGO],Tabla3[[#This Row],[CODIGO]]),0)</f>
        <v>0</v>
      </c>
      <c r="Q784" s="25">
        <f>IF(BD_DETALLE!P784&lt;=0,0,IF(BD_DETALLE!P784=BD_DETALLE!H784,2,1))</f>
        <v>0</v>
      </c>
      <c r="R784" s="41">
        <f ca="1">IF(BD_DETALLE!$C784&gt;0,(IF(BD_DETALLE!$N784=0,TODAY()-BD_DETALLE!$C784,BD_DETALLE!$N784-BD_DETALLE!$C784)),"")</f>
        <v>7</v>
      </c>
    </row>
    <row r="785" spans="2:18" x14ac:dyDescent="0.25">
      <c r="B785" s="15" t="str">
        <f t="shared" si="73"/>
        <v>2104-83-306592</v>
      </c>
      <c r="C785" s="7">
        <v>44298</v>
      </c>
      <c r="D785" s="5" t="str">
        <f>IF(BD_DETALLE!$E785&gt;=1,CONCATENATE(TEXT(BD_DETALLE!$C785,"YY"),TEXT(BD_DETALLE!$C785,"MM"),"-",BD_DETALLE!$E785),"")</f>
        <v>2104-83</v>
      </c>
      <c r="E785" s="12">
        <v>83</v>
      </c>
      <c r="F785" s="21">
        <v>306592</v>
      </c>
      <c r="G785" s="4" t="str">
        <f>IFERROR(VLOOKUP(BD_DETALLE!$B785,Tabla9[],6,0),"")</f>
        <v>RETENEDOR 40 x 60 x 10</v>
      </c>
      <c r="H785" s="6">
        <f>IFERROR(VLOOKUP(BD_DETALLE!$B785,Tabla9[],4,0),0)</f>
        <v>6</v>
      </c>
      <c r="I785" s="19" t="s">
        <v>12</v>
      </c>
      <c r="J785" s="20" t="s">
        <v>1860</v>
      </c>
      <c r="K785" s="10">
        <f>IFERROR(VLOOKUP(BD_DETALLE!B785,Tabla9[],7,0),"")</f>
        <v>0</v>
      </c>
      <c r="L785" s="11">
        <f>IFERROR(VLOOKUP(BD_DETALLE!B785,Tabla9[],8,0),"")</f>
        <v>0</v>
      </c>
      <c r="M785" s="9">
        <f>IFERROR(SUMIFS(Tabla9[CANTIDAD2],Tabla9[BUSQUEDA],Tabla3[[#This Row],[BUSQUEDA]],Tabla9[CODIGO],Tabla3[[#This Row],[CODIGO]],Tabla9[ORDEN No.],Tabla3[[#This Row],[ORDEN de COMPRA]]),0)</f>
        <v>0</v>
      </c>
      <c r="N785" s="27">
        <f>IFERROR(IF(BD_DETALLE!B785&gt;0,VLOOKUP(BD_DETALLE!B785,Tabla9[],10,0),""),"")</f>
        <v>0</v>
      </c>
      <c r="O785" s="28">
        <f>IFERROR(VLOOKUP(BD_DETALLE!B785,Tabla9[],11,0),0)</f>
        <v>0</v>
      </c>
      <c r="P785" s="26">
        <f>IFERROR(SUMIFS(Tabla9[CANTIDAD3],Tabla9[BUSQUEDA],Tabla3[[#This Row],[BUSQUEDA]],Tabla9[CODIGO],Tabla3[[#This Row],[CODIGO]]),0)</f>
        <v>0</v>
      </c>
      <c r="Q785" s="25">
        <f>IF(BD_DETALLE!P785&lt;=0,0,IF(BD_DETALLE!P785=BD_DETALLE!H785,2,1))</f>
        <v>0</v>
      </c>
      <c r="R785" s="41">
        <f ca="1">IF(BD_DETALLE!$C785&gt;0,(IF(BD_DETALLE!$N785=0,TODAY()-BD_DETALLE!$C785,BD_DETALLE!$N785-BD_DETALLE!$C785)),"")</f>
        <v>7</v>
      </c>
    </row>
    <row r="786" spans="2:18" x14ac:dyDescent="0.25">
      <c r="B786" s="15" t="str">
        <f t="shared" si="73"/>
        <v>2104-83-321079</v>
      </c>
      <c r="C786" s="7">
        <v>44298</v>
      </c>
      <c r="D786" s="5" t="str">
        <f>IF(BD_DETALLE!$E786&gt;=1,CONCATENATE(TEXT(BD_DETALLE!$C786,"YY"),TEXT(BD_DETALLE!$C786,"MM"),"-",BD_DETALLE!$E786),"")</f>
        <v>2104-83</v>
      </c>
      <c r="E786" s="12">
        <v>83</v>
      </c>
      <c r="F786" s="21">
        <v>321079</v>
      </c>
      <c r="G786" s="4" t="str">
        <f>IFERROR(VLOOKUP(BD_DETALLE!$B786,Tabla9[],6,0),"")</f>
        <v>EJE DE BRONCE DULCE DE 3"</v>
      </c>
      <c r="H786" s="6">
        <f>IFERROR(VLOOKUP(BD_DETALLE!$B786,Tabla9[],4,0),0)</f>
        <v>1</v>
      </c>
      <c r="I786" s="19" t="s">
        <v>12</v>
      </c>
      <c r="J786" s="20" t="s">
        <v>1860</v>
      </c>
      <c r="K786" s="10">
        <f>IFERROR(VLOOKUP(BD_DETALLE!B786,Tabla9[],7,0),"")</f>
        <v>0</v>
      </c>
      <c r="L786" s="11">
        <f>IFERROR(VLOOKUP(BD_DETALLE!B786,Tabla9[],8,0),"")</f>
        <v>0</v>
      </c>
      <c r="M786" s="9">
        <f>IFERROR(SUMIFS(Tabla9[CANTIDAD2],Tabla9[BUSQUEDA],Tabla3[[#This Row],[BUSQUEDA]],Tabla9[CODIGO],Tabla3[[#This Row],[CODIGO]],Tabla9[ORDEN No.],Tabla3[[#This Row],[ORDEN de COMPRA]]),0)</f>
        <v>0</v>
      </c>
      <c r="N786" s="27">
        <f>IFERROR(IF(BD_DETALLE!B786&gt;0,VLOOKUP(BD_DETALLE!B786,Tabla9[],10,0),""),"")</f>
        <v>0</v>
      </c>
      <c r="O786" s="28">
        <f>IFERROR(VLOOKUP(BD_DETALLE!B786,Tabla9[],11,0),0)</f>
        <v>0</v>
      </c>
      <c r="P786" s="26">
        <f>IFERROR(SUMIFS(Tabla9[CANTIDAD3],Tabla9[BUSQUEDA],Tabla3[[#This Row],[BUSQUEDA]],Tabla9[CODIGO],Tabla3[[#This Row],[CODIGO]]),0)</f>
        <v>0</v>
      </c>
      <c r="Q786" s="25">
        <f>IF(BD_DETALLE!P786&lt;=0,0,IF(BD_DETALLE!P786=BD_DETALLE!H786,2,1))</f>
        <v>0</v>
      </c>
      <c r="R786" s="41">
        <f ca="1">IF(BD_DETALLE!$C786&gt;0,(IF(BD_DETALLE!$N786=0,TODAY()-BD_DETALLE!$C786,BD_DETALLE!$N786-BD_DETALLE!$C786)),"")</f>
        <v>7</v>
      </c>
    </row>
    <row r="787" spans="2:18" x14ac:dyDescent="0.25">
      <c r="B787" s="15" t="str">
        <f t="shared" si="73"/>
        <v>2104-83-321080</v>
      </c>
      <c r="C787" s="7">
        <v>44298</v>
      </c>
      <c r="D787" s="5" t="str">
        <f>IF(BD_DETALLE!$E787&gt;=1,CONCATENATE(TEXT(BD_DETALLE!$C787,"YY"),TEXT(BD_DETALLE!$C787,"MM"),"-",BD_DETALLE!$E787),"")</f>
        <v>2104-83</v>
      </c>
      <c r="E787" s="12">
        <v>83</v>
      </c>
      <c r="F787" s="21">
        <v>321080</v>
      </c>
      <c r="G787" s="4" t="str">
        <f>IFERROR(VLOOKUP(BD_DETALLE!$B787,Tabla9[],6,0),"")</f>
        <v>EJE DE BRONCE DULCE DE 1.1/2"</v>
      </c>
      <c r="H787" s="6">
        <f>IFERROR(VLOOKUP(BD_DETALLE!$B787,Tabla9[],4,0),0)</f>
        <v>1</v>
      </c>
      <c r="I787" s="19" t="s">
        <v>12</v>
      </c>
      <c r="J787" s="20" t="s">
        <v>1860</v>
      </c>
      <c r="K787" s="10">
        <f>IFERROR(VLOOKUP(BD_DETALLE!B787,Tabla9[],7,0),"")</f>
        <v>0</v>
      </c>
      <c r="L787" s="11">
        <f>IFERROR(VLOOKUP(BD_DETALLE!B787,Tabla9[],8,0),"")</f>
        <v>0</v>
      </c>
      <c r="M787" s="9">
        <f>IFERROR(SUMIFS(Tabla9[CANTIDAD2],Tabla9[BUSQUEDA],Tabla3[[#This Row],[BUSQUEDA]],Tabla9[CODIGO],Tabla3[[#This Row],[CODIGO]],Tabla9[ORDEN No.],Tabla3[[#This Row],[ORDEN de COMPRA]]),0)</f>
        <v>0</v>
      </c>
      <c r="N787" s="27">
        <f>IFERROR(IF(BD_DETALLE!B787&gt;0,VLOOKUP(BD_DETALLE!B787,Tabla9[],10,0),""),"")</f>
        <v>0</v>
      </c>
      <c r="O787" s="28">
        <f>IFERROR(VLOOKUP(BD_DETALLE!B787,Tabla9[],11,0),0)</f>
        <v>0</v>
      </c>
      <c r="P787" s="26">
        <f>IFERROR(SUMIFS(Tabla9[CANTIDAD3],Tabla9[BUSQUEDA],Tabla3[[#This Row],[BUSQUEDA]],Tabla9[CODIGO],Tabla3[[#This Row],[CODIGO]]),0)</f>
        <v>0</v>
      </c>
      <c r="Q787" s="25">
        <f>IF(BD_DETALLE!P787&lt;=0,0,IF(BD_DETALLE!P787=BD_DETALLE!H787,2,1))</f>
        <v>0</v>
      </c>
      <c r="R787" s="41">
        <f ca="1">IF(BD_DETALLE!$C787&gt;0,(IF(BD_DETALLE!$N787=0,TODAY()-BD_DETALLE!$C787,BD_DETALLE!$N787-BD_DETALLE!$C787)),"")</f>
        <v>7</v>
      </c>
    </row>
    <row r="788" spans="2:18" x14ac:dyDescent="0.25">
      <c r="B788" s="15" t="str">
        <f t="shared" si="73"/>
        <v>2104-84-204191</v>
      </c>
      <c r="C788" s="7">
        <v>44298</v>
      </c>
      <c r="D788" s="5" t="str">
        <f>IF(BD_DETALLE!$E788&gt;=1,CONCATENATE(TEXT(BD_DETALLE!$C788,"YY"),TEXT(BD_DETALLE!$C788,"MM"),"-",BD_DETALLE!$E788),"")</f>
        <v>2104-84</v>
      </c>
      <c r="E788" s="12">
        <v>84</v>
      </c>
      <c r="F788" s="21">
        <v>204191</v>
      </c>
      <c r="G788" s="4" t="str">
        <f>IFERROR(VLOOKUP(BD_DETALLE!$B788,Tabla9[],6,0),"")</f>
        <v>CABLE CONCENTRICO 4 x 14</v>
      </c>
      <c r="H788" s="6">
        <f>IFERROR(VLOOKUP(BD_DETALLE!$B788,Tabla9[],4,0),0)</f>
        <v>50</v>
      </c>
      <c r="I788" s="19" t="s">
        <v>14</v>
      </c>
      <c r="J788" s="20" t="s">
        <v>2320</v>
      </c>
      <c r="K788" s="10">
        <f>IFERROR(VLOOKUP(BD_DETALLE!B788,Tabla9[],7,0),"")</f>
        <v>0</v>
      </c>
      <c r="L788" s="11">
        <f>IFERROR(VLOOKUP(BD_DETALLE!B788,Tabla9[],8,0),"")</f>
        <v>0</v>
      </c>
      <c r="M788" s="9">
        <f>IFERROR(SUMIFS(Tabla9[CANTIDAD2],Tabla9[BUSQUEDA],Tabla3[[#This Row],[BUSQUEDA]],Tabla9[CODIGO],Tabla3[[#This Row],[CODIGO]],Tabla9[ORDEN No.],Tabla3[[#This Row],[ORDEN de COMPRA]]),0)</f>
        <v>0</v>
      </c>
      <c r="N788" s="27">
        <f>IFERROR(IF(BD_DETALLE!B788&gt;0,VLOOKUP(BD_DETALLE!B788,Tabla9[],10,0),""),"")</f>
        <v>0</v>
      </c>
      <c r="O788" s="28">
        <f>IFERROR(VLOOKUP(BD_DETALLE!B788,Tabla9[],11,0),0)</f>
        <v>0</v>
      </c>
      <c r="P788" s="26">
        <f>IFERROR(SUMIFS(Tabla9[CANTIDAD3],Tabla9[BUSQUEDA],Tabla3[[#This Row],[BUSQUEDA]],Tabla9[CODIGO],Tabla3[[#This Row],[CODIGO]]),0)</f>
        <v>0</v>
      </c>
      <c r="Q788" s="25">
        <f>IF(BD_DETALLE!P788&lt;=0,0,IF(BD_DETALLE!P788=BD_DETALLE!H788,2,1))</f>
        <v>0</v>
      </c>
      <c r="R788" s="41">
        <f ca="1">IF(BD_DETALLE!$C788&gt;0,(IF(BD_DETALLE!$N788=0,TODAY()-BD_DETALLE!$C788,BD_DETALLE!$N788-BD_DETALLE!$C788)),"")</f>
        <v>7</v>
      </c>
    </row>
    <row r="789" spans="2:18" x14ac:dyDescent="0.25">
      <c r="B789" s="15" t="str">
        <f t="shared" si="73"/>
        <v>2104-84-203373</v>
      </c>
      <c r="C789" s="7">
        <v>44298</v>
      </c>
      <c r="D789" s="5" t="str">
        <f>IF(BD_DETALLE!$E789&gt;=1,CONCATENATE(TEXT(BD_DETALLE!$C789,"YY"),TEXT(BD_DETALLE!$C789,"MM"),"-",BD_DETALLE!$E789),"")</f>
        <v>2104-84</v>
      </c>
      <c r="E789" s="12">
        <v>84</v>
      </c>
      <c r="F789" s="21">
        <v>203373</v>
      </c>
      <c r="G789" s="4" t="str">
        <f>IFERROR(VLOOKUP(BD_DETALLE!$B789,Tabla9[],6,0),"")</f>
        <v>BOTONERA ARRANQUE Y PARE</v>
      </c>
      <c r="H789" s="6">
        <f>IFERROR(VLOOKUP(BD_DETALLE!$B789,Tabla9[],4,0),0)</f>
        <v>2</v>
      </c>
      <c r="I789" s="19" t="s">
        <v>14</v>
      </c>
      <c r="J789" s="20" t="s">
        <v>2320</v>
      </c>
      <c r="K789" s="10">
        <f>IFERROR(VLOOKUP(BD_DETALLE!B789,Tabla9[],7,0),"")</f>
        <v>0</v>
      </c>
      <c r="L789" s="11">
        <f>IFERROR(VLOOKUP(BD_DETALLE!B789,Tabla9[],8,0),"")</f>
        <v>0</v>
      </c>
      <c r="M789" s="9">
        <f>IFERROR(SUMIFS(Tabla9[CANTIDAD2],Tabla9[BUSQUEDA],Tabla3[[#This Row],[BUSQUEDA]],Tabla9[CODIGO],Tabla3[[#This Row],[CODIGO]],Tabla9[ORDEN No.],Tabla3[[#This Row],[ORDEN de COMPRA]]),0)</f>
        <v>0</v>
      </c>
      <c r="N789" s="27">
        <f>IFERROR(IF(BD_DETALLE!B789&gt;0,VLOOKUP(BD_DETALLE!B789,Tabla9[],10,0),""),"")</f>
        <v>0</v>
      </c>
      <c r="O789" s="28">
        <f>IFERROR(VLOOKUP(BD_DETALLE!B789,Tabla9[],11,0),0)</f>
        <v>0</v>
      </c>
      <c r="P789" s="26">
        <f>IFERROR(SUMIFS(Tabla9[CANTIDAD3],Tabla9[BUSQUEDA],Tabla3[[#This Row],[BUSQUEDA]],Tabla9[CODIGO],Tabla3[[#This Row],[CODIGO]]),0)</f>
        <v>0</v>
      </c>
      <c r="Q789" s="25">
        <f>IF(BD_DETALLE!P789&lt;=0,0,IF(BD_DETALLE!P789=BD_DETALLE!H789,2,1))</f>
        <v>0</v>
      </c>
      <c r="R789" s="41">
        <f ca="1">IF(BD_DETALLE!$C789&gt;0,(IF(BD_DETALLE!$N789=0,TODAY()-BD_DETALLE!$C789,BD_DETALLE!$N789-BD_DETALLE!$C789)),"")</f>
        <v>7</v>
      </c>
    </row>
    <row r="790" spans="2:18" x14ac:dyDescent="0.25">
      <c r="B790" s="15" t="str">
        <f t="shared" si="73"/>
        <v>2104-84-300804</v>
      </c>
      <c r="C790" s="7">
        <v>44298</v>
      </c>
      <c r="D790" s="5" t="str">
        <f>IF(BD_DETALLE!$E790&gt;=1,CONCATENATE(TEXT(BD_DETALLE!$C790,"YY"),TEXT(BD_DETALLE!$C790,"MM"),"-",BD_DETALLE!$E790),"")</f>
        <v>2104-84</v>
      </c>
      <c r="E790" s="12">
        <v>84</v>
      </c>
      <c r="F790" s="21">
        <v>300804</v>
      </c>
      <c r="G790" s="4" t="str">
        <f>IFERROR(VLOOKUP(BD_DETALLE!$B790,Tabla9[],6,0),"")</f>
        <v>CABLE CONCENTRICO 4 x 18 AWG</v>
      </c>
      <c r="H790" s="6">
        <f>IFERROR(VLOOKUP(BD_DETALLE!$B790,Tabla9[],4,0),0)</f>
        <v>50</v>
      </c>
      <c r="I790" s="19" t="s">
        <v>14</v>
      </c>
      <c r="J790" s="20" t="s">
        <v>2320</v>
      </c>
      <c r="K790" s="10">
        <f>IFERROR(VLOOKUP(BD_DETALLE!B790,Tabla9[],7,0),"")</f>
        <v>0</v>
      </c>
      <c r="L790" s="11">
        <f>IFERROR(VLOOKUP(BD_DETALLE!B790,Tabla9[],8,0),"")</f>
        <v>0</v>
      </c>
      <c r="M790" s="9">
        <f>IFERROR(SUMIFS(Tabla9[CANTIDAD2],Tabla9[BUSQUEDA],Tabla3[[#This Row],[BUSQUEDA]],Tabla9[CODIGO],Tabla3[[#This Row],[CODIGO]],Tabla9[ORDEN No.],Tabla3[[#This Row],[ORDEN de COMPRA]]),0)</f>
        <v>0</v>
      </c>
      <c r="N790" s="27">
        <f>IFERROR(IF(BD_DETALLE!B790&gt;0,VLOOKUP(BD_DETALLE!B790,Tabla9[],10,0),""),"")</f>
        <v>0</v>
      </c>
      <c r="O790" s="28">
        <f>IFERROR(VLOOKUP(BD_DETALLE!B790,Tabla9[],11,0),0)</f>
        <v>0</v>
      </c>
      <c r="P790" s="26">
        <f>IFERROR(SUMIFS(Tabla9[CANTIDAD3],Tabla9[BUSQUEDA],Tabla3[[#This Row],[BUSQUEDA]],Tabla9[CODIGO],Tabla3[[#This Row],[CODIGO]]),0)</f>
        <v>0</v>
      </c>
      <c r="Q790" s="25">
        <f>IF(BD_DETALLE!P790&lt;=0,0,IF(BD_DETALLE!P790=BD_DETALLE!H790,2,1))</f>
        <v>0</v>
      </c>
      <c r="R790" s="41">
        <f ca="1">IF(BD_DETALLE!$C790&gt;0,(IF(BD_DETALLE!$N790=0,TODAY()-BD_DETALLE!$C790,BD_DETALLE!$N790-BD_DETALLE!$C790)),"")</f>
        <v>7</v>
      </c>
    </row>
    <row r="791" spans="2:18" x14ac:dyDescent="0.25">
      <c r="B791" s="15" t="str">
        <f t="shared" si="73"/>
        <v>2104-85-201358</v>
      </c>
      <c r="C791" s="7">
        <v>44298</v>
      </c>
      <c r="D791" s="5" t="str">
        <f>IF(BD_DETALLE!$E791&gt;=1,CONCATENATE(TEXT(BD_DETALLE!$C791,"YY"),TEXT(BD_DETALLE!$C791,"MM"),"-",BD_DETALLE!$E791),"")</f>
        <v>2104-85</v>
      </c>
      <c r="E791" s="12">
        <v>85</v>
      </c>
      <c r="F791" s="21">
        <v>201358</v>
      </c>
      <c r="G791" s="4" t="str">
        <f>IFERROR(VLOOKUP(BD_DETALLE!$B791,Tabla9[],6,0),"")</f>
        <v>NIVEL DE 18" STANLEY</v>
      </c>
      <c r="H791" s="6">
        <f>IFERROR(VLOOKUP(BD_DETALLE!$B791,Tabla9[],4,0),0)</f>
        <v>1</v>
      </c>
      <c r="I791" s="19" t="s">
        <v>3</v>
      </c>
      <c r="J791" s="20" t="s">
        <v>2321</v>
      </c>
      <c r="K791" s="10">
        <f>IFERROR(VLOOKUP(BD_DETALLE!B791,Tabla9[],7,0),"")</f>
        <v>0</v>
      </c>
      <c r="L791" s="11">
        <f>IFERROR(VLOOKUP(BD_DETALLE!B791,Tabla9[],8,0),"")</f>
        <v>0</v>
      </c>
      <c r="M791" s="9">
        <f>IFERROR(SUMIFS(Tabla9[CANTIDAD2],Tabla9[BUSQUEDA],Tabla3[[#This Row],[BUSQUEDA]],Tabla9[CODIGO],Tabla3[[#This Row],[CODIGO]],Tabla9[ORDEN No.],Tabla3[[#This Row],[ORDEN de COMPRA]]),0)</f>
        <v>0</v>
      </c>
      <c r="N791" s="27">
        <f>IFERROR(IF(BD_DETALLE!B791&gt;0,VLOOKUP(BD_DETALLE!B791,Tabla9[],10,0),""),"")</f>
        <v>44298</v>
      </c>
      <c r="O791" s="28">
        <f>IFERROR(VLOOKUP(BD_DETALLE!B791,Tabla9[],11,0),0)</f>
        <v>11792</v>
      </c>
      <c r="P791" s="26">
        <f>IFERROR(SUMIFS(Tabla9[CANTIDAD3],Tabla9[BUSQUEDA],Tabla3[[#This Row],[BUSQUEDA]],Tabla9[CODIGO],Tabla3[[#This Row],[CODIGO]]),0)</f>
        <v>1</v>
      </c>
      <c r="Q791" s="25">
        <f>IF(BD_DETALLE!P791&lt;=0,0,IF(BD_DETALLE!P791=BD_DETALLE!H791,2,1))</f>
        <v>2</v>
      </c>
      <c r="R791" s="41">
        <f ca="1">IF(BD_DETALLE!$C791&gt;0,(IF(BD_DETALLE!$N791=0,TODAY()-BD_DETALLE!$C791,BD_DETALLE!$N791-BD_DETALLE!$C791)),"")</f>
        <v>0</v>
      </c>
    </row>
    <row r="792" spans="2:18" x14ac:dyDescent="0.25">
      <c r="B792" s="15" t="str">
        <f t="shared" si="73"/>
        <v>2104-85-204151</v>
      </c>
      <c r="C792" s="7">
        <v>44298</v>
      </c>
      <c r="D792" s="5" t="str">
        <f>IF(BD_DETALLE!$E792&gt;=1,CONCATENATE(TEXT(BD_DETALLE!$C792,"YY"),TEXT(BD_DETALLE!$C792,"MM"),"-",BD_DETALLE!$E792),"")</f>
        <v>2104-85</v>
      </c>
      <c r="E792" s="12">
        <v>85</v>
      </c>
      <c r="F792" s="21">
        <v>204151</v>
      </c>
      <c r="G792" s="4" t="str">
        <f>IFERROR(VLOOKUP(BD_DETALLE!$B792,Tabla9[],6,0),"")</f>
        <v>ESCUADRA</v>
      </c>
      <c r="H792" s="6">
        <f>IFERROR(VLOOKUP(BD_DETALLE!$B792,Tabla9[],4,0),0)</f>
        <v>1</v>
      </c>
      <c r="I792" s="19" t="s">
        <v>3</v>
      </c>
      <c r="J792" s="20" t="s">
        <v>2321</v>
      </c>
      <c r="K792" s="10">
        <f>IFERROR(VLOOKUP(BD_DETALLE!B792,Tabla9[],7,0),"")</f>
        <v>0</v>
      </c>
      <c r="L792" s="11">
        <f>IFERROR(VLOOKUP(BD_DETALLE!B792,Tabla9[],8,0),"")</f>
        <v>0</v>
      </c>
      <c r="M792" s="9">
        <f>IFERROR(SUMIFS(Tabla9[CANTIDAD2],Tabla9[BUSQUEDA],Tabla3[[#This Row],[BUSQUEDA]],Tabla9[CODIGO],Tabla3[[#This Row],[CODIGO]],Tabla9[ORDEN No.],Tabla3[[#This Row],[ORDEN de COMPRA]]),0)</f>
        <v>0</v>
      </c>
      <c r="N792" s="27">
        <f>IFERROR(IF(BD_DETALLE!B792&gt;0,VLOOKUP(BD_DETALLE!B792,Tabla9[],10,0),""),"")</f>
        <v>44298</v>
      </c>
      <c r="O792" s="28">
        <f>IFERROR(VLOOKUP(BD_DETALLE!B792,Tabla9[],11,0),0)</f>
        <v>11792</v>
      </c>
      <c r="P792" s="26">
        <f>IFERROR(SUMIFS(Tabla9[CANTIDAD3],Tabla9[BUSQUEDA],Tabla3[[#This Row],[BUSQUEDA]],Tabla9[CODIGO],Tabla3[[#This Row],[CODIGO]]),0)</f>
        <v>1</v>
      </c>
      <c r="Q792" s="25">
        <f>IF(BD_DETALLE!P792&lt;=0,0,IF(BD_DETALLE!P792=BD_DETALLE!H792,2,1))</f>
        <v>2</v>
      </c>
      <c r="R792" s="41">
        <f ca="1">IF(BD_DETALLE!$C792&gt;0,(IF(BD_DETALLE!$N792=0,TODAY()-BD_DETALLE!$C792,BD_DETALLE!$N792-BD_DETALLE!$C792)),"")</f>
        <v>0</v>
      </c>
    </row>
    <row r="793" spans="2:18" x14ac:dyDescent="0.25">
      <c r="B793" s="15" t="str">
        <f t="shared" si="73"/>
        <v>2104-86-204052</v>
      </c>
      <c r="C793" s="7">
        <v>44298</v>
      </c>
      <c r="D793" s="5" t="str">
        <f>IF(BD_DETALLE!$E793&gt;=1,CONCATENATE(TEXT(BD_DETALLE!$C793,"YY"),TEXT(BD_DETALLE!$C793,"MM"),"-",BD_DETALLE!$E793),"")</f>
        <v>2104-86</v>
      </c>
      <c r="E793" s="12">
        <v>86</v>
      </c>
      <c r="F793" s="21">
        <v>204052</v>
      </c>
      <c r="G793" s="4" t="str">
        <f>IFERROR(VLOOKUP(BD_DETALLE!$B793,Tabla9[],6,0),"")</f>
        <v>FOTOCELULA</v>
      </c>
      <c r="H793" s="6">
        <f>IFERROR(VLOOKUP(BD_DETALLE!$B793,Tabla9[],4,0),0)</f>
        <v>3</v>
      </c>
      <c r="I793" s="19" t="s">
        <v>14</v>
      </c>
      <c r="J793" s="20" t="s">
        <v>2322</v>
      </c>
      <c r="K793" s="10">
        <f>IFERROR(VLOOKUP(BD_DETALLE!B793,Tabla9[],7,0),"")</f>
        <v>0</v>
      </c>
      <c r="L793" s="11">
        <f>IFERROR(VLOOKUP(BD_DETALLE!B793,Tabla9[],8,0),"")</f>
        <v>0</v>
      </c>
      <c r="M793" s="9">
        <f>IFERROR(SUMIFS(Tabla9[CANTIDAD2],Tabla9[BUSQUEDA],Tabla3[[#This Row],[BUSQUEDA]],Tabla9[CODIGO],Tabla3[[#This Row],[CODIGO]],Tabla9[ORDEN No.],Tabla3[[#This Row],[ORDEN de COMPRA]]),0)</f>
        <v>0</v>
      </c>
      <c r="N793" s="27">
        <f>IFERROR(IF(BD_DETALLE!B793&gt;0,VLOOKUP(BD_DETALLE!B793,Tabla9[],10,0),""),"")</f>
        <v>0</v>
      </c>
      <c r="O793" s="28">
        <f>IFERROR(VLOOKUP(BD_DETALLE!B793,Tabla9[],11,0),0)</f>
        <v>0</v>
      </c>
      <c r="P793" s="26">
        <f>IFERROR(SUMIFS(Tabla9[CANTIDAD3],Tabla9[BUSQUEDA],Tabla3[[#This Row],[BUSQUEDA]],Tabla9[CODIGO],Tabla3[[#This Row],[CODIGO]]),0)</f>
        <v>0</v>
      </c>
      <c r="Q793" s="25">
        <f>IF(BD_DETALLE!P793&lt;=0,0,IF(BD_DETALLE!P793=BD_DETALLE!H793,2,1))</f>
        <v>0</v>
      </c>
      <c r="R793" s="41">
        <f ca="1">IF(BD_DETALLE!$C793&gt;0,(IF(BD_DETALLE!$N793=0,TODAY()-BD_DETALLE!$C793,BD_DETALLE!$N793-BD_DETALLE!$C793)),"")</f>
        <v>7</v>
      </c>
    </row>
    <row r="794" spans="2:18" x14ac:dyDescent="0.25">
      <c r="B794" s="15" t="str">
        <f t="shared" si="73"/>
        <v>2104-86-204597</v>
      </c>
      <c r="C794" s="7">
        <v>44298</v>
      </c>
      <c r="D794" s="5" t="str">
        <f>IF(BD_DETALLE!$E794&gt;=1,CONCATENATE(TEXT(BD_DETALLE!$C794,"YY"),TEXT(BD_DETALLE!$C794,"MM"),"-",BD_DETALLE!$E794),"")</f>
        <v>2104-86</v>
      </c>
      <c r="E794" s="12">
        <v>86</v>
      </c>
      <c r="F794" s="21">
        <v>204597</v>
      </c>
      <c r="G794" s="4" t="str">
        <f>IFERROR(VLOOKUP(BD_DETALLE!$B794,Tabla9[],6,0),"")</f>
        <v>CABLE CONCENTRICO 2 X 12</v>
      </c>
      <c r="H794" s="6">
        <f>IFERROR(VLOOKUP(BD_DETALLE!$B794,Tabla9[],4,0),0)</f>
        <v>140</v>
      </c>
      <c r="I794" s="19" t="s">
        <v>14</v>
      </c>
      <c r="J794" s="20" t="s">
        <v>2322</v>
      </c>
      <c r="K794" s="10">
        <f>IFERROR(VLOOKUP(BD_DETALLE!B794,Tabla9[],7,0),"")</f>
        <v>0</v>
      </c>
      <c r="L794" s="11">
        <f>IFERROR(VLOOKUP(BD_DETALLE!B794,Tabla9[],8,0),"")</f>
        <v>0</v>
      </c>
      <c r="M794" s="9">
        <f>IFERROR(SUMIFS(Tabla9[CANTIDAD2],Tabla9[BUSQUEDA],Tabla3[[#This Row],[BUSQUEDA]],Tabla9[CODIGO],Tabla3[[#This Row],[CODIGO]],Tabla9[ORDEN No.],Tabla3[[#This Row],[ORDEN de COMPRA]]),0)</f>
        <v>0</v>
      </c>
      <c r="N794" s="27">
        <f>IFERROR(IF(BD_DETALLE!B794&gt;0,VLOOKUP(BD_DETALLE!B794,Tabla9[],10,0),""),"")</f>
        <v>0</v>
      </c>
      <c r="O794" s="28">
        <f>IFERROR(VLOOKUP(BD_DETALLE!B794,Tabla9[],11,0),0)</f>
        <v>0</v>
      </c>
      <c r="P794" s="26">
        <f>IFERROR(SUMIFS(Tabla9[CANTIDAD3],Tabla9[BUSQUEDA],Tabla3[[#This Row],[BUSQUEDA]],Tabla9[CODIGO],Tabla3[[#This Row],[CODIGO]]),0)</f>
        <v>0</v>
      </c>
      <c r="Q794" s="25">
        <f>IF(BD_DETALLE!P794&lt;=0,0,IF(BD_DETALLE!P794=BD_DETALLE!H794,2,1))</f>
        <v>0</v>
      </c>
      <c r="R794" s="41">
        <f ca="1">IF(BD_DETALLE!$C794&gt;0,(IF(BD_DETALLE!$N794=0,TODAY()-BD_DETALLE!$C794,BD_DETALLE!$N794-BD_DETALLE!$C794)),"")</f>
        <v>7</v>
      </c>
    </row>
    <row r="795" spans="2:18" x14ac:dyDescent="0.25">
      <c r="B795" s="15" t="str">
        <f t="shared" si="73"/>
        <v>2104-86-206151</v>
      </c>
      <c r="C795" s="7">
        <v>44298</v>
      </c>
      <c r="D795" s="5" t="str">
        <f>IF(BD_DETALLE!$E795&gt;=1,CONCATENATE(TEXT(BD_DETALLE!$C795,"YY"),TEXT(BD_DETALLE!$C795,"MM"),"-",BD_DETALLE!$E795),"")</f>
        <v>2104-86</v>
      </c>
      <c r="E795" s="12">
        <v>86</v>
      </c>
      <c r="F795" s="21">
        <v>206151</v>
      </c>
      <c r="G795" s="4" t="str">
        <f>IFERROR(VLOOKUP(BD_DETALLE!$B795,Tabla9[],6,0),"")</f>
        <v>BASE P/FOTOCELULA</v>
      </c>
      <c r="H795" s="6">
        <f>IFERROR(VLOOKUP(BD_DETALLE!$B795,Tabla9[],4,0),0)</f>
        <v>3</v>
      </c>
      <c r="I795" s="19" t="s">
        <v>14</v>
      </c>
      <c r="J795" s="20" t="s">
        <v>2322</v>
      </c>
      <c r="K795" s="10">
        <f>IFERROR(VLOOKUP(BD_DETALLE!B795,Tabla9[],7,0),"")</f>
        <v>0</v>
      </c>
      <c r="L795" s="11">
        <f>IFERROR(VLOOKUP(BD_DETALLE!B795,Tabla9[],8,0),"")</f>
        <v>0</v>
      </c>
      <c r="M795" s="9">
        <f>IFERROR(SUMIFS(Tabla9[CANTIDAD2],Tabla9[BUSQUEDA],Tabla3[[#This Row],[BUSQUEDA]],Tabla9[CODIGO],Tabla3[[#This Row],[CODIGO]],Tabla9[ORDEN No.],Tabla3[[#This Row],[ORDEN de COMPRA]]),0)</f>
        <v>0</v>
      </c>
      <c r="N795" s="27">
        <f>IFERROR(IF(BD_DETALLE!B795&gt;0,VLOOKUP(BD_DETALLE!B795,Tabla9[],10,0),""),"")</f>
        <v>0</v>
      </c>
      <c r="O795" s="28">
        <f>IFERROR(VLOOKUP(BD_DETALLE!B795,Tabla9[],11,0),0)</f>
        <v>0</v>
      </c>
      <c r="P795" s="26">
        <f>IFERROR(SUMIFS(Tabla9[CANTIDAD3],Tabla9[BUSQUEDA],Tabla3[[#This Row],[BUSQUEDA]],Tabla9[CODIGO],Tabla3[[#This Row],[CODIGO]]),0)</f>
        <v>0</v>
      </c>
      <c r="Q795" s="25">
        <f>IF(BD_DETALLE!P795&lt;=0,0,IF(BD_DETALLE!P795=BD_DETALLE!H795,2,1))</f>
        <v>0</v>
      </c>
      <c r="R795" s="41">
        <f ca="1">IF(BD_DETALLE!$C795&gt;0,(IF(BD_DETALLE!$N795=0,TODAY()-BD_DETALLE!$C795,BD_DETALLE!$N795-BD_DETALLE!$C795)),"")</f>
        <v>7</v>
      </c>
    </row>
    <row r="796" spans="2:18" x14ac:dyDescent="0.25">
      <c r="B796" s="15" t="str">
        <f t="shared" si="73"/>
        <v>2104-87-306194</v>
      </c>
      <c r="C796" s="7">
        <v>44298</v>
      </c>
      <c r="D796" s="5" t="str">
        <f>IF(BD_DETALLE!$E796&gt;=1,CONCATENATE(TEXT(BD_DETALLE!$C796,"YY"),TEXT(BD_DETALLE!$C796,"MM"),"-",BD_DETALLE!$E796),"")</f>
        <v>2104-87</v>
      </c>
      <c r="E796" s="12">
        <v>87</v>
      </c>
      <c r="F796" s="21">
        <v>306194</v>
      </c>
      <c r="G796" s="4" t="str">
        <f>IFERROR(VLOOKUP(BD_DETALLE!$B796,Tabla9[],6,0),"")</f>
        <v>PINTURA ESMALTE NEGRO</v>
      </c>
      <c r="H796" s="6">
        <f>IFERROR(VLOOKUP(BD_DETALLE!$B796,Tabla9[],4,0),0)</f>
        <v>5</v>
      </c>
      <c r="I796" s="19" t="s">
        <v>2</v>
      </c>
      <c r="J796" s="20" t="s">
        <v>2323</v>
      </c>
      <c r="K796" s="10">
        <f>IFERROR(VLOOKUP(BD_DETALLE!B796,Tabla9[],7,0),"")</f>
        <v>0</v>
      </c>
      <c r="L796" s="11">
        <f>IFERROR(VLOOKUP(BD_DETALLE!B796,Tabla9[],8,0),"")</f>
        <v>0</v>
      </c>
      <c r="M796" s="9">
        <f>IFERROR(SUMIFS(Tabla9[CANTIDAD2],Tabla9[BUSQUEDA],Tabla3[[#This Row],[BUSQUEDA]],Tabla9[CODIGO],Tabla3[[#This Row],[CODIGO]],Tabla9[ORDEN No.],Tabla3[[#This Row],[ORDEN de COMPRA]]),0)</f>
        <v>0</v>
      </c>
      <c r="N796" s="27">
        <f>IFERROR(IF(BD_DETALLE!B796&gt;0,VLOOKUP(BD_DETALLE!B796,Tabla9[],10,0),""),"")</f>
        <v>44298</v>
      </c>
      <c r="O796" s="28">
        <f>IFERROR(VLOOKUP(BD_DETALLE!B796,Tabla9[],11,0),0)</f>
        <v>11793</v>
      </c>
      <c r="P796" s="26">
        <f>IFERROR(SUMIFS(Tabla9[CANTIDAD3],Tabla9[BUSQUEDA],Tabla3[[#This Row],[BUSQUEDA]],Tabla9[CODIGO],Tabla3[[#This Row],[CODIGO]]),0)</f>
        <v>5</v>
      </c>
      <c r="Q796" s="25">
        <f>IF(BD_DETALLE!P796&lt;=0,0,IF(BD_DETALLE!P796=BD_DETALLE!H796,2,1))</f>
        <v>2</v>
      </c>
      <c r="R796" s="41">
        <f ca="1">IF(BD_DETALLE!$C796&gt;0,(IF(BD_DETALLE!$N796=0,TODAY()-BD_DETALLE!$C796,BD_DETALLE!$N796-BD_DETALLE!$C796)),"")</f>
        <v>0</v>
      </c>
    </row>
    <row r="797" spans="2:18" x14ac:dyDescent="0.25">
      <c r="B797" s="15" t="str">
        <f t="shared" si="73"/>
        <v>2104-87-306238</v>
      </c>
      <c r="C797" s="7">
        <v>44298</v>
      </c>
      <c r="D797" s="5" t="str">
        <f>IF(BD_DETALLE!$E797&gt;=1,CONCATENATE(TEXT(BD_DETALLE!$C797,"YY"),TEXT(BD_DETALLE!$C797,"MM"),"-",BD_DETALLE!$E797),"")</f>
        <v>2104-87</v>
      </c>
      <c r="E797" s="12">
        <v>87</v>
      </c>
      <c r="F797" s="21">
        <v>306238</v>
      </c>
      <c r="G797" s="4" t="str">
        <f>IFERROR(VLOOKUP(BD_DETALLE!$B797,Tabla9[],6,0),"")</f>
        <v>CINTA MASKING DE 3/4"</v>
      </c>
      <c r="H797" s="6">
        <f>IFERROR(VLOOKUP(BD_DETALLE!$B797,Tabla9[],4,0),0)</f>
        <v>1</v>
      </c>
      <c r="I797" s="19" t="s">
        <v>2</v>
      </c>
      <c r="J797" s="20" t="s">
        <v>2323</v>
      </c>
      <c r="K797" s="10">
        <f>IFERROR(VLOOKUP(BD_DETALLE!B797,Tabla9[],7,0),"")</f>
        <v>0</v>
      </c>
      <c r="L797" s="11">
        <f>IFERROR(VLOOKUP(BD_DETALLE!B797,Tabla9[],8,0),"")</f>
        <v>0</v>
      </c>
      <c r="M797" s="9">
        <f>IFERROR(SUMIFS(Tabla9[CANTIDAD2],Tabla9[BUSQUEDA],Tabla3[[#This Row],[BUSQUEDA]],Tabla9[CODIGO],Tabla3[[#This Row],[CODIGO]],Tabla9[ORDEN No.],Tabla3[[#This Row],[ORDEN de COMPRA]]),0)</f>
        <v>0</v>
      </c>
      <c r="N797" s="27">
        <f>IFERROR(IF(BD_DETALLE!B797&gt;0,VLOOKUP(BD_DETALLE!B797,Tabla9[],10,0),""),"")</f>
        <v>44298</v>
      </c>
      <c r="O797" s="28">
        <f>IFERROR(VLOOKUP(BD_DETALLE!B797,Tabla9[],11,0),0)</f>
        <v>11793</v>
      </c>
      <c r="P797" s="26">
        <f>IFERROR(SUMIFS(Tabla9[CANTIDAD3],Tabla9[BUSQUEDA],Tabla3[[#This Row],[BUSQUEDA]],Tabla9[CODIGO],Tabla3[[#This Row],[CODIGO]]),0)</f>
        <v>1</v>
      </c>
      <c r="Q797" s="25">
        <f>IF(BD_DETALLE!P797&lt;=0,0,IF(BD_DETALLE!P797=BD_DETALLE!H797,2,1))</f>
        <v>2</v>
      </c>
      <c r="R797" s="41">
        <f ca="1">IF(BD_DETALLE!$C797&gt;0,(IF(BD_DETALLE!$N797=0,TODAY()-BD_DETALLE!$C797,BD_DETALLE!$N797-BD_DETALLE!$C797)),"")</f>
        <v>0</v>
      </c>
    </row>
    <row r="798" spans="2:18" x14ac:dyDescent="0.25">
      <c r="B798" s="15" t="str">
        <f t="shared" ref="B798:B829" si="74">IFERROR(TEXT(C798,"yy") &amp; TEXT(C798,"mm") &amp;"-"&amp;(E798) &amp;"-"&amp;(F798),"")</f>
        <v>2104-87-200226</v>
      </c>
      <c r="C798" s="7">
        <v>44298</v>
      </c>
      <c r="D798" s="5" t="str">
        <f>IF(BD_DETALLE!$E798&gt;=1,CONCATENATE(TEXT(BD_DETALLE!$C798,"YY"),TEXT(BD_DETALLE!$C798,"MM"),"-",BD_DETALLE!$E798),"")</f>
        <v>2104-87</v>
      </c>
      <c r="E798" s="12">
        <v>87</v>
      </c>
      <c r="F798" s="21">
        <v>200226</v>
      </c>
      <c r="G798" s="4" t="str">
        <f>IFERROR(VLOOKUP(BD_DETALLE!$B798,Tabla9[],6,0),"")</f>
        <v>WAIPE / TRAPOS</v>
      </c>
      <c r="H798" s="6">
        <f>IFERROR(VLOOKUP(BD_DETALLE!$B798,Tabla9[],4,0),0)</f>
        <v>1</v>
      </c>
      <c r="I798" s="19" t="s">
        <v>2</v>
      </c>
      <c r="J798" s="20" t="s">
        <v>2323</v>
      </c>
      <c r="K798" s="10">
        <f>IFERROR(VLOOKUP(BD_DETALLE!B798,Tabla9[],7,0),"")</f>
        <v>0</v>
      </c>
      <c r="L798" s="11">
        <f>IFERROR(VLOOKUP(BD_DETALLE!B798,Tabla9[],8,0),"")</f>
        <v>0</v>
      </c>
      <c r="M798" s="9">
        <f>IFERROR(SUMIFS(Tabla9[CANTIDAD2],Tabla9[BUSQUEDA],Tabla3[[#This Row],[BUSQUEDA]],Tabla9[CODIGO],Tabla3[[#This Row],[CODIGO]],Tabla9[ORDEN No.],Tabla3[[#This Row],[ORDEN de COMPRA]]),0)</f>
        <v>0</v>
      </c>
      <c r="N798" s="27">
        <f>IFERROR(IF(BD_DETALLE!B798&gt;0,VLOOKUP(BD_DETALLE!B798,Tabla9[],10,0),""),"")</f>
        <v>44298</v>
      </c>
      <c r="O798" s="28">
        <f>IFERROR(VLOOKUP(BD_DETALLE!B798,Tabla9[],11,0),0)</f>
        <v>11793</v>
      </c>
      <c r="P798" s="26">
        <f>IFERROR(SUMIFS(Tabla9[CANTIDAD3],Tabla9[BUSQUEDA],Tabla3[[#This Row],[BUSQUEDA]],Tabla9[CODIGO],Tabla3[[#This Row],[CODIGO]]),0)</f>
        <v>1</v>
      </c>
      <c r="Q798" s="25">
        <f>IF(BD_DETALLE!P798&lt;=0,0,IF(BD_DETALLE!P798=BD_DETALLE!H798,2,1))</f>
        <v>2</v>
      </c>
      <c r="R798" s="41">
        <f ca="1">IF(BD_DETALLE!$C798&gt;0,(IF(BD_DETALLE!$N798=0,TODAY()-BD_DETALLE!$C798,BD_DETALLE!$N798-BD_DETALLE!$C798)),"")</f>
        <v>0</v>
      </c>
    </row>
    <row r="799" spans="2:18" x14ac:dyDescent="0.25">
      <c r="B799" s="15" t="str">
        <f t="shared" si="74"/>
        <v>2104-87-312389</v>
      </c>
      <c r="C799" s="7">
        <v>44298</v>
      </c>
      <c r="D799" s="5" t="str">
        <f>IF(BD_DETALLE!$E799&gt;=1,CONCATENATE(TEXT(BD_DETALLE!$C799,"YY"),TEXT(BD_DETALLE!$C799,"MM"),"-",BD_DETALLE!$E799),"")</f>
        <v>2104-87</v>
      </c>
      <c r="E799" s="12">
        <v>87</v>
      </c>
      <c r="F799" s="21">
        <v>312389</v>
      </c>
      <c r="G799" s="4" t="str">
        <f>IFERROR(VLOOKUP(BD_DETALLE!$B799,Tabla9[],6,0),"")</f>
        <v>BOTELLA PLASTICA AMBAR 1000 ml.</v>
      </c>
      <c r="H799" s="6">
        <f>IFERROR(VLOOKUP(BD_DETALLE!$B799,Tabla9[],4,0),0)</f>
        <v>4</v>
      </c>
      <c r="I799" s="19" t="s">
        <v>2</v>
      </c>
      <c r="J799" s="20" t="s">
        <v>2323</v>
      </c>
      <c r="K799" s="10">
        <f>IFERROR(VLOOKUP(BD_DETALLE!B799,Tabla9[],7,0),"")</f>
        <v>0</v>
      </c>
      <c r="L799" s="11">
        <f>IFERROR(VLOOKUP(BD_DETALLE!B799,Tabla9[],8,0),"")</f>
        <v>0</v>
      </c>
      <c r="M799" s="9">
        <f>IFERROR(SUMIFS(Tabla9[CANTIDAD2],Tabla9[BUSQUEDA],Tabla3[[#This Row],[BUSQUEDA]],Tabla9[CODIGO],Tabla3[[#This Row],[CODIGO]],Tabla9[ORDEN No.],Tabla3[[#This Row],[ORDEN de COMPRA]]),0)</f>
        <v>0</v>
      </c>
      <c r="N799" s="27">
        <f>IFERROR(IF(BD_DETALLE!B799&gt;0,VLOOKUP(BD_DETALLE!B799,Tabla9[],10,0),""),"")</f>
        <v>44298</v>
      </c>
      <c r="O799" s="28">
        <f>IFERROR(VLOOKUP(BD_DETALLE!B799,Tabla9[],11,0),0)</f>
        <v>11793</v>
      </c>
      <c r="P799" s="26">
        <f>IFERROR(SUMIFS(Tabla9[CANTIDAD3],Tabla9[BUSQUEDA],Tabla3[[#This Row],[BUSQUEDA]],Tabla9[CODIGO],Tabla3[[#This Row],[CODIGO]]),0)</f>
        <v>4</v>
      </c>
      <c r="Q799" s="25">
        <f>IF(BD_DETALLE!P799&lt;=0,0,IF(BD_DETALLE!P799=BD_DETALLE!H799,2,1))</f>
        <v>2</v>
      </c>
      <c r="R799" s="41">
        <f ca="1">IF(BD_DETALLE!$C799&gt;0,(IF(BD_DETALLE!$N799=0,TODAY()-BD_DETALLE!$C799,BD_DETALLE!$N799-BD_DETALLE!$C799)),"")</f>
        <v>0</v>
      </c>
    </row>
    <row r="800" spans="2:18" x14ac:dyDescent="0.25">
      <c r="B800" s="15" t="str">
        <f t="shared" si="74"/>
        <v>2104-87-206244</v>
      </c>
      <c r="C800" s="7">
        <v>44298</v>
      </c>
      <c r="D800" s="5" t="str">
        <f>IF(BD_DETALLE!$E800&gt;=1,CONCATENATE(TEXT(BD_DETALLE!$C800,"YY"),TEXT(BD_DETALLE!$C800,"MM"),"-",BD_DETALLE!$E800),"")</f>
        <v>2104-87</v>
      </c>
      <c r="E800" s="12">
        <v>87</v>
      </c>
      <c r="F800" s="21">
        <v>206244</v>
      </c>
      <c r="G800" s="4" t="str">
        <f>IFERROR(VLOOKUP(BD_DETALLE!$B800,Tabla9[],6,0),"")</f>
        <v>ESPONJA</v>
      </c>
      <c r="H800" s="6">
        <f>IFERROR(VLOOKUP(BD_DETALLE!$B800,Tabla9[],4,0),0)</f>
        <v>2</v>
      </c>
      <c r="I800" s="19" t="s">
        <v>2</v>
      </c>
      <c r="J800" s="20" t="s">
        <v>2323</v>
      </c>
      <c r="K800" s="10">
        <f>IFERROR(VLOOKUP(BD_DETALLE!B800,Tabla9[],7,0),"")</f>
        <v>0</v>
      </c>
      <c r="L800" s="11">
        <f>IFERROR(VLOOKUP(BD_DETALLE!B800,Tabla9[],8,0),"")</f>
        <v>0</v>
      </c>
      <c r="M800" s="9">
        <f>IFERROR(SUMIFS(Tabla9[CANTIDAD2],Tabla9[BUSQUEDA],Tabla3[[#This Row],[BUSQUEDA]],Tabla9[CODIGO],Tabla3[[#This Row],[CODIGO]],Tabla9[ORDEN No.],Tabla3[[#This Row],[ORDEN de COMPRA]]),0)</f>
        <v>0</v>
      </c>
      <c r="N800" s="27">
        <f>IFERROR(IF(BD_DETALLE!B800&gt;0,VLOOKUP(BD_DETALLE!B800,Tabla9[],10,0),""),"")</f>
        <v>44298</v>
      </c>
      <c r="O800" s="28">
        <f>IFERROR(VLOOKUP(BD_DETALLE!B800,Tabla9[],11,0),0)</f>
        <v>11793</v>
      </c>
      <c r="P800" s="26">
        <f>IFERROR(SUMIFS(Tabla9[CANTIDAD3],Tabla9[BUSQUEDA],Tabla3[[#This Row],[BUSQUEDA]],Tabla9[CODIGO],Tabla3[[#This Row],[CODIGO]]),0)</f>
        <v>2</v>
      </c>
      <c r="Q800" s="25">
        <f>IF(BD_DETALLE!P800&lt;=0,0,IF(BD_DETALLE!P800=BD_DETALLE!H800,2,1))</f>
        <v>2</v>
      </c>
      <c r="R800" s="41">
        <f ca="1">IF(BD_DETALLE!$C800&gt;0,(IF(BD_DETALLE!$N800=0,TODAY()-BD_DETALLE!$C800,BD_DETALLE!$N800-BD_DETALLE!$C800)),"")</f>
        <v>0</v>
      </c>
    </row>
    <row r="801" spans="2:18" x14ac:dyDescent="0.25">
      <c r="B801" s="15" t="str">
        <f t="shared" si="74"/>
        <v>2104-87-203683</v>
      </c>
      <c r="C801" s="7">
        <v>44298</v>
      </c>
      <c r="D801" s="5" t="str">
        <f>IF(BD_DETALLE!$E801&gt;=1,CONCATENATE(TEXT(BD_DETALLE!$C801,"YY"),TEXT(BD_DETALLE!$C801,"MM"),"-",BD_DETALLE!$E801),"")</f>
        <v>2104-87</v>
      </c>
      <c r="E801" s="12">
        <v>87</v>
      </c>
      <c r="F801" s="21">
        <v>203683</v>
      </c>
      <c r="G801" s="4" t="str">
        <f>IFERROR(VLOOKUP(BD_DETALLE!$B801,Tabla9[],6,0),"")</f>
        <v>BROCHA DE 2"</v>
      </c>
      <c r="H801" s="6">
        <f>IFERROR(VLOOKUP(BD_DETALLE!$B801,Tabla9[],4,0),0)</f>
        <v>2</v>
      </c>
      <c r="I801" s="19" t="s">
        <v>2</v>
      </c>
      <c r="J801" s="20" t="s">
        <v>2323</v>
      </c>
      <c r="K801" s="10">
        <f>IFERROR(VLOOKUP(BD_DETALLE!B801,Tabla9[],7,0),"")</f>
        <v>0</v>
      </c>
      <c r="L801" s="11">
        <f>IFERROR(VLOOKUP(BD_DETALLE!B801,Tabla9[],8,0),"")</f>
        <v>0</v>
      </c>
      <c r="M801" s="9">
        <f>IFERROR(SUMIFS(Tabla9[CANTIDAD2],Tabla9[BUSQUEDA],Tabla3[[#This Row],[BUSQUEDA]],Tabla9[CODIGO],Tabla3[[#This Row],[CODIGO]],Tabla9[ORDEN No.],Tabla3[[#This Row],[ORDEN de COMPRA]]),0)</f>
        <v>0</v>
      </c>
      <c r="N801" s="27">
        <f>IFERROR(IF(BD_DETALLE!B801&gt;0,VLOOKUP(BD_DETALLE!B801,Tabla9[],10,0),""),"")</f>
        <v>44298</v>
      </c>
      <c r="O801" s="28">
        <f>IFERROR(VLOOKUP(BD_DETALLE!B801,Tabla9[],11,0),0)</f>
        <v>11793</v>
      </c>
      <c r="P801" s="26">
        <f>IFERROR(SUMIFS(Tabla9[CANTIDAD3],Tabla9[BUSQUEDA],Tabla3[[#This Row],[BUSQUEDA]],Tabla9[CODIGO],Tabla3[[#This Row],[CODIGO]]),0)</f>
        <v>2</v>
      </c>
      <c r="Q801" s="25">
        <f>IF(BD_DETALLE!P801&lt;=0,0,IF(BD_DETALLE!P801=BD_DETALLE!H801,2,1))</f>
        <v>2</v>
      </c>
      <c r="R801" s="41">
        <f ca="1">IF(BD_DETALLE!$C801&gt;0,(IF(BD_DETALLE!$N801=0,TODAY()-BD_DETALLE!$C801,BD_DETALLE!$N801-BD_DETALLE!$C801)),"")</f>
        <v>0</v>
      </c>
    </row>
    <row r="802" spans="2:18" x14ac:dyDescent="0.25">
      <c r="B802" s="15" t="str">
        <f t="shared" si="74"/>
        <v>2104-88-314036</v>
      </c>
      <c r="C802" s="7">
        <v>44298</v>
      </c>
      <c r="D802" s="5" t="str">
        <f>IF(BD_DETALLE!$E802&gt;=1,CONCATENATE(TEXT(BD_DETALLE!$C802,"YY"),TEXT(BD_DETALLE!$C802,"MM"),"-",BD_DETALLE!$E802),"")</f>
        <v>2104-88</v>
      </c>
      <c r="E802" s="12">
        <v>88</v>
      </c>
      <c r="F802" s="21">
        <v>314036</v>
      </c>
      <c r="G802" s="4" t="str">
        <f>IFERROR(VLOOKUP(BD_DETALLE!$B802,Tabla9[],6,0),"")</f>
        <v>VIAJE DE RELLENO</v>
      </c>
      <c r="H802" s="6">
        <f>IFERROR(VLOOKUP(BD_DETALLE!$B802,Tabla9[],4,0),0)</f>
        <v>9640</v>
      </c>
      <c r="I802" s="19" t="s">
        <v>13</v>
      </c>
      <c r="J802" s="20" t="s">
        <v>2324</v>
      </c>
      <c r="K802" s="10">
        <f>IFERROR(VLOOKUP(BD_DETALLE!B802,Tabla9[],7,0),"")</f>
        <v>0</v>
      </c>
      <c r="L802" s="11">
        <f>IFERROR(VLOOKUP(BD_DETALLE!B802,Tabla9[],8,0),"")</f>
        <v>0</v>
      </c>
      <c r="M802" s="9">
        <f>IFERROR(SUMIFS(Tabla9[CANTIDAD2],Tabla9[BUSQUEDA],Tabla3[[#This Row],[BUSQUEDA]],Tabla9[CODIGO],Tabla3[[#This Row],[CODIGO]],Tabla9[ORDEN No.],Tabla3[[#This Row],[ORDEN de COMPRA]]),0)</f>
        <v>0</v>
      </c>
      <c r="N802" s="27">
        <f>IFERROR(IF(BD_DETALLE!B802&gt;0,VLOOKUP(BD_DETALLE!B802,Tabla9[],10,0),""),"")</f>
        <v>44298</v>
      </c>
      <c r="O802" s="28">
        <f>IFERROR(VLOOKUP(BD_DETALLE!B802,Tabla9[],11,0),0)</f>
        <v>11794</v>
      </c>
      <c r="P802" s="26">
        <f>IFERROR(SUMIFS(Tabla9[CANTIDAD3],Tabla9[BUSQUEDA],Tabla3[[#This Row],[BUSQUEDA]],Tabla9[CODIGO],Tabla3[[#This Row],[CODIGO]]),0)</f>
        <v>30500</v>
      </c>
      <c r="Q802" s="25">
        <f>IF(BD_DETALLE!P802&lt;=0,0,IF(BD_DETALLE!P802=BD_DETALLE!H802,2,1))</f>
        <v>1</v>
      </c>
      <c r="R802" s="41">
        <f ca="1">IF(BD_DETALLE!$C802&gt;0,(IF(BD_DETALLE!$N802=0,TODAY()-BD_DETALLE!$C802,BD_DETALLE!$N802-BD_DETALLE!$C802)),"")</f>
        <v>0</v>
      </c>
    </row>
    <row r="803" spans="2:18" x14ac:dyDescent="0.25">
      <c r="B803" s="15" t="str">
        <f t="shared" si="74"/>
        <v>2104-88-314036</v>
      </c>
      <c r="C803" s="7">
        <v>44298</v>
      </c>
      <c r="D803" s="5" t="str">
        <f>IF(BD_DETALLE!$E803&gt;=1,CONCATENATE(TEXT(BD_DETALLE!$C803,"YY"),TEXT(BD_DETALLE!$C803,"MM"),"-",BD_DETALLE!$E803),"")</f>
        <v>2104-88</v>
      </c>
      <c r="E803" s="12">
        <v>88</v>
      </c>
      <c r="F803" s="21">
        <v>314036</v>
      </c>
      <c r="G803" s="4" t="str">
        <f>IFERROR(VLOOKUP(BD_DETALLE!$B803,Tabla9[],6,0),"")</f>
        <v>VIAJE DE RELLENO</v>
      </c>
      <c r="H803" s="6">
        <f>IFERROR(VLOOKUP(BD_DETALLE!$B803,Tabla9[],4,0),0)</f>
        <v>9640</v>
      </c>
      <c r="I803" s="19" t="s">
        <v>13</v>
      </c>
      <c r="J803" s="20" t="s">
        <v>2324</v>
      </c>
      <c r="K803" s="10">
        <f>IFERROR(VLOOKUP(BD_DETALLE!B803,Tabla9[],7,0),"")</f>
        <v>0</v>
      </c>
      <c r="L803" s="11">
        <f>IFERROR(VLOOKUP(BD_DETALLE!B803,Tabla9[],8,0),"")</f>
        <v>0</v>
      </c>
      <c r="M803" s="9">
        <f>IFERROR(SUMIFS(Tabla9[CANTIDAD2],Tabla9[BUSQUEDA],Tabla3[[#This Row],[BUSQUEDA]],Tabla9[CODIGO],Tabla3[[#This Row],[CODIGO]],Tabla9[ORDEN No.],Tabla3[[#This Row],[ORDEN de COMPRA]]),0)</f>
        <v>0</v>
      </c>
      <c r="N803" s="27">
        <f>IFERROR(IF(BD_DETALLE!B803&gt;0,VLOOKUP(BD_DETALLE!B803,Tabla9[],10,0),""),"")</f>
        <v>44298</v>
      </c>
      <c r="O803" s="28">
        <f>IFERROR(VLOOKUP(BD_DETALLE!B803,Tabla9[],11,0),0)</f>
        <v>11794</v>
      </c>
      <c r="P803" s="26">
        <f>IFERROR(SUMIFS(Tabla9[CANTIDAD3],Tabla9[BUSQUEDA],Tabla3[[#This Row],[BUSQUEDA]],Tabla9[CODIGO],Tabla3[[#This Row],[CODIGO]]),0)</f>
        <v>30500</v>
      </c>
      <c r="Q803" s="25">
        <f>IF(BD_DETALLE!P803&lt;=0,0,IF(BD_DETALLE!P803=BD_DETALLE!H803,2,1))</f>
        <v>1</v>
      </c>
      <c r="R803" s="41">
        <f ca="1">IF(BD_DETALLE!$C803&gt;0,(IF(BD_DETALLE!$N803=0,TODAY()-BD_DETALLE!$C803,BD_DETALLE!$N803-BD_DETALLE!$C803)),"")</f>
        <v>0</v>
      </c>
    </row>
    <row r="804" spans="2:18" x14ac:dyDescent="0.25">
      <c r="B804" s="15" t="str">
        <f t="shared" si="74"/>
        <v>2104-88-314036</v>
      </c>
      <c r="C804" s="7">
        <v>44298</v>
      </c>
      <c r="D804" s="5" t="str">
        <f>IF(BD_DETALLE!$E804&gt;=1,CONCATENATE(TEXT(BD_DETALLE!$C804,"YY"),TEXT(BD_DETALLE!$C804,"MM"),"-",BD_DETALLE!$E804),"")</f>
        <v>2104-88</v>
      </c>
      <c r="E804" s="12">
        <v>88</v>
      </c>
      <c r="F804" s="21">
        <v>314036</v>
      </c>
      <c r="G804" s="4" t="str">
        <f>IFERROR(VLOOKUP(BD_DETALLE!$B804,Tabla9[],6,0),"")</f>
        <v>VIAJE DE RELLENO</v>
      </c>
      <c r="H804" s="6">
        <f>IFERROR(VLOOKUP(BD_DETALLE!$B804,Tabla9[],4,0),0)</f>
        <v>9640</v>
      </c>
      <c r="I804" s="19" t="s">
        <v>13</v>
      </c>
      <c r="J804" s="20" t="s">
        <v>2324</v>
      </c>
      <c r="K804" s="10">
        <f>IFERROR(VLOOKUP(BD_DETALLE!B804,Tabla9[],7,0),"")</f>
        <v>0</v>
      </c>
      <c r="L804" s="11">
        <f>IFERROR(VLOOKUP(BD_DETALLE!B804,Tabla9[],8,0),"")</f>
        <v>0</v>
      </c>
      <c r="M804" s="9">
        <f>IFERROR(SUMIFS(Tabla9[CANTIDAD2],Tabla9[BUSQUEDA],Tabla3[[#This Row],[BUSQUEDA]],Tabla9[CODIGO],Tabla3[[#This Row],[CODIGO]],Tabla9[ORDEN No.],Tabla3[[#This Row],[ORDEN de COMPRA]]),0)</f>
        <v>0</v>
      </c>
      <c r="N804" s="27">
        <f>IFERROR(IF(BD_DETALLE!B804&gt;0,VLOOKUP(BD_DETALLE!B804,Tabla9[],10,0),""),"")</f>
        <v>44298</v>
      </c>
      <c r="O804" s="28">
        <f>IFERROR(VLOOKUP(BD_DETALLE!B804,Tabla9[],11,0),0)</f>
        <v>11794</v>
      </c>
      <c r="P804" s="26">
        <f>IFERROR(SUMIFS(Tabla9[CANTIDAD3],Tabla9[BUSQUEDA],Tabla3[[#This Row],[BUSQUEDA]],Tabla9[CODIGO],Tabla3[[#This Row],[CODIGO]]),0)</f>
        <v>30500</v>
      </c>
      <c r="Q804" s="25">
        <f>IF(BD_DETALLE!P804&lt;=0,0,IF(BD_DETALLE!P804=BD_DETALLE!H804,2,1))</f>
        <v>1</v>
      </c>
      <c r="R804" s="41">
        <f ca="1">IF(BD_DETALLE!$C804&gt;0,(IF(BD_DETALLE!$N804=0,TODAY()-BD_DETALLE!$C804,BD_DETALLE!$N804-BD_DETALLE!$C804)),"")</f>
        <v>0</v>
      </c>
    </row>
    <row r="805" spans="2:18" x14ac:dyDescent="0.25">
      <c r="B805" s="15" t="str">
        <f t="shared" si="74"/>
        <v>2104-88-106745</v>
      </c>
      <c r="C805" s="7">
        <v>44298</v>
      </c>
      <c r="D805" s="5" t="str">
        <f>IF(BD_DETALLE!$E805&gt;=1,CONCATENATE(TEXT(BD_DETALLE!$C805,"YY"),TEXT(BD_DETALLE!$C805,"MM"),"-",BD_DETALLE!$E805),"")</f>
        <v>2104-88</v>
      </c>
      <c r="E805" s="12">
        <v>88</v>
      </c>
      <c r="F805" s="21">
        <v>106745</v>
      </c>
      <c r="G805" s="4" t="str">
        <f>IFERROR(VLOOKUP(BD_DETALLE!$B805,Tabla9[],6,0),"")</f>
        <v>VIAJE DE ARENA</v>
      </c>
      <c r="H805" s="6">
        <f>IFERROR(VLOOKUP(BD_DETALLE!$B805,Tabla9[],4,0),0)</f>
        <v>6130</v>
      </c>
      <c r="I805" s="19" t="s">
        <v>13</v>
      </c>
      <c r="J805" s="20" t="s">
        <v>2324</v>
      </c>
      <c r="K805" s="10">
        <f>IFERROR(VLOOKUP(BD_DETALLE!B805,Tabla9[],7,0),"")</f>
        <v>0</v>
      </c>
      <c r="L805" s="11">
        <f>IFERROR(VLOOKUP(BD_DETALLE!B805,Tabla9[],8,0),"")</f>
        <v>0</v>
      </c>
      <c r="M805" s="9">
        <f>IFERROR(SUMIFS(Tabla9[CANTIDAD2],Tabla9[BUSQUEDA],Tabla3[[#This Row],[BUSQUEDA]],Tabla9[CODIGO],Tabla3[[#This Row],[CODIGO]],Tabla9[ORDEN No.],Tabla3[[#This Row],[ORDEN de COMPRA]]),0)</f>
        <v>0</v>
      </c>
      <c r="N805" s="27">
        <f>IFERROR(IF(BD_DETALLE!B805&gt;0,VLOOKUP(BD_DETALLE!B805,Tabla9[],10,0),""),"")</f>
        <v>44298</v>
      </c>
      <c r="O805" s="28">
        <f>IFERROR(VLOOKUP(BD_DETALLE!B805,Tabla9[],11,0),0)</f>
        <v>11794</v>
      </c>
      <c r="P805" s="26">
        <f>IFERROR(SUMIFS(Tabla9[CANTIDAD3],Tabla9[BUSQUEDA],Tabla3[[#This Row],[BUSQUEDA]],Tabla9[CODIGO],Tabla3[[#This Row],[CODIGO]]),0)</f>
        <v>6130</v>
      </c>
      <c r="Q805" s="25">
        <f>IF(BD_DETALLE!P805&lt;=0,0,IF(BD_DETALLE!P805=BD_DETALLE!H805,2,1))</f>
        <v>2</v>
      </c>
      <c r="R805" s="41">
        <f ca="1">IF(BD_DETALLE!$C805&gt;0,(IF(BD_DETALLE!$N805=0,TODAY()-BD_DETALLE!$C805,BD_DETALLE!$N805-BD_DETALLE!$C805)),"")</f>
        <v>0</v>
      </c>
    </row>
    <row r="806" spans="2:18" x14ac:dyDescent="0.25">
      <c r="B806" s="15" t="str">
        <f t="shared" si="74"/>
        <v>2104-89-200667</v>
      </c>
      <c r="C806" s="7">
        <v>44298</v>
      </c>
      <c r="D806" s="5" t="str">
        <f>IF(BD_DETALLE!$E806&gt;=1,CONCATENATE(TEXT(BD_DETALLE!$C806,"YY"),TEXT(BD_DETALLE!$C806,"MM"),"-",BD_DETALLE!$E806),"")</f>
        <v>2104-89</v>
      </c>
      <c r="E806" s="12">
        <v>89</v>
      </c>
      <c r="F806" s="21">
        <v>200667</v>
      </c>
      <c r="G806" s="4" t="str">
        <f>IFERROR(VLOOKUP(BD_DETALLE!$B806,Tabla9[],6,0),"")</f>
        <v>CARGA DE CILINDROS DE OXIGENOS</v>
      </c>
      <c r="H806" s="6">
        <f>IFERROR(VLOOKUP(BD_DETALLE!$B806,Tabla9[],4,0),0)</f>
        <v>5</v>
      </c>
      <c r="I806" s="19" t="s">
        <v>4</v>
      </c>
      <c r="J806" s="20" t="s">
        <v>385</v>
      </c>
      <c r="K806" s="10">
        <f>IFERROR(VLOOKUP(BD_DETALLE!B806,Tabla9[],7,0),"")</f>
        <v>0</v>
      </c>
      <c r="L806" s="11">
        <f>IFERROR(VLOOKUP(BD_DETALLE!B806,Tabla9[],8,0),"")</f>
        <v>0</v>
      </c>
      <c r="M806" s="9">
        <f>IFERROR(SUMIFS(Tabla9[CANTIDAD2],Tabla9[BUSQUEDA],Tabla3[[#This Row],[BUSQUEDA]],Tabla9[CODIGO],Tabla3[[#This Row],[CODIGO]],Tabla9[ORDEN No.],Tabla3[[#This Row],[ORDEN de COMPRA]]),0)</f>
        <v>0</v>
      </c>
      <c r="N806" s="27">
        <f>IFERROR(IF(BD_DETALLE!B806&gt;0,VLOOKUP(BD_DETALLE!B806,Tabla9[],10,0),""),"")</f>
        <v>44298</v>
      </c>
      <c r="O806" s="28">
        <f>IFERROR(VLOOKUP(BD_DETALLE!B806,Tabla9[],11,0),0)</f>
        <v>11795</v>
      </c>
      <c r="P806" s="26">
        <f>IFERROR(SUMIFS(Tabla9[CANTIDAD3],Tabla9[BUSQUEDA],Tabla3[[#This Row],[BUSQUEDA]],Tabla9[CODIGO],Tabla3[[#This Row],[CODIGO]]),0)</f>
        <v>5</v>
      </c>
      <c r="Q806" s="25">
        <f>IF(BD_DETALLE!P806&lt;=0,0,IF(BD_DETALLE!P806=BD_DETALLE!H806,2,1))</f>
        <v>2</v>
      </c>
      <c r="R806" s="41">
        <f ca="1">IF(BD_DETALLE!$C806&gt;0,(IF(BD_DETALLE!$N806=0,TODAY()-BD_DETALLE!$C806,BD_DETALLE!$N806-BD_DETALLE!$C806)),"")</f>
        <v>0</v>
      </c>
    </row>
    <row r="807" spans="2:18" x14ac:dyDescent="0.25">
      <c r="B807" s="15" t="str">
        <f t="shared" si="74"/>
        <v>2104-90-304159</v>
      </c>
      <c r="C807" s="7">
        <v>44298</v>
      </c>
      <c r="D807" s="5" t="str">
        <f>IF(BD_DETALLE!$E807&gt;=1,CONCATENATE(TEXT(BD_DETALLE!$C807,"YY"),TEXT(BD_DETALLE!$C807,"MM"),"-",BD_DETALLE!$E807),"")</f>
        <v>2104-90</v>
      </c>
      <c r="E807" s="12">
        <v>90</v>
      </c>
      <c r="F807" s="21">
        <v>304159</v>
      </c>
      <c r="G807" s="4" t="str">
        <f>IFERROR(VLOOKUP(BD_DETALLE!$B807,Tabla9[],6,0),"")</f>
        <v>SOLUCION DE ACIDO NITRICO  (DK-100)</v>
      </c>
      <c r="H807" s="6">
        <f>IFERROR(VLOOKUP(BD_DETALLE!$B807,Tabla9[],4,0),0)</f>
        <v>1800</v>
      </c>
      <c r="I807" s="19" t="s">
        <v>15</v>
      </c>
      <c r="J807" s="20" t="s">
        <v>385</v>
      </c>
      <c r="K807" s="10">
        <f>IFERROR(VLOOKUP(BD_DETALLE!B807,Tabla9[],7,0),"")</f>
        <v>0</v>
      </c>
      <c r="L807" s="11">
        <f>IFERROR(VLOOKUP(BD_DETALLE!B807,Tabla9[],8,0),"")</f>
        <v>0</v>
      </c>
      <c r="M807" s="9">
        <f>IFERROR(SUMIFS(Tabla9[CANTIDAD2],Tabla9[BUSQUEDA],Tabla3[[#This Row],[BUSQUEDA]],Tabla9[CODIGO],Tabla3[[#This Row],[CODIGO]],Tabla9[ORDEN No.],Tabla3[[#This Row],[ORDEN de COMPRA]]),0)</f>
        <v>0</v>
      </c>
      <c r="N807" s="27">
        <f>IFERROR(IF(BD_DETALLE!B807&gt;0,VLOOKUP(BD_DETALLE!B807,Tabla9[],10,0),""),"")</f>
        <v>44298</v>
      </c>
      <c r="O807" s="28">
        <f>IFERROR(VLOOKUP(BD_DETALLE!B807,Tabla9[],11,0),0)</f>
        <v>11796</v>
      </c>
      <c r="P807" s="26">
        <f>IFERROR(SUMIFS(Tabla9[CANTIDAD3],Tabla9[BUSQUEDA],Tabla3[[#This Row],[BUSQUEDA]],Tabla9[CODIGO],Tabla3[[#This Row],[CODIGO]]),0)</f>
        <v>1800</v>
      </c>
      <c r="Q807" s="25">
        <f>IF(BD_DETALLE!P807&lt;=0,0,IF(BD_DETALLE!P807=BD_DETALLE!H807,2,1))</f>
        <v>2</v>
      </c>
      <c r="R807" s="41">
        <f ca="1">IF(BD_DETALLE!$C807&gt;0,(IF(BD_DETALLE!$N807=0,TODAY()-BD_DETALLE!$C807,BD_DETALLE!$N807-BD_DETALLE!$C807)),"")</f>
        <v>0</v>
      </c>
    </row>
    <row r="808" spans="2:18" x14ac:dyDescent="0.25">
      <c r="B808" s="15" t="str">
        <f t="shared" si="74"/>
        <v>2104-91-305201</v>
      </c>
      <c r="C808" s="7">
        <v>44298</v>
      </c>
      <c r="D808" s="5" t="str">
        <f>IF(BD_DETALLE!$E808&gt;=1,CONCATENATE(TEXT(BD_DETALLE!$C808,"YY"),TEXT(BD_DETALLE!$C808,"MM"),"-",BD_DETALLE!$E808),"")</f>
        <v>2104-91</v>
      </c>
      <c r="E808" s="12">
        <v>91</v>
      </c>
      <c r="F808" s="21">
        <v>305201</v>
      </c>
      <c r="G808" s="4" t="str">
        <f>IFERROR(VLOOKUP(BD_DETALLE!$B808,Tabla9[],6,0),"")</f>
        <v>BATERIA</v>
      </c>
      <c r="H808" s="6">
        <f>IFERROR(VLOOKUP(BD_DETALLE!$B808,Tabla9[],4,0),0)</f>
        <v>1</v>
      </c>
      <c r="I808" s="19" t="s">
        <v>4</v>
      </c>
      <c r="J808" s="20" t="s">
        <v>2212</v>
      </c>
      <c r="K808" s="10">
        <f>IFERROR(VLOOKUP(BD_DETALLE!B808,Tabla9[],7,0),"")</f>
        <v>0</v>
      </c>
      <c r="L808" s="11">
        <f>IFERROR(VLOOKUP(BD_DETALLE!B808,Tabla9[],8,0),"")</f>
        <v>0</v>
      </c>
      <c r="M808" s="9">
        <f>IFERROR(SUMIFS(Tabla9[CANTIDAD2],Tabla9[BUSQUEDA],Tabla3[[#This Row],[BUSQUEDA]],Tabla9[CODIGO],Tabla3[[#This Row],[CODIGO]],Tabla9[ORDEN No.],Tabla3[[#This Row],[ORDEN de COMPRA]]),0)</f>
        <v>0</v>
      </c>
      <c r="N808" s="27">
        <f>IFERROR(IF(BD_DETALLE!B808&gt;0,VLOOKUP(BD_DETALLE!B808,Tabla9[],10,0),""),"")</f>
        <v>44298</v>
      </c>
      <c r="O808" s="28">
        <f>IFERROR(VLOOKUP(BD_DETALLE!B808,Tabla9[],11,0),0)</f>
        <v>11798</v>
      </c>
      <c r="P808" s="26">
        <f>IFERROR(SUMIFS(Tabla9[CANTIDAD3],Tabla9[BUSQUEDA],Tabla3[[#This Row],[BUSQUEDA]],Tabla9[CODIGO],Tabla3[[#This Row],[CODIGO]]),0)</f>
        <v>1</v>
      </c>
      <c r="Q808" s="25">
        <f>IF(BD_DETALLE!P808&lt;=0,0,IF(BD_DETALLE!P808=BD_DETALLE!H808,2,1))</f>
        <v>2</v>
      </c>
      <c r="R808" s="41">
        <f ca="1">IF(BD_DETALLE!$C808&gt;0,(IF(BD_DETALLE!$N808=0,TODAY()-BD_DETALLE!$C808,BD_DETALLE!$N808-BD_DETALLE!$C808)),"")</f>
        <v>0</v>
      </c>
    </row>
    <row r="809" spans="2:18" x14ac:dyDescent="0.25">
      <c r="B809" s="15" t="str">
        <f t="shared" si="74"/>
        <v>2104-92-303464</v>
      </c>
      <c r="C809" s="7">
        <v>44299</v>
      </c>
      <c r="D809" s="5" t="str">
        <f>IF(BD_DETALLE!$E809&gt;=1,CONCATENATE(TEXT(BD_DETALLE!$C809,"YY"),TEXT(BD_DETALLE!$C809,"MM"),"-",BD_DETALLE!$E809),"")</f>
        <v>2104-92</v>
      </c>
      <c r="E809" s="12">
        <v>92</v>
      </c>
      <c r="F809" s="21">
        <v>303464</v>
      </c>
      <c r="G809" s="4" t="str">
        <f>IFERROR(VLOOKUP(BD_DETALLE!$B809,Tabla9[],6,0),"")</f>
        <v>VIGA UPN 100</v>
      </c>
      <c r="H809" s="6">
        <f>IFERROR(VLOOKUP(BD_DETALLE!$B809,Tabla9[],4,0),0)</f>
        <v>4</v>
      </c>
      <c r="I809" s="19" t="s">
        <v>1</v>
      </c>
      <c r="J809" s="20" t="s">
        <v>2325</v>
      </c>
      <c r="K809" s="10">
        <f>IFERROR(VLOOKUP(BD_DETALLE!B809,Tabla9[],7,0),"")</f>
        <v>0</v>
      </c>
      <c r="L809" s="11">
        <f>IFERROR(VLOOKUP(BD_DETALLE!B809,Tabla9[],8,0),"")</f>
        <v>0</v>
      </c>
      <c r="M809" s="9">
        <f>IFERROR(SUMIFS(Tabla9[CANTIDAD2],Tabla9[BUSQUEDA],Tabla3[[#This Row],[BUSQUEDA]],Tabla9[CODIGO],Tabla3[[#This Row],[CODIGO]],Tabla9[ORDEN No.],Tabla3[[#This Row],[ORDEN de COMPRA]]),0)</f>
        <v>0</v>
      </c>
      <c r="N809" s="27">
        <f>IFERROR(IF(BD_DETALLE!B809&gt;0,VLOOKUP(BD_DETALLE!B809,Tabla9[],10,0),""),"")</f>
        <v>0</v>
      </c>
      <c r="O809" s="28">
        <f>IFERROR(VLOOKUP(BD_DETALLE!B809,Tabla9[],11,0),0)</f>
        <v>0</v>
      </c>
      <c r="P809" s="26">
        <f>IFERROR(SUMIFS(Tabla9[CANTIDAD3],Tabla9[BUSQUEDA],Tabla3[[#This Row],[BUSQUEDA]],Tabla9[CODIGO],Tabla3[[#This Row],[CODIGO]]),0)</f>
        <v>0</v>
      </c>
      <c r="Q809" s="25">
        <f>IF(BD_DETALLE!P809&lt;=0,0,IF(BD_DETALLE!P809=BD_DETALLE!H809,2,1))</f>
        <v>0</v>
      </c>
      <c r="R809" s="41">
        <f ca="1">IF(BD_DETALLE!$C809&gt;0,(IF(BD_DETALLE!$N809=0,TODAY()-BD_DETALLE!$C809,BD_DETALLE!$N809-BD_DETALLE!$C809)),"")</f>
        <v>6</v>
      </c>
    </row>
    <row r="810" spans="2:18" x14ac:dyDescent="0.25">
      <c r="B810" s="15" t="str">
        <f t="shared" si="74"/>
        <v>2104-92-315078</v>
      </c>
      <c r="C810" s="7">
        <v>44299</v>
      </c>
      <c r="D810" s="5" t="str">
        <f>IF(BD_DETALLE!$E810&gt;=1,CONCATENATE(TEXT(BD_DETALLE!$C810,"YY"),TEXT(BD_DETALLE!$C810,"MM"),"-",BD_DETALLE!$E810),"")</f>
        <v>2104-92</v>
      </c>
      <c r="E810" s="12">
        <v>92</v>
      </c>
      <c r="F810" s="21">
        <v>315078</v>
      </c>
      <c r="G810" s="4" t="str">
        <f>IFERROR(VLOOKUP(BD_DETALLE!$B810,Tabla9[],6,0),"")</f>
        <v>VIGA UPN 160 (160 x 65 x 7.5)</v>
      </c>
      <c r="H810" s="6">
        <f>IFERROR(VLOOKUP(BD_DETALLE!$B810,Tabla9[],4,0),0)</f>
        <v>2</v>
      </c>
      <c r="I810" s="19" t="s">
        <v>1</v>
      </c>
      <c r="J810" s="20" t="s">
        <v>2325</v>
      </c>
      <c r="K810" s="10">
        <f>IFERROR(VLOOKUP(BD_DETALLE!B810,Tabla9[],7,0),"")</f>
        <v>0</v>
      </c>
      <c r="L810" s="11">
        <f>IFERROR(VLOOKUP(BD_DETALLE!B810,Tabla9[],8,0),"")</f>
        <v>0</v>
      </c>
      <c r="M810" s="9">
        <f>IFERROR(SUMIFS(Tabla9[CANTIDAD2],Tabla9[BUSQUEDA],Tabla3[[#This Row],[BUSQUEDA]],Tabla9[CODIGO],Tabla3[[#This Row],[CODIGO]],Tabla9[ORDEN No.],Tabla3[[#This Row],[ORDEN de COMPRA]]),0)</f>
        <v>0</v>
      </c>
      <c r="N810" s="27">
        <f>IFERROR(IF(BD_DETALLE!B810&gt;0,VLOOKUP(BD_DETALLE!B810,Tabla9[],10,0),""),"")</f>
        <v>0</v>
      </c>
      <c r="O810" s="28">
        <f>IFERROR(VLOOKUP(BD_DETALLE!B810,Tabla9[],11,0),0)</f>
        <v>0</v>
      </c>
      <c r="P810" s="26">
        <f>IFERROR(SUMIFS(Tabla9[CANTIDAD3],Tabla9[BUSQUEDA],Tabla3[[#This Row],[BUSQUEDA]],Tabla9[CODIGO],Tabla3[[#This Row],[CODIGO]]),0)</f>
        <v>0</v>
      </c>
      <c r="Q810" s="25">
        <f>IF(BD_DETALLE!P810&lt;=0,0,IF(BD_DETALLE!P810=BD_DETALLE!H810,2,1))</f>
        <v>0</v>
      </c>
      <c r="R810" s="41">
        <f ca="1">IF(BD_DETALLE!$C810&gt;0,(IF(BD_DETALLE!$N810=0,TODAY()-BD_DETALLE!$C810,BD_DETALLE!$N810-BD_DETALLE!$C810)),"")</f>
        <v>6</v>
      </c>
    </row>
    <row r="811" spans="2:18" x14ac:dyDescent="0.25">
      <c r="B811" s="15" t="str">
        <f t="shared" si="74"/>
        <v>2104-92-319534</v>
      </c>
      <c r="C811" s="7">
        <v>44299</v>
      </c>
      <c r="D811" s="5" t="str">
        <f>IF(BD_DETALLE!$E811&gt;=1,CONCATENATE(TEXT(BD_DETALLE!$C811,"YY"),TEXT(BD_DETALLE!$C811,"MM"),"-",BD_DETALLE!$E811),"")</f>
        <v>2104-92</v>
      </c>
      <c r="E811" s="12">
        <v>92</v>
      </c>
      <c r="F811" s="21">
        <v>319534</v>
      </c>
      <c r="G811" s="4" t="str">
        <f>IFERROR(VLOOKUP(BD_DETALLE!$B811,Tabla9[],6,0),"")</f>
        <v>VIGA HEB 200 x 6MTS</v>
      </c>
      <c r="H811" s="6">
        <f>IFERROR(VLOOKUP(BD_DETALLE!$B811,Tabla9[],4,0),0)</f>
        <v>1</v>
      </c>
      <c r="I811" s="19" t="s">
        <v>1</v>
      </c>
      <c r="J811" s="20" t="s">
        <v>2325</v>
      </c>
      <c r="K811" s="10">
        <f>IFERROR(VLOOKUP(BD_DETALLE!B811,Tabla9[],7,0),"")</f>
        <v>0</v>
      </c>
      <c r="L811" s="11">
        <f>IFERROR(VLOOKUP(BD_DETALLE!B811,Tabla9[],8,0),"")</f>
        <v>0</v>
      </c>
      <c r="M811" s="9">
        <f>IFERROR(SUMIFS(Tabla9[CANTIDAD2],Tabla9[BUSQUEDA],Tabla3[[#This Row],[BUSQUEDA]],Tabla9[CODIGO],Tabla3[[#This Row],[CODIGO]],Tabla9[ORDEN No.],Tabla3[[#This Row],[ORDEN de COMPRA]]),0)</f>
        <v>0</v>
      </c>
      <c r="N811" s="27">
        <f>IFERROR(IF(BD_DETALLE!B811&gt;0,VLOOKUP(BD_DETALLE!B811,Tabla9[],10,0),""),"")</f>
        <v>0</v>
      </c>
      <c r="O811" s="28">
        <f>IFERROR(VLOOKUP(BD_DETALLE!B811,Tabla9[],11,0),0)</f>
        <v>0</v>
      </c>
      <c r="P811" s="26">
        <f>IFERROR(SUMIFS(Tabla9[CANTIDAD3],Tabla9[BUSQUEDA],Tabla3[[#This Row],[BUSQUEDA]],Tabla9[CODIGO],Tabla3[[#This Row],[CODIGO]]),0)</f>
        <v>0</v>
      </c>
      <c r="Q811" s="25">
        <f>IF(BD_DETALLE!P811&lt;=0,0,IF(BD_DETALLE!P811=BD_DETALLE!H811,2,1))</f>
        <v>0</v>
      </c>
      <c r="R811" s="41">
        <f ca="1">IF(BD_DETALLE!$C811&gt;0,(IF(BD_DETALLE!$N811=0,TODAY()-BD_DETALLE!$C811,BD_DETALLE!$N811-BD_DETALLE!$C811)),"")</f>
        <v>6</v>
      </c>
    </row>
    <row r="812" spans="2:18" x14ac:dyDescent="0.25">
      <c r="B812" s="15" t="str">
        <f t="shared" si="74"/>
        <v>2104-93-313314</v>
      </c>
      <c r="C812" s="7">
        <v>44299</v>
      </c>
      <c r="D812" s="5" t="str">
        <f>IF(BD_DETALLE!$E812&gt;=1,CONCATENATE(TEXT(BD_DETALLE!$C812,"YY"),TEXT(BD_DETALLE!$C812,"MM"),"-",BD_DETALLE!$E812),"")</f>
        <v>2104-93</v>
      </c>
      <c r="E812" s="12">
        <v>93</v>
      </c>
      <c r="F812" s="21">
        <v>313314</v>
      </c>
      <c r="G812" s="4" t="str">
        <f>IFERROR(VLOOKUP(BD_DETALLE!$B812,Tabla9[],6,0),"")</f>
        <v>CAMISETA T/POLO C/LOGO FORTIDEX</v>
      </c>
      <c r="H812" s="6">
        <f>IFERROR(VLOOKUP(BD_DETALLE!$B812,Tabla9[],4,0),0)</f>
        <v>7</v>
      </c>
      <c r="I812" s="19" t="s">
        <v>1059</v>
      </c>
      <c r="J812" s="20" t="s">
        <v>2047</v>
      </c>
      <c r="K812" s="10">
        <f>IFERROR(VLOOKUP(BD_DETALLE!B812,Tabla9[],7,0),"")</f>
        <v>0</v>
      </c>
      <c r="L812" s="11">
        <f>IFERROR(VLOOKUP(BD_DETALLE!B812,Tabla9[],8,0),"")</f>
        <v>0</v>
      </c>
      <c r="M812" s="9">
        <f>IFERROR(SUMIFS(Tabla9[CANTIDAD2],Tabla9[BUSQUEDA],Tabla3[[#This Row],[BUSQUEDA]],Tabla9[CODIGO],Tabla3[[#This Row],[CODIGO]],Tabla9[ORDEN No.],Tabla3[[#This Row],[ORDEN de COMPRA]]),0)</f>
        <v>0</v>
      </c>
      <c r="N812" s="27">
        <f>IFERROR(IF(BD_DETALLE!B812&gt;0,VLOOKUP(BD_DETALLE!B812,Tabla9[],10,0),""),"")</f>
        <v>0</v>
      </c>
      <c r="O812" s="28">
        <f>IFERROR(VLOOKUP(BD_DETALLE!B812,Tabla9[],11,0),0)</f>
        <v>0</v>
      </c>
      <c r="P812" s="26">
        <f>IFERROR(SUMIFS(Tabla9[CANTIDAD3],Tabla9[BUSQUEDA],Tabla3[[#This Row],[BUSQUEDA]],Tabla9[CODIGO],Tabla3[[#This Row],[CODIGO]]),0)</f>
        <v>0</v>
      </c>
      <c r="Q812" s="25">
        <f>IF(BD_DETALLE!P812&lt;=0,0,IF(BD_DETALLE!P812=BD_DETALLE!H812,2,1))</f>
        <v>0</v>
      </c>
      <c r="R812" s="41">
        <f ca="1">IF(BD_DETALLE!$C812&gt;0,(IF(BD_DETALLE!$N812=0,TODAY()-BD_DETALLE!$C812,BD_DETALLE!$N812-BD_DETALLE!$C812)),"")</f>
        <v>6</v>
      </c>
    </row>
    <row r="813" spans="2:18" x14ac:dyDescent="0.25">
      <c r="B813" s="15" t="str">
        <f t="shared" si="74"/>
        <v>2104-94-312219</v>
      </c>
      <c r="C813" s="7">
        <v>44299</v>
      </c>
      <c r="D813" s="5" t="str">
        <f>IF(BD_DETALLE!$E813&gt;=1,CONCATENATE(TEXT(BD_DETALLE!$C813,"YY"),TEXT(BD_DETALLE!$C813,"MM"),"-",BD_DETALLE!$E813),"")</f>
        <v>2104-94</v>
      </c>
      <c r="E813" s="12">
        <v>94</v>
      </c>
      <c r="F813" s="21">
        <v>312219</v>
      </c>
      <c r="G813" s="4" t="str">
        <f>IFERROR(VLOOKUP(BD_DETALLE!$B813,Tabla9[],6,0),"")</f>
        <v>PANTALON JEAN C/LOGO FORTIDEX - TALLA 12 (MUJER)</v>
      </c>
      <c r="H813" s="6">
        <f>IFERROR(VLOOKUP(BD_DETALLE!$B813,Tabla9[],4,0),0)</f>
        <v>6</v>
      </c>
      <c r="I813" s="19" t="s">
        <v>1059</v>
      </c>
      <c r="J813" s="20" t="s">
        <v>2047</v>
      </c>
      <c r="K813" s="10">
        <f>IFERROR(VLOOKUP(BD_DETALLE!B813,Tabla9[],7,0),"")</f>
        <v>0</v>
      </c>
      <c r="L813" s="11">
        <f>IFERROR(VLOOKUP(BD_DETALLE!B813,Tabla9[],8,0),"")</f>
        <v>0</v>
      </c>
      <c r="M813" s="9">
        <f>IFERROR(SUMIFS(Tabla9[CANTIDAD2],Tabla9[BUSQUEDA],Tabla3[[#This Row],[BUSQUEDA]],Tabla9[CODIGO],Tabla3[[#This Row],[CODIGO]],Tabla9[ORDEN No.],Tabla3[[#This Row],[ORDEN de COMPRA]]),0)</f>
        <v>0</v>
      </c>
      <c r="N813" s="27">
        <f>IFERROR(IF(BD_DETALLE!B813&gt;0,VLOOKUP(BD_DETALLE!B813,Tabla9[],10,0),""),"")</f>
        <v>0</v>
      </c>
      <c r="O813" s="28">
        <f>IFERROR(VLOOKUP(BD_DETALLE!B813,Tabla9[],11,0),0)</f>
        <v>0</v>
      </c>
      <c r="P813" s="26">
        <f>IFERROR(SUMIFS(Tabla9[CANTIDAD3],Tabla9[BUSQUEDA],Tabla3[[#This Row],[BUSQUEDA]],Tabla9[CODIGO],Tabla3[[#This Row],[CODIGO]]),0)</f>
        <v>0</v>
      </c>
      <c r="Q813" s="25">
        <f>IF(BD_DETALLE!P813&lt;=0,0,IF(BD_DETALLE!P813=BD_DETALLE!H813,2,1))</f>
        <v>0</v>
      </c>
      <c r="R813" s="41">
        <f ca="1">IF(BD_DETALLE!$C813&gt;0,(IF(BD_DETALLE!$N813=0,TODAY()-BD_DETALLE!$C813,BD_DETALLE!$N813-BD_DETALLE!$C813)),"")</f>
        <v>6</v>
      </c>
    </row>
    <row r="814" spans="2:18" x14ac:dyDescent="0.25">
      <c r="B814" s="15" t="str">
        <f t="shared" si="74"/>
        <v>2104-94-315539</v>
      </c>
      <c r="C814" s="7">
        <v>44299</v>
      </c>
      <c r="D814" s="5" t="str">
        <f>IF(BD_DETALLE!$E814&gt;=1,CONCATENATE(TEXT(BD_DETALLE!$C814,"YY"),TEXT(BD_DETALLE!$C814,"MM"),"-",BD_DETALLE!$E814),"")</f>
        <v>2104-94</v>
      </c>
      <c r="E814" s="12">
        <v>94</v>
      </c>
      <c r="F814" s="21">
        <v>315539</v>
      </c>
      <c r="G814" s="4" t="str">
        <f>IFERROR(VLOOKUP(BD_DETALLE!$B814,Tabla9[],6,0),"")</f>
        <v>PANTALON JEAN C/LOGO FORTIDEX - TALLA 10 (MUJER)</v>
      </c>
      <c r="H814" s="6">
        <f>IFERROR(VLOOKUP(BD_DETALLE!$B814,Tabla9[],4,0),0)</f>
        <v>6</v>
      </c>
      <c r="I814" s="19" t="s">
        <v>1059</v>
      </c>
      <c r="J814" s="20" t="s">
        <v>2047</v>
      </c>
      <c r="K814" s="10">
        <f>IFERROR(VLOOKUP(BD_DETALLE!B814,Tabla9[],7,0),"")</f>
        <v>0</v>
      </c>
      <c r="L814" s="11">
        <f>IFERROR(VLOOKUP(BD_DETALLE!B814,Tabla9[],8,0),"")</f>
        <v>0</v>
      </c>
      <c r="M814" s="9">
        <f>IFERROR(SUMIFS(Tabla9[CANTIDAD2],Tabla9[BUSQUEDA],Tabla3[[#This Row],[BUSQUEDA]],Tabla9[CODIGO],Tabla3[[#This Row],[CODIGO]],Tabla9[ORDEN No.],Tabla3[[#This Row],[ORDEN de COMPRA]]),0)</f>
        <v>0</v>
      </c>
      <c r="N814" s="27">
        <f>IFERROR(IF(BD_DETALLE!B814&gt;0,VLOOKUP(BD_DETALLE!B814,Tabla9[],10,0),""),"")</f>
        <v>0</v>
      </c>
      <c r="O814" s="28">
        <f>IFERROR(VLOOKUP(BD_DETALLE!B814,Tabla9[],11,0),0)</f>
        <v>0</v>
      </c>
      <c r="P814" s="26">
        <f>IFERROR(SUMIFS(Tabla9[CANTIDAD3],Tabla9[BUSQUEDA],Tabla3[[#This Row],[BUSQUEDA]],Tabla9[CODIGO],Tabla3[[#This Row],[CODIGO]]),0)</f>
        <v>0</v>
      </c>
      <c r="Q814" s="25">
        <f>IF(BD_DETALLE!P814&lt;=0,0,IF(BD_DETALLE!P814=BD_DETALLE!H814,2,1))</f>
        <v>0</v>
      </c>
      <c r="R814" s="41">
        <f ca="1">IF(BD_DETALLE!$C814&gt;0,(IF(BD_DETALLE!$N814=0,TODAY()-BD_DETALLE!$C814,BD_DETALLE!$N814-BD_DETALLE!$C814)),"")</f>
        <v>6</v>
      </c>
    </row>
    <row r="815" spans="2:18" x14ac:dyDescent="0.25">
      <c r="B815" s="15" t="str">
        <f t="shared" si="74"/>
        <v>2104-95-318591</v>
      </c>
      <c r="C815" s="7">
        <v>44299</v>
      </c>
      <c r="D815" s="5" t="str">
        <f>IF(BD_DETALLE!$E815&gt;=1,CONCATENATE(TEXT(BD_DETALLE!$C815,"YY"),TEXT(BD_DETALLE!$C815,"MM"),"-",BD_DETALLE!$E815),"")</f>
        <v>2104-95</v>
      </c>
      <c r="E815" s="12">
        <v>95</v>
      </c>
      <c r="F815" s="21">
        <v>318591</v>
      </c>
      <c r="G815" s="4" t="str">
        <f>IFERROR(VLOOKUP(BD_DETALLE!$B815,Tabla9[],6,0),"")</f>
        <v>BUZO CUELLO REDONDO C/REFLECTIVO</v>
      </c>
      <c r="H815" s="6">
        <f>IFERROR(VLOOKUP(BD_DETALLE!$B815,Tabla9[],4,0),0)</f>
        <v>38</v>
      </c>
      <c r="I815" s="19" t="s">
        <v>1059</v>
      </c>
      <c r="J815" s="20" t="s">
        <v>2047</v>
      </c>
      <c r="K815" s="10">
        <f>IFERROR(VLOOKUP(BD_DETALLE!B815,Tabla9[],7,0),"")</f>
        <v>0</v>
      </c>
      <c r="L815" s="11">
        <f>IFERROR(VLOOKUP(BD_DETALLE!B815,Tabla9[],8,0),"")</f>
        <v>0</v>
      </c>
      <c r="M815" s="9">
        <f>IFERROR(SUMIFS(Tabla9[CANTIDAD2],Tabla9[BUSQUEDA],Tabla3[[#This Row],[BUSQUEDA]],Tabla9[CODIGO],Tabla3[[#This Row],[CODIGO]],Tabla9[ORDEN No.],Tabla3[[#This Row],[ORDEN de COMPRA]]),0)</f>
        <v>0</v>
      </c>
      <c r="N815" s="27">
        <f>IFERROR(IF(BD_DETALLE!B815&gt;0,VLOOKUP(BD_DETALLE!B815,Tabla9[],10,0),""),"")</f>
        <v>0</v>
      </c>
      <c r="O815" s="28">
        <f>IFERROR(VLOOKUP(BD_DETALLE!B815,Tabla9[],11,0),0)</f>
        <v>0</v>
      </c>
      <c r="P815" s="26">
        <f>IFERROR(SUMIFS(Tabla9[CANTIDAD3],Tabla9[BUSQUEDA],Tabla3[[#This Row],[BUSQUEDA]],Tabla9[CODIGO],Tabla3[[#This Row],[CODIGO]]),0)</f>
        <v>0</v>
      </c>
      <c r="Q815" s="25">
        <f>IF(BD_DETALLE!P815&lt;=0,0,IF(BD_DETALLE!P815=BD_DETALLE!H815,2,1))</f>
        <v>0</v>
      </c>
      <c r="R815" s="41">
        <f ca="1">IF(BD_DETALLE!$C815&gt;0,(IF(BD_DETALLE!$N815=0,TODAY()-BD_DETALLE!$C815,BD_DETALLE!$N815-BD_DETALLE!$C815)),"")</f>
        <v>6</v>
      </c>
    </row>
    <row r="816" spans="2:18" x14ac:dyDescent="0.25">
      <c r="B816" s="15" t="str">
        <f t="shared" si="74"/>
        <v>2104-95-313314</v>
      </c>
      <c r="C816" s="7">
        <v>44299</v>
      </c>
      <c r="D816" s="5" t="str">
        <f>IF(BD_DETALLE!$E816&gt;=1,CONCATENATE(TEXT(BD_DETALLE!$C816,"YY"),TEXT(BD_DETALLE!$C816,"MM"),"-",BD_DETALLE!$E816),"")</f>
        <v>2104-95</v>
      </c>
      <c r="E816" s="12">
        <v>95</v>
      </c>
      <c r="F816" s="21">
        <v>313314</v>
      </c>
      <c r="G816" s="4" t="str">
        <f>IFERROR(VLOOKUP(BD_DETALLE!$B816,Tabla9[],6,0),"")</f>
        <v>CAMISETA T/POLO C/LOGO FORTIDEX</v>
      </c>
      <c r="H816" s="6">
        <f>IFERROR(VLOOKUP(BD_DETALLE!$B816,Tabla9[],4,0),0)</f>
        <v>2</v>
      </c>
      <c r="I816" s="19" t="s">
        <v>1059</v>
      </c>
      <c r="J816" s="20" t="s">
        <v>2047</v>
      </c>
      <c r="K816" s="10">
        <f>IFERROR(VLOOKUP(BD_DETALLE!B816,Tabla9[],7,0),"")</f>
        <v>0</v>
      </c>
      <c r="L816" s="11">
        <f>IFERROR(VLOOKUP(BD_DETALLE!B816,Tabla9[],8,0),"")</f>
        <v>0</v>
      </c>
      <c r="M816" s="9">
        <f>IFERROR(SUMIFS(Tabla9[CANTIDAD2],Tabla9[BUSQUEDA],Tabla3[[#This Row],[BUSQUEDA]],Tabla9[CODIGO],Tabla3[[#This Row],[CODIGO]],Tabla9[ORDEN No.],Tabla3[[#This Row],[ORDEN de COMPRA]]),0)</f>
        <v>0</v>
      </c>
      <c r="N816" s="27">
        <f>IFERROR(IF(BD_DETALLE!B816&gt;0,VLOOKUP(BD_DETALLE!B816,Tabla9[],10,0),""),"")</f>
        <v>0</v>
      </c>
      <c r="O816" s="28">
        <f>IFERROR(VLOOKUP(BD_DETALLE!B816,Tabla9[],11,0),0)</f>
        <v>0</v>
      </c>
      <c r="P816" s="26">
        <f>IFERROR(SUMIFS(Tabla9[CANTIDAD3],Tabla9[BUSQUEDA],Tabla3[[#This Row],[BUSQUEDA]],Tabla9[CODIGO],Tabla3[[#This Row],[CODIGO]]),0)</f>
        <v>0</v>
      </c>
      <c r="Q816" s="25">
        <f>IF(BD_DETALLE!P816&lt;=0,0,IF(BD_DETALLE!P816=BD_DETALLE!H816,2,1))</f>
        <v>0</v>
      </c>
      <c r="R816" s="41">
        <f ca="1">IF(BD_DETALLE!$C816&gt;0,(IF(BD_DETALLE!$N816=0,TODAY()-BD_DETALLE!$C816,BD_DETALLE!$N816-BD_DETALLE!$C816)),"")</f>
        <v>6</v>
      </c>
    </row>
    <row r="817" spans="2:18" x14ac:dyDescent="0.25">
      <c r="B817" s="15" t="str">
        <f t="shared" si="74"/>
        <v>2104-96-306175</v>
      </c>
      <c r="C817" s="7">
        <v>44299</v>
      </c>
      <c r="D817" s="5" t="str">
        <f>IF(BD_DETALLE!$E817&gt;=1,CONCATENATE(TEXT(BD_DETALLE!$C817,"YY"),TEXT(BD_DETALLE!$C817,"MM"),"-",BD_DETALLE!$E817),"")</f>
        <v>2104-96</v>
      </c>
      <c r="E817" s="12">
        <v>96</v>
      </c>
      <c r="F817" s="21">
        <v>306175</v>
      </c>
      <c r="G817" s="4" t="str">
        <f>IFERROR(VLOOKUP(BD_DETALLE!$B817,Tabla9[],6,0),"")</f>
        <v>LIJA DE HIERRO # 36</v>
      </c>
      <c r="H817" s="6">
        <f>IFERROR(VLOOKUP(BD_DETALLE!$B817,Tabla9[],4,0),0)</f>
        <v>15</v>
      </c>
      <c r="I817" s="19" t="s">
        <v>4</v>
      </c>
      <c r="J817" s="20" t="s">
        <v>385</v>
      </c>
      <c r="K817" s="10">
        <f>IFERROR(VLOOKUP(BD_DETALLE!B817,Tabla9[],7,0),"")</f>
        <v>0</v>
      </c>
      <c r="L817" s="11">
        <f>IFERROR(VLOOKUP(BD_DETALLE!B817,Tabla9[],8,0),"")</f>
        <v>0</v>
      </c>
      <c r="M817" s="9">
        <f>IFERROR(SUMIFS(Tabla9[CANTIDAD2],Tabla9[BUSQUEDA],Tabla3[[#This Row],[BUSQUEDA]],Tabla9[CODIGO],Tabla3[[#This Row],[CODIGO]],Tabla9[ORDEN No.],Tabla3[[#This Row],[ORDEN de COMPRA]]),0)</f>
        <v>0</v>
      </c>
      <c r="N817" s="27">
        <f>IFERROR(IF(BD_DETALLE!B817&gt;0,VLOOKUP(BD_DETALLE!B817,Tabla9[],10,0),""),"")</f>
        <v>44299</v>
      </c>
      <c r="O817" s="28">
        <f>IFERROR(VLOOKUP(BD_DETALLE!B817,Tabla9[],11,0),0)</f>
        <v>11808</v>
      </c>
      <c r="P817" s="26">
        <f>IFERROR(SUMIFS(Tabla9[CANTIDAD3],Tabla9[BUSQUEDA],Tabla3[[#This Row],[BUSQUEDA]],Tabla9[CODIGO],Tabla3[[#This Row],[CODIGO]]),0)</f>
        <v>15</v>
      </c>
      <c r="Q817" s="25">
        <f>IF(BD_DETALLE!P817&lt;=0,0,IF(BD_DETALLE!P817=BD_DETALLE!H817,2,1))</f>
        <v>2</v>
      </c>
      <c r="R817" s="41">
        <f ca="1">IF(BD_DETALLE!$C817&gt;0,(IF(BD_DETALLE!$N817=0,TODAY()-BD_DETALLE!$C817,BD_DETALLE!$N817-BD_DETALLE!$C817)),"")</f>
        <v>0</v>
      </c>
    </row>
    <row r="818" spans="2:18" x14ac:dyDescent="0.25">
      <c r="B818" s="15" t="str">
        <f t="shared" si="74"/>
        <v>2104-96-302350</v>
      </c>
      <c r="C818" s="7">
        <v>44299</v>
      </c>
      <c r="D818" s="5" t="str">
        <f>IF(BD_DETALLE!$E818&gt;=1,CONCATENATE(TEXT(BD_DETALLE!$C818,"YY"),TEXT(BD_DETALLE!$C818,"MM"),"-",BD_DETALLE!$E818),"")</f>
        <v>2104-96</v>
      </c>
      <c r="E818" s="12">
        <v>96</v>
      </c>
      <c r="F818" s="21">
        <v>302350</v>
      </c>
      <c r="G818" s="4" t="str">
        <f>IFERROR(VLOOKUP(BD_DETALLE!$B818,Tabla9[],6,0),"")</f>
        <v>LIJA DE AGUA # 80</v>
      </c>
      <c r="H818" s="6">
        <f>IFERROR(VLOOKUP(BD_DETALLE!$B818,Tabla9[],4,0),0)</f>
        <v>15</v>
      </c>
      <c r="I818" s="19" t="s">
        <v>4</v>
      </c>
      <c r="J818" s="20" t="s">
        <v>385</v>
      </c>
      <c r="K818" s="10">
        <f>IFERROR(VLOOKUP(BD_DETALLE!B818,Tabla9[],7,0),"")</f>
        <v>0</v>
      </c>
      <c r="L818" s="11">
        <f>IFERROR(VLOOKUP(BD_DETALLE!B818,Tabla9[],8,0),"")</f>
        <v>0</v>
      </c>
      <c r="M818" s="9">
        <f>IFERROR(SUMIFS(Tabla9[CANTIDAD2],Tabla9[BUSQUEDA],Tabla3[[#This Row],[BUSQUEDA]],Tabla9[CODIGO],Tabla3[[#This Row],[CODIGO]],Tabla9[ORDEN No.],Tabla3[[#This Row],[ORDEN de COMPRA]]),0)</f>
        <v>0</v>
      </c>
      <c r="N818" s="27">
        <f>IFERROR(IF(BD_DETALLE!B818&gt;0,VLOOKUP(BD_DETALLE!B818,Tabla9[],10,0),""),"")</f>
        <v>44299</v>
      </c>
      <c r="O818" s="28">
        <f>IFERROR(VLOOKUP(BD_DETALLE!B818,Tabla9[],11,0),0)</f>
        <v>11808</v>
      </c>
      <c r="P818" s="26">
        <f>IFERROR(SUMIFS(Tabla9[CANTIDAD3],Tabla9[BUSQUEDA],Tabla3[[#This Row],[BUSQUEDA]],Tabla9[CODIGO],Tabla3[[#This Row],[CODIGO]]),0)</f>
        <v>15</v>
      </c>
      <c r="Q818" s="25">
        <f>IF(BD_DETALLE!P818&lt;=0,0,IF(BD_DETALLE!P818=BD_DETALLE!H818,2,1))</f>
        <v>2</v>
      </c>
      <c r="R818" s="41">
        <f ca="1">IF(BD_DETALLE!$C818&gt;0,(IF(BD_DETALLE!$N818=0,TODAY()-BD_DETALLE!$C818,BD_DETALLE!$N818-BD_DETALLE!$C818)),"")</f>
        <v>0</v>
      </c>
    </row>
    <row r="819" spans="2:18" x14ac:dyDescent="0.25">
      <c r="B819" s="15" t="str">
        <f t="shared" si="74"/>
        <v>2104-96-304092</v>
      </c>
      <c r="C819" s="7">
        <v>44299</v>
      </c>
      <c r="D819" s="5" t="str">
        <f>IF(BD_DETALLE!$E819&gt;=1,CONCATENATE(TEXT(BD_DETALLE!$C819,"YY"),TEXT(BD_DETALLE!$C819,"MM"),"-",BD_DETALLE!$E819),"")</f>
        <v>2104-96</v>
      </c>
      <c r="E819" s="12">
        <v>96</v>
      </c>
      <c r="F819" s="21">
        <v>304092</v>
      </c>
      <c r="G819" s="4" t="str">
        <f>IFERROR(VLOOKUP(BD_DETALLE!$B819,Tabla9[],6,0),"")</f>
        <v>LIJA DE AGUA # 120</v>
      </c>
      <c r="H819" s="6">
        <f>IFERROR(VLOOKUP(BD_DETALLE!$B819,Tabla9[],4,0),0)</f>
        <v>20</v>
      </c>
      <c r="I819" s="19" t="s">
        <v>4</v>
      </c>
      <c r="J819" s="20" t="s">
        <v>385</v>
      </c>
      <c r="K819" s="10">
        <f>IFERROR(VLOOKUP(BD_DETALLE!B819,Tabla9[],7,0),"")</f>
        <v>0</v>
      </c>
      <c r="L819" s="11">
        <f>IFERROR(VLOOKUP(BD_DETALLE!B819,Tabla9[],8,0),"")</f>
        <v>0</v>
      </c>
      <c r="M819" s="9">
        <f>IFERROR(SUMIFS(Tabla9[CANTIDAD2],Tabla9[BUSQUEDA],Tabla3[[#This Row],[BUSQUEDA]],Tabla9[CODIGO],Tabla3[[#This Row],[CODIGO]],Tabla9[ORDEN No.],Tabla3[[#This Row],[ORDEN de COMPRA]]),0)</f>
        <v>0</v>
      </c>
      <c r="N819" s="27">
        <f>IFERROR(IF(BD_DETALLE!B819&gt;0,VLOOKUP(BD_DETALLE!B819,Tabla9[],10,0),""),"")</f>
        <v>44299</v>
      </c>
      <c r="O819" s="28">
        <f>IFERROR(VLOOKUP(BD_DETALLE!B819,Tabla9[],11,0),0)</f>
        <v>11808</v>
      </c>
      <c r="P819" s="26">
        <f>IFERROR(SUMIFS(Tabla9[CANTIDAD3],Tabla9[BUSQUEDA],Tabla3[[#This Row],[BUSQUEDA]],Tabla9[CODIGO],Tabla3[[#This Row],[CODIGO]]),0)</f>
        <v>20</v>
      </c>
      <c r="Q819" s="25">
        <f>IF(BD_DETALLE!P819&lt;=0,0,IF(BD_DETALLE!P819=BD_DETALLE!H819,2,1))</f>
        <v>2</v>
      </c>
      <c r="R819" s="41">
        <f ca="1">IF(BD_DETALLE!$C819&gt;0,(IF(BD_DETALLE!$N819=0,TODAY()-BD_DETALLE!$C819,BD_DETALLE!$N819-BD_DETALLE!$C819)),"")</f>
        <v>0</v>
      </c>
    </row>
    <row r="820" spans="2:18" x14ac:dyDescent="0.25">
      <c r="B820" s="15" t="str">
        <f t="shared" si="74"/>
        <v>2104-96-304777</v>
      </c>
      <c r="C820" s="7">
        <v>44299</v>
      </c>
      <c r="D820" s="5" t="str">
        <f>IF(BD_DETALLE!$E820&gt;=1,CONCATENATE(TEXT(BD_DETALLE!$C820,"YY"),TEXT(BD_DETALLE!$C820,"MM"),"-",BD_DETALLE!$E820),"")</f>
        <v>2104-96</v>
      </c>
      <c r="E820" s="12">
        <v>96</v>
      </c>
      <c r="F820" s="21">
        <v>304777</v>
      </c>
      <c r="G820" s="4" t="str">
        <f>IFERROR(VLOOKUP(BD_DETALLE!$B820,Tabla9[],6,0),"")</f>
        <v>LIJA DE AGUA # 240</v>
      </c>
      <c r="H820" s="6">
        <f>IFERROR(VLOOKUP(BD_DETALLE!$B820,Tabla9[],4,0),0)</f>
        <v>15</v>
      </c>
      <c r="I820" s="19" t="s">
        <v>4</v>
      </c>
      <c r="J820" s="20" t="s">
        <v>385</v>
      </c>
      <c r="K820" s="10">
        <f>IFERROR(VLOOKUP(BD_DETALLE!B820,Tabla9[],7,0),"")</f>
        <v>0</v>
      </c>
      <c r="L820" s="11">
        <f>IFERROR(VLOOKUP(BD_DETALLE!B820,Tabla9[],8,0),"")</f>
        <v>0</v>
      </c>
      <c r="M820" s="9">
        <f>IFERROR(SUMIFS(Tabla9[CANTIDAD2],Tabla9[BUSQUEDA],Tabla3[[#This Row],[BUSQUEDA]],Tabla9[CODIGO],Tabla3[[#This Row],[CODIGO]],Tabla9[ORDEN No.],Tabla3[[#This Row],[ORDEN de COMPRA]]),0)</f>
        <v>0</v>
      </c>
      <c r="N820" s="27">
        <f>IFERROR(IF(BD_DETALLE!B820&gt;0,VLOOKUP(BD_DETALLE!B820,Tabla9[],10,0),""),"")</f>
        <v>44299</v>
      </c>
      <c r="O820" s="28">
        <f>IFERROR(VLOOKUP(BD_DETALLE!B820,Tabla9[],11,0),0)</f>
        <v>11808</v>
      </c>
      <c r="P820" s="26">
        <f>IFERROR(SUMIFS(Tabla9[CANTIDAD3],Tabla9[BUSQUEDA],Tabla3[[#This Row],[BUSQUEDA]],Tabla9[CODIGO],Tabla3[[#This Row],[CODIGO]]),0)</f>
        <v>15</v>
      </c>
      <c r="Q820" s="25">
        <f>IF(BD_DETALLE!P820&lt;=0,0,IF(BD_DETALLE!P820=BD_DETALLE!H820,2,1))</f>
        <v>2</v>
      </c>
      <c r="R820" s="41">
        <f ca="1">IF(BD_DETALLE!$C820&gt;0,(IF(BD_DETALLE!$N820=0,TODAY()-BD_DETALLE!$C820,BD_DETALLE!$N820-BD_DETALLE!$C820)),"")</f>
        <v>0</v>
      </c>
    </row>
    <row r="821" spans="2:18" x14ac:dyDescent="0.25">
      <c r="B821" s="15" t="str">
        <f t="shared" si="74"/>
        <v>2104-96-200226</v>
      </c>
      <c r="C821" s="7">
        <v>44299</v>
      </c>
      <c r="D821" s="5" t="str">
        <f>IF(BD_DETALLE!$E821&gt;=1,CONCATENATE(TEXT(BD_DETALLE!$C821,"YY"),TEXT(BD_DETALLE!$C821,"MM"),"-",BD_DETALLE!$E821),"")</f>
        <v>2104-96</v>
      </c>
      <c r="E821" s="12">
        <v>96</v>
      </c>
      <c r="F821" s="21">
        <v>200226</v>
      </c>
      <c r="G821" s="4" t="str">
        <f>IFERROR(VLOOKUP(BD_DETALLE!$B821,Tabla9[],6,0),"")</f>
        <v>WAIPE / TRAPOS</v>
      </c>
      <c r="H821" s="6">
        <f>IFERROR(VLOOKUP(BD_DETALLE!$B821,Tabla9[],4,0),0)</f>
        <v>30</v>
      </c>
      <c r="I821" s="19" t="s">
        <v>4</v>
      </c>
      <c r="J821" s="20" t="s">
        <v>385</v>
      </c>
      <c r="K821" s="10">
        <f>IFERROR(VLOOKUP(BD_DETALLE!B821,Tabla9[],7,0),"")</f>
        <v>0</v>
      </c>
      <c r="L821" s="11">
        <f>IFERROR(VLOOKUP(BD_DETALLE!B821,Tabla9[],8,0),"")</f>
        <v>0</v>
      </c>
      <c r="M821" s="9">
        <f>IFERROR(SUMIFS(Tabla9[CANTIDAD2],Tabla9[BUSQUEDA],Tabla3[[#This Row],[BUSQUEDA]],Tabla9[CODIGO],Tabla3[[#This Row],[CODIGO]],Tabla9[ORDEN No.],Tabla3[[#This Row],[ORDEN de COMPRA]]),0)</f>
        <v>0</v>
      </c>
      <c r="N821" s="27">
        <f>IFERROR(IF(BD_DETALLE!B821&gt;0,VLOOKUP(BD_DETALLE!B821,Tabla9[],10,0),""),"")</f>
        <v>44299</v>
      </c>
      <c r="O821" s="28">
        <f>IFERROR(VLOOKUP(BD_DETALLE!B821,Tabla9[],11,0),0)</f>
        <v>11808</v>
      </c>
      <c r="P821" s="26">
        <f>IFERROR(SUMIFS(Tabla9[CANTIDAD3],Tabla9[BUSQUEDA],Tabla3[[#This Row],[BUSQUEDA]],Tabla9[CODIGO],Tabla3[[#This Row],[CODIGO]]),0)</f>
        <v>30</v>
      </c>
      <c r="Q821" s="25">
        <f>IF(BD_DETALLE!P821&lt;=0,0,IF(BD_DETALLE!P821=BD_DETALLE!H821,2,1))</f>
        <v>2</v>
      </c>
      <c r="R821" s="41">
        <f ca="1">IF(BD_DETALLE!$C821&gt;0,(IF(BD_DETALLE!$N821=0,TODAY()-BD_DETALLE!$C821,BD_DETALLE!$N821-BD_DETALLE!$C821)),"")</f>
        <v>0</v>
      </c>
    </row>
    <row r="822" spans="2:18" x14ac:dyDescent="0.25">
      <c r="B822" s="15" t="str">
        <f t="shared" si="74"/>
        <v>2104-97-311863</v>
      </c>
      <c r="C822" s="7">
        <v>44299</v>
      </c>
      <c r="D822" s="5" t="str">
        <f>IF(BD_DETALLE!$E822&gt;=1,CONCATENATE(TEXT(BD_DETALLE!$C822,"YY"),TEXT(BD_DETALLE!$C822,"MM"),"-",BD_DETALLE!$E822),"")</f>
        <v>2104-97</v>
      </c>
      <c r="E822" s="12">
        <v>97</v>
      </c>
      <c r="F822" s="21">
        <v>311863</v>
      </c>
      <c r="G822" s="4" t="str">
        <f>IFERROR(VLOOKUP(BD_DETALLE!$B822,Tabla9[],6,0),"")</f>
        <v>CORNETA LARGA REDONDA DE AIRE</v>
      </c>
      <c r="H822" s="6">
        <f>IFERROR(VLOOKUP(BD_DETALLE!$B822,Tabla9[],4,0),0)</f>
        <v>3</v>
      </c>
      <c r="I822" s="19" t="s">
        <v>5</v>
      </c>
      <c r="J822" s="20" t="s">
        <v>2326</v>
      </c>
      <c r="K822" s="10">
        <f>IFERROR(VLOOKUP(BD_DETALLE!B822,Tabla9[],7,0),"")</f>
        <v>0</v>
      </c>
      <c r="L822" s="11">
        <f>IFERROR(VLOOKUP(BD_DETALLE!B822,Tabla9[],8,0),"")</f>
        <v>0</v>
      </c>
      <c r="M822" s="9">
        <f>IFERROR(SUMIFS(Tabla9[CANTIDAD2],Tabla9[BUSQUEDA],Tabla3[[#This Row],[BUSQUEDA]],Tabla9[CODIGO],Tabla3[[#This Row],[CODIGO]],Tabla9[ORDEN No.],Tabla3[[#This Row],[ORDEN de COMPRA]]),0)</f>
        <v>0</v>
      </c>
      <c r="N822" s="27">
        <f>IFERROR(IF(BD_DETALLE!B822&gt;0,VLOOKUP(BD_DETALLE!B822,Tabla9[],10,0),""),"")</f>
        <v>0</v>
      </c>
      <c r="O822" s="28">
        <f>IFERROR(VLOOKUP(BD_DETALLE!B822,Tabla9[],11,0),0)</f>
        <v>0</v>
      </c>
      <c r="P822" s="26">
        <f>IFERROR(SUMIFS(Tabla9[CANTIDAD3],Tabla9[BUSQUEDA],Tabla3[[#This Row],[BUSQUEDA]],Tabla9[CODIGO],Tabla3[[#This Row],[CODIGO]]),0)</f>
        <v>0</v>
      </c>
      <c r="Q822" s="25">
        <f>IF(BD_DETALLE!P822&lt;=0,0,IF(BD_DETALLE!P822=BD_DETALLE!H822,2,1))</f>
        <v>0</v>
      </c>
      <c r="R822" s="41">
        <f ca="1">IF(BD_DETALLE!$C822&gt;0,(IF(BD_DETALLE!$N822=0,TODAY()-BD_DETALLE!$C822,BD_DETALLE!$N822-BD_DETALLE!$C822)),"")</f>
        <v>6</v>
      </c>
    </row>
    <row r="823" spans="2:18" x14ac:dyDescent="0.25">
      <c r="B823" s="15" t="str">
        <f t="shared" si="74"/>
        <v>2104-98-106554</v>
      </c>
      <c r="C823" s="7">
        <v>44299</v>
      </c>
      <c r="D823" s="5" t="str">
        <f>IF(BD_DETALLE!$E823&gt;=1,CONCATENATE(TEXT(BD_DETALLE!$C823,"YY"),TEXT(BD_DETALLE!$C823,"MM"),"-",BD_DETALLE!$E823),"")</f>
        <v>2104-98</v>
      </c>
      <c r="E823" s="12">
        <v>98</v>
      </c>
      <c r="F823" s="21">
        <v>106554</v>
      </c>
      <c r="G823" s="4" t="str">
        <f>IFERROR(VLOOKUP(BD_DETALLE!$B823,Tabla9[],6,0),"")</f>
        <v>PINTURA TRAFICO AMARILLO</v>
      </c>
      <c r="H823" s="6">
        <f>IFERROR(VLOOKUP(BD_DETALLE!$B823,Tabla9[],4,0),0)</f>
        <v>3</v>
      </c>
      <c r="I823" s="19" t="s">
        <v>4</v>
      </c>
      <c r="J823" s="20" t="s">
        <v>2327</v>
      </c>
      <c r="K823" s="10">
        <f>IFERROR(VLOOKUP(BD_DETALLE!B823,Tabla9[],7,0),"")</f>
        <v>0</v>
      </c>
      <c r="L823" s="11">
        <f>IFERROR(VLOOKUP(BD_DETALLE!B823,Tabla9[],8,0),"")</f>
        <v>0</v>
      </c>
      <c r="M823" s="9">
        <f>IFERROR(SUMIFS(Tabla9[CANTIDAD2],Tabla9[BUSQUEDA],Tabla3[[#This Row],[BUSQUEDA]],Tabla9[CODIGO],Tabla3[[#This Row],[CODIGO]],Tabla9[ORDEN No.],Tabla3[[#This Row],[ORDEN de COMPRA]]),0)</f>
        <v>0</v>
      </c>
      <c r="N823" s="27">
        <f>IFERROR(IF(BD_DETALLE!B823&gt;0,VLOOKUP(BD_DETALLE!B823,Tabla9[],10,0),""),"")</f>
        <v>44299</v>
      </c>
      <c r="O823" s="28">
        <f>IFERROR(VLOOKUP(BD_DETALLE!B823,Tabla9[],11,0),0)</f>
        <v>11809</v>
      </c>
      <c r="P823" s="26">
        <f>IFERROR(SUMIFS(Tabla9[CANTIDAD3],Tabla9[BUSQUEDA],Tabla3[[#This Row],[BUSQUEDA]],Tabla9[CODIGO],Tabla3[[#This Row],[CODIGO]]),0)</f>
        <v>3</v>
      </c>
      <c r="Q823" s="25">
        <f>IF(BD_DETALLE!P823&lt;=0,0,IF(BD_DETALLE!P823=BD_DETALLE!H823,2,1))</f>
        <v>2</v>
      </c>
      <c r="R823" s="41">
        <f ca="1">IF(BD_DETALLE!$C823&gt;0,(IF(BD_DETALLE!$N823=0,TODAY()-BD_DETALLE!$C823,BD_DETALLE!$N823-BD_DETALLE!$C823)),"")</f>
        <v>0</v>
      </c>
    </row>
    <row r="824" spans="2:18" x14ac:dyDescent="0.25">
      <c r="B824" s="15" t="str">
        <f t="shared" si="74"/>
        <v>2104-99-107655</v>
      </c>
      <c r="C824" s="7">
        <v>44299</v>
      </c>
      <c r="D824" s="5" t="str">
        <f>IF(BD_DETALLE!$E824&gt;=1,CONCATENATE(TEXT(BD_DETALLE!$C824,"YY"),TEXT(BD_DETALLE!$C824,"MM"),"-",BD_DETALLE!$E824),"")</f>
        <v>2104-99</v>
      </c>
      <c r="E824" s="12">
        <v>99</v>
      </c>
      <c r="F824" s="21">
        <v>107655</v>
      </c>
      <c r="G824" s="4" t="str">
        <f>IFERROR(VLOOKUP(BD_DETALLE!$B824,Tabla9[],6,0),"")</f>
        <v>LUZ PILOTO 12V</v>
      </c>
      <c r="H824" s="6">
        <f>IFERROR(VLOOKUP(BD_DETALLE!$B824,Tabla9[],4,0),0)</f>
        <v>1</v>
      </c>
      <c r="I824" s="19" t="s">
        <v>5</v>
      </c>
      <c r="J824" s="20" t="s">
        <v>2328</v>
      </c>
      <c r="K824" s="10">
        <f>IFERROR(VLOOKUP(BD_DETALLE!B824,Tabla9[],7,0),"")</f>
        <v>0</v>
      </c>
      <c r="L824" s="11">
        <f>IFERROR(VLOOKUP(BD_DETALLE!B824,Tabla9[],8,0),"")</f>
        <v>0</v>
      </c>
      <c r="M824" s="9">
        <f>IFERROR(SUMIFS(Tabla9[CANTIDAD2],Tabla9[BUSQUEDA],Tabla3[[#This Row],[BUSQUEDA]],Tabla9[CODIGO],Tabla3[[#This Row],[CODIGO]],Tabla9[ORDEN No.],Tabla3[[#This Row],[ORDEN de COMPRA]]),0)</f>
        <v>0</v>
      </c>
      <c r="N824" s="27">
        <f>IFERROR(IF(BD_DETALLE!B824&gt;0,VLOOKUP(BD_DETALLE!B824,Tabla9[],10,0),""),"")</f>
        <v>44299</v>
      </c>
      <c r="O824" s="28">
        <f>IFERROR(VLOOKUP(BD_DETALLE!B824,Tabla9[],11,0),0)</f>
        <v>11813</v>
      </c>
      <c r="P824" s="26">
        <f>IFERROR(SUMIFS(Tabla9[CANTIDAD3],Tabla9[BUSQUEDA],Tabla3[[#This Row],[BUSQUEDA]],Tabla9[CODIGO],Tabla3[[#This Row],[CODIGO]]),0)</f>
        <v>1</v>
      </c>
      <c r="Q824" s="25">
        <f>IF(BD_DETALLE!P824&lt;=0,0,IF(BD_DETALLE!P824=BD_DETALLE!H824,2,1))</f>
        <v>2</v>
      </c>
      <c r="R824" s="41">
        <f ca="1">IF(BD_DETALLE!$C824&gt;0,(IF(BD_DETALLE!$N824=0,TODAY()-BD_DETALLE!$C824,BD_DETALLE!$N824-BD_DETALLE!$C824)),"")</f>
        <v>0</v>
      </c>
    </row>
    <row r="825" spans="2:18" x14ac:dyDescent="0.25">
      <c r="B825" s="15" t="str">
        <f t="shared" si="74"/>
        <v>2104-99-312002</v>
      </c>
      <c r="C825" s="7">
        <v>44299</v>
      </c>
      <c r="D825" s="5" t="str">
        <f>IF(BD_DETALLE!$E825&gt;=1,CONCATENATE(TEXT(BD_DETALLE!$C825,"YY"),TEXT(BD_DETALLE!$C825,"MM"),"-",BD_DETALLE!$E825),"")</f>
        <v>2104-99</v>
      </c>
      <c r="E825" s="12">
        <v>99</v>
      </c>
      <c r="F825" s="21">
        <v>312002</v>
      </c>
      <c r="G825" s="4" t="str">
        <f>IFERROR(VLOOKUP(BD_DETALLE!$B825,Tabla9[],6,0),"")</f>
        <v>ALTENADOR DE HINO</v>
      </c>
      <c r="H825" s="6">
        <f>IFERROR(VLOOKUP(BD_DETALLE!$B825,Tabla9[],4,0),0)</f>
        <v>1</v>
      </c>
      <c r="I825" s="19" t="s">
        <v>5</v>
      </c>
      <c r="J825" s="20" t="s">
        <v>2328</v>
      </c>
      <c r="K825" s="10">
        <f>IFERROR(VLOOKUP(BD_DETALLE!B825,Tabla9[],7,0),"")</f>
        <v>0</v>
      </c>
      <c r="L825" s="11">
        <f>IFERROR(VLOOKUP(BD_DETALLE!B825,Tabla9[],8,0),"")</f>
        <v>0</v>
      </c>
      <c r="M825" s="9">
        <f>IFERROR(SUMIFS(Tabla9[CANTIDAD2],Tabla9[BUSQUEDA],Tabla3[[#This Row],[BUSQUEDA]],Tabla9[CODIGO],Tabla3[[#This Row],[CODIGO]],Tabla9[ORDEN No.],Tabla3[[#This Row],[ORDEN de COMPRA]]),0)</f>
        <v>0</v>
      </c>
      <c r="N825" s="27">
        <f>IFERROR(IF(BD_DETALLE!B825&gt;0,VLOOKUP(BD_DETALLE!B825,Tabla9[],10,0),""),"")</f>
        <v>44299</v>
      </c>
      <c r="O825" s="28">
        <f>IFERROR(VLOOKUP(BD_DETALLE!B825,Tabla9[],11,0),0)</f>
        <v>11813</v>
      </c>
      <c r="P825" s="26">
        <f>IFERROR(SUMIFS(Tabla9[CANTIDAD3],Tabla9[BUSQUEDA],Tabla3[[#This Row],[BUSQUEDA]],Tabla9[CODIGO],Tabla3[[#This Row],[CODIGO]]),0)</f>
        <v>1</v>
      </c>
      <c r="Q825" s="25">
        <f>IF(BD_DETALLE!P825&lt;=0,0,IF(BD_DETALLE!P825=BD_DETALLE!H825,2,1))</f>
        <v>2</v>
      </c>
      <c r="R825" s="41">
        <f ca="1">IF(BD_DETALLE!$C825&gt;0,(IF(BD_DETALLE!$N825=0,TODAY()-BD_DETALLE!$C825,BD_DETALLE!$N825-BD_DETALLE!$C825)),"")</f>
        <v>0</v>
      </c>
    </row>
    <row r="826" spans="2:18" x14ac:dyDescent="0.25">
      <c r="B826" s="15" t="str">
        <f t="shared" si="74"/>
        <v>2104-100-200298</v>
      </c>
      <c r="C826" s="7">
        <v>44299</v>
      </c>
      <c r="D826" s="5" t="str">
        <f>IF(BD_DETALLE!$E826&gt;=1,CONCATENATE(TEXT(BD_DETALLE!$C826,"YY"),TEXT(BD_DETALLE!$C826,"MM"),"-",BD_DETALLE!$E826),"")</f>
        <v>2104-100</v>
      </c>
      <c r="E826" s="12">
        <v>100</v>
      </c>
      <c r="F826" s="21">
        <v>200298</v>
      </c>
      <c r="G826" s="4" t="str">
        <f>IFERROR(VLOOKUP(BD_DETALLE!$B826,Tabla9[],6,0),"")</f>
        <v>PALAS CARBONERAS METALICAS</v>
      </c>
      <c r="H826" s="6">
        <f>IFERROR(VLOOKUP(BD_DETALLE!$B826,Tabla9[],4,0),0)</f>
        <v>3</v>
      </c>
      <c r="I826" s="19" t="s">
        <v>4</v>
      </c>
      <c r="J826" s="20" t="s">
        <v>385</v>
      </c>
      <c r="K826" s="10">
        <f>IFERROR(VLOOKUP(BD_DETALLE!B826,Tabla9[],7,0),"")</f>
        <v>0</v>
      </c>
      <c r="L826" s="11">
        <f>IFERROR(VLOOKUP(BD_DETALLE!B826,Tabla9[],8,0),"")</f>
        <v>0</v>
      </c>
      <c r="M826" s="9">
        <f>IFERROR(SUMIFS(Tabla9[CANTIDAD2],Tabla9[BUSQUEDA],Tabla3[[#This Row],[BUSQUEDA]],Tabla9[CODIGO],Tabla3[[#This Row],[CODIGO]],Tabla9[ORDEN No.],Tabla3[[#This Row],[ORDEN de COMPRA]]),0)</f>
        <v>0</v>
      </c>
      <c r="N826" s="27">
        <f>IFERROR(IF(BD_DETALLE!B826&gt;0,VLOOKUP(BD_DETALLE!B826,Tabla9[],10,0),""),"")</f>
        <v>44299</v>
      </c>
      <c r="O826" s="28">
        <f>IFERROR(VLOOKUP(BD_DETALLE!B826,Tabla9[],11,0),0)</f>
        <v>11810</v>
      </c>
      <c r="P826" s="26">
        <f>IFERROR(SUMIFS(Tabla9[CANTIDAD3],Tabla9[BUSQUEDA],Tabla3[[#This Row],[BUSQUEDA]],Tabla9[CODIGO],Tabla3[[#This Row],[CODIGO]]),0)</f>
        <v>3</v>
      </c>
      <c r="Q826" s="25">
        <f>IF(BD_DETALLE!P826&lt;=0,0,IF(BD_DETALLE!P826=BD_DETALLE!H826,2,1))</f>
        <v>2</v>
      </c>
      <c r="R826" s="41">
        <f ca="1">IF(BD_DETALLE!$C826&gt;0,(IF(BD_DETALLE!$N826=0,TODAY()-BD_DETALLE!$C826,BD_DETALLE!$N826-BD_DETALLE!$C826)),"")</f>
        <v>0</v>
      </c>
    </row>
    <row r="827" spans="2:18" x14ac:dyDescent="0.25">
      <c r="B827" s="15" t="str">
        <f t="shared" si="74"/>
        <v>2104-100-308803</v>
      </c>
      <c r="C827" s="7">
        <v>44299</v>
      </c>
      <c r="D827" s="5" t="str">
        <f>IF(BD_DETALLE!$E827&gt;=1,CONCATENATE(TEXT(BD_DETALLE!$C827,"YY"),TEXT(BD_DETALLE!$C827,"MM"),"-",BD_DETALLE!$E827),"")</f>
        <v>2104-100</v>
      </c>
      <c r="E827" s="12">
        <v>100</v>
      </c>
      <c r="F827" s="21">
        <v>308803</v>
      </c>
      <c r="G827" s="4" t="str">
        <f>IFERROR(VLOOKUP(BD_DETALLE!$B827,Tabla9[],6,0),"")</f>
        <v>SOLDADURA</v>
      </c>
      <c r="H827" s="6">
        <f>IFERROR(VLOOKUP(BD_DETALLE!$B827,Tabla9[],4,0),0)</f>
        <v>100</v>
      </c>
      <c r="I827" s="19" t="s">
        <v>4</v>
      </c>
      <c r="J827" s="20" t="s">
        <v>385</v>
      </c>
      <c r="K827" s="10">
        <f>IFERROR(VLOOKUP(BD_DETALLE!B827,Tabla9[],7,0),"")</f>
        <v>0</v>
      </c>
      <c r="L827" s="11">
        <f>IFERROR(VLOOKUP(BD_DETALLE!B827,Tabla9[],8,0),"")</f>
        <v>0</v>
      </c>
      <c r="M827" s="9">
        <f>IFERROR(SUMIFS(Tabla9[CANTIDAD2],Tabla9[BUSQUEDA],Tabla3[[#This Row],[BUSQUEDA]],Tabla9[CODIGO],Tabla3[[#This Row],[CODIGO]],Tabla9[ORDEN No.],Tabla3[[#This Row],[ORDEN de COMPRA]]),0)</f>
        <v>0</v>
      </c>
      <c r="N827" s="27">
        <f>IFERROR(IF(BD_DETALLE!B827&gt;0,VLOOKUP(BD_DETALLE!B827,Tabla9[],10,0),""),"")</f>
        <v>44299</v>
      </c>
      <c r="O827" s="28">
        <f>IFERROR(VLOOKUP(BD_DETALLE!B827,Tabla9[],11,0),0)</f>
        <v>11810</v>
      </c>
      <c r="P827" s="26">
        <f>IFERROR(SUMIFS(Tabla9[CANTIDAD3],Tabla9[BUSQUEDA],Tabla3[[#This Row],[BUSQUEDA]],Tabla9[CODIGO],Tabla3[[#This Row],[CODIGO]]),0)</f>
        <v>100</v>
      </c>
      <c r="Q827" s="25">
        <f>IF(BD_DETALLE!P827&lt;=0,0,IF(BD_DETALLE!P827=BD_DETALLE!H827,2,1))</f>
        <v>2</v>
      </c>
      <c r="R827" s="41">
        <f ca="1">IF(BD_DETALLE!$C827&gt;0,(IF(BD_DETALLE!$N827=0,TODAY()-BD_DETALLE!$C827,BD_DETALLE!$N827-BD_DETALLE!$C827)),"")</f>
        <v>0</v>
      </c>
    </row>
    <row r="828" spans="2:18" x14ac:dyDescent="0.25">
      <c r="B828" s="15" t="str">
        <f t="shared" si="74"/>
        <v>2104-101-105897</v>
      </c>
      <c r="C828" s="7">
        <v>44299</v>
      </c>
      <c r="D828" s="5" t="str">
        <f>IF(BD_DETALLE!$E828&gt;=1,CONCATENATE(TEXT(BD_DETALLE!$C828,"YY"),TEXT(BD_DETALLE!$C828,"MM"),"-",BD_DETALLE!$E828),"")</f>
        <v>2104-101</v>
      </c>
      <c r="E828" s="12">
        <v>101</v>
      </c>
      <c r="F828" s="21">
        <v>105897</v>
      </c>
      <c r="G828" s="4" t="str">
        <f>IFERROR(VLOOKUP(BD_DETALLE!$B828,Tabla9[],6,0),"")</f>
        <v>VARILLA DE ACERO INOXIDABLE 5/16"</v>
      </c>
      <c r="H828" s="6">
        <f>IFERROR(VLOOKUP(BD_DETALLE!$B828,Tabla9[],4,0),0)</f>
        <v>1</v>
      </c>
      <c r="I828" s="19" t="s">
        <v>4</v>
      </c>
      <c r="J828" s="20" t="s">
        <v>385</v>
      </c>
      <c r="K828" s="10">
        <f>IFERROR(VLOOKUP(BD_DETALLE!B828,Tabla9[],7,0),"")</f>
        <v>0</v>
      </c>
      <c r="L828" s="11">
        <f>IFERROR(VLOOKUP(BD_DETALLE!B828,Tabla9[],8,0),"")</f>
        <v>0</v>
      </c>
      <c r="M828" s="9">
        <f>IFERROR(SUMIFS(Tabla9[CANTIDAD2],Tabla9[BUSQUEDA],Tabla3[[#This Row],[BUSQUEDA]],Tabla9[CODIGO],Tabla3[[#This Row],[CODIGO]],Tabla9[ORDEN No.],Tabla3[[#This Row],[ORDEN de COMPRA]]),0)</f>
        <v>0</v>
      </c>
      <c r="N828" s="27">
        <f>IFERROR(IF(BD_DETALLE!B828&gt;0,VLOOKUP(BD_DETALLE!B828,Tabla9[],10,0),""),"")</f>
        <v>44299</v>
      </c>
      <c r="O828" s="28">
        <f>IFERROR(VLOOKUP(BD_DETALLE!B828,Tabla9[],11,0),0)</f>
        <v>11811</v>
      </c>
      <c r="P828" s="26">
        <f>IFERROR(SUMIFS(Tabla9[CANTIDAD3],Tabla9[BUSQUEDA],Tabla3[[#This Row],[BUSQUEDA]],Tabla9[CODIGO],Tabla3[[#This Row],[CODIGO]]),0)</f>
        <v>1</v>
      </c>
      <c r="Q828" s="25">
        <f>IF(BD_DETALLE!P828&lt;=0,0,IF(BD_DETALLE!P828=BD_DETALLE!H828,2,1))</f>
        <v>2</v>
      </c>
      <c r="R828" s="41">
        <f ca="1">IF(BD_DETALLE!$C828&gt;0,(IF(BD_DETALLE!$N828=0,TODAY()-BD_DETALLE!$C828,BD_DETALLE!$N828-BD_DETALLE!$C828)),"")</f>
        <v>0</v>
      </c>
    </row>
    <row r="829" spans="2:18" x14ac:dyDescent="0.25">
      <c r="B829" s="15" t="str">
        <f t="shared" si="74"/>
        <v>2104-101-308803</v>
      </c>
      <c r="C829" s="7">
        <v>44299</v>
      </c>
      <c r="D829" s="5" t="str">
        <f>IF(BD_DETALLE!$E829&gt;=1,CONCATENATE(TEXT(BD_DETALLE!$C829,"YY"),TEXT(BD_DETALLE!$C829,"MM"),"-",BD_DETALLE!$E829),"")</f>
        <v>2104-101</v>
      </c>
      <c r="E829" s="12">
        <v>101</v>
      </c>
      <c r="F829" s="21">
        <v>308803</v>
      </c>
      <c r="G829" s="4" t="str">
        <f>IFERROR(VLOOKUP(BD_DETALLE!$B829,Tabla9[],6,0),"")</f>
        <v>SOLDADURA</v>
      </c>
      <c r="H829" s="6">
        <f>IFERROR(VLOOKUP(BD_DETALLE!$B829,Tabla9[],4,0),0)</f>
        <v>100</v>
      </c>
      <c r="I829" s="19" t="s">
        <v>4</v>
      </c>
      <c r="J829" s="20" t="s">
        <v>385</v>
      </c>
      <c r="K829" s="10">
        <f>IFERROR(VLOOKUP(BD_DETALLE!B829,Tabla9[],7,0),"")</f>
        <v>0</v>
      </c>
      <c r="L829" s="11">
        <f>IFERROR(VLOOKUP(BD_DETALLE!B829,Tabla9[],8,0),"")</f>
        <v>0</v>
      </c>
      <c r="M829" s="9">
        <f>IFERROR(SUMIFS(Tabla9[CANTIDAD2],Tabla9[BUSQUEDA],Tabla3[[#This Row],[BUSQUEDA]],Tabla9[CODIGO],Tabla3[[#This Row],[CODIGO]],Tabla9[ORDEN No.],Tabla3[[#This Row],[ORDEN de COMPRA]]),0)</f>
        <v>0</v>
      </c>
      <c r="N829" s="27">
        <f>IFERROR(IF(BD_DETALLE!B829&gt;0,VLOOKUP(BD_DETALLE!B829,Tabla9[],10,0),""),"")</f>
        <v>44299</v>
      </c>
      <c r="O829" s="28">
        <f>IFERROR(VLOOKUP(BD_DETALLE!B829,Tabla9[],11,0),0)</f>
        <v>11811</v>
      </c>
      <c r="P829" s="26">
        <f>IFERROR(SUMIFS(Tabla9[CANTIDAD3],Tabla9[BUSQUEDA],Tabla3[[#This Row],[BUSQUEDA]],Tabla9[CODIGO],Tabla3[[#This Row],[CODIGO]]),0)</f>
        <v>100</v>
      </c>
      <c r="Q829" s="25">
        <f>IF(BD_DETALLE!P829&lt;=0,0,IF(BD_DETALLE!P829=BD_DETALLE!H829,2,1))</f>
        <v>2</v>
      </c>
      <c r="R829" s="41">
        <f ca="1">IF(BD_DETALLE!$C829&gt;0,(IF(BD_DETALLE!$N829=0,TODAY()-BD_DETALLE!$C829,BD_DETALLE!$N829-BD_DETALLE!$C829)),"")</f>
        <v>0</v>
      </c>
    </row>
    <row r="830" spans="2:18" x14ac:dyDescent="0.25">
      <c r="B830" s="15" t="str">
        <f t="shared" ref="B830:B861" si="75">IFERROR(TEXT(C830,"yy") &amp; TEXT(C830,"mm") &amp;"-"&amp;(E830) &amp;"-"&amp;(F830),"")</f>
        <v>2104-102-105843</v>
      </c>
      <c r="C830" s="7">
        <v>44299</v>
      </c>
      <c r="D830" s="5" t="str">
        <f>IF(BD_DETALLE!$E830&gt;=1,CONCATENATE(TEXT(BD_DETALLE!$C830,"YY"),TEXT(BD_DETALLE!$C830,"MM"),"-",BD_DETALLE!$E830),"")</f>
        <v>2104-102</v>
      </c>
      <c r="E830" s="12">
        <v>102</v>
      </c>
      <c r="F830" s="21">
        <v>105843</v>
      </c>
      <c r="G830" s="4" t="str">
        <f>IFERROR(VLOOKUP(BD_DETALLE!$B830,Tabla9[],6,0),"")</f>
        <v>TUBO GALV. DE 1" x 6MTS</v>
      </c>
      <c r="H830" s="6">
        <f>IFERROR(VLOOKUP(BD_DETALLE!$B830,Tabla9[],4,0),0)</f>
        <v>3</v>
      </c>
      <c r="I830" s="19" t="s">
        <v>12</v>
      </c>
      <c r="J830" s="20" t="s">
        <v>2139</v>
      </c>
      <c r="K830" s="10">
        <f>IFERROR(VLOOKUP(BD_DETALLE!B830,Tabla9[],7,0),"")</f>
        <v>0</v>
      </c>
      <c r="L830" s="11">
        <f>IFERROR(VLOOKUP(BD_DETALLE!B830,Tabla9[],8,0),"")</f>
        <v>0</v>
      </c>
      <c r="M830" s="9">
        <f>IFERROR(SUMIFS(Tabla9[CANTIDAD2],Tabla9[BUSQUEDA],Tabla3[[#This Row],[BUSQUEDA]],Tabla9[CODIGO],Tabla3[[#This Row],[CODIGO]],Tabla9[ORDEN No.],Tabla3[[#This Row],[ORDEN de COMPRA]]),0)</f>
        <v>0</v>
      </c>
      <c r="N830" s="27">
        <f>IFERROR(IF(BD_DETALLE!B830&gt;0,VLOOKUP(BD_DETALLE!B830,Tabla9[],10,0),""),"")</f>
        <v>0</v>
      </c>
      <c r="O830" s="28">
        <f>IFERROR(VLOOKUP(BD_DETALLE!B830,Tabla9[],11,0),0)</f>
        <v>0</v>
      </c>
      <c r="P830" s="26">
        <f>IFERROR(SUMIFS(Tabla9[CANTIDAD3],Tabla9[BUSQUEDA],Tabla3[[#This Row],[BUSQUEDA]],Tabla9[CODIGO],Tabla3[[#This Row],[CODIGO]]),0)</f>
        <v>0</v>
      </c>
      <c r="Q830" s="25">
        <f>IF(BD_DETALLE!P830&lt;=0,0,IF(BD_DETALLE!P830=BD_DETALLE!H830,2,1))</f>
        <v>0</v>
      </c>
      <c r="R830" s="41">
        <f ca="1">IF(BD_DETALLE!$C830&gt;0,(IF(BD_DETALLE!$N830=0,TODAY()-BD_DETALLE!$C830,BD_DETALLE!$N830-BD_DETALLE!$C830)),"")</f>
        <v>6</v>
      </c>
    </row>
    <row r="831" spans="2:18" x14ac:dyDescent="0.25">
      <c r="B831" s="15" t="str">
        <f t="shared" si="75"/>
        <v>2104-102-100004</v>
      </c>
      <c r="C831" s="7">
        <v>44299</v>
      </c>
      <c r="D831" s="5" t="str">
        <f>IF(BD_DETALLE!$E831&gt;=1,CONCATENATE(TEXT(BD_DETALLE!$C831,"YY"),TEXT(BD_DETALLE!$C831,"MM"),"-",BD_DETALLE!$E831),"")</f>
        <v>2104-102</v>
      </c>
      <c r="E831" s="12">
        <v>102</v>
      </c>
      <c r="F831" s="21">
        <v>100004</v>
      </c>
      <c r="G831" s="4" t="str">
        <f>IFERROR(VLOOKUP(BD_DETALLE!$B831,Tabla9[],6,0),"")</f>
        <v>CODO GALV. DE 2" x 90║</v>
      </c>
      <c r="H831" s="6">
        <f>IFERROR(VLOOKUP(BD_DETALLE!$B831,Tabla9[],4,0),0)</f>
        <v>3</v>
      </c>
      <c r="I831" s="19" t="s">
        <v>12</v>
      </c>
      <c r="J831" s="20" t="s">
        <v>2139</v>
      </c>
      <c r="K831" s="10">
        <f>IFERROR(VLOOKUP(BD_DETALLE!B831,Tabla9[],7,0),"")</f>
        <v>0</v>
      </c>
      <c r="L831" s="11">
        <f>IFERROR(VLOOKUP(BD_DETALLE!B831,Tabla9[],8,0),"")</f>
        <v>0</v>
      </c>
      <c r="M831" s="9">
        <f>IFERROR(SUMIFS(Tabla9[CANTIDAD2],Tabla9[BUSQUEDA],Tabla3[[#This Row],[BUSQUEDA]],Tabla9[CODIGO],Tabla3[[#This Row],[CODIGO]],Tabla9[ORDEN No.],Tabla3[[#This Row],[ORDEN de COMPRA]]),0)</f>
        <v>0</v>
      </c>
      <c r="N831" s="27">
        <f>IFERROR(IF(BD_DETALLE!B831&gt;0,VLOOKUP(BD_DETALLE!B831,Tabla9[],10,0),""),"")</f>
        <v>0</v>
      </c>
      <c r="O831" s="28">
        <f>IFERROR(VLOOKUP(BD_DETALLE!B831,Tabla9[],11,0),0)</f>
        <v>0</v>
      </c>
      <c r="P831" s="26">
        <f>IFERROR(SUMIFS(Tabla9[CANTIDAD3],Tabla9[BUSQUEDA],Tabla3[[#This Row],[BUSQUEDA]],Tabla9[CODIGO],Tabla3[[#This Row],[CODIGO]]),0)</f>
        <v>0</v>
      </c>
      <c r="Q831" s="25">
        <f>IF(BD_DETALLE!P831&lt;=0,0,IF(BD_DETALLE!P831=BD_DETALLE!H831,2,1))</f>
        <v>0</v>
      </c>
      <c r="R831" s="41">
        <f ca="1">IF(BD_DETALLE!$C831&gt;0,(IF(BD_DETALLE!$N831=0,TODAY()-BD_DETALLE!$C831,BD_DETALLE!$N831-BD_DETALLE!$C831)),"")</f>
        <v>6</v>
      </c>
    </row>
    <row r="832" spans="2:18" x14ac:dyDescent="0.25">
      <c r="B832" s="15" t="str">
        <f t="shared" si="75"/>
        <v>2104-102-203913</v>
      </c>
      <c r="C832" s="7">
        <v>44299</v>
      </c>
      <c r="D832" s="5" t="str">
        <f>IF(BD_DETALLE!$E832&gt;=1,CONCATENATE(TEXT(BD_DETALLE!$C832,"YY"),TEXT(BD_DETALLE!$C832,"MM"),"-",BD_DETALLE!$E832),"")</f>
        <v>2104-102</v>
      </c>
      <c r="E832" s="12">
        <v>102</v>
      </c>
      <c r="F832" s="21">
        <v>203913</v>
      </c>
      <c r="G832" s="4" t="str">
        <f>IFERROR(VLOOKUP(BD_DETALLE!$B832,Tabla9[],6,0),"")</f>
        <v>CODO GALV. DE 1" x 90║</v>
      </c>
      <c r="H832" s="6">
        <f>IFERROR(VLOOKUP(BD_DETALLE!$B832,Tabla9[],4,0),0)</f>
        <v>6</v>
      </c>
      <c r="I832" s="19" t="s">
        <v>12</v>
      </c>
      <c r="J832" s="20" t="s">
        <v>2139</v>
      </c>
      <c r="K832" s="10">
        <f>IFERROR(VLOOKUP(BD_DETALLE!B832,Tabla9[],7,0),"")</f>
        <v>0</v>
      </c>
      <c r="L832" s="11">
        <f>IFERROR(VLOOKUP(BD_DETALLE!B832,Tabla9[],8,0),"")</f>
        <v>0</v>
      </c>
      <c r="M832" s="9">
        <f>IFERROR(SUMIFS(Tabla9[CANTIDAD2],Tabla9[BUSQUEDA],Tabla3[[#This Row],[BUSQUEDA]],Tabla9[CODIGO],Tabla3[[#This Row],[CODIGO]],Tabla9[ORDEN No.],Tabla3[[#This Row],[ORDEN de COMPRA]]),0)</f>
        <v>0</v>
      </c>
      <c r="N832" s="27">
        <f>IFERROR(IF(BD_DETALLE!B832&gt;0,VLOOKUP(BD_DETALLE!B832,Tabla9[],10,0),""),"")</f>
        <v>0</v>
      </c>
      <c r="O832" s="28">
        <f>IFERROR(VLOOKUP(BD_DETALLE!B832,Tabla9[],11,0),0)</f>
        <v>0</v>
      </c>
      <c r="P832" s="26">
        <f>IFERROR(SUMIFS(Tabla9[CANTIDAD3],Tabla9[BUSQUEDA],Tabla3[[#This Row],[BUSQUEDA]],Tabla9[CODIGO],Tabla3[[#This Row],[CODIGO]]),0)</f>
        <v>0</v>
      </c>
      <c r="Q832" s="25">
        <f>IF(BD_DETALLE!P832&lt;=0,0,IF(BD_DETALLE!P832=BD_DETALLE!H832,2,1))</f>
        <v>0</v>
      </c>
      <c r="R832" s="41">
        <f ca="1">IF(BD_DETALLE!$C832&gt;0,(IF(BD_DETALLE!$N832=0,TODAY()-BD_DETALLE!$C832,BD_DETALLE!$N832-BD_DETALLE!$C832)),"")</f>
        <v>6</v>
      </c>
    </row>
    <row r="833" spans="2:18" x14ac:dyDescent="0.25">
      <c r="B833" s="15" t="str">
        <f t="shared" si="75"/>
        <v>2104-102-301406</v>
      </c>
      <c r="C833" s="7">
        <v>44299</v>
      </c>
      <c r="D833" s="5" t="str">
        <f>IF(BD_DETALLE!$E833&gt;=1,CONCATENATE(TEXT(BD_DETALLE!$C833,"YY"),TEXT(BD_DETALLE!$C833,"MM"),"-",BD_DETALLE!$E833),"")</f>
        <v>2104-102</v>
      </c>
      <c r="E833" s="12">
        <v>102</v>
      </c>
      <c r="F833" s="21">
        <v>301406</v>
      </c>
      <c r="G833" s="4" t="str">
        <f>IFERROR(VLOOKUP(BD_DETALLE!$B833,Tabla9[],6,0),"")</f>
        <v>BUSHING GALV. DE 2" A 1"</v>
      </c>
      <c r="H833" s="6">
        <f>IFERROR(VLOOKUP(BD_DETALLE!$B833,Tabla9[],4,0),0)</f>
        <v>2</v>
      </c>
      <c r="I833" s="19" t="s">
        <v>12</v>
      </c>
      <c r="J833" s="20" t="s">
        <v>2139</v>
      </c>
      <c r="K833" s="10">
        <f>IFERROR(VLOOKUP(BD_DETALLE!B833,Tabla9[],7,0),"")</f>
        <v>0</v>
      </c>
      <c r="L833" s="11">
        <f>IFERROR(VLOOKUP(BD_DETALLE!B833,Tabla9[],8,0),"")</f>
        <v>0</v>
      </c>
      <c r="M833" s="9">
        <f>IFERROR(SUMIFS(Tabla9[CANTIDAD2],Tabla9[BUSQUEDA],Tabla3[[#This Row],[BUSQUEDA]],Tabla9[CODIGO],Tabla3[[#This Row],[CODIGO]],Tabla9[ORDEN No.],Tabla3[[#This Row],[ORDEN de COMPRA]]),0)</f>
        <v>0</v>
      </c>
      <c r="N833" s="27">
        <f>IFERROR(IF(BD_DETALLE!B833&gt;0,VLOOKUP(BD_DETALLE!B833,Tabla9[],10,0),""),"")</f>
        <v>0</v>
      </c>
      <c r="O833" s="28">
        <f>IFERROR(VLOOKUP(BD_DETALLE!B833,Tabla9[],11,0),0)</f>
        <v>0</v>
      </c>
      <c r="P833" s="26">
        <f>IFERROR(SUMIFS(Tabla9[CANTIDAD3],Tabla9[BUSQUEDA],Tabla3[[#This Row],[BUSQUEDA]],Tabla9[CODIGO],Tabla3[[#This Row],[CODIGO]]),0)</f>
        <v>0</v>
      </c>
      <c r="Q833" s="25">
        <f>IF(BD_DETALLE!P833&lt;=0,0,IF(BD_DETALLE!P833=BD_DETALLE!H833,2,1))</f>
        <v>0</v>
      </c>
      <c r="R833" s="41">
        <f ca="1">IF(BD_DETALLE!$C833&gt;0,(IF(BD_DETALLE!$N833=0,TODAY()-BD_DETALLE!$C833,BD_DETALLE!$N833-BD_DETALLE!$C833)),"")</f>
        <v>6</v>
      </c>
    </row>
    <row r="834" spans="2:18" x14ac:dyDescent="0.25">
      <c r="B834" s="15" t="str">
        <f t="shared" si="75"/>
        <v>2104-102-312775</v>
      </c>
      <c r="C834" s="7">
        <v>44299</v>
      </c>
      <c r="D834" s="5" t="str">
        <f>IF(BD_DETALLE!$E834&gt;=1,CONCATENATE(TEXT(BD_DETALLE!$C834,"YY"),TEXT(BD_DETALLE!$C834,"MM"),"-",BD_DETALLE!$E834),"")</f>
        <v>2104-102</v>
      </c>
      <c r="E834" s="12">
        <v>102</v>
      </c>
      <c r="F834" s="21">
        <v>312775</v>
      </c>
      <c r="G834" s="4" t="str">
        <f>IFERROR(VLOOKUP(BD_DETALLE!$B834,Tabla9[],6,0),"")</f>
        <v>TUBO VISOR 5/8" X 265MM 250PSI (FRANJA ROJA)</v>
      </c>
      <c r="H834" s="6">
        <f>IFERROR(VLOOKUP(BD_DETALLE!$B834,Tabla9[],4,0),0)</f>
        <v>4</v>
      </c>
      <c r="I834" s="19" t="s">
        <v>12</v>
      </c>
      <c r="J834" s="20" t="s">
        <v>2329</v>
      </c>
      <c r="K834" s="10">
        <f>IFERROR(VLOOKUP(BD_DETALLE!B834,Tabla9[],7,0),"")</f>
        <v>0</v>
      </c>
      <c r="L834" s="11">
        <f>IFERROR(VLOOKUP(BD_DETALLE!B834,Tabla9[],8,0),"")</f>
        <v>0</v>
      </c>
      <c r="M834" s="9">
        <f>IFERROR(SUMIFS(Tabla9[CANTIDAD2],Tabla9[BUSQUEDA],Tabla3[[#This Row],[BUSQUEDA]],Tabla9[CODIGO],Tabla3[[#This Row],[CODIGO]],Tabla9[ORDEN No.],Tabla3[[#This Row],[ORDEN de COMPRA]]),0)</f>
        <v>0</v>
      </c>
      <c r="N834" s="27">
        <f>IFERROR(IF(BD_DETALLE!B834&gt;0,VLOOKUP(BD_DETALLE!B834,Tabla9[],10,0),""),"")</f>
        <v>0</v>
      </c>
      <c r="O834" s="28">
        <f>IFERROR(VLOOKUP(BD_DETALLE!B834,Tabla9[],11,0),0)</f>
        <v>0</v>
      </c>
      <c r="P834" s="26">
        <f>IFERROR(SUMIFS(Tabla9[CANTIDAD3],Tabla9[BUSQUEDA],Tabla3[[#This Row],[BUSQUEDA]],Tabla9[CODIGO],Tabla3[[#This Row],[CODIGO]]),0)</f>
        <v>0</v>
      </c>
      <c r="Q834" s="25">
        <f>IF(BD_DETALLE!P834&lt;=0,0,IF(BD_DETALLE!P834=BD_DETALLE!H834,2,1))</f>
        <v>0</v>
      </c>
      <c r="R834" s="41">
        <f ca="1">IF(BD_DETALLE!$C834&gt;0,(IF(BD_DETALLE!$N834=0,TODAY()-BD_DETALLE!$C834,BD_DETALLE!$N834-BD_DETALLE!$C834)),"")</f>
        <v>6</v>
      </c>
    </row>
    <row r="835" spans="2:18" x14ac:dyDescent="0.25">
      <c r="B835" s="15" t="str">
        <f t="shared" si="75"/>
        <v>2104-102-318810</v>
      </c>
      <c r="C835" s="7">
        <v>44299</v>
      </c>
      <c r="D835" s="5" t="str">
        <f>IF(BD_DETALLE!$E835&gt;=1,CONCATENATE(TEXT(BD_DETALLE!$C835,"YY"),TEXT(BD_DETALLE!$C835,"MM"),"-",BD_DETALLE!$E835),"")</f>
        <v>2104-102</v>
      </c>
      <c r="E835" s="12">
        <v>102</v>
      </c>
      <c r="F835" s="21">
        <v>318810</v>
      </c>
      <c r="G835" s="4" t="str">
        <f>IFERROR(VLOOKUP(BD_DETALLE!$B835,Tabla9[],6,0),"")</f>
        <v>TUBO VISOR PYREX 5/8" X 275MM 250PSI (FRANJA ROJA)</v>
      </c>
      <c r="H835" s="6">
        <f>IFERROR(VLOOKUP(BD_DETALLE!$B835,Tabla9[],4,0),0)</f>
        <v>2</v>
      </c>
      <c r="I835" s="19" t="s">
        <v>12</v>
      </c>
      <c r="J835" s="20" t="s">
        <v>2329</v>
      </c>
      <c r="K835" s="10">
        <f>IFERROR(VLOOKUP(BD_DETALLE!B835,Tabla9[],7,0),"")</f>
        <v>0</v>
      </c>
      <c r="L835" s="11">
        <f>IFERROR(VLOOKUP(BD_DETALLE!B835,Tabla9[],8,0),"")</f>
        <v>0</v>
      </c>
      <c r="M835" s="9">
        <f>IFERROR(SUMIFS(Tabla9[CANTIDAD2],Tabla9[BUSQUEDA],Tabla3[[#This Row],[BUSQUEDA]],Tabla9[CODIGO],Tabla3[[#This Row],[CODIGO]],Tabla9[ORDEN No.],Tabla3[[#This Row],[ORDEN de COMPRA]]),0)</f>
        <v>0</v>
      </c>
      <c r="N835" s="27">
        <f>IFERROR(IF(BD_DETALLE!B835&gt;0,VLOOKUP(BD_DETALLE!B835,Tabla9[],10,0),""),"")</f>
        <v>0</v>
      </c>
      <c r="O835" s="28">
        <f>IFERROR(VLOOKUP(BD_DETALLE!B835,Tabla9[],11,0),0)</f>
        <v>0</v>
      </c>
      <c r="P835" s="26">
        <f>IFERROR(SUMIFS(Tabla9[CANTIDAD3],Tabla9[BUSQUEDA],Tabla3[[#This Row],[BUSQUEDA]],Tabla9[CODIGO],Tabla3[[#This Row],[CODIGO]]),0)</f>
        <v>0</v>
      </c>
      <c r="Q835" s="25">
        <f>IF(BD_DETALLE!P835&lt;=0,0,IF(BD_DETALLE!P835=BD_DETALLE!H835,2,1))</f>
        <v>0</v>
      </c>
      <c r="R835" s="41">
        <f ca="1">IF(BD_DETALLE!$C835&gt;0,(IF(BD_DETALLE!$N835=0,TODAY()-BD_DETALLE!$C835,BD_DETALLE!$N835-BD_DETALLE!$C835)),"")</f>
        <v>6</v>
      </c>
    </row>
    <row r="836" spans="2:18" x14ac:dyDescent="0.25">
      <c r="B836" s="15" t="str">
        <f t="shared" si="75"/>
        <v>2104-102-206700</v>
      </c>
      <c r="C836" s="7">
        <v>44299</v>
      </c>
      <c r="D836" s="5" t="str">
        <f>IF(BD_DETALLE!$E836&gt;=1,CONCATENATE(TEXT(BD_DETALLE!$C836,"YY"),TEXT(BD_DETALLE!$C836,"MM"),"-",BD_DETALLE!$E836),"")</f>
        <v>2104-102</v>
      </c>
      <c r="E836" s="12">
        <v>102</v>
      </c>
      <c r="F836" s="21">
        <v>206700</v>
      </c>
      <c r="G836" s="4" t="str">
        <f>IFERROR(VLOOKUP(BD_DETALLE!$B836,Tabla9[],6,0),"")</f>
        <v>TUBO GALV. DE 2" x 6MTS</v>
      </c>
      <c r="H836" s="6">
        <f>IFERROR(VLOOKUP(BD_DETALLE!$B836,Tabla9[],4,0),0)</f>
        <v>6</v>
      </c>
      <c r="I836" s="19" t="s">
        <v>12</v>
      </c>
      <c r="J836" s="20" t="s">
        <v>2139</v>
      </c>
      <c r="K836" s="10">
        <f>IFERROR(VLOOKUP(BD_DETALLE!B836,Tabla9[],7,0),"")</f>
        <v>0</v>
      </c>
      <c r="L836" s="11">
        <f>IFERROR(VLOOKUP(BD_DETALLE!B836,Tabla9[],8,0),"")</f>
        <v>0</v>
      </c>
      <c r="M836" s="9">
        <f>IFERROR(SUMIFS(Tabla9[CANTIDAD2],Tabla9[BUSQUEDA],Tabla3[[#This Row],[BUSQUEDA]],Tabla9[CODIGO],Tabla3[[#This Row],[CODIGO]],Tabla9[ORDEN No.],Tabla3[[#This Row],[ORDEN de COMPRA]]),0)</f>
        <v>0</v>
      </c>
      <c r="N836" s="27">
        <f>IFERROR(IF(BD_DETALLE!B836&gt;0,VLOOKUP(BD_DETALLE!B836,Tabla9[],10,0),""),"")</f>
        <v>0</v>
      </c>
      <c r="O836" s="28">
        <f>IFERROR(VLOOKUP(BD_DETALLE!B836,Tabla9[],11,0),0)</f>
        <v>0</v>
      </c>
      <c r="P836" s="26">
        <f>IFERROR(SUMIFS(Tabla9[CANTIDAD3],Tabla9[BUSQUEDA],Tabla3[[#This Row],[BUSQUEDA]],Tabla9[CODIGO],Tabla3[[#This Row],[CODIGO]]),0)</f>
        <v>0</v>
      </c>
      <c r="Q836" s="25">
        <f>IF(BD_DETALLE!P836&lt;=0,0,IF(BD_DETALLE!P836=BD_DETALLE!H836,2,1))</f>
        <v>0</v>
      </c>
      <c r="R836" s="41">
        <f ca="1">IF(BD_DETALLE!$C836&gt;0,(IF(BD_DETALLE!$N836=0,TODAY()-BD_DETALLE!$C836,BD_DETALLE!$N836-BD_DETALLE!$C836)),"")</f>
        <v>6</v>
      </c>
    </row>
    <row r="837" spans="2:18" x14ac:dyDescent="0.25">
      <c r="B837" s="15" t="str">
        <f t="shared" si="75"/>
        <v>2104-102-313940</v>
      </c>
      <c r="C837" s="7">
        <v>44299</v>
      </c>
      <c r="D837" s="5" t="str">
        <f>IF(BD_DETALLE!$E837&gt;=1,CONCATENATE(TEXT(BD_DETALLE!$C837,"YY"),TEXT(BD_DETALLE!$C837,"MM"),"-",BD_DETALLE!$E837),"")</f>
        <v>2104-102</v>
      </c>
      <c r="E837" s="12">
        <v>102</v>
      </c>
      <c r="F837" s="21">
        <v>313940</v>
      </c>
      <c r="G837" s="4" t="str">
        <f>IFERROR(VLOOKUP(BD_DETALLE!$B837,Tabla9[],6,0),"")</f>
        <v>EMPAQUETADURA VITON DE 5/8" (PRESION - TEMPARATURA)</v>
      </c>
      <c r="H837" s="6">
        <f>IFERROR(VLOOKUP(BD_DETALLE!$B837,Tabla9[],4,0),0)</f>
        <v>12</v>
      </c>
      <c r="I837" s="19" t="s">
        <v>12</v>
      </c>
      <c r="J837" s="20" t="s">
        <v>2329</v>
      </c>
      <c r="K837" s="10">
        <f>IFERROR(VLOOKUP(BD_DETALLE!B837,Tabla9[],7,0),"")</f>
        <v>0</v>
      </c>
      <c r="L837" s="11">
        <f>IFERROR(VLOOKUP(BD_DETALLE!B837,Tabla9[],8,0),"")</f>
        <v>0</v>
      </c>
      <c r="M837" s="9">
        <f>IFERROR(SUMIFS(Tabla9[CANTIDAD2],Tabla9[BUSQUEDA],Tabla3[[#This Row],[BUSQUEDA]],Tabla9[CODIGO],Tabla3[[#This Row],[CODIGO]],Tabla9[ORDEN No.],Tabla3[[#This Row],[ORDEN de COMPRA]]),0)</f>
        <v>0</v>
      </c>
      <c r="N837" s="27">
        <f>IFERROR(IF(BD_DETALLE!B837&gt;0,VLOOKUP(BD_DETALLE!B837,Tabla9[],10,0),""),"")</f>
        <v>0</v>
      </c>
      <c r="O837" s="28">
        <f>IFERROR(VLOOKUP(BD_DETALLE!B837,Tabla9[],11,0),0)</f>
        <v>0</v>
      </c>
      <c r="P837" s="26">
        <f>IFERROR(SUMIFS(Tabla9[CANTIDAD3],Tabla9[BUSQUEDA],Tabla3[[#This Row],[BUSQUEDA]],Tabla9[CODIGO],Tabla3[[#This Row],[CODIGO]]),0)</f>
        <v>0</v>
      </c>
      <c r="Q837" s="25">
        <f>IF(BD_DETALLE!P837&lt;=0,0,IF(BD_DETALLE!P837=BD_DETALLE!H837,2,1))</f>
        <v>0</v>
      </c>
      <c r="R837" s="41">
        <f ca="1">IF(BD_DETALLE!$C837&gt;0,(IF(BD_DETALLE!$N837=0,TODAY()-BD_DETALLE!$C837,BD_DETALLE!$N837-BD_DETALLE!$C837)),"")</f>
        <v>6</v>
      </c>
    </row>
    <row r="838" spans="2:18" x14ac:dyDescent="0.25">
      <c r="B838" s="15" t="str">
        <f t="shared" si="75"/>
        <v>2104-103-201231</v>
      </c>
      <c r="C838" s="7">
        <v>44299</v>
      </c>
      <c r="D838" s="5" t="str">
        <f>IF(BD_DETALLE!$E838&gt;=1,CONCATENATE(TEXT(BD_DETALLE!$C838,"YY"),TEXT(BD_DETALLE!$C838,"MM"),"-",BD_DETALLE!$E838),"")</f>
        <v>2104-103</v>
      </c>
      <c r="E838" s="12">
        <v>103</v>
      </c>
      <c r="F838" s="21">
        <v>201231</v>
      </c>
      <c r="G838" s="4" t="str">
        <f>IFERROR(VLOOKUP(BD_DETALLE!$B838,Tabla9[],6,0),"")</f>
        <v>SACO SAL EN GRANO</v>
      </c>
      <c r="H838" s="6">
        <f>IFERROR(VLOOKUP(BD_DETALLE!$B838,Tabla9[],4,0),0)</f>
        <v>100</v>
      </c>
      <c r="I838" s="19" t="s">
        <v>15</v>
      </c>
      <c r="J838" s="20" t="s">
        <v>385</v>
      </c>
      <c r="K838" s="10">
        <f>IFERROR(VLOOKUP(BD_DETALLE!B838,Tabla9[],7,0),"")</f>
        <v>44300</v>
      </c>
      <c r="L838" s="11">
        <f>IFERROR(VLOOKUP(BD_DETALLE!B838,Tabla9[],8,0),"")</f>
        <v>52486</v>
      </c>
      <c r="M838" s="9">
        <f>IFERROR(SUMIFS(Tabla9[CANTIDAD2],Tabla9[BUSQUEDA],Tabla3[[#This Row],[BUSQUEDA]],Tabla9[CODIGO],Tabla3[[#This Row],[CODIGO]],Tabla9[ORDEN No.],Tabla3[[#This Row],[ORDEN de COMPRA]]),0)</f>
        <v>100</v>
      </c>
      <c r="N838" s="27">
        <f>IFERROR(IF(BD_DETALLE!B838&gt;0,VLOOKUP(BD_DETALLE!B838,Tabla9[],10,0),""),"")</f>
        <v>44302</v>
      </c>
      <c r="O838" s="28">
        <f>IFERROR(VLOOKUP(BD_DETALLE!B838,Tabla9[],11,0),0)</f>
        <v>11850</v>
      </c>
      <c r="P838" s="26">
        <f>IFERROR(SUMIFS(Tabla9[CANTIDAD3],Tabla9[BUSQUEDA],Tabla3[[#This Row],[BUSQUEDA]],Tabla9[CODIGO],Tabla3[[#This Row],[CODIGO]]),0)</f>
        <v>50</v>
      </c>
      <c r="Q838" s="25">
        <f>IF(BD_DETALLE!P838&lt;=0,0,IF(BD_DETALLE!P838=BD_DETALLE!H838,2,1))</f>
        <v>1</v>
      </c>
      <c r="R838" s="41">
        <f ca="1">IF(BD_DETALLE!$C838&gt;0,(IF(BD_DETALLE!$N838=0,TODAY()-BD_DETALLE!$C838,BD_DETALLE!$N838-BD_DETALLE!$C838)),"")</f>
        <v>3</v>
      </c>
    </row>
    <row r="839" spans="2:18" x14ac:dyDescent="0.25">
      <c r="B839" s="15" t="str">
        <f t="shared" si="75"/>
        <v>2104-104-205512</v>
      </c>
      <c r="C839" s="7">
        <v>44299</v>
      </c>
      <c r="D839" s="5" t="str">
        <f>IF(BD_DETALLE!$E839&gt;=1,CONCATENATE(TEXT(BD_DETALLE!$C839,"YY"),TEXT(BD_DETALLE!$C839,"MM"),"-",BD_DETALLE!$E839),"")</f>
        <v>2104-104</v>
      </c>
      <c r="E839" s="12">
        <v>104</v>
      </c>
      <c r="F839" s="21">
        <v>205512</v>
      </c>
      <c r="G839" s="4" t="str">
        <f>IFERROR(VLOOKUP(BD_DETALLE!$B839,Tabla9[],6,0),"")</f>
        <v>ADISALM (SACOS DE 25 KG)</v>
      </c>
      <c r="H839" s="6">
        <f>IFERROR(VLOOKUP(BD_DETALLE!$B839,Tabla9[],4,0),0)</f>
        <v>20</v>
      </c>
      <c r="I839" s="19" t="s">
        <v>15</v>
      </c>
      <c r="J839" s="20" t="s">
        <v>385</v>
      </c>
      <c r="K839" s="10">
        <f>IFERROR(VLOOKUP(BD_DETALLE!B839,Tabla9[],7,0),"")</f>
        <v>44300</v>
      </c>
      <c r="L839" s="11">
        <f>IFERROR(VLOOKUP(BD_DETALLE!B839,Tabla9[],8,0),"")</f>
        <v>52485</v>
      </c>
      <c r="M839" s="9">
        <f>IFERROR(SUMIFS(Tabla9[CANTIDAD2],Tabla9[BUSQUEDA],Tabla3[[#This Row],[BUSQUEDA]],Tabla9[CODIGO],Tabla3[[#This Row],[CODIGO]],Tabla9[ORDEN No.],Tabla3[[#This Row],[ORDEN de COMPRA]]),0)</f>
        <v>20</v>
      </c>
      <c r="N839" s="27">
        <f>IFERROR(IF(BD_DETALLE!B839&gt;0,VLOOKUP(BD_DETALLE!B839,Tabla9[],10,0),""),"")</f>
        <v>44302</v>
      </c>
      <c r="O839" s="28">
        <f>IFERROR(VLOOKUP(BD_DETALLE!B839,Tabla9[],11,0),0)</f>
        <v>11849</v>
      </c>
      <c r="P839" s="26">
        <f>IFERROR(SUMIFS(Tabla9[CANTIDAD3],Tabla9[BUSQUEDA],Tabla3[[#This Row],[BUSQUEDA]],Tabla9[CODIGO],Tabla3[[#This Row],[CODIGO]]),0)</f>
        <v>20</v>
      </c>
      <c r="Q839" s="25">
        <f>IF(BD_DETALLE!P839&lt;=0,0,IF(BD_DETALLE!P839=BD_DETALLE!H839,2,1))</f>
        <v>2</v>
      </c>
      <c r="R839" s="41">
        <f ca="1">IF(BD_DETALLE!$C839&gt;0,(IF(BD_DETALLE!$N839=0,TODAY()-BD_DETALLE!$C839,BD_DETALLE!$N839-BD_DETALLE!$C839)),"")</f>
        <v>3</v>
      </c>
    </row>
    <row r="840" spans="2:18" x14ac:dyDescent="0.25">
      <c r="B840" s="15" t="str">
        <f t="shared" si="75"/>
        <v>2104-105-203593</v>
      </c>
      <c r="C840" s="7">
        <v>44299</v>
      </c>
      <c r="D840" s="5" t="str">
        <f>IF(BD_DETALLE!$E840&gt;=1,CONCATENATE(TEXT(BD_DETALLE!$C840,"YY"),TEXT(BD_DETALLE!$C840,"MM"),"-",BD_DETALLE!$E840),"")</f>
        <v>2104-105</v>
      </c>
      <c r="E840" s="12">
        <v>105</v>
      </c>
      <c r="F840" s="21">
        <v>203593</v>
      </c>
      <c r="G840" s="4" t="str">
        <f>IFERROR(VLOOKUP(BD_DETALLE!$B840,Tabla9[],6,0),"")</f>
        <v>SACOS PLASTIFICADOS CON IMPRESION DE 50KG</v>
      </c>
      <c r="H840" s="6">
        <f>IFERROR(VLOOKUP(BD_DETALLE!$B840,Tabla9[],4,0),0)</f>
        <v>21830</v>
      </c>
      <c r="I840" s="19" t="s">
        <v>15</v>
      </c>
      <c r="J840" s="20" t="s">
        <v>385</v>
      </c>
      <c r="K840" s="10">
        <f>IFERROR(VLOOKUP(BD_DETALLE!B840,Tabla9[],7,0),"")</f>
        <v>0</v>
      </c>
      <c r="L840" s="11">
        <f>IFERROR(VLOOKUP(BD_DETALLE!B840,Tabla9[],8,0),"")</f>
        <v>0</v>
      </c>
      <c r="M840" s="9">
        <f>IFERROR(SUMIFS(Tabla9[CANTIDAD2],Tabla9[BUSQUEDA],Tabla3[[#This Row],[BUSQUEDA]],Tabla9[CODIGO],Tabla3[[#This Row],[CODIGO]],Tabla9[ORDEN No.],Tabla3[[#This Row],[ORDEN de COMPRA]]),0)</f>
        <v>0</v>
      </c>
      <c r="N840" s="27">
        <f>IFERROR(IF(BD_DETALLE!B840&gt;0,VLOOKUP(BD_DETALLE!B840,Tabla9[],10,0),""),"")</f>
        <v>44299</v>
      </c>
      <c r="O840" s="28">
        <f>IFERROR(VLOOKUP(BD_DETALLE!B840,Tabla9[],11,0),0)</f>
        <v>11815</v>
      </c>
      <c r="P840" s="26">
        <f>IFERROR(SUMIFS(Tabla9[CANTIDAD3],Tabla9[BUSQUEDA],Tabla3[[#This Row],[BUSQUEDA]],Tabla9[CODIGO],Tabla3[[#This Row],[CODIGO]]),0)</f>
        <v>21830</v>
      </c>
      <c r="Q840" s="25">
        <f>IF(BD_DETALLE!P840&lt;=0,0,IF(BD_DETALLE!P840=BD_DETALLE!H840,2,1))</f>
        <v>2</v>
      </c>
      <c r="R840" s="41">
        <f ca="1">IF(BD_DETALLE!$C840&gt;0,(IF(BD_DETALLE!$N840=0,TODAY()-BD_DETALLE!$C840,BD_DETALLE!$N840-BD_DETALLE!$C840)),"")</f>
        <v>0</v>
      </c>
    </row>
    <row r="841" spans="2:18" x14ac:dyDescent="0.25">
      <c r="B841" s="15" t="str">
        <f t="shared" si="75"/>
        <v>2104-106-306411</v>
      </c>
      <c r="C841" s="7">
        <v>44299</v>
      </c>
      <c r="D841" s="5" t="str">
        <f>IF(BD_DETALLE!$E841&gt;=1,CONCATENATE(TEXT(BD_DETALLE!$C841,"YY"),TEXT(BD_DETALLE!$C841,"MM"),"-",BD_DETALLE!$E841),"")</f>
        <v>2104-106</v>
      </c>
      <c r="E841" s="12">
        <v>106</v>
      </c>
      <c r="F841" s="21">
        <v>306411</v>
      </c>
      <c r="G841" s="4" t="str">
        <f>IFERROR(VLOOKUP(BD_DETALLE!$B841,Tabla9[],6,0),"")</f>
        <v>TUERCA 22 MM</v>
      </c>
      <c r="H841" s="6">
        <f>IFERROR(VLOOKUP(BD_DETALLE!$B841,Tabla9[],4,0),0)</f>
        <v>10</v>
      </c>
      <c r="I841" s="19" t="s">
        <v>3</v>
      </c>
      <c r="J841" s="20" t="s">
        <v>1092</v>
      </c>
      <c r="K841" s="10">
        <f>IFERROR(VLOOKUP(BD_DETALLE!B841,Tabla9[],7,0),"")</f>
        <v>0</v>
      </c>
      <c r="L841" s="11">
        <f>IFERROR(VLOOKUP(BD_DETALLE!B841,Tabla9[],8,0),"")</f>
        <v>0</v>
      </c>
      <c r="M841" s="9">
        <f>IFERROR(SUMIFS(Tabla9[CANTIDAD2],Tabla9[BUSQUEDA],Tabla3[[#This Row],[BUSQUEDA]],Tabla9[CODIGO],Tabla3[[#This Row],[CODIGO]],Tabla9[ORDEN No.],Tabla3[[#This Row],[ORDEN de COMPRA]]),0)</f>
        <v>0</v>
      </c>
      <c r="N841" s="27">
        <f>IFERROR(IF(BD_DETALLE!B841&gt;0,VLOOKUP(BD_DETALLE!B841,Tabla9[],10,0),""),"")</f>
        <v>44299</v>
      </c>
      <c r="O841" s="28">
        <f>IFERROR(VLOOKUP(BD_DETALLE!B841,Tabla9[],11,0),0)</f>
        <v>11816</v>
      </c>
      <c r="P841" s="26">
        <f>IFERROR(SUMIFS(Tabla9[CANTIDAD3],Tabla9[BUSQUEDA],Tabla3[[#This Row],[BUSQUEDA]],Tabla9[CODIGO],Tabla3[[#This Row],[CODIGO]]),0)</f>
        <v>10</v>
      </c>
      <c r="Q841" s="25">
        <f>IF(BD_DETALLE!P841&lt;=0,0,IF(BD_DETALLE!P841=BD_DETALLE!H841,2,1))</f>
        <v>2</v>
      </c>
      <c r="R841" s="41">
        <f ca="1">IF(BD_DETALLE!$C841&gt;0,(IF(BD_DETALLE!$N841=0,TODAY()-BD_DETALLE!$C841,BD_DETALLE!$N841-BD_DETALLE!$C841)),"")</f>
        <v>0</v>
      </c>
    </row>
    <row r="842" spans="2:18" x14ac:dyDescent="0.25">
      <c r="B842" s="15" t="str">
        <f t="shared" si="75"/>
        <v>2104-106-106255</v>
      </c>
      <c r="C842" s="7">
        <v>44299</v>
      </c>
      <c r="D842" s="5" t="str">
        <f>IF(BD_DETALLE!$E842&gt;=1,CONCATENATE(TEXT(BD_DETALLE!$C842,"YY"),TEXT(BD_DETALLE!$C842,"MM"),"-",BD_DETALLE!$E842),"")</f>
        <v>2104-106</v>
      </c>
      <c r="E842" s="12">
        <v>106</v>
      </c>
      <c r="F842" s="21">
        <v>106255</v>
      </c>
      <c r="G842" s="4" t="str">
        <f>IFERROR(VLOOKUP(BD_DETALLE!$B842,Tabla9[],6,0),"")</f>
        <v>PERNO DE RUEDA</v>
      </c>
      <c r="H842" s="6">
        <f>IFERROR(VLOOKUP(BD_DETALLE!$B842,Tabla9[],4,0),0)</f>
        <v>10</v>
      </c>
      <c r="I842" s="19" t="s">
        <v>3</v>
      </c>
      <c r="J842" s="20" t="s">
        <v>1092</v>
      </c>
      <c r="K842" s="10">
        <f>IFERROR(VLOOKUP(BD_DETALLE!B842,Tabla9[],7,0),"")</f>
        <v>0</v>
      </c>
      <c r="L842" s="11">
        <f>IFERROR(VLOOKUP(BD_DETALLE!B842,Tabla9[],8,0),"")</f>
        <v>0</v>
      </c>
      <c r="M842" s="9">
        <f>IFERROR(SUMIFS(Tabla9[CANTIDAD2],Tabla9[BUSQUEDA],Tabla3[[#This Row],[BUSQUEDA]],Tabla9[CODIGO],Tabla3[[#This Row],[CODIGO]],Tabla9[ORDEN No.],Tabla3[[#This Row],[ORDEN de COMPRA]]),0)</f>
        <v>0</v>
      </c>
      <c r="N842" s="27">
        <f>IFERROR(IF(BD_DETALLE!B842&gt;0,VLOOKUP(BD_DETALLE!B842,Tabla9[],10,0),""),"")</f>
        <v>44299</v>
      </c>
      <c r="O842" s="28">
        <f>IFERROR(VLOOKUP(BD_DETALLE!B842,Tabla9[],11,0),0)</f>
        <v>11816</v>
      </c>
      <c r="P842" s="26">
        <f>IFERROR(SUMIFS(Tabla9[CANTIDAD3],Tabla9[BUSQUEDA],Tabla3[[#This Row],[BUSQUEDA]],Tabla9[CODIGO],Tabla3[[#This Row],[CODIGO]]),0)</f>
        <v>10</v>
      </c>
      <c r="Q842" s="25">
        <f>IF(BD_DETALLE!P842&lt;=0,0,IF(BD_DETALLE!P842=BD_DETALLE!H842,2,1))</f>
        <v>2</v>
      </c>
      <c r="R842" s="41">
        <f ca="1">IF(BD_DETALLE!$C842&gt;0,(IF(BD_DETALLE!$N842=0,TODAY()-BD_DETALLE!$C842,BD_DETALLE!$N842-BD_DETALLE!$C842)),"")</f>
        <v>0</v>
      </c>
    </row>
    <row r="843" spans="2:18" x14ac:dyDescent="0.25">
      <c r="B843" s="15" t="str">
        <f t="shared" si="75"/>
        <v>2104-107-319359</v>
      </c>
      <c r="C843" s="7">
        <v>44300</v>
      </c>
      <c r="D843" s="5" t="str">
        <f>IF(BD_DETALLE!$E843&gt;=1,CONCATENATE(TEXT(BD_DETALLE!$C843,"YY"),TEXT(BD_DETALLE!$C843,"MM"),"-",BD_DETALLE!$E843),"")</f>
        <v>2104-107</v>
      </c>
      <c r="E843" s="12">
        <v>107</v>
      </c>
      <c r="F843" s="21">
        <v>319359</v>
      </c>
      <c r="G843" s="4" t="str">
        <f>IFERROR(VLOOKUP(BD_DETALLE!$B843,Tabla9[],6,0),"")</f>
        <v>ACIDNOVA</v>
      </c>
      <c r="H843" s="6">
        <f>IFERROR(VLOOKUP(BD_DETALLE!$B843,Tabla9[],4,0),0)</f>
        <v>6000</v>
      </c>
      <c r="I843" s="19" t="s">
        <v>15</v>
      </c>
      <c r="J843" s="20" t="s">
        <v>385</v>
      </c>
      <c r="K843" s="10">
        <f>IFERROR(VLOOKUP(BD_DETALLE!B843,Tabla9[],7,0),"")</f>
        <v>0</v>
      </c>
      <c r="L843" s="11">
        <f>IFERROR(VLOOKUP(BD_DETALLE!B843,Tabla9[],8,0),"")</f>
        <v>0</v>
      </c>
      <c r="M843" s="9">
        <f>IFERROR(SUMIFS(Tabla9[CANTIDAD2],Tabla9[BUSQUEDA],Tabla3[[#This Row],[BUSQUEDA]],Tabla9[CODIGO],Tabla3[[#This Row],[CODIGO]],Tabla9[ORDEN No.],Tabla3[[#This Row],[ORDEN de COMPRA]]),0)</f>
        <v>0</v>
      </c>
      <c r="N843" s="27">
        <f>IFERROR(IF(BD_DETALLE!B843&gt;0,VLOOKUP(BD_DETALLE!B843,Tabla9[],10,0),""),"")</f>
        <v>0</v>
      </c>
      <c r="O843" s="28">
        <f>IFERROR(VLOOKUP(BD_DETALLE!B843,Tabla9[],11,0),0)</f>
        <v>0</v>
      </c>
      <c r="P843" s="26">
        <f>IFERROR(SUMIFS(Tabla9[CANTIDAD3],Tabla9[BUSQUEDA],Tabla3[[#This Row],[BUSQUEDA]],Tabla9[CODIGO],Tabla3[[#This Row],[CODIGO]]),0)</f>
        <v>0</v>
      </c>
      <c r="Q843" s="25">
        <f>IF(BD_DETALLE!P843&lt;=0,0,IF(BD_DETALLE!P843=BD_DETALLE!H843,2,1))</f>
        <v>0</v>
      </c>
      <c r="R843" s="41">
        <f ca="1">IF(BD_DETALLE!$C843&gt;0,(IF(BD_DETALLE!$N843=0,TODAY()-BD_DETALLE!$C843,BD_DETALLE!$N843-BD_DETALLE!$C843)),"")</f>
        <v>5</v>
      </c>
    </row>
    <row r="844" spans="2:18" x14ac:dyDescent="0.25">
      <c r="B844" s="15" t="str">
        <f t="shared" si="75"/>
        <v>2104-108-319688</v>
      </c>
      <c r="C844" s="7">
        <v>44300</v>
      </c>
      <c r="D844" s="5" t="str">
        <f>IF(BD_DETALLE!$E844&gt;=1,CONCATENATE(TEXT(BD_DETALLE!$C844,"YY"),TEXT(BD_DETALLE!$C844,"MM"),"-",BD_DETALLE!$E844),"")</f>
        <v>2104-108</v>
      </c>
      <c r="E844" s="12">
        <v>108</v>
      </c>
      <c r="F844" s="21">
        <v>319688</v>
      </c>
      <c r="G844" s="4" t="str">
        <f>IFERROR(VLOOKUP(BD_DETALLE!$B844,Tabla9[],6,0),"")</f>
        <v>RENDOX AT 20 LIQ.</v>
      </c>
      <c r="H844" s="6">
        <f>IFERROR(VLOOKUP(BD_DETALLE!$B844,Tabla9[],4,0),0)</f>
        <v>2000</v>
      </c>
      <c r="I844" s="19" t="s">
        <v>15</v>
      </c>
      <c r="J844" s="20" t="s">
        <v>385</v>
      </c>
      <c r="K844" s="10">
        <f>IFERROR(VLOOKUP(BD_DETALLE!B844,Tabla9[],7,0),"")</f>
        <v>0</v>
      </c>
      <c r="L844" s="11">
        <f>IFERROR(VLOOKUP(BD_DETALLE!B844,Tabla9[],8,0),"")</f>
        <v>0</v>
      </c>
      <c r="M844" s="9">
        <f>IFERROR(SUMIFS(Tabla9[CANTIDAD2],Tabla9[BUSQUEDA],Tabla3[[#This Row],[BUSQUEDA]],Tabla9[CODIGO],Tabla3[[#This Row],[CODIGO]],Tabla9[ORDEN No.],Tabla3[[#This Row],[ORDEN de COMPRA]]),0)</f>
        <v>0</v>
      </c>
      <c r="N844" s="27">
        <f>IFERROR(IF(BD_DETALLE!B844&gt;0,VLOOKUP(BD_DETALLE!B844,Tabla9[],10,0),""),"")</f>
        <v>0</v>
      </c>
      <c r="O844" s="28">
        <f>IFERROR(VLOOKUP(BD_DETALLE!B844,Tabla9[],11,0),0)</f>
        <v>0</v>
      </c>
      <c r="P844" s="26">
        <f>IFERROR(SUMIFS(Tabla9[CANTIDAD3],Tabla9[BUSQUEDA],Tabla3[[#This Row],[BUSQUEDA]],Tabla9[CODIGO],Tabla3[[#This Row],[CODIGO]]),0)</f>
        <v>0</v>
      </c>
      <c r="Q844" s="25">
        <f>IF(BD_DETALLE!P844&lt;=0,0,IF(BD_DETALLE!P844=BD_DETALLE!H844,2,1))</f>
        <v>0</v>
      </c>
      <c r="R844" s="41">
        <f ca="1">IF(BD_DETALLE!$C844&gt;0,(IF(BD_DETALLE!$N844=0,TODAY()-BD_DETALLE!$C844,BD_DETALLE!$N844-BD_DETALLE!$C844)),"")</f>
        <v>5</v>
      </c>
    </row>
    <row r="845" spans="2:18" x14ac:dyDescent="0.25">
      <c r="B845" s="15" t="str">
        <f t="shared" si="75"/>
        <v>2104-109-310867</v>
      </c>
      <c r="C845" s="7">
        <v>44300</v>
      </c>
      <c r="D845" s="5" t="str">
        <f>IF(BD_DETALLE!$E845&gt;=1,CONCATENATE(TEXT(BD_DETALLE!$C845,"YY"),TEXT(BD_DETALLE!$C845,"MM"),"-",BD_DETALLE!$E845),"")</f>
        <v>2104-109</v>
      </c>
      <c r="E845" s="12">
        <v>109</v>
      </c>
      <c r="F845" s="21">
        <v>310867</v>
      </c>
      <c r="G845" s="4" t="str">
        <f>IFERROR(VLOOKUP(BD_DETALLE!$B845,Tabla9[],6,0),"")</f>
        <v>TRAJE PROTECCION DESECHABLE 3M (4510)</v>
      </c>
      <c r="H845" s="6">
        <f>IFERROR(VLOOKUP(BD_DETALLE!$B845,Tabla9[],4,0),0)</f>
        <v>30</v>
      </c>
      <c r="I845" s="19" t="s">
        <v>15</v>
      </c>
      <c r="J845" s="20" t="s">
        <v>385</v>
      </c>
      <c r="K845" s="10">
        <f>IFERROR(VLOOKUP(BD_DETALLE!B845,Tabla9[],7,0),"")</f>
        <v>0</v>
      </c>
      <c r="L845" s="11">
        <f>IFERROR(VLOOKUP(BD_DETALLE!B845,Tabla9[],8,0),"")</f>
        <v>0</v>
      </c>
      <c r="M845" s="9">
        <f>IFERROR(SUMIFS(Tabla9[CANTIDAD2],Tabla9[BUSQUEDA],Tabla3[[#This Row],[BUSQUEDA]],Tabla9[CODIGO],Tabla3[[#This Row],[CODIGO]],Tabla9[ORDEN No.],Tabla3[[#This Row],[ORDEN de COMPRA]]),0)</f>
        <v>0</v>
      </c>
      <c r="N845" s="27">
        <f>IFERROR(IF(BD_DETALLE!B845&gt;0,VLOOKUP(BD_DETALLE!B845,Tabla9[],10,0),""),"")</f>
        <v>0</v>
      </c>
      <c r="O845" s="28">
        <f>IFERROR(VLOOKUP(BD_DETALLE!B845,Tabla9[],11,0),0)</f>
        <v>0</v>
      </c>
      <c r="P845" s="26">
        <f>IFERROR(SUMIFS(Tabla9[CANTIDAD3],Tabla9[BUSQUEDA],Tabla3[[#This Row],[BUSQUEDA]],Tabla9[CODIGO],Tabla3[[#This Row],[CODIGO]]),0)</f>
        <v>0</v>
      </c>
      <c r="Q845" s="25">
        <f>IF(BD_DETALLE!P845&lt;=0,0,IF(BD_DETALLE!P845=BD_DETALLE!H845,2,1))</f>
        <v>0</v>
      </c>
      <c r="R845" s="41">
        <f ca="1">IF(BD_DETALLE!$C845&gt;0,(IF(BD_DETALLE!$N845=0,TODAY()-BD_DETALLE!$C845,BD_DETALLE!$N845-BD_DETALLE!$C845)),"")</f>
        <v>5</v>
      </c>
    </row>
    <row r="846" spans="2:18" x14ac:dyDescent="0.25">
      <c r="B846" s="15" t="str">
        <f t="shared" si="75"/>
        <v>2104-110-203825</v>
      </c>
      <c r="C846" s="7">
        <v>44300</v>
      </c>
      <c r="D846" s="5" t="str">
        <f>IF(BD_DETALLE!$E846&gt;=1,CONCATENATE(TEXT(BD_DETALLE!$C846,"YY"),TEXT(BD_DETALLE!$C846,"MM"),"-",BD_DETALLE!$E846),"")</f>
        <v>2104-110</v>
      </c>
      <c r="E846" s="12">
        <v>110</v>
      </c>
      <c r="F846" s="21">
        <v>203825</v>
      </c>
      <c r="G846" s="4" t="str">
        <f>IFERROR(VLOOKUP(BD_DETALLE!$B846,Tabla9[],6,0),"")</f>
        <v>DESENGRASANTE</v>
      </c>
      <c r="H846" s="6">
        <f>IFERROR(VLOOKUP(BD_DETALLE!$B846,Tabla9[],4,0),0)</f>
        <v>15</v>
      </c>
      <c r="I846" s="19" t="s">
        <v>15</v>
      </c>
      <c r="J846" s="20" t="s">
        <v>385</v>
      </c>
      <c r="K846" s="10">
        <f>IFERROR(VLOOKUP(BD_DETALLE!B846,Tabla9[],7,0),"")</f>
        <v>0</v>
      </c>
      <c r="L846" s="11">
        <f>IFERROR(VLOOKUP(BD_DETALLE!B846,Tabla9[],8,0),"")</f>
        <v>0</v>
      </c>
      <c r="M846" s="9">
        <f>IFERROR(SUMIFS(Tabla9[CANTIDAD2],Tabla9[BUSQUEDA],Tabla3[[#This Row],[BUSQUEDA]],Tabla9[CODIGO],Tabla3[[#This Row],[CODIGO]],Tabla9[ORDEN No.],Tabla3[[#This Row],[ORDEN de COMPRA]]),0)</f>
        <v>0</v>
      </c>
      <c r="N846" s="27">
        <f>IFERROR(IF(BD_DETALLE!B846&gt;0,VLOOKUP(BD_DETALLE!B846,Tabla9[],10,0),""),"")</f>
        <v>0</v>
      </c>
      <c r="O846" s="28">
        <f>IFERROR(VLOOKUP(BD_DETALLE!B846,Tabla9[],11,0),0)</f>
        <v>0</v>
      </c>
      <c r="P846" s="26">
        <f>IFERROR(SUMIFS(Tabla9[CANTIDAD3],Tabla9[BUSQUEDA],Tabla3[[#This Row],[BUSQUEDA]],Tabla9[CODIGO],Tabla3[[#This Row],[CODIGO]]),0)</f>
        <v>0</v>
      </c>
      <c r="Q846" s="25">
        <f>IF(BD_DETALLE!P846&lt;=0,0,IF(BD_DETALLE!P846=BD_DETALLE!H846,2,1))</f>
        <v>0</v>
      </c>
      <c r="R846" s="41">
        <f ca="1">IF(BD_DETALLE!$C846&gt;0,(IF(BD_DETALLE!$N846=0,TODAY()-BD_DETALLE!$C846,BD_DETALLE!$N846-BD_DETALLE!$C846)),"")</f>
        <v>5</v>
      </c>
    </row>
    <row r="847" spans="2:18" x14ac:dyDescent="0.25">
      <c r="B847" s="15" t="str">
        <f t="shared" si="75"/>
        <v>2104-110-306518</v>
      </c>
      <c r="C847" s="7">
        <v>44300</v>
      </c>
      <c r="D847" s="5" t="str">
        <f>IF(BD_DETALLE!$E847&gt;=1,CONCATENATE(TEXT(BD_DETALLE!$C847,"YY"),TEXT(BD_DETALLE!$C847,"MM"),"-",BD_DETALLE!$E847),"")</f>
        <v>2104-110</v>
      </c>
      <c r="E847" s="12">
        <v>110</v>
      </c>
      <c r="F847" s="21">
        <v>306518</v>
      </c>
      <c r="G847" s="4" t="str">
        <f>IFERROR(VLOOKUP(BD_DETALLE!$B847,Tabla9[],6,0),"")</f>
        <v>JABON LIQUIDO(LAVADO DE VEHICULOS)</v>
      </c>
      <c r="H847" s="6">
        <f>IFERROR(VLOOKUP(BD_DETALLE!$B847,Tabla9[],4,0),0)</f>
        <v>10</v>
      </c>
      <c r="I847" s="19" t="s">
        <v>15</v>
      </c>
      <c r="J847" s="20" t="s">
        <v>385</v>
      </c>
      <c r="K847" s="10">
        <f>IFERROR(VLOOKUP(BD_DETALLE!B847,Tabla9[],7,0),"")</f>
        <v>0</v>
      </c>
      <c r="L847" s="11">
        <f>IFERROR(VLOOKUP(BD_DETALLE!B847,Tabla9[],8,0),"")</f>
        <v>0</v>
      </c>
      <c r="M847" s="9">
        <f>IFERROR(SUMIFS(Tabla9[CANTIDAD2],Tabla9[BUSQUEDA],Tabla3[[#This Row],[BUSQUEDA]],Tabla9[CODIGO],Tabla3[[#This Row],[CODIGO]],Tabla9[ORDEN No.],Tabla3[[#This Row],[ORDEN de COMPRA]]),0)</f>
        <v>0</v>
      </c>
      <c r="N847" s="27">
        <f>IFERROR(IF(BD_DETALLE!B847&gt;0,VLOOKUP(BD_DETALLE!B847,Tabla9[],10,0),""),"")</f>
        <v>0</v>
      </c>
      <c r="O847" s="28">
        <f>IFERROR(VLOOKUP(BD_DETALLE!B847,Tabla9[],11,0),0)</f>
        <v>0</v>
      </c>
      <c r="P847" s="26">
        <f>IFERROR(SUMIFS(Tabla9[CANTIDAD3],Tabla9[BUSQUEDA],Tabla3[[#This Row],[BUSQUEDA]],Tabla9[CODIGO],Tabla3[[#This Row],[CODIGO]]),0)</f>
        <v>0</v>
      </c>
      <c r="Q847" s="25">
        <f>IF(BD_DETALLE!P847&lt;=0,0,IF(BD_DETALLE!P847=BD_DETALLE!H847,2,1))</f>
        <v>0</v>
      </c>
      <c r="R847" s="41">
        <f ca="1">IF(BD_DETALLE!$C847&gt;0,(IF(BD_DETALLE!$N847=0,TODAY()-BD_DETALLE!$C847,BD_DETALLE!$N847-BD_DETALLE!$C847)),"")</f>
        <v>5</v>
      </c>
    </row>
    <row r="848" spans="2:18" x14ac:dyDescent="0.25">
      <c r="B848" s="15" t="str">
        <f t="shared" si="75"/>
        <v>2104-110-305882</v>
      </c>
      <c r="C848" s="7">
        <v>44300</v>
      </c>
      <c r="D848" s="5" t="str">
        <f>IF(BD_DETALLE!$E848&gt;=1,CONCATENATE(TEXT(BD_DETALLE!$C848,"YY"),TEXT(BD_DETALLE!$C848,"MM"),"-",BD_DETALLE!$E848),"")</f>
        <v>2104-110</v>
      </c>
      <c r="E848" s="12">
        <v>110</v>
      </c>
      <c r="F848" s="21">
        <v>305882</v>
      </c>
      <c r="G848" s="4" t="str">
        <f>IFERROR(VLOOKUP(BD_DETALLE!$B848,Tabla9[],6,0),"")</f>
        <v>DEXOSIDANTE</v>
      </c>
      <c r="H848" s="6">
        <f>IFERROR(VLOOKUP(BD_DETALLE!$B848,Tabla9[],4,0),0)</f>
        <v>10</v>
      </c>
      <c r="I848" s="19" t="s">
        <v>15</v>
      </c>
      <c r="J848" s="20" t="s">
        <v>385</v>
      </c>
      <c r="K848" s="10">
        <f>IFERROR(VLOOKUP(BD_DETALLE!B848,Tabla9[],7,0),"")</f>
        <v>0</v>
      </c>
      <c r="L848" s="11">
        <f>IFERROR(VLOOKUP(BD_DETALLE!B848,Tabla9[],8,0),"")</f>
        <v>0</v>
      </c>
      <c r="M848" s="9">
        <f>IFERROR(SUMIFS(Tabla9[CANTIDAD2],Tabla9[BUSQUEDA],Tabla3[[#This Row],[BUSQUEDA]],Tabla9[CODIGO],Tabla3[[#This Row],[CODIGO]],Tabla9[ORDEN No.],Tabla3[[#This Row],[ORDEN de COMPRA]]),0)</f>
        <v>0</v>
      </c>
      <c r="N848" s="27">
        <f>IFERROR(IF(BD_DETALLE!B848&gt;0,VLOOKUP(BD_DETALLE!B848,Tabla9[],10,0),""),"")</f>
        <v>0</v>
      </c>
      <c r="O848" s="28">
        <f>IFERROR(VLOOKUP(BD_DETALLE!B848,Tabla9[],11,0),0)</f>
        <v>0</v>
      </c>
      <c r="P848" s="26">
        <f>IFERROR(SUMIFS(Tabla9[CANTIDAD3],Tabla9[BUSQUEDA],Tabla3[[#This Row],[BUSQUEDA]],Tabla9[CODIGO],Tabla3[[#This Row],[CODIGO]]),0)</f>
        <v>0</v>
      </c>
      <c r="Q848" s="25">
        <f>IF(BD_DETALLE!P848&lt;=0,0,IF(BD_DETALLE!P848=BD_DETALLE!H848,2,1))</f>
        <v>0</v>
      </c>
      <c r="R848" s="41">
        <f ca="1">IF(BD_DETALLE!$C848&gt;0,(IF(BD_DETALLE!$N848=0,TODAY()-BD_DETALLE!$C848,BD_DETALLE!$N848-BD_DETALLE!$C848)),"")</f>
        <v>5</v>
      </c>
    </row>
    <row r="849" spans="2:18" x14ac:dyDescent="0.25">
      <c r="B849" s="15" t="str">
        <f t="shared" si="75"/>
        <v>2104-110-204776</v>
      </c>
      <c r="C849" s="7">
        <v>44300</v>
      </c>
      <c r="D849" s="5" t="str">
        <f>IF(BD_DETALLE!$E849&gt;=1,CONCATENATE(TEXT(BD_DETALLE!$C849,"YY"),TEXT(BD_DETALLE!$C849,"MM"),"-",BD_DETALLE!$E849),"")</f>
        <v>2104-110</v>
      </c>
      <c r="E849" s="12">
        <v>110</v>
      </c>
      <c r="F849" s="21">
        <v>204776</v>
      </c>
      <c r="G849" s="4" t="str">
        <f>IFERROR(VLOOKUP(BD_DETALLE!$B849,Tabla9[],6,0),"")</f>
        <v>ALCOHOL ANTISEPTICO (LT)</v>
      </c>
      <c r="H849" s="6">
        <f>IFERROR(VLOOKUP(BD_DETALLE!$B849,Tabla9[],4,0),0)</f>
        <v>10</v>
      </c>
      <c r="I849" s="19" t="s">
        <v>15</v>
      </c>
      <c r="J849" s="20" t="s">
        <v>385</v>
      </c>
      <c r="K849" s="10">
        <f>IFERROR(VLOOKUP(BD_DETALLE!B849,Tabla9[],7,0),"")</f>
        <v>0</v>
      </c>
      <c r="L849" s="11">
        <f>IFERROR(VLOOKUP(BD_DETALLE!B849,Tabla9[],8,0),"")</f>
        <v>0</v>
      </c>
      <c r="M849" s="9">
        <f>IFERROR(SUMIFS(Tabla9[CANTIDAD2],Tabla9[BUSQUEDA],Tabla3[[#This Row],[BUSQUEDA]],Tabla9[CODIGO],Tabla3[[#This Row],[CODIGO]],Tabla9[ORDEN No.],Tabla3[[#This Row],[ORDEN de COMPRA]]),0)</f>
        <v>0</v>
      </c>
      <c r="N849" s="27">
        <f>IFERROR(IF(BD_DETALLE!B849&gt;0,VLOOKUP(BD_DETALLE!B849,Tabla9[],10,0),""),"")</f>
        <v>0</v>
      </c>
      <c r="O849" s="28">
        <f>IFERROR(VLOOKUP(BD_DETALLE!B849,Tabla9[],11,0),0)</f>
        <v>0</v>
      </c>
      <c r="P849" s="26">
        <f>IFERROR(SUMIFS(Tabla9[CANTIDAD3],Tabla9[BUSQUEDA],Tabla3[[#This Row],[BUSQUEDA]],Tabla9[CODIGO],Tabla3[[#This Row],[CODIGO]]),0)</f>
        <v>0</v>
      </c>
      <c r="Q849" s="25">
        <f>IF(BD_DETALLE!P849&lt;=0,0,IF(BD_DETALLE!P849=BD_DETALLE!H849,2,1))</f>
        <v>0</v>
      </c>
      <c r="R849" s="41">
        <f ca="1">IF(BD_DETALLE!$C849&gt;0,(IF(BD_DETALLE!$N849=0,TODAY()-BD_DETALLE!$C849,BD_DETALLE!$N849-BD_DETALLE!$C849)),"")</f>
        <v>5</v>
      </c>
    </row>
    <row r="850" spans="2:18" x14ac:dyDescent="0.25">
      <c r="B850" s="15" t="str">
        <f t="shared" si="75"/>
        <v>2104-110-200534</v>
      </c>
      <c r="C850" s="7">
        <v>44300</v>
      </c>
      <c r="D850" s="5" t="str">
        <f>IF(BD_DETALLE!$E850&gt;=1,CONCATENATE(TEXT(BD_DETALLE!$C850,"YY"),TEXT(BD_DETALLE!$C850,"MM"),"-",BD_DETALLE!$E850),"")</f>
        <v>2104-110</v>
      </c>
      <c r="E850" s="12">
        <v>110</v>
      </c>
      <c r="F850" s="21">
        <v>200534</v>
      </c>
      <c r="G850" s="4" t="str">
        <f>IFERROR(VLOOKUP(BD_DETALLE!$B850,Tabla9[],6,0),"")</f>
        <v>DESINFECTANTE</v>
      </c>
      <c r="H850" s="6">
        <f>IFERROR(VLOOKUP(BD_DETALLE!$B850,Tabla9[],4,0),0)</f>
        <v>10</v>
      </c>
      <c r="I850" s="19" t="s">
        <v>15</v>
      </c>
      <c r="J850" s="20" t="s">
        <v>385</v>
      </c>
      <c r="K850" s="10">
        <f>IFERROR(VLOOKUP(BD_DETALLE!B850,Tabla9[],7,0),"")</f>
        <v>0</v>
      </c>
      <c r="L850" s="11">
        <f>IFERROR(VLOOKUP(BD_DETALLE!B850,Tabla9[],8,0),"")</f>
        <v>0</v>
      </c>
      <c r="M850" s="9">
        <f>IFERROR(SUMIFS(Tabla9[CANTIDAD2],Tabla9[BUSQUEDA],Tabla3[[#This Row],[BUSQUEDA]],Tabla9[CODIGO],Tabla3[[#This Row],[CODIGO]],Tabla9[ORDEN No.],Tabla3[[#This Row],[ORDEN de COMPRA]]),0)</f>
        <v>0</v>
      </c>
      <c r="N850" s="27">
        <f>IFERROR(IF(BD_DETALLE!B850&gt;0,VLOOKUP(BD_DETALLE!B850,Tabla9[],10,0),""),"")</f>
        <v>0</v>
      </c>
      <c r="O850" s="28">
        <f>IFERROR(VLOOKUP(BD_DETALLE!B850,Tabla9[],11,0),0)</f>
        <v>0</v>
      </c>
      <c r="P850" s="26">
        <f>IFERROR(SUMIFS(Tabla9[CANTIDAD3],Tabla9[BUSQUEDA],Tabla3[[#This Row],[BUSQUEDA]],Tabla9[CODIGO],Tabla3[[#This Row],[CODIGO]]),0)</f>
        <v>0</v>
      </c>
      <c r="Q850" s="25">
        <f>IF(BD_DETALLE!P850&lt;=0,0,IF(BD_DETALLE!P850=BD_DETALLE!H850,2,1))</f>
        <v>0</v>
      </c>
      <c r="R850" s="41">
        <f ca="1">IF(BD_DETALLE!$C850&gt;0,(IF(BD_DETALLE!$N850=0,TODAY()-BD_DETALLE!$C850,BD_DETALLE!$N850-BD_DETALLE!$C850)),"")</f>
        <v>5</v>
      </c>
    </row>
    <row r="851" spans="2:18" x14ac:dyDescent="0.25">
      <c r="B851" s="15" t="str">
        <f t="shared" si="75"/>
        <v>2104-111-300905</v>
      </c>
      <c r="C851" s="7">
        <v>44300</v>
      </c>
      <c r="D851" s="5" t="str">
        <f>IF(BD_DETALLE!$E851&gt;=1,CONCATENATE(TEXT(BD_DETALLE!$C851,"YY"),TEXT(BD_DETALLE!$C851,"MM"),"-",BD_DETALLE!$E851),"")</f>
        <v>2104-111</v>
      </c>
      <c r="E851" s="12">
        <v>111</v>
      </c>
      <c r="F851" s="21">
        <v>300905</v>
      </c>
      <c r="G851" s="4" t="str">
        <f>IFERROR(VLOOKUP(BD_DETALLE!$B851,Tabla9[],6,0),"")</f>
        <v>RULIMAN 3307</v>
      </c>
      <c r="H851" s="6">
        <f>IFERROR(VLOOKUP(BD_DETALLE!$B851,Tabla9[],4,0),0)</f>
        <v>16</v>
      </c>
      <c r="I851" s="19" t="s">
        <v>12</v>
      </c>
      <c r="J851" s="20" t="s">
        <v>2332</v>
      </c>
      <c r="K851" s="10">
        <f>IFERROR(VLOOKUP(BD_DETALLE!B851,Tabla9[],7,0),"")</f>
        <v>0</v>
      </c>
      <c r="L851" s="11">
        <f>IFERROR(VLOOKUP(BD_DETALLE!B851,Tabla9[],8,0),"")</f>
        <v>0</v>
      </c>
      <c r="M851" s="9">
        <f>IFERROR(SUMIFS(Tabla9[CANTIDAD2],Tabla9[BUSQUEDA],Tabla3[[#This Row],[BUSQUEDA]],Tabla9[CODIGO],Tabla3[[#This Row],[CODIGO]],Tabla9[ORDEN No.],Tabla3[[#This Row],[ORDEN de COMPRA]]),0)</f>
        <v>0</v>
      </c>
      <c r="N851" s="27">
        <f>IFERROR(IF(BD_DETALLE!B851&gt;0,VLOOKUP(BD_DETALLE!B851,Tabla9[],10,0),""),"")</f>
        <v>0</v>
      </c>
      <c r="O851" s="28">
        <f>IFERROR(VLOOKUP(BD_DETALLE!B851,Tabla9[],11,0),0)</f>
        <v>0</v>
      </c>
      <c r="P851" s="26">
        <f>IFERROR(SUMIFS(Tabla9[CANTIDAD3],Tabla9[BUSQUEDA],Tabla3[[#This Row],[BUSQUEDA]],Tabla9[CODIGO],Tabla3[[#This Row],[CODIGO]]),0)</f>
        <v>0</v>
      </c>
      <c r="Q851" s="25">
        <f>IF(BD_DETALLE!P851&lt;=0,0,IF(BD_DETALLE!P851=BD_DETALLE!H851,2,1))</f>
        <v>0</v>
      </c>
      <c r="R851" s="41">
        <f ca="1">IF(BD_DETALLE!$C851&gt;0,(IF(BD_DETALLE!$N851=0,TODAY()-BD_DETALLE!$C851,BD_DETALLE!$N851-BD_DETALLE!$C851)),"")</f>
        <v>5</v>
      </c>
    </row>
    <row r="852" spans="2:18" x14ac:dyDescent="0.25">
      <c r="B852" s="15" t="str">
        <f t="shared" si="75"/>
        <v>2104-112-304892</v>
      </c>
      <c r="C852" s="7">
        <v>44300</v>
      </c>
      <c r="D852" s="5" t="str">
        <f>IF(BD_DETALLE!$E852&gt;=1,CONCATENATE(TEXT(BD_DETALLE!$C852,"YY"),TEXT(BD_DETALLE!$C852,"MM"),"-",BD_DETALLE!$E852),"")</f>
        <v>2104-112</v>
      </c>
      <c r="E852" s="12">
        <v>112</v>
      </c>
      <c r="F852" s="21">
        <v>304892</v>
      </c>
      <c r="G852" s="4" t="str">
        <f>IFERROR(VLOOKUP(BD_DETALLE!$B852,Tabla9[],6,0),"")</f>
        <v>SALMOQUIM</v>
      </c>
      <c r="H852" s="6">
        <f>IFERROR(VLOOKUP(BD_DETALLE!$B852,Tabla9[],4,0),0)</f>
        <v>2000</v>
      </c>
      <c r="I852" s="19" t="s">
        <v>15</v>
      </c>
      <c r="J852" s="20" t="s">
        <v>385</v>
      </c>
      <c r="K852" s="10">
        <f>IFERROR(VLOOKUP(BD_DETALLE!B852,Tabla9[],7,0),"")</f>
        <v>0</v>
      </c>
      <c r="L852" s="11">
        <f>IFERROR(VLOOKUP(BD_DETALLE!B852,Tabla9[],8,0),"")</f>
        <v>0</v>
      </c>
      <c r="M852" s="9">
        <f>IFERROR(SUMIFS(Tabla9[CANTIDAD2],Tabla9[BUSQUEDA],Tabla3[[#This Row],[BUSQUEDA]],Tabla9[CODIGO],Tabla3[[#This Row],[CODIGO]],Tabla9[ORDEN No.],Tabla3[[#This Row],[ORDEN de COMPRA]]),0)</f>
        <v>0</v>
      </c>
      <c r="N852" s="27">
        <f>IFERROR(IF(BD_DETALLE!B852&gt;0,VLOOKUP(BD_DETALLE!B852,Tabla9[],10,0),""),"")</f>
        <v>44300</v>
      </c>
      <c r="O852" s="28">
        <f>IFERROR(VLOOKUP(BD_DETALLE!B852,Tabla9[],11,0),0)</f>
        <v>11821</v>
      </c>
      <c r="P852" s="26">
        <f>IFERROR(SUMIFS(Tabla9[CANTIDAD3],Tabla9[BUSQUEDA],Tabla3[[#This Row],[BUSQUEDA]],Tabla9[CODIGO],Tabla3[[#This Row],[CODIGO]]),0)</f>
        <v>2000</v>
      </c>
      <c r="Q852" s="25">
        <f>IF(BD_DETALLE!P852&lt;=0,0,IF(BD_DETALLE!P852=BD_DETALLE!H852,2,1))</f>
        <v>2</v>
      </c>
      <c r="R852" s="41">
        <f ca="1">IF(BD_DETALLE!$C852&gt;0,(IF(BD_DETALLE!$N852=0,TODAY()-BD_DETALLE!$C852,BD_DETALLE!$N852-BD_DETALLE!$C852)),"")</f>
        <v>0</v>
      </c>
    </row>
    <row r="853" spans="2:18" x14ac:dyDescent="0.25">
      <c r="B853" s="15" t="str">
        <f t="shared" si="75"/>
        <v>2104-113-204700</v>
      </c>
      <c r="C853" s="7">
        <v>44300</v>
      </c>
      <c r="D853" s="5" t="str">
        <f>IF(BD_DETALLE!$E853&gt;=1,CONCATENATE(TEXT(BD_DETALLE!$C853,"YY"),TEXT(BD_DETALLE!$C853,"MM"),"-",BD_DETALLE!$E853),"")</f>
        <v>2104-113</v>
      </c>
      <c r="E853" s="12">
        <v>113</v>
      </c>
      <c r="F853" s="21">
        <v>204700</v>
      </c>
      <c r="G853" s="4" t="str">
        <f>IFERROR(VLOOKUP(BD_DETALLE!$B853,Tabla9[],6,0),"")</f>
        <v>VALVULA DUAL DE AIRE (SAP173507)</v>
      </c>
      <c r="H853" s="6">
        <f>IFERROR(VLOOKUP(BD_DETALLE!$B853,Tabla9[],4,0),0)</f>
        <v>1</v>
      </c>
      <c r="I853" s="19" t="s">
        <v>5</v>
      </c>
      <c r="J853" s="20" t="s">
        <v>952</v>
      </c>
      <c r="K853" s="10">
        <f>IFERROR(VLOOKUP(BD_DETALLE!B853,Tabla9[],7,0),"")</f>
        <v>0</v>
      </c>
      <c r="L853" s="11">
        <f>IFERROR(VLOOKUP(BD_DETALLE!B853,Tabla9[],8,0),"")</f>
        <v>0</v>
      </c>
      <c r="M853" s="9">
        <f>IFERROR(SUMIFS(Tabla9[CANTIDAD2],Tabla9[BUSQUEDA],Tabla3[[#This Row],[BUSQUEDA]],Tabla9[CODIGO],Tabla3[[#This Row],[CODIGO]],Tabla9[ORDEN No.],Tabla3[[#This Row],[ORDEN de COMPRA]]),0)</f>
        <v>0</v>
      </c>
      <c r="N853" s="27">
        <f>IFERROR(IF(BD_DETALLE!B853&gt;0,VLOOKUP(BD_DETALLE!B853,Tabla9[],10,0),""),"")</f>
        <v>44300</v>
      </c>
      <c r="O853" s="28">
        <f>IFERROR(VLOOKUP(BD_DETALLE!B853,Tabla9[],11,0),0)</f>
        <v>11825</v>
      </c>
      <c r="P853" s="26">
        <f>IFERROR(SUMIFS(Tabla9[CANTIDAD3],Tabla9[BUSQUEDA],Tabla3[[#This Row],[BUSQUEDA]],Tabla9[CODIGO],Tabla3[[#This Row],[CODIGO]]),0)</f>
        <v>1</v>
      </c>
      <c r="Q853" s="25">
        <f>IF(BD_DETALLE!P853&lt;=0,0,IF(BD_DETALLE!P853=BD_DETALLE!H853,2,1))</f>
        <v>2</v>
      </c>
      <c r="R853" s="41">
        <f ca="1">IF(BD_DETALLE!$C853&gt;0,(IF(BD_DETALLE!$N853=0,TODAY()-BD_DETALLE!$C853,BD_DETALLE!$N853-BD_DETALLE!$C853)),"")</f>
        <v>0</v>
      </c>
    </row>
    <row r="854" spans="2:18" x14ac:dyDescent="0.25">
      <c r="B854" s="15" t="str">
        <f t="shared" si="75"/>
        <v>2104-114-308484</v>
      </c>
      <c r="C854" s="7">
        <v>44300</v>
      </c>
      <c r="D854" s="5" t="str">
        <f>IF(BD_DETALLE!$E854&gt;=1,CONCATENATE(TEXT(BD_DETALLE!$C854,"YY"),TEXT(BD_DETALLE!$C854,"MM"),"-",BD_DETALLE!$E854),"")</f>
        <v>2104-114</v>
      </c>
      <c r="E854" s="12">
        <v>114</v>
      </c>
      <c r="F854" s="21">
        <v>308484</v>
      </c>
      <c r="G854" s="4" t="str">
        <f>IFERROR(VLOOKUP(BD_DETALLE!$B854,Tabla9[],6,0),"")</f>
        <v>RULIMAN 6206</v>
      </c>
      <c r="H854" s="6">
        <f>IFERROR(VLOOKUP(BD_DETALLE!$B854,Tabla9[],4,0),0)</f>
        <v>2</v>
      </c>
      <c r="I854" s="19" t="s">
        <v>3</v>
      </c>
      <c r="J854" s="20" t="s">
        <v>2333</v>
      </c>
      <c r="K854" s="10">
        <f>IFERROR(VLOOKUP(BD_DETALLE!B854,Tabla9[],7,0),"")</f>
        <v>0</v>
      </c>
      <c r="L854" s="11">
        <f>IFERROR(VLOOKUP(BD_DETALLE!B854,Tabla9[],8,0),"")</f>
        <v>0</v>
      </c>
      <c r="M854" s="9">
        <f>IFERROR(SUMIFS(Tabla9[CANTIDAD2],Tabla9[BUSQUEDA],Tabla3[[#This Row],[BUSQUEDA]],Tabla9[CODIGO],Tabla3[[#This Row],[CODIGO]],Tabla9[ORDEN No.],Tabla3[[#This Row],[ORDEN de COMPRA]]),0)</f>
        <v>0</v>
      </c>
      <c r="N854" s="27">
        <f>IFERROR(IF(BD_DETALLE!B854&gt;0,VLOOKUP(BD_DETALLE!B854,Tabla9[],10,0),""),"")</f>
        <v>44300</v>
      </c>
      <c r="O854" s="28">
        <f>IFERROR(VLOOKUP(BD_DETALLE!B854,Tabla9[],11,0),0)</f>
        <v>11826</v>
      </c>
      <c r="P854" s="26">
        <f>IFERROR(SUMIFS(Tabla9[CANTIDAD3],Tabla9[BUSQUEDA],Tabla3[[#This Row],[BUSQUEDA]],Tabla9[CODIGO],Tabla3[[#This Row],[CODIGO]]),0)</f>
        <v>2</v>
      </c>
      <c r="Q854" s="25">
        <f>IF(BD_DETALLE!P854&lt;=0,0,IF(BD_DETALLE!P854=BD_DETALLE!H854,2,1))</f>
        <v>2</v>
      </c>
      <c r="R854" s="41">
        <f ca="1">IF(BD_DETALLE!$C854&gt;0,(IF(BD_DETALLE!$N854=0,TODAY()-BD_DETALLE!$C854,BD_DETALLE!$N854-BD_DETALLE!$C854)),"")</f>
        <v>0</v>
      </c>
    </row>
    <row r="855" spans="2:18" x14ac:dyDescent="0.25">
      <c r="B855" s="15" t="str">
        <f t="shared" si="75"/>
        <v>2104-115-106650</v>
      </c>
      <c r="C855" s="7">
        <v>44300</v>
      </c>
      <c r="D855" s="5" t="str">
        <f>IF(BD_DETALLE!$E855&gt;=1,CONCATENATE(TEXT(BD_DETALLE!$C855,"YY"),TEXT(BD_DETALLE!$C855,"MM"),"-",BD_DETALLE!$E855),"")</f>
        <v>2104-115</v>
      </c>
      <c r="E855" s="12">
        <v>115</v>
      </c>
      <c r="F855" s="21">
        <v>106650</v>
      </c>
      <c r="G855" s="4" t="str">
        <f>IFERROR(VLOOKUP(BD_DETALLE!$B855,Tabla9[],6,0),"")</f>
        <v>BOMBA DE COMBUSTIBLE</v>
      </c>
      <c r="H855" s="6">
        <f>IFERROR(VLOOKUP(BD_DETALLE!$B855,Tabla9[],4,0),0)</f>
        <v>1</v>
      </c>
      <c r="I855" s="19" t="s">
        <v>5</v>
      </c>
      <c r="J855" s="20" t="s">
        <v>2334</v>
      </c>
      <c r="K855" s="10">
        <f>IFERROR(VLOOKUP(BD_DETALLE!B855,Tabla9[],7,0),"")</f>
        <v>0</v>
      </c>
      <c r="L855" s="11">
        <f>IFERROR(VLOOKUP(BD_DETALLE!B855,Tabla9[],8,0),"")</f>
        <v>0</v>
      </c>
      <c r="M855" s="9">
        <f>IFERROR(SUMIFS(Tabla9[CANTIDAD2],Tabla9[BUSQUEDA],Tabla3[[#This Row],[BUSQUEDA]],Tabla9[CODIGO],Tabla3[[#This Row],[CODIGO]],Tabla9[ORDEN No.],Tabla3[[#This Row],[ORDEN de COMPRA]]),0)</f>
        <v>0</v>
      </c>
      <c r="N855" s="27">
        <f>IFERROR(IF(BD_DETALLE!B855&gt;0,VLOOKUP(BD_DETALLE!B855,Tabla9[],10,0),""),"")</f>
        <v>0</v>
      </c>
      <c r="O855" s="28">
        <f>IFERROR(VLOOKUP(BD_DETALLE!B855,Tabla9[],11,0),0)</f>
        <v>0</v>
      </c>
      <c r="P855" s="26">
        <f>IFERROR(SUMIFS(Tabla9[CANTIDAD3],Tabla9[BUSQUEDA],Tabla3[[#This Row],[BUSQUEDA]],Tabla9[CODIGO],Tabla3[[#This Row],[CODIGO]]),0)</f>
        <v>0</v>
      </c>
      <c r="Q855" s="25">
        <f>IF(BD_DETALLE!P855&lt;=0,0,IF(BD_DETALLE!P855=BD_DETALLE!H855,2,1))</f>
        <v>0</v>
      </c>
      <c r="R855" s="41">
        <f ca="1">IF(BD_DETALLE!$C855&gt;0,(IF(BD_DETALLE!$N855=0,TODAY()-BD_DETALLE!$C855,BD_DETALLE!$N855-BD_DETALLE!$C855)),"")</f>
        <v>5</v>
      </c>
    </row>
    <row r="856" spans="2:18" x14ac:dyDescent="0.25">
      <c r="B856" s="15" t="str">
        <f t="shared" si="75"/>
        <v>2104-116-205141</v>
      </c>
      <c r="C856" s="7">
        <v>44300</v>
      </c>
      <c r="D856" s="5" t="str">
        <f>IF(BD_DETALLE!$E856&gt;=1,CONCATENATE(TEXT(BD_DETALLE!$C856,"YY"),TEXT(BD_DETALLE!$C856,"MM"),"-",BD_DETALLE!$E856),"")</f>
        <v>2104-116</v>
      </c>
      <c r="E856" s="12">
        <v>116</v>
      </c>
      <c r="F856" s="21">
        <v>205141</v>
      </c>
      <c r="G856" s="4" t="str">
        <f>IFERROR(VLOOKUP(BD_DETALLE!$B856,Tabla9[],6,0),"")</f>
        <v>PULSADOR DE ARRANQUE</v>
      </c>
      <c r="H856" s="6">
        <f>IFERROR(VLOOKUP(BD_DETALLE!$B856,Tabla9[],4,0),0)</f>
        <v>1</v>
      </c>
      <c r="I856" s="19" t="s">
        <v>3</v>
      </c>
      <c r="J856" s="20" t="s">
        <v>2333</v>
      </c>
      <c r="K856" s="10">
        <f>IFERROR(VLOOKUP(BD_DETALLE!B856,Tabla9[],7,0),"")</f>
        <v>0</v>
      </c>
      <c r="L856" s="11">
        <f>IFERROR(VLOOKUP(BD_DETALLE!B856,Tabla9[],8,0),"")</f>
        <v>0</v>
      </c>
      <c r="M856" s="9">
        <f>IFERROR(SUMIFS(Tabla9[CANTIDAD2],Tabla9[BUSQUEDA],Tabla3[[#This Row],[BUSQUEDA]],Tabla9[CODIGO],Tabla3[[#This Row],[CODIGO]],Tabla9[ORDEN No.],Tabla3[[#This Row],[ORDEN de COMPRA]]),0)</f>
        <v>0</v>
      </c>
      <c r="N856" s="27">
        <f>IFERROR(IF(BD_DETALLE!B856&gt;0,VLOOKUP(BD_DETALLE!B856,Tabla9[],10,0),""),"")</f>
        <v>44300</v>
      </c>
      <c r="O856" s="28">
        <f>IFERROR(VLOOKUP(BD_DETALLE!B856,Tabla9[],11,0),0)</f>
        <v>11827</v>
      </c>
      <c r="P856" s="26">
        <f>IFERROR(SUMIFS(Tabla9[CANTIDAD3],Tabla9[BUSQUEDA],Tabla3[[#This Row],[BUSQUEDA]],Tabla9[CODIGO],Tabla3[[#This Row],[CODIGO]]),0)</f>
        <v>1</v>
      </c>
      <c r="Q856" s="25">
        <f>IF(BD_DETALLE!P856&lt;=0,0,IF(BD_DETALLE!P856=BD_DETALLE!H856,2,1))</f>
        <v>2</v>
      </c>
      <c r="R856" s="41">
        <f ca="1">IF(BD_DETALLE!$C856&gt;0,(IF(BD_DETALLE!$N856=0,TODAY()-BD_DETALLE!$C856,BD_DETALLE!$N856-BD_DETALLE!$C856)),"")</f>
        <v>0</v>
      </c>
    </row>
    <row r="857" spans="2:18" x14ac:dyDescent="0.25">
      <c r="B857" s="15" t="str">
        <f t="shared" si="75"/>
        <v>2104-116-320864</v>
      </c>
      <c r="C857" s="7">
        <v>44300</v>
      </c>
      <c r="D857" s="5" t="str">
        <f>IF(BD_DETALLE!$E857&gt;=1,CONCATENATE(TEXT(BD_DETALLE!$C857,"YY"),TEXT(BD_DETALLE!$C857,"MM"),"-",BD_DETALLE!$E857),"")</f>
        <v>2104-116</v>
      </c>
      <c r="E857" s="12">
        <v>116</v>
      </c>
      <c r="F857" s="21">
        <v>320864</v>
      </c>
      <c r="G857" s="4" t="str">
        <f>IFERROR(VLOOKUP(BD_DETALLE!$B857,Tabla9[],6,0),"")</f>
        <v>SWICHT COMBINACION P/MONTACARGA (D09JK803HL)</v>
      </c>
      <c r="H857" s="6">
        <f>IFERROR(VLOOKUP(BD_DETALLE!$B857,Tabla9[],4,0),0)</f>
        <v>1</v>
      </c>
      <c r="I857" s="19" t="s">
        <v>3</v>
      </c>
      <c r="J857" s="20" t="s">
        <v>2333</v>
      </c>
      <c r="K857" s="10">
        <f>IFERROR(VLOOKUP(BD_DETALLE!B857,Tabla9[],7,0),"")</f>
        <v>0</v>
      </c>
      <c r="L857" s="11">
        <f>IFERROR(VLOOKUP(BD_DETALLE!B857,Tabla9[],8,0),"")</f>
        <v>0</v>
      </c>
      <c r="M857" s="9">
        <f>IFERROR(SUMIFS(Tabla9[CANTIDAD2],Tabla9[BUSQUEDA],Tabla3[[#This Row],[BUSQUEDA]],Tabla9[CODIGO],Tabla3[[#This Row],[CODIGO]],Tabla9[ORDEN No.],Tabla3[[#This Row],[ORDEN de COMPRA]]),0)</f>
        <v>0</v>
      </c>
      <c r="N857" s="27">
        <f>IFERROR(IF(BD_DETALLE!B857&gt;0,VLOOKUP(BD_DETALLE!B857,Tabla9[],10,0),""),"")</f>
        <v>44300</v>
      </c>
      <c r="O857" s="28">
        <f>IFERROR(VLOOKUP(BD_DETALLE!B857,Tabla9[],11,0),0)</f>
        <v>11827</v>
      </c>
      <c r="P857" s="26">
        <f>IFERROR(SUMIFS(Tabla9[CANTIDAD3],Tabla9[BUSQUEDA],Tabla3[[#This Row],[BUSQUEDA]],Tabla9[CODIGO],Tabla3[[#This Row],[CODIGO]]),0)</f>
        <v>1</v>
      </c>
      <c r="Q857" s="25">
        <f>IF(BD_DETALLE!P857&lt;=0,0,IF(BD_DETALLE!P857=BD_DETALLE!H857,2,1))</f>
        <v>2</v>
      </c>
      <c r="R857" s="41">
        <f ca="1">IF(BD_DETALLE!$C857&gt;0,(IF(BD_DETALLE!$N857=0,TODAY()-BD_DETALLE!$C857,BD_DETALLE!$N857-BD_DETALLE!$C857)),"")</f>
        <v>0</v>
      </c>
    </row>
    <row r="858" spans="2:18" x14ac:dyDescent="0.25">
      <c r="B858" s="15" t="str">
        <f t="shared" si="75"/>
        <v>2104-116-206242</v>
      </c>
      <c r="C858" s="7">
        <v>44300</v>
      </c>
      <c r="D858" s="5" t="str">
        <f>IF(BD_DETALLE!$E858&gt;=1,CONCATENATE(TEXT(BD_DETALLE!$C858,"YY"),TEXT(BD_DETALLE!$C858,"MM"),"-",BD_DETALLE!$E858),"")</f>
        <v>2104-116</v>
      </c>
      <c r="E858" s="12">
        <v>116</v>
      </c>
      <c r="F858" s="21">
        <v>206242</v>
      </c>
      <c r="G858" s="4" t="str">
        <f>IFERROR(VLOOKUP(BD_DETALLE!$B858,Tabla9[],6,0),"")</f>
        <v>SWICHT DE DOS TIEMPO DE LUZ</v>
      </c>
      <c r="H858" s="6">
        <f>IFERROR(VLOOKUP(BD_DETALLE!$B858,Tabla9[],4,0),0)</f>
        <v>1</v>
      </c>
      <c r="I858" s="19" t="s">
        <v>3</v>
      </c>
      <c r="J858" s="20" t="s">
        <v>2333</v>
      </c>
      <c r="K858" s="10">
        <f>IFERROR(VLOOKUP(BD_DETALLE!B858,Tabla9[],7,0),"")</f>
        <v>0</v>
      </c>
      <c r="L858" s="11">
        <f>IFERROR(VLOOKUP(BD_DETALLE!B858,Tabla9[],8,0),"")</f>
        <v>0</v>
      </c>
      <c r="M858" s="9">
        <f>IFERROR(SUMIFS(Tabla9[CANTIDAD2],Tabla9[BUSQUEDA],Tabla3[[#This Row],[BUSQUEDA]],Tabla9[CODIGO],Tabla3[[#This Row],[CODIGO]],Tabla9[ORDEN No.],Tabla3[[#This Row],[ORDEN de COMPRA]]),0)</f>
        <v>0</v>
      </c>
      <c r="N858" s="27">
        <f>IFERROR(IF(BD_DETALLE!B858&gt;0,VLOOKUP(BD_DETALLE!B858,Tabla9[],10,0),""),"")</f>
        <v>44300</v>
      </c>
      <c r="O858" s="28">
        <f>IFERROR(VLOOKUP(BD_DETALLE!B858,Tabla9[],11,0),0)</f>
        <v>11827</v>
      </c>
      <c r="P858" s="26">
        <f>IFERROR(SUMIFS(Tabla9[CANTIDAD3],Tabla9[BUSQUEDA],Tabla3[[#This Row],[BUSQUEDA]],Tabla9[CODIGO],Tabla3[[#This Row],[CODIGO]]),0)</f>
        <v>1</v>
      </c>
      <c r="Q858" s="25">
        <f>IF(BD_DETALLE!P858&lt;=0,0,IF(BD_DETALLE!P858=BD_DETALLE!H858,2,1))</f>
        <v>2</v>
      </c>
      <c r="R858" s="41">
        <f ca="1">IF(BD_DETALLE!$C858&gt;0,(IF(BD_DETALLE!$N858=0,TODAY()-BD_DETALLE!$C858,BD_DETALLE!$N858-BD_DETALLE!$C858)),"")</f>
        <v>0</v>
      </c>
    </row>
    <row r="859" spans="2:18" x14ac:dyDescent="0.25">
      <c r="B859" s="15" t="str">
        <f t="shared" si="75"/>
        <v>2104-116-103551</v>
      </c>
      <c r="C859" s="7">
        <v>44300</v>
      </c>
      <c r="D859" s="5" t="str">
        <f>IF(BD_DETALLE!$E859&gt;=1,CONCATENATE(TEXT(BD_DETALLE!$C859,"YY"),TEXT(BD_DETALLE!$C859,"MM"),"-",BD_DETALLE!$E859),"")</f>
        <v>2104-116</v>
      </c>
      <c r="E859" s="12">
        <v>116</v>
      </c>
      <c r="F859" s="21">
        <v>103551</v>
      </c>
      <c r="G859" s="4" t="str">
        <f>IFERROR(VLOOKUP(BD_DETALLE!$B859,Tabla9[],6,0),"")</f>
        <v>SOCKET DE 2 PTS</v>
      </c>
      <c r="H859" s="6">
        <f>IFERROR(VLOOKUP(BD_DETALLE!$B859,Tabla9[],4,0),0)</f>
        <v>1</v>
      </c>
      <c r="I859" s="19" t="s">
        <v>3</v>
      </c>
      <c r="J859" s="20" t="s">
        <v>2333</v>
      </c>
      <c r="K859" s="10">
        <f>IFERROR(VLOOKUP(BD_DETALLE!B859,Tabla9[],7,0),"")</f>
        <v>0</v>
      </c>
      <c r="L859" s="11">
        <f>IFERROR(VLOOKUP(BD_DETALLE!B859,Tabla9[],8,0),"")</f>
        <v>0</v>
      </c>
      <c r="M859" s="9">
        <f>IFERROR(SUMIFS(Tabla9[CANTIDAD2],Tabla9[BUSQUEDA],Tabla3[[#This Row],[BUSQUEDA]],Tabla9[CODIGO],Tabla3[[#This Row],[CODIGO]],Tabla9[ORDEN No.],Tabla3[[#This Row],[ORDEN de COMPRA]]),0)</f>
        <v>0</v>
      </c>
      <c r="N859" s="27">
        <f>IFERROR(IF(BD_DETALLE!B859&gt;0,VLOOKUP(BD_DETALLE!B859,Tabla9[],10,0),""),"")</f>
        <v>44300</v>
      </c>
      <c r="O859" s="28">
        <f>IFERROR(VLOOKUP(BD_DETALLE!B859,Tabla9[],11,0),0)</f>
        <v>11827</v>
      </c>
      <c r="P859" s="26">
        <f>IFERROR(SUMIFS(Tabla9[CANTIDAD3],Tabla9[BUSQUEDA],Tabla3[[#This Row],[BUSQUEDA]],Tabla9[CODIGO],Tabla3[[#This Row],[CODIGO]]),0)</f>
        <v>1</v>
      </c>
      <c r="Q859" s="25">
        <f>IF(BD_DETALLE!P859&lt;=0,0,IF(BD_DETALLE!P859=BD_DETALLE!H859,2,1))</f>
        <v>2</v>
      </c>
      <c r="R859" s="41">
        <f ca="1">IF(BD_DETALLE!$C859&gt;0,(IF(BD_DETALLE!$N859=0,TODAY()-BD_DETALLE!$C859,BD_DETALLE!$N859-BD_DETALLE!$C859)),"")</f>
        <v>0</v>
      </c>
    </row>
    <row r="860" spans="2:18" x14ac:dyDescent="0.25">
      <c r="B860" s="15" t="str">
        <f t="shared" si="75"/>
        <v>2104-117-305201</v>
      </c>
      <c r="C860" s="7">
        <v>44300</v>
      </c>
      <c r="D860" s="5" t="str">
        <f>IF(BD_DETALLE!$E860&gt;=1,CONCATENATE(TEXT(BD_DETALLE!$C860,"YY"),TEXT(BD_DETALLE!$C860,"MM"),"-",BD_DETALLE!$E860),"")</f>
        <v>2104-117</v>
      </c>
      <c r="E860" s="12">
        <v>117</v>
      </c>
      <c r="F860" s="21">
        <v>305201</v>
      </c>
      <c r="G860" s="4" t="str">
        <f>IFERROR(VLOOKUP(BD_DETALLE!$B860,Tabla9[],6,0),"")</f>
        <v>BATERIA</v>
      </c>
      <c r="H860" s="6">
        <f>IFERROR(VLOOKUP(BD_DETALLE!$B860,Tabla9[],4,0),0)</f>
        <v>1</v>
      </c>
      <c r="I860" s="19" t="s">
        <v>3</v>
      </c>
      <c r="J860" s="20" t="s">
        <v>2335</v>
      </c>
      <c r="K860" s="10">
        <f>IFERROR(VLOOKUP(BD_DETALLE!B860,Tabla9[],7,0),"")</f>
        <v>0</v>
      </c>
      <c r="L860" s="11">
        <f>IFERROR(VLOOKUP(BD_DETALLE!B860,Tabla9[],8,0),"")</f>
        <v>0</v>
      </c>
      <c r="M860" s="9">
        <f>IFERROR(SUMIFS(Tabla9[CANTIDAD2],Tabla9[BUSQUEDA],Tabla3[[#This Row],[BUSQUEDA]],Tabla9[CODIGO],Tabla3[[#This Row],[CODIGO]],Tabla9[ORDEN No.],Tabla3[[#This Row],[ORDEN de COMPRA]]),0)</f>
        <v>0</v>
      </c>
      <c r="N860" s="27">
        <f>IFERROR(IF(BD_DETALLE!B860&gt;0,VLOOKUP(BD_DETALLE!B860,Tabla9[],10,0),""),"")</f>
        <v>0</v>
      </c>
      <c r="O860" s="28">
        <f>IFERROR(VLOOKUP(BD_DETALLE!B860,Tabla9[],11,0),0)</f>
        <v>0</v>
      </c>
      <c r="P860" s="26">
        <f>IFERROR(SUMIFS(Tabla9[CANTIDAD3],Tabla9[BUSQUEDA],Tabla3[[#This Row],[BUSQUEDA]],Tabla9[CODIGO],Tabla3[[#This Row],[CODIGO]]),0)</f>
        <v>0</v>
      </c>
      <c r="Q860" s="25">
        <f>IF(BD_DETALLE!P860&lt;=0,0,IF(BD_DETALLE!P860=BD_DETALLE!H860,2,1))</f>
        <v>0</v>
      </c>
      <c r="R860" s="41">
        <f ca="1">IF(BD_DETALLE!$C860&gt;0,(IF(BD_DETALLE!$N860=0,TODAY()-BD_DETALLE!$C860,BD_DETALLE!$N860-BD_DETALLE!$C860)),"")</f>
        <v>5</v>
      </c>
    </row>
    <row r="861" spans="2:18" x14ac:dyDescent="0.25">
      <c r="B861" s="15" t="str">
        <f t="shared" si="75"/>
        <v>2104-117-316295</v>
      </c>
      <c r="C861" s="7">
        <v>44300</v>
      </c>
      <c r="D861" s="5" t="str">
        <f>IF(BD_DETALLE!$E861&gt;=1,CONCATENATE(TEXT(BD_DETALLE!$C861,"YY"),TEXT(BD_DETALLE!$C861,"MM"),"-",BD_DETALLE!$E861),"")</f>
        <v>2104-117</v>
      </c>
      <c r="E861" s="12">
        <v>117</v>
      </c>
      <c r="F861" s="21">
        <v>316295</v>
      </c>
      <c r="G861" s="4" t="str">
        <f>IFERROR(VLOOKUP(BD_DETALLE!$B861,Tabla9[],6,0),"")</f>
        <v>MOTOR DE ARRANQUE MONTACARGA K21/25</v>
      </c>
      <c r="H861" s="6">
        <f>IFERROR(VLOOKUP(BD_DETALLE!$B861,Tabla9[],4,0),0)</f>
        <v>1</v>
      </c>
      <c r="I861" s="19" t="s">
        <v>3</v>
      </c>
      <c r="J861" s="20" t="s">
        <v>2335</v>
      </c>
      <c r="K861" s="10">
        <f>IFERROR(VLOOKUP(BD_DETALLE!B861,Tabla9[],7,0),"")</f>
        <v>0</v>
      </c>
      <c r="L861" s="11">
        <f>IFERROR(VLOOKUP(BD_DETALLE!B861,Tabla9[],8,0),"")</f>
        <v>0</v>
      </c>
      <c r="M861" s="9">
        <f>IFERROR(SUMIFS(Tabla9[CANTIDAD2],Tabla9[BUSQUEDA],Tabla3[[#This Row],[BUSQUEDA]],Tabla9[CODIGO],Tabla3[[#This Row],[CODIGO]],Tabla9[ORDEN No.],Tabla3[[#This Row],[ORDEN de COMPRA]]),0)</f>
        <v>0</v>
      </c>
      <c r="N861" s="27">
        <f>IFERROR(IF(BD_DETALLE!B861&gt;0,VLOOKUP(BD_DETALLE!B861,Tabla9[],10,0),""),"")</f>
        <v>0</v>
      </c>
      <c r="O861" s="28">
        <f>IFERROR(VLOOKUP(BD_DETALLE!B861,Tabla9[],11,0),0)</f>
        <v>0</v>
      </c>
      <c r="P861" s="26">
        <f>IFERROR(SUMIFS(Tabla9[CANTIDAD3],Tabla9[BUSQUEDA],Tabla3[[#This Row],[BUSQUEDA]],Tabla9[CODIGO],Tabla3[[#This Row],[CODIGO]]),0)</f>
        <v>0</v>
      </c>
      <c r="Q861" s="25">
        <f>IF(BD_DETALLE!P861&lt;=0,0,IF(BD_DETALLE!P861=BD_DETALLE!H861,2,1))</f>
        <v>0</v>
      </c>
      <c r="R861" s="41">
        <f ca="1">IF(BD_DETALLE!$C861&gt;0,(IF(BD_DETALLE!$N861=0,TODAY()-BD_DETALLE!$C861,BD_DETALLE!$N861-BD_DETALLE!$C861)),"")</f>
        <v>5</v>
      </c>
    </row>
    <row r="862" spans="2:18" x14ac:dyDescent="0.25">
      <c r="B862" s="15" t="str">
        <f t="shared" ref="B862:B893" si="76">IFERROR(TEXT(C862,"yy") &amp; TEXT(C862,"mm") &amp;"-"&amp;(E862) &amp;"-"&amp;(F862),"")</f>
        <v>2104-118-307081</v>
      </c>
      <c r="C862" s="7">
        <v>44300</v>
      </c>
      <c r="D862" s="5" t="str">
        <f>IF(BD_DETALLE!$E862&gt;=1,CONCATENATE(TEXT(BD_DETALLE!$C862,"YY"),TEXT(BD_DETALLE!$C862,"MM"),"-",BD_DETALLE!$E862),"")</f>
        <v>2104-118</v>
      </c>
      <c r="E862" s="12">
        <v>118</v>
      </c>
      <c r="F862" s="21">
        <v>307081</v>
      </c>
      <c r="G862" s="4" t="str">
        <f>IFERROR(VLOOKUP(BD_DETALLE!$B862,Tabla9[],6,0),"")</f>
        <v>GRILLETE P/CABLE DE 1/4"</v>
      </c>
      <c r="H862" s="6">
        <f>IFERROR(VLOOKUP(BD_DETALLE!$B862,Tabla9[],4,0),0)</f>
        <v>8</v>
      </c>
      <c r="I862" s="19" t="s">
        <v>3</v>
      </c>
      <c r="J862" s="20" t="s">
        <v>2336</v>
      </c>
      <c r="K862" s="10">
        <f>IFERROR(VLOOKUP(BD_DETALLE!B862,Tabla9[],7,0),"")</f>
        <v>0</v>
      </c>
      <c r="L862" s="11">
        <f>IFERROR(VLOOKUP(BD_DETALLE!B862,Tabla9[],8,0),"")</f>
        <v>0</v>
      </c>
      <c r="M862" s="9">
        <f>IFERROR(SUMIFS(Tabla9[CANTIDAD2],Tabla9[BUSQUEDA],Tabla3[[#This Row],[BUSQUEDA]],Tabla9[CODIGO],Tabla3[[#This Row],[CODIGO]],Tabla9[ORDEN No.],Tabla3[[#This Row],[ORDEN de COMPRA]]),0)</f>
        <v>0</v>
      </c>
      <c r="N862" s="27">
        <f>IFERROR(IF(BD_DETALLE!B862&gt;0,VLOOKUP(BD_DETALLE!B862,Tabla9[],10,0),""),"")</f>
        <v>44300</v>
      </c>
      <c r="O862" s="28">
        <f>IFERROR(VLOOKUP(BD_DETALLE!B862,Tabla9[],11,0),0)</f>
        <v>11828</v>
      </c>
      <c r="P862" s="26">
        <f>IFERROR(SUMIFS(Tabla9[CANTIDAD3],Tabla9[BUSQUEDA],Tabla3[[#This Row],[BUSQUEDA]],Tabla9[CODIGO],Tabla3[[#This Row],[CODIGO]]),0)</f>
        <v>8</v>
      </c>
      <c r="Q862" s="25">
        <f>IF(BD_DETALLE!P862&lt;=0,0,IF(BD_DETALLE!P862=BD_DETALLE!H862,2,1))</f>
        <v>2</v>
      </c>
      <c r="R862" s="41">
        <f ca="1">IF(BD_DETALLE!$C862&gt;0,(IF(BD_DETALLE!$N862=0,TODAY()-BD_DETALLE!$C862,BD_DETALLE!$N862-BD_DETALLE!$C862)),"")</f>
        <v>0</v>
      </c>
    </row>
    <row r="863" spans="2:18" x14ac:dyDescent="0.25">
      <c r="B863" s="15" t="str">
        <f t="shared" si="76"/>
        <v>2104-118-204590</v>
      </c>
      <c r="C863" s="7">
        <v>44300</v>
      </c>
      <c r="D863" s="5" t="str">
        <f>IF(BD_DETALLE!$E863&gt;=1,CONCATENATE(TEXT(BD_DETALLE!$C863,"YY"),TEXT(BD_DETALLE!$C863,"MM"),"-",BD_DETALLE!$E863),"")</f>
        <v>2104-118</v>
      </c>
      <c r="E863" s="12">
        <v>118</v>
      </c>
      <c r="F863" s="21">
        <v>204590</v>
      </c>
      <c r="G863" s="4" t="str">
        <f>IFERROR(VLOOKUP(BD_DETALLE!$B863,Tabla9[],6,0),"")</f>
        <v>CABLE DE ACERO</v>
      </c>
      <c r="H863" s="6">
        <f>IFERROR(VLOOKUP(BD_DETALLE!$B863,Tabla9[],4,0),0)</f>
        <v>16</v>
      </c>
      <c r="I863" s="19" t="s">
        <v>3</v>
      </c>
      <c r="J863" s="20" t="s">
        <v>2336</v>
      </c>
      <c r="K863" s="10">
        <f>IFERROR(VLOOKUP(BD_DETALLE!B863,Tabla9[],7,0),"")</f>
        <v>0</v>
      </c>
      <c r="L863" s="11">
        <f>IFERROR(VLOOKUP(BD_DETALLE!B863,Tabla9[],8,0),"")</f>
        <v>0</v>
      </c>
      <c r="M863" s="9">
        <f>IFERROR(SUMIFS(Tabla9[CANTIDAD2],Tabla9[BUSQUEDA],Tabla3[[#This Row],[BUSQUEDA]],Tabla9[CODIGO],Tabla3[[#This Row],[CODIGO]],Tabla9[ORDEN No.],Tabla3[[#This Row],[ORDEN de COMPRA]]),0)</f>
        <v>0</v>
      </c>
      <c r="N863" s="27">
        <f>IFERROR(IF(BD_DETALLE!B863&gt;0,VLOOKUP(BD_DETALLE!B863,Tabla9[],10,0),""),"")</f>
        <v>44300</v>
      </c>
      <c r="O863" s="28">
        <f>IFERROR(VLOOKUP(BD_DETALLE!B863,Tabla9[],11,0),0)</f>
        <v>11828</v>
      </c>
      <c r="P863" s="26">
        <f>IFERROR(SUMIFS(Tabla9[CANTIDAD3],Tabla9[BUSQUEDA],Tabla3[[#This Row],[BUSQUEDA]],Tabla9[CODIGO],Tabla3[[#This Row],[CODIGO]]),0)</f>
        <v>16</v>
      </c>
      <c r="Q863" s="25">
        <f>IF(BD_DETALLE!P863&lt;=0,0,IF(BD_DETALLE!P863=BD_DETALLE!H863,2,1))</f>
        <v>2</v>
      </c>
      <c r="R863" s="41">
        <f ca="1">IF(BD_DETALLE!$C863&gt;0,(IF(BD_DETALLE!$N863=0,TODAY()-BD_DETALLE!$C863,BD_DETALLE!$N863-BD_DETALLE!$C863)),"")</f>
        <v>0</v>
      </c>
    </row>
    <row r="864" spans="2:18" x14ac:dyDescent="0.25">
      <c r="B864" s="15" t="str">
        <f t="shared" si="76"/>
        <v>2104-119-204034</v>
      </c>
      <c r="C864" s="7">
        <v>44300</v>
      </c>
      <c r="D864" s="5" t="str">
        <f>IF(BD_DETALLE!$E864&gt;=1,CONCATENATE(TEXT(BD_DETALLE!$C864,"YY"),TEXT(BD_DETALLE!$C864,"MM"),"-",BD_DETALLE!$E864),"")</f>
        <v>2104-119</v>
      </c>
      <c r="E864" s="12">
        <v>119</v>
      </c>
      <c r="F864" s="21">
        <v>204034</v>
      </c>
      <c r="G864" s="4" t="str">
        <f>IFERROR(VLOOKUP(BD_DETALLE!$B864,Tabla9[],6,0),"")</f>
        <v>RELAY DE LUCES DE 12VOL</v>
      </c>
      <c r="H864" s="6">
        <f>IFERROR(VLOOKUP(BD_DETALLE!$B864,Tabla9[],4,0),0)</f>
        <v>1</v>
      </c>
      <c r="I864" s="19" t="s">
        <v>3</v>
      </c>
      <c r="J864" s="20" t="s">
        <v>2335</v>
      </c>
      <c r="K864" s="10">
        <f>IFERROR(VLOOKUP(BD_DETALLE!B864,Tabla9[],7,0),"")</f>
        <v>0</v>
      </c>
      <c r="L864" s="11">
        <f>IFERROR(VLOOKUP(BD_DETALLE!B864,Tabla9[],8,0),"")</f>
        <v>0</v>
      </c>
      <c r="M864" s="9">
        <f>IFERROR(SUMIFS(Tabla9[CANTIDAD2],Tabla9[BUSQUEDA],Tabla3[[#This Row],[BUSQUEDA]],Tabla9[CODIGO],Tabla3[[#This Row],[CODIGO]],Tabla9[ORDEN No.],Tabla3[[#This Row],[ORDEN de COMPRA]]),0)</f>
        <v>0</v>
      </c>
      <c r="N864" s="27">
        <f>IFERROR(IF(BD_DETALLE!B864&gt;0,VLOOKUP(BD_DETALLE!B864,Tabla9[],10,0),""),"")</f>
        <v>44300</v>
      </c>
      <c r="O864" s="28">
        <f>IFERROR(VLOOKUP(BD_DETALLE!B864,Tabla9[],11,0),0)</f>
        <v>11829</v>
      </c>
      <c r="P864" s="26">
        <f>IFERROR(SUMIFS(Tabla9[CANTIDAD3],Tabla9[BUSQUEDA],Tabla3[[#This Row],[BUSQUEDA]],Tabla9[CODIGO],Tabla3[[#This Row],[CODIGO]]),0)</f>
        <v>1</v>
      </c>
      <c r="Q864" s="25">
        <f>IF(BD_DETALLE!P864&lt;=0,0,IF(BD_DETALLE!P864=BD_DETALLE!H864,2,1))</f>
        <v>2</v>
      </c>
      <c r="R864" s="41">
        <f ca="1">IF(BD_DETALLE!$C864&gt;0,(IF(BD_DETALLE!$N864=0,TODAY()-BD_DETALLE!$C864,BD_DETALLE!$N864-BD_DETALLE!$C864)),"")</f>
        <v>0</v>
      </c>
    </row>
    <row r="865" spans="2:18" x14ac:dyDescent="0.25">
      <c r="B865" s="15" t="str">
        <f t="shared" si="76"/>
        <v>2104-120-205146</v>
      </c>
      <c r="C865" s="7">
        <v>44300</v>
      </c>
      <c r="D865" s="5" t="str">
        <f>IF(BD_DETALLE!$E865&gt;=1,CONCATENATE(TEXT(BD_DETALLE!$C865,"YY"),TEXT(BD_DETALLE!$C865,"MM"),"-",BD_DETALLE!$E865),"")</f>
        <v>2104-120</v>
      </c>
      <c r="E865" s="12">
        <v>120</v>
      </c>
      <c r="F865" s="21">
        <v>205146</v>
      </c>
      <c r="G865" s="4" t="str">
        <f>IFERROR(VLOOKUP(BD_DETALLE!$B865,Tabla9[],6,0),"")</f>
        <v>PITO</v>
      </c>
      <c r="H865" s="6">
        <f>IFERROR(VLOOKUP(BD_DETALLE!$B865,Tabla9[],4,0),0)</f>
        <v>2</v>
      </c>
      <c r="I865" s="19" t="s">
        <v>3</v>
      </c>
      <c r="J865" s="20" t="s">
        <v>2337</v>
      </c>
      <c r="K865" s="10">
        <f>IFERROR(VLOOKUP(BD_DETALLE!B865,Tabla9[],7,0),"")</f>
        <v>0</v>
      </c>
      <c r="L865" s="11">
        <f>IFERROR(VLOOKUP(BD_DETALLE!B865,Tabla9[],8,0),"")</f>
        <v>0</v>
      </c>
      <c r="M865" s="9">
        <f>IFERROR(SUMIFS(Tabla9[CANTIDAD2],Tabla9[BUSQUEDA],Tabla3[[#This Row],[BUSQUEDA]],Tabla9[CODIGO],Tabla3[[#This Row],[CODIGO]],Tabla9[ORDEN No.],Tabla3[[#This Row],[ORDEN de COMPRA]]),0)</f>
        <v>0</v>
      </c>
      <c r="N865" s="27">
        <f>IFERROR(IF(BD_DETALLE!B865&gt;0,VLOOKUP(BD_DETALLE!B865,Tabla9[],10,0),""),"")</f>
        <v>44300</v>
      </c>
      <c r="O865" s="28">
        <f>IFERROR(VLOOKUP(BD_DETALLE!B865,Tabla9[],11,0),0)</f>
        <v>11830</v>
      </c>
      <c r="P865" s="26">
        <f>IFERROR(SUMIFS(Tabla9[CANTIDAD3],Tabla9[BUSQUEDA],Tabla3[[#This Row],[BUSQUEDA]],Tabla9[CODIGO],Tabla3[[#This Row],[CODIGO]]),0)</f>
        <v>2</v>
      </c>
      <c r="Q865" s="25">
        <f>IF(BD_DETALLE!P865&lt;=0,0,IF(BD_DETALLE!P865=BD_DETALLE!H865,2,1))</f>
        <v>2</v>
      </c>
      <c r="R865" s="41">
        <f ca="1">IF(BD_DETALLE!$C865&gt;0,(IF(BD_DETALLE!$N865=0,TODAY()-BD_DETALLE!$C865,BD_DETALLE!$N865-BD_DETALLE!$C865)),"")</f>
        <v>0</v>
      </c>
    </row>
    <row r="866" spans="2:18" x14ac:dyDescent="0.25">
      <c r="B866" s="15" t="str">
        <f t="shared" si="76"/>
        <v>2104-120-105729</v>
      </c>
      <c r="C866" s="7">
        <v>44300</v>
      </c>
      <c r="D866" s="5" t="str">
        <f>IF(BD_DETALLE!$E866&gt;=1,CONCATENATE(TEXT(BD_DETALLE!$C866,"YY"),TEXT(BD_DETALLE!$C866,"MM"),"-",BD_DETALLE!$E866),"")</f>
        <v>2104-120</v>
      </c>
      <c r="E866" s="12">
        <v>120</v>
      </c>
      <c r="F866" s="21">
        <v>105729</v>
      </c>
      <c r="G866" s="4" t="str">
        <f>IFERROR(VLOOKUP(BD_DETALLE!$B866,Tabla9[],6,0),"")</f>
        <v>PITO FLOSSER DE 12V.</v>
      </c>
      <c r="H866" s="6">
        <f>IFERROR(VLOOKUP(BD_DETALLE!$B866,Tabla9[],4,0),0)</f>
        <v>1</v>
      </c>
      <c r="I866" s="19" t="s">
        <v>3</v>
      </c>
      <c r="J866" s="20" t="s">
        <v>2337</v>
      </c>
      <c r="K866" s="10">
        <f>IFERROR(VLOOKUP(BD_DETALLE!B866,Tabla9[],7,0),"")</f>
        <v>0</v>
      </c>
      <c r="L866" s="11">
        <f>IFERROR(VLOOKUP(BD_DETALLE!B866,Tabla9[],8,0),"")</f>
        <v>0</v>
      </c>
      <c r="M866" s="9">
        <f>IFERROR(SUMIFS(Tabla9[CANTIDAD2],Tabla9[BUSQUEDA],Tabla3[[#This Row],[BUSQUEDA]],Tabla9[CODIGO],Tabla3[[#This Row],[CODIGO]],Tabla9[ORDEN No.],Tabla3[[#This Row],[ORDEN de COMPRA]]),0)</f>
        <v>0</v>
      </c>
      <c r="N866" s="27">
        <f>IFERROR(IF(BD_DETALLE!B866&gt;0,VLOOKUP(BD_DETALLE!B866,Tabla9[],10,0),""),"")</f>
        <v>44300</v>
      </c>
      <c r="O866" s="28">
        <f>IFERROR(VLOOKUP(BD_DETALLE!B866,Tabla9[],11,0),0)</f>
        <v>11830</v>
      </c>
      <c r="P866" s="26">
        <f>IFERROR(SUMIFS(Tabla9[CANTIDAD3],Tabla9[BUSQUEDA],Tabla3[[#This Row],[BUSQUEDA]],Tabla9[CODIGO],Tabla3[[#This Row],[CODIGO]]),0)</f>
        <v>1</v>
      </c>
      <c r="Q866" s="25">
        <f>IF(BD_DETALLE!P866&lt;=0,0,IF(BD_DETALLE!P866=BD_DETALLE!H866,2,1))</f>
        <v>2</v>
      </c>
      <c r="R866" s="41">
        <f ca="1">IF(BD_DETALLE!$C866&gt;0,(IF(BD_DETALLE!$N866=0,TODAY()-BD_DETALLE!$C866,BD_DETALLE!$N866-BD_DETALLE!$C866)),"")</f>
        <v>0</v>
      </c>
    </row>
    <row r="867" spans="2:18" x14ac:dyDescent="0.25">
      <c r="B867" s="15" t="str">
        <f t="shared" si="76"/>
        <v>2104-120-204736</v>
      </c>
      <c r="C867" s="7">
        <v>44300</v>
      </c>
      <c r="D867" s="5" t="str">
        <f>IF(BD_DETALLE!$E867&gt;=1,CONCATENATE(TEXT(BD_DETALLE!$C867,"YY"),TEXT(BD_DETALLE!$C867,"MM"),"-",BD_DETALLE!$E867),"")</f>
        <v>2104-120</v>
      </c>
      <c r="E867" s="12">
        <v>120</v>
      </c>
      <c r="F867" s="21">
        <v>204736</v>
      </c>
      <c r="G867" s="4" t="str">
        <f>IFERROR(VLOOKUP(BD_DETALLE!$B867,Tabla9[],6,0),"")</f>
        <v>SWICHT DE 2 TIEMPOS</v>
      </c>
      <c r="H867" s="6">
        <f>IFERROR(VLOOKUP(BD_DETALLE!$B867,Tabla9[],4,0),0)</f>
        <v>1</v>
      </c>
      <c r="I867" s="19" t="s">
        <v>3</v>
      </c>
      <c r="J867" s="20" t="s">
        <v>2337</v>
      </c>
      <c r="K867" s="10">
        <f>IFERROR(VLOOKUP(BD_DETALLE!B867,Tabla9[],7,0),"")</f>
        <v>0</v>
      </c>
      <c r="L867" s="11">
        <f>IFERROR(VLOOKUP(BD_DETALLE!B867,Tabla9[],8,0),"")</f>
        <v>0</v>
      </c>
      <c r="M867" s="9">
        <f>IFERROR(SUMIFS(Tabla9[CANTIDAD2],Tabla9[BUSQUEDA],Tabla3[[#This Row],[BUSQUEDA]],Tabla9[CODIGO],Tabla3[[#This Row],[CODIGO]],Tabla9[ORDEN No.],Tabla3[[#This Row],[ORDEN de COMPRA]]),0)</f>
        <v>0</v>
      </c>
      <c r="N867" s="27">
        <f>IFERROR(IF(BD_DETALLE!B867&gt;0,VLOOKUP(BD_DETALLE!B867,Tabla9[],10,0),""),"")</f>
        <v>44300</v>
      </c>
      <c r="O867" s="28">
        <f>IFERROR(VLOOKUP(BD_DETALLE!B867,Tabla9[],11,0),0)</f>
        <v>11830</v>
      </c>
      <c r="P867" s="26">
        <f>IFERROR(SUMIFS(Tabla9[CANTIDAD3],Tabla9[BUSQUEDA],Tabla3[[#This Row],[BUSQUEDA]],Tabla9[CODIGO],Tabla3[[#This Row],[CODIGO]]),0)</f>
        <v>1</v>
      </c>
      <c r="Q867" s="25">
        <f>IF(BD_DETALLE!P867&lt;=0,0,IF(BD_DETALLE!P867=BD_DETALLE!H867,2,1))</f>
        <v>2</v>
      </c>
      <c r="R867" s="41">
        <f ca="1">IF(BD_DETALLE!$C867&gt;0,(IF(BD_DETALLE!$N867=0,TODAY()-BD_DETALLE!$C867,BD_DETALLE!$N867-BD_DETALLE!$C867)),"")</f>
        <v>0</v>
      </c>
    </row>
    <row r="868" spans="2:18" x14ac:dyDescent="0.25">
      <c r="B868" s="15" t="str">
        <f t="shared" si="76"/>
        <v>2104-121-315860</v>
      </c>
      <c r="C868" s="7">
        <v>44300</v>
      </c>
      <c r="D868" s="5" t="str">
        <f>IF(BD_DETALLE!$E868&gt;=1,CONCATENATE(TEXT(BD_DETALLE!$C868,"YY"),TEXT(BD_DETALLE!$C868,"MM"),"-",BD_DETALLE!$E868),"")</f>
        <v>2104-121</v>
      </c>
      <c r="E868" s="12">
        <v>121</v>
      </c>
      <c r="F868" s="21">
        <v>315860</v>
      </c>
      <c r="G868" s="4" t="str">
        <f>IFERROR(VLOOKUP(BD_DETALLE!$B868,Tabla9[],6,0),"")</f>
        <v>GUIA LED DE 24V.</v>
      </c>
      <c r="H868" s="6">
        <f>IFERROR(VLOOKUP(BD_DETALLE!$B868,Tabla9[],4,0),0)</f>
        <v>6</v>
      </c>
      <c r="I868" s="19" t="s">
        <v>3</v>
      </c>
      <c r="J868" s="20" t="s">
        <v>2338</v>
      </c>
      <c r="K868" s="10">
        <f>IFERROR(VLOOKUP(BD_DETALLE!B868,Tabla9[],7,0),"")</f>
        <v>0</v>
      </c>
      <c r="L868" s="11">
        <f>IFERROR(VLOOKUP(BD_DETALLE!B868,Tabla9[],8,0),"")</f>
        <v>0</v>
      </c>
      <c r="M868" s="9">
        <f>IFERROR(SUMIFS(Tabla9[CANTIDAD2],Tabla9[BUSQUEDA],Tabla3[[#This Row],[BUSQUEDA]],Tabla9[CODIGO],Tabla3[[#This Row],[CODIGO]],Tabla9[ORDEN No.],Tabla3[[#This Row],[ORDEN de COMPRA]]),0)</f>
        <v>0</v>
      </c>
      <c r="N868" s="27">
        <f>IFERROR(IF(BD_DETALLE!B868&gt;0,VLOOKUP(BD_DETALLE!B868,Tabla9[],10,0),""),"")</f>
        <v>44300</v>
      </c>
      <c r="O868" s="28">
        <f>IFERROR(VLOOKUP(BD_DETALLE!B868,Tabla9[],11,0),0)</f>
        <v>11831</v>
      </c>
      <c r="P868" s="26">
        <f>IFERROR(SUMIFS(Tabla9[CANTIDAD3],Tabla9[BUSQUEDA],Tabla3[[#This Row],[BUSQUEDA]],Tabla9[CODIGO],Tabla3[[#This Row],[CODIGO]]),0)</f>
        <v>6</v>
      </c>
      <c r="Q868" s="25">
        <f>IF(BD_DETALLE!P868&lt;=0,0,IF(BD_DETALLE!P868=BD_DETALLE!H868,2,1))</f>
        <v>2</v>
      </c>
      <c r="R868" s="41">
        <f ca="1">IF(BD_DETALLE!$C868&gt;0,(IF(BD_DETALLE!$N868=0,TODAY()-BD_DETALLE!$C868,BD_DETALLE!$N868-BD_DETALLE!$C868)),"")</f>
        <v>0</v>
      </c>
    </row>
    <row r="869" spans="2:18" x14ac:dyDescent="0.25">
      <c r="B869" s="15" t="str">
        <f t="shared" si="76"/>
        <v>2104-122-303416</v>
      </c>
      <c r="C869" s="7">
        <v>44300</v>
      </c>
      <c r="D869" s="5" t="str">
        <f>IF(BD_DETALLE!$E869&gt;=1,CONCATENATE(TEXT(BD_DETALLE!$C869,"YY"),TEXT(BD_DETALLE!$C869,"MM"),"-",BD_DETALLE!$E869),"")</f>
        <v>2104-122</v>
      </c>
      <c r="E869" s="12">
        <v>122</v>
      </c>
      <c r="F869" s="21">
        <v>303416</v>
      </c>
      <c r="G869" s="4" t="str">
        <f>IFERROR(VLOOKUP(BD_DETALLE!$B869,Tabla9[],6,0),"")</f>
        <v>CARTUCHO HP 662 NEGRO</v>
      </c>
      <c r="H869" s="6">
        <f>IFERROR(VLOOKUP(BD_DETALLE!$B869,Tabla9[],4,0),0)</f>
        <v>1</v>
      </c>
      <c r="I869" s="19" t="s">
        <v>2</v>
      </c>
      <c r="J869" s="20" t="s">
        <v>2339</v>
      </c>
      <c r="K869" s="10">
        <f>IFERROR(VLOOKUP(BD_DETALLE!B869,Tabla9[],7,0),"")</f>
        <v>0</v>
      </c>
      <c r="L869" s="11">
        <f>IFERROR(VLOOKUP(BD_DETALLE!B869,Tabla9[],8,0),"")</f>
        <v>0</v>
      </c>
      <c r="M869" s="9">
        <f>IFERROR(SUMIFS(Tabla9[CANTIDAD2],Tabla9[BUSQUEDA],Tabla3[[#This Row],[BUSQUEDA]],Tabla9[CODIGO],Tabla3[[#This Row],[CODIGO]],Tabla9[ORDEN No.],Tabla3[[#This Row],[ORDEN de COMPRA]]),0)</f>
        <v>0</v>
      </c>
      <c r="N869" s="27">
        <f>IFERROR(IF(BD_DETALLE!B869&gt;0,VLOOKUP(BD_DETALLE!B869,Tabla9[],10,0),""),"")</f>
        <v>44300</v>
      </c>
      <c r="O869" s="28">
        <f>IFERROR(VLOOKUP(BD_DETALLE!B869,Tabla9[],11,0),0)</f>
        <v>11832</v>
      </c>
      <c r="P869" s="26">
        <f>IFERROR(SUMIFS(Tabla9[CANTIDAD3],Tabla9[BUSQUEDA],Tabla3[[#This Row],[BUSQUEDA]],Tabla9[CODIGO],Tabla3[[#This Row],[CODIGO]]),0)</f>
        <v>1</v>
      </c>
      <c r="Q869" s="25">
        <f>IF(BD_DETALLE!P869&lt;=0,0,IF(BD_DETALLE!P869=BD_DETALLE!H869,2,1))</f>
        <v>2</v>
      </c>
      <c r="R869" s="41">
        <f ca="1">IF(BD_DETALLE!$C869&gt;0,(IF(BD_DETALLE!$N869=0,TODAY()-BD_DETALLE!$C869,BD_DETALLE!$N869-BD_DETALLE!$C869)),"")</f>
        <v>0</v>
      </c>
    </row>
    <row r="870" spans="2:18" x14ac:dyDescent="0.25">
      <c r="B870" s="15" t="str">
        <f t="shared" si="76"/>
        <v>2104-123-200683</v>
      </c>
      <c r="C870" s="7">
        <v>44300</v>
      </c>
      <c r="D870" s="5" t="str">
        <f>IF(BD_DETALLE!$E870&gt;=1,CONCATENATE(TEXT(BD_DETALLE!$C870,"YY"),TEXT(BD_DETALLE!$C870,"MM"),"-",BD_DETALLE!$E870),"")</f>
        <v>2104-123</v>
      </c>
      <c r="E870" s="12">
        <v>123</v>
      </c>
      <c r="F870" s="21">
        <v>200683</v>
      </c>
      <c r="G870" s="4" t="str">
        <f>IFERROR(VLOOKUP(BD_DETALLE!$B870,Tabla9[],6,0),"")</f>
        <v>ALAMBRE ESMALTADO N║ 19</v>
      </c>
      <c r="H870" s="6">
        <f>IFERROR(VLOOKUP(BD_DETALLE!$B870,Tabla9[],4,0),0)</f>
        <v>7.76</v>
      </c>
      <c r="I870" s="19" t="s">
        <v>2</v>
      </c>
      <c r="J870" s="20" t="s">
        <v>2340</v>
      </c>
      <c r="K870" s="10">
        <f>IFERROR(VLOOKUP(BD_DETALLE!B870,Tabla9[],7,0),"")</f>
        <v>0</v>
      </c>
      <c r="L870" s="11">
        <f>IFERROR(VLOOKUP(BD_DETALLE!B870,Tabla9[],8,0),"")</f>
        <v>0</v>
      </c>
      <c r="M870" s="9">
        <f>IFERROR(SUMIFS(Tabla9[CANTIDAD2],Tabla9[BUSQUEDA],Tabla3[[#This Row],[BUSQUEDA]],Tabla9[CODIGO],Tabla3[[#This Row],[CODIGO]],Tabla9[ORDEN No.],Tabla3[[#This Row],[ORDEN de COMPRA]]),0)</f>
        <v>0</v>
      </c>
      <c r="N870" s="27">
        <f>IFERROR(IF(BD_DETALLE!B870&gt;0,VLOOKUP(BD_DETALLE!B870,Tabla9[],10,0),""),"")</f>
        <v>44300</v>
      </c>
      <c r="O870" s="28">
        <f>IFERROR(VLOOKUP(BD_DETALLE!B870,Tabla9[],11,0),0)</f>
        <v>11833</v>
      </c>
      <c r="P870" s="26">
        <f>IFERROR(SUMIFS(Tabla9[CANTIDAD3],Tabla9[BUSQUEDA],Tabla3[[#This Row],[BUSQUEDA]],Tabla9[CODIGO],Tabla3[[#This Row],[CODIGO]]),0)</f>
        <v>7.76</v>
      </c>
      <c r="Q870" s="25">
        <f>IF(BD_DETALLE!P870&lt;=0,0,IF(BD_DETALLE!P870=BD_DETALLE!H870,2,1))</f>
        <v>2</v>
      </c>
      <c r="R870" s="41">
        <f ca="1">IF(BD_DETALLE!$C870&gt;0,(IF(BD_DETALLE!$N870=0,TODAY()-BD_DETALLE!$C870,BD_DETALLE!$N870-BD_DETALLE!$C870)),"")</f>
        <v>0</v>
      </c>
    </row>
    <row r="871" spans="2:18" x14ac:dyDescent="0.25">
      <c r="B871" s="15" t="str">
        <f t="shared" si="76"/>
        <v>2104-124-315773</v>
      </c>
      <c r="C871" s="7">
        <v>44300</v>
      </c>
      <c r="D871" s="5" t="str">
        <f>IF(BD_DETALLE!$E871&gt;=1,CONCATENATE(TEXT(BD_DETALLE!$C871,"YY"),TEXT(BD_DETALLE!$C871,"MM"),"-",BD_DETALLE!$E871),"")</f>
        <v>2104-124</v>
      </c>
      <c r="E871" s="12">
        <v>124</v>
      </c>
      <c r="F871" s="21">
        <v>315773</v>
      </c>
      <c r="G871" s="4" t="str">
        <f>IFERROR(VLOOKUP(BD_DETALLE!$B871,Tabla9[],6,0),"")</f>
        <v>GUANTE NITRILO</v>
      </c>
      <c r="H871" s="6">
        <f>IFERROR(VLOOKUP(BD_DETALLE!$B871,Tabla9[],4,0),0)</f>
        <v>6</v>
      </c>
      <c r="I871" s="19" t="s">
        <v>2</v>
      </c>
      <c r="J871" s="20" t="s">
        <v>385</v>
      </c>
      <c r="K871" s="10">
        <f>IFERROR(VLOOKUP(BD_DETALLE!B871,Tabla9[],7,0),"")</f>
        <v>0</v>
      </c>
      <c r="L871" s="11">
        <f>IFERROR(VLOOKUP(BD_DETALLE!B871,Tabla9[],8,0),"")</f>
        <v>0</v>
      </c>
      <c r="M871" s="9">
        <f>IFERROR(SUMIFS(Tabla9[CANTIDAD2],Tabla9[BUSQUEDA],Tabla3[[#This Row],[BUSQUEDA]],Tabla9[CODIGO],Tabla3[[#This Row],[CODIGO]],Tabla9[ORDEN No.],Tabla3[[#This Row],[ORDEN de COMPRA]]),0)</f>
        <v>0</v>
      </c>
      <c r="N871" s="27">
        <f>IFERROR(IF(BD_DETALLE!B871&gt;0,VLOOKUP(BD_DETALLE!B871,Tabla9[],10,0),""),"")</f>
        <v>44300</v>
      </c>
      <c r="O871" s="28">
        <f>IFERROR(VLOOKUP(BD_DETALLE!B871,Tabla9[],11,0),0)</f>
        <v>11834</v>
      </c>
      <c r="P871" s="26">
        <f>IFERROR(SUMIFS(Tabla9[CANTIDAD3],Tabla9[BUSQUEDA],Tabla3[[#This Row],[BUSQUEDA]],Tabla9[CODIGO],Tabla3[[#This Row],[CODIGO]]),0)</f>
        <v>6</v>
      </c>
      <c r="Q871" s="25">
        <f>IF(BD_DETALLE!P871&lt;=0,0,IF(BD_DETALLE!P871=BD_DETALLE!H871,2,1))</f>
        <v>2</v>
      </c>
      <c r="R871" s="41">
        <f ca="1">IF(BD_DETALLE!$C871&gt;0,(IF(BD_DETALLE!$N871=0,TODAY()-BD_DETALLE!$C871,BD_DETALLE!$N871-BD_DETALLE!$C871)),"")</f>
        <v>0</v>
      </c>
    </row>
    <row r="872" spans="2:18" x14ac:dyDescent="0.25">
      <c r="B872" s="15" t="str">
        <f t="shared" si="76"/>
        <v>2104-124-100277</v>
      </c>
      <c r="C872" s="7">
        <v>44300</v>
      </c>
      <c r="D872" s="5" t="str">
        <f>IF(BD_DETALLE!$E872&gt;=1,CONCATENATE(TEXT(BD_DETALLE!$C872,"YY"),TEXT(BD_DETALLE!$C872,"MM"),"-",BD_DETALLE!$E872),"")</f>
        <v>2104-124</v>
      </c>
      <c r="E872" s="12">
        <v>124</v>
      </c>
      <c r="F872" s="21">
        <v>100277</v>
      </c>
      <c r="G872" s="4" t="str">
        <f>IFERROR(VLOOKUP(BD_DETALLE!$B872,Tabla9[],6,0),"")</f>
        <v>MASCARILLA 3M (8210)</v>
      </c>
      <c r="H872" s="6">
        <f>IFERROR(VLOOKUP(BD_DETALLE!$B872,Tabla9[],4,0),0)</f>
        <v>1</v>
      </c>
      <c r="I872" s="19" t="s">
        <v>2</v>
      </c>
      <c r="J872" s="20" t="s">
        <v>385</v>
      </c>
      <c r="K872" s="10">
        <f>IFERROR(VLOOKUP(BD_DETALLE!B872,Tabla9[],7,0),"")</f>
        <v>0</v>
      </c>
      <c r="L872" s="11">
        <f>IFERROR(VLOOKUP(BD_DETALLE!B872,Tabla9[],8,0),"")</f>
        <v>0</v>
      </c>
      <c r="M872" s="9">
        <f>IFERROR(SUMIFS(Tabla9[CANTIDAD2],Tabla9[BUSQUEDA],Tabla3[[#This Row],[BUSQUEDA]],Tabla9[CODIGO],Tabla3[[#This Row],[CODIGO]],Tabla9[ORDEN No.],Tabla3[[#This Row],[ORDEN de COMPRA]]),0)</f>
        <v>0</v>
      </c>
      <c r="N872" s="27">
        <f>IFERROR(IF(BD_DETALLE!B872&gt;0,VLOOKUP(BD_DETALLE!B872,Tabla9[],10,0),""),"")</f>
        <v>44300</v>
      </c>
      <c r="O872" s="28">
        <f>IFERROR(VLOOKUP(BD_DETALLE!B872,Tabla9[],11,0),0)</f>
        <v>11834</v>
      </c>
      <c r="P872" s="26">
        <f>IFERROR(SUMIFS(Tabla9[CANTIDAD3],Tabla9[BUSQUEDA],Tabla3[[#This Row],[BUSQUEDA]],Tabla9[CODIGO],Tabla3[[#This Row],[CODIGO]]),0)</f>
        <v>1</v>
      </c>
      <c r="Q872" s="25">
        <f>IF(BD_DETALLE!P872&lt;=0,0,IF(BD_DETALLE!P872=BD_DETALLE!H872,2,1))</f>
        <v>2</v>
      </c>
      <c r="R872" s="41">
        <f ca="1">IF(BD_DETALLE!$C872&gt;0,(IF(BD_DETALLE!$N872=0,TODAY()-BD_DETALLE!$C872,BD_DETALLE!$N872-BD_DETALLE!$C872)),"")</f>
        <v>0</v>
      </c>
    </row>
    <row r="873" spans="2:18" x14ac:dyDescent="0.25">
      <c r="B873" s="15" t="str">
        <f t="shared" si="76"/>
        <v>2104-125-300044</v>
      </c>
      <c r="C873" s="7">
        <v>44300</v>
      </c>
      <c r="D873" s="5" t="str">
        <f>IF(BD_DETALLE!$E873&gt;=1,CONCATENATE(TEXT(BD_DETALLE!$C873,"YY"),TEXT(BD_DETALLE!$C873,"MM"),"-",BD_DETALLE!$E873),"")</f>
        <v>2104-125</v>
      </c>
      <c r="E873" s="12">
        <v>125</v>
      </c>
      <c r="F873" s="21">
        <v>300044</v>
      </c>
      <c r="G873" s="4" t="str">
        <f>IFERROR(VLOOKUP(BD_DETALLE!$B873,Tabla9[],6,0),"")</f>
        <v>CABLE ADAPTADOR PARALELO A USB</v>
      </c>
      <c r="H873" s="6">
        <f>IFERROR(VLOOKUP(BD_DETALLE!$B873,Tabla9[],4,0),0)</f>
        <v>6</v>
      </c>
      <c r="I873" s="19" t="s">
        <v>2</v>
      </c>
      <c r="J873" s="20" t="s">
        <v>385</v>
      </c>
      <c r="K873" s="10">
        <f>IFERROR(VLOOKUP(BD_DETALLE!B873,Tabla9[],7,0),"")</f>
        <v>0</v>
      </c>
      <c r="L873" s="11">
        <f>IFERROR(VLOOKUP(BD_DETALLE!B873,Tabla9[],8,0),"")</f>
        <v>0</v>
      </c>
      <c r="M873" s="9">
        <f>IFERROR(SUMIFS(Tabla9[CANTIDAD2],Tabla9[BUSQUEDA],Tabla3[[#This Row],[BUSQUEDA]],Tabla9[CODIGO],Tabla3[[#This Row],[CODIGO]],Tabla9[ORDEN No.],Tabla3[[#This Row],[ORDEN de COMPRA]]),0)</f>
        <v>0</v>
      </c>
      <c r="N873" s="27">
        <f>IFERROR(IF(BD_DETALLE!B873&gt;0,VLOOKUP(BD_DETALLE!B873,Tabla9[],10,0),""),"")</f>
        <v>44300</v>
      </c>
      <c r="O873" s="28">
        <f>IFERROR(VLOOKUP(BD_DETALLE!B873,Tabla9[],11,0),0)</f>
        <v>11835</v>
      </c>
      <c r="P873" s="26">
        <f>IFERROR(SUMIFS(Tabla9[CANTIDAD3],Tabla9[BUSQUEDA],Tabla3[[#This Row],[BUSQUEDA]],Tabla9[CODIGO],Tabla3[[#This Row],[CODIGO]]),0)</f>
        <v>6</v>
      </c>
      <c r="Q873" s="25">
        <f>IF(BD_DETALLE!P873&lt;=0,0,IF(BD_DETALLE!P873=BD_DETALLE!H873,2,1))</f>
        <v>2</v>
      </c>
      <c r="R873" s="41">
        <f ca="1">IF(BD_DETALLE!$C873&gt;0,(IF(BD_DETALLE!$N873=0,TODAY()-BD_DETALLE!$C873,BD_DETALLE!$N873-BD_DETALLE!$C873)),"")</f>
        <v>0</v>
      </c>
    </row>
    <row r="874" spans="2:18" x14ac:dyDescent="0.25">
      <c r="B874" s="15" t="str">
        <f t="shared" si="76"/>
        <v>2104-126-100219</v>
      </c>
      <c r="C874" s="7">
        <v>44300</v>
      </c>
      <c r="D874" s="5" t="str">
        <f>IF(BD_DETALLE!$E874&gt;=1,CONCATENATE(TEXT(BD_DETALLE!$C874,"YY"),TEXT(BD_DETALLE!$C874,"MM"),"-",BD_DETALLE!$E874),"")</f>
        <v>2104-126</v>
      </c>
      <c r="E874" s="12">
        <v>126</v>
      </c>
      <c r="F874" s="21">
        <v>100219</v>
      </c>
      <c r="G874" s="4" t="str">
        <f>IFERROR(VLOOKUP(BD_DETALLE!$B874,Tabla9[],6,0),"")</f>
        <v>ACEITE TEXACO SAE 140</v>
      </c>
      <c r="H874" s="6">
        <f>IFERROR(VLOOKUP(BD_DETALLE!$B874,Tabla9[],4,0),0)</f>
        <v>55</v>
      </c>
      <c r="I874" s="19" t="s">
        <v>15</v>
      </c>
      <c r="J874" s="20" t="s">
        <v>385</v>
      </c>
      <c r="K874" s="10">
        <f>IFERROR(VLOOKUP(BD_DETALLE!B874,Tabla9[],7,0),"")</f>
        <v>0</v>
      </c>
      <c r="L874" s="11">
        <f>IFERROR(VLOOKUP(BD_DETALLE!B874,Tabla9[],8,0),"")</f>
        <v>0</v>
      </c>
      <c r="M874" s="9">
        <f>IFERROR(SUMIFS(Tabla9[CANTIDAD2],Tabla9[BUSQUEDA],Tabla3[[#This Row],[BUSQUEDA]],Tabla9[CODIGO],Tabla3[[#This Row],[CODIGO]],Tabla9[ORDEN No.],Tabla3[[#This Row],[ORDEN de COMPRA]]),0)</f>
        <v>0</v>
      </c>
      <c r="N874" s="27">
        <f>IFERROR(IF(BD_DETALLE!B874&gt;0,VLOOKUP(BD_DETALLE!B874,Tabla9[],10,0),""),"")</f>
        <v>0</v>
      </c>
      <c r="O874" s="28">
        <f>IFERROR(VLOOKUP(BD_DETALLE!B874,Tabla9[],11,0),0)</f>
        <v>0</v>
      </c>
      <c r="P874" s="26">
        <f>IFERROR(SUMIFS(Tabla9[CANTIDAD3],Tabla9[BUSQUEDA],Tabla3[[#This Row],[BUSQUEDA]],Tabla9[CODIGO],Tabla3[[#This Row],[CODIGO]]),0)</f>
        <v>0</v>
      </c>
      <c r="Q874" s="25">
        <f>IF(BD_DETALLE!P874&lt;=0,0,IF(BD_DETALLE!P874=BD_DETALLE!H874,2,1))</f>
        <v>0</v>
      </c>
      <c r="R874" s="41">
        <f ca="1">IF(BD_DETALLE!$C874&gt;0,(IF(BD_DETALLE!$N874=0,TODAY()-BD_DETALLE!$C874,BD_DETALLE!$N874-BD_DETALLE!$C874)),"")</f>
        <v>5</v>
      </c>
    </row>
    <row r="875" spans="2:18" x14ac:dyDescent="0.25">
      <c r="B875" s="15" t="str">
        <f t="shared" si="76"/>
        <v>2104-127-301397</v>
      </c>
      <c r="C875" s="7">
        <v>44300</v>
      </c>
      <c r="D875" s="5" t="str">
        <f>IF(BD_DETALLE!$E875&gt;=1,CONCATENATE(TEXT(BD_DETALLE!$C875,"YY"),TEXT(BD_DETALLE!$C875,"MM"),"-",BD_DETALLE!$E875),"")</f>
        <v>2104-127</v>
      </c>
      <c r="E875" s="12">
        <v>127</v>
      </c>
      <c r="F875" s="21">
        <v>301397</v>
      </c>
      <c r="G875" s="4" t="str">
        <f>IFERROR(VLOOKUP(BD_DETALLE!$B875,Tabla9[],6,0),"")</f>
        <v>CERRADURA DE PUERTA</v>
      </c>
      <c r="H875" s="6">
        <f>IFERROR(VLOOKUP(BD_DETALLE!$B875,Tabla9[],4,0),0)</f>
        <v>6</v>
      </c>
      <c r="I875" s="19" t="s">
        <v>2</v>
      </c>
      <c r="J875" s="20" t="s">
        <v>2341</v>
      </c>
      <c r="K875" s="10">
        <f>IFERROR(VLOOKUP(BD_DETALLE!B875,Tabla9[],7,0),"")</f>
        <v>0</v>
      </c>
      <c r="L875" s="11">
        <f>IFERROR(VLOOKUP(BD_DETALLE!B875,Tabla9[],8,0),"")</f>
        <v>0</v>
      </c>
      <c r="M875" s="9">
        <f>IFERROR(SUMIFS(Tabla9[CANTIDAD2],Tabla9[BUSQUEDA],Tabla3[[#This Row],[BUSQUEDA]],Tabla9[CODIGO],Tabla3[[#This Row],[CODIGO]],Tabla9[ORDEN No.],Tabla3[[#This Row],[ORDEN de COMPRA]]),0)</f>
        <v>0</v>
      </c>
      <c r="N875" s="27">
        <f>IFERROR(IF(BD_DETALLE!B875&gt;0,VLOOKUP(BD_DETALLE!B875,Tabla9[],10,0),""),"")</f>
        <v>44300</v>
      </c>
      <c r="O875" s="28">
        <f>IFERROR(VLOOKUP(BD_DETALLE!B875,Tabla9[],11,0),0)</f>
        <v>11836</v>
      </c>
      <c r="P875" s="26">
        <f>IFERROR(SUMIFS(Tabla9[CANTIDAD3],Tabla9[BUSQUEDA],Tabla3[[#This Row],[BUSQUEDA]],Tabla9[CODIGO],Tabla3[[#This Row],[CODIGO]]),0)</f>
        <v>6</v>
      </c>
      <c r="Q875" s="25">
        <f>IF(BD_DETALLE!P875&lt;=0,0,IF(BD_DETALLE!P875=BD_DETALLE!H875,2,1))</f>
        <v>2</v>
      </c>
      <c r="R875" s="41">
        <f ca="1">IF(BD_DETALLE!$C875&gt;0,(IF(BD_DETALLE!$N875=0,TODAY()-BD_DETALLE!$C875,BD_DETALLE!$N875-BD_DETALLE!$C875)),"")</f>
        <v>0</v>
      </c>
    </row>
    <row r="876" spans="2:18" x14ac:dyDescent="0.25">
      <c r="B876" s="15" t="str">
        <f t="shared" si="76"/>
        <v>2104-128-100148</v>
      </c>
      <c r="C876" s="7">
        <v>44300</v>
      </c>
      <c r="D876" s="5" t="str">
        <f>IF(BD_DETALLE!$E876&gt;=1,CONCATENATE(TEXT(BD_DETALLE!$C876,"YY"),TEXT(BD_DETALLE!$C876,"MM"),"-",BD_DETALLE!$E876),"")</f>
        <v>2104-128</v>
      </c>
      <c r="E876" s="12">
        <v>128</v>
      </c>
      <c r="F876" s="21">
        <v>100148</v>
      </c>
      <c r="G876" s="4" t="str">
        <f>IFERROR(VLOOKUP(BD_DETALLE!$B876,Tabla9[],6,0),"")</f>
        <v>BORNE DE BATERIA</v>
      </c>
      <c r="H876" s="6">
        <f>IFERROR(VLOOKUP(BD_DETALLE!$B876,Tabla9[],4,0),0)</f>
        <v>2</v>
      </c>
      <c r="I876" s="19" t="s">
        <v>3</v>
      </c>
      <c r="J876" s="20" t="s">
        <v>2335</v>
      </c>
      <c r="K876" s="10">
        <f>IFERROR(VLOOKUP(BD_DETALLE!B876,Tabla9[],7,0),"")</f>
        <v>0</v>
      </c>
      <c r="L876" s="11">
        <f>IFERROR(VLOOKUP(BD_DETALLE!B876,Tabla9[],8,0),"")</f>
        <v>0</v>
      </c>
      <c r="M876" s="9">
        <f>IFERROR(SUMIFS(Tabla9[CANTIDAD2],Tabla9[BUSQUEDA],Tabla3[[#This Row],[BUSQUEDA]],Tabla9[CODIGO],Tabla3[[#This Row],[CODIGO]],Tabla9[ORDEN No.],Tabla3[[#This Row],[ORDEN de COMPRA]]),0)</f>
        <v>0</v>
      </c>
      <c r="N876" s="27">
        <f>IFERROR(IF(BD_DETALLE!B876&gt;0,VLOOKUP(BD_DETALLE!B876,Tabla9[],10,0),""),"")</f>
        <v>44300</v>
      </c>
      <c r="O876" s="28">
        <f>IFERROR(VLOOKUP(BD_DETALLE!B876,Tabla9[],11,0),0)</f>
        <v>11837</v>
      </c>
      <c r="P876" s="26">
        <f>IFERROR(SUMIFS(Tabla9[CANTIDAD3],Tabla9[BUSQUEDA],Tabla3[[#This Row],[BUSQUEDA]],Tabla9[CODIGO],Tabla3[[#This Row],[CODIGO]]),0)</f>
        <v>2</v>
      </c>
      <c r="Q876" s="25">
        <f>IF(BD_DETALLE!P876&lt;=0,0,IF(BD_DETALLE!P876=BD_DETALLE!H876,2,1))</f>
        <v>2</v>
      </c>
      <c r="R876" s="41">
        <f ca="1">IF(BD_DETALLE!$C876&gt;0,(IF(BD_DETALLE!$N876=0,TODAY()-BD_DETALLE!$C876,BD_DETALLE!$N876-BD_DETALLE!$C876)),"")</f>
        <v>0</v>
      </c>
    </row>
    <row r="877" spans="2:18" x14ac:dyDescent="0.25">
      <c r="B877" s="15" t="str">
        <f t="shared" si="76"/>
        <v>2104-129-305131</v>
      </c>
      <c r="C877" s="7">
        <v>44300</v>
      </c>
      <c r="D877" s="5" t="str">
        <f>IF(BD_DETALLE!$E877&gt;=1,CONCATENATE(TEXT(BD_DETALLE!$C877,"YY"),TEXT(BD_DETALLE!$C877,"MM"),"-",BD_DETALLE!$E877),"")</f>
        <v>2104-129</v>
      </c>
      <c r="E877" s="12">
        <v>129</v>
      </c>
      <c r="F877" s="21">
        <v>305131</v>
      </c>
      <c r="G877" s="4" t="str">
        <f>IFERROR(VLOOKUP(BD_DETALLE!$B877,Tabla9[],6,0),"")</f>
        <v>PIEDRA # 56</v>
      </c>
      <c r="H877" s="6">
        <f>IFERROR(VLOOKUP(BD_DETALLE!$B877,Tabla9[],4,0),0)</f>
        <v>40</v>
      </c>
      <c r="I877" s="19" t="s">
        <v>13</v>
      </c>
      <c r="J877" s="20" t="s">
        <v>2331</v>
      </c>
      <c r="K877" s="10">
        <f>IFERROR(VLOOKUP(BD_DETALLE!B877,Tabla9[],7,0),"")</f>
        <v>0</v>
      </c>
      <c r="L877" s="11">
        <f>IFERROR(VLOOKUP(BD_DETALLE!B877,Tabla9[],8,0),"")</f>
        <v>0</v>
      </c>
      <c r="M877" s="9">
        <f>IFERROR(SUMIFS(Tabla9[CANTIDAD2],Tabla9[BUSQUEDA],Tabla3[[#This Row],[BUSQUEDA]],Tabla9[CODIGO],Tabla3[[#This Row],[CODIGO]],Tabla9[ORDEN No.],Tabla3[[#This Row],[ORDEN de COMPRA]]),0)</f>
        <v>0</v>
      </c>
      <c r="N877" s="27">
        <f>IFERROR(IF(BD_DETALLE!B877&gt;0,VLOOKUP(BD_DETALLE!B877,Tabla9[],10,0),""),"")</f>
        <v>44300</v>
      </c>
      <c r="O877" s="28">
        <f>IFERROR(VLOOKUP(BD_DETALLE!B877,Tabla9[],11,0),0)</f>
        <v>11838</v>
      </c>
      <c r="P877" s="26">
        <f>IFERROR(SUMIFS(Tabla9[CANTIDAD3],Tabla9[BUSQUEDA],Tabla3[[#This Row],[BUSQUEDA]],Tabla9[CODIGO],Tabla3[[#This Row],[CODIGO]]),0)</f>
        <v>40</v>
      </c>
      <c r="Q877" s="25">
        <f>IF(BD_DETALLE!P877&lt;=0,0,IF(BD_DETALLE!P877=BD_DETALLE!H877,2,1))</f>
        <v>2</v>
      </c>
      <c r="R877" s="41">
        <f ca="1">IF(BD_DETALLE!$C877&gt;0,(IF(BD_DETALLE!$N877=0,TODAY()-BD_DETALLE!$C877,BD_DETALLE!$N877-BD_DETALLE!$C877)),"")</f>
        <v>0</v>
      </c>
    </row>
    <row r="878" spans="2:18" x14ac:dyDescent="0.25">
      <c r="B878" s="15" t="str">
        <f t="shared" si="76"/>
        <v>2104-129-306627</v>
      </c>
      <c r="C878" s="7">
        <v>44300</v>
      </c>
      <c r="D878" s="5" t="str">
        <f>IF(BD_DETALLE!$E878&gt;=1,CONCATENATE(TEXT(BD_DETALLE!$C878,"YY"),TEXT(BD_DETALLE!$C878,"MM"),"-",BD_DETALLE!$E878),"")</f>
        <v>2104-129</v>
      </c>
      <c r="E878" s="12">
        <v>129</v>
      </c>
      <c r="F878" s="21">
        <v>306627</v>
      </c>
      <c r="G878" s="4" t="str">
        <f>IFERROR(VLOOKUP(BD_DETALLE!$B878,Tabla9[],6,0),"")</f>
        <v>CALIZA  PIEDRA</v>
      </c>
      <c r="H878" s="6">
        <f>IFERROR(VLOOKUP(BD_DETALLE!$B878,Tabla9[],4,0),0)</f>
        <v>40</v>
      </c>
      <c r="I878" s="19" t="s">
        <v>13</v>
      </c>
      <c r="J878" s="20" t="s">
        <v>2331</v>
      </c>
      <c r="K878" s="10">
        <f>IFERROR(VLOOKUP(BD_DETALLE!B878,Tabla9[],7,0),"")</f>
        <v>0</v>
      </c>
      <c r="L878" s="11">
        <f>IFERROR(VLOOKUP(BD_DETALLE!B878,Tabla9[],8,0),"")</f>
        <v>0</v>
      </c>
      <c r="M878" s="9">
        <f>IFERROR(SUMIFS(Tabla9[CANTIDAD2],Tabla9[BUSQUEDA],Tabla3[[#This Row],[BUSQUEDA]],Tabla9[CODIGO],Tabla3[[#This Row],[CODIGO]],Tabla9[ORDEN No.],Tabla3[[#This Row],[ORDEN de COMPRA]]),0)</f>
        <v>0</v>
      </c>
      <c r="N878" s="27">
        <f>IFERROR(IF(BD_DETALLE!B878&gt;0,VLOOKUP(BD_DETALLE!B878,Tabla9[],10,0),""),"")</f>
        <v>44300</v>
      </c>
      <c r="O878" s="28">
        <f>IFERROR(VLOOKUP(BD_DETALLE!B878,Tabla9[],11,0),0)</f>
        <v>11838</v>
      </c>
      <c r="P878" s="26">
        <f>IFERROR(SUMIFS(Tabla9[CANTIDAD3],Tabla9[BUSQUEDA],Tabla3[[#This Row],[BUSQUEDA]],Tabla9[CODIGO],Tabla3[[#This Row],[CODIGO]]),0)</f>
        <v>40</v>
      </c>
      <c r="Q878" s="25">
        <f>IF(BD_DETALLE!P878&lt;=0,0,IF(BD_DETALLE!P878=BD_DETALLE!H878,2,1))</f>
        <v>2</v>
      </c>
      <c r="R878" s="41">
        <f ca="1">IF(BD_DETALLE!$C878&gt;0,(IF(BD_DETALLE!$N878=0,TODAY()-BD_DETALLE!$C878,BD_DETALLE!$N878-BD_DETALLE!$C878)),"")</f>
        <v>0</v>
      </c>
    </row>
    <row r="879" spans="2:18" x14ac:dyDescent="0.25">
      <c r="B879" s="15" t="str">
        <f t="shared" si="76"/>
        <v>2104-129-312238</v>
      </c>
      <c r="C879" s="7">
        <v>44300</v>
      </c>
      <c r="D879" s="5" t="str">
        <f>IF(BD_DETALLE!$E879&gt;=1,CONCATENATE(TEXT(BD_DETALLE!$C879,"YY"),TEXT(BD_DETALLE!$C879,"MM"),"-",BD_DETALLE!$E879),"")</f>
        <v>2104-129</v>
      </c>
      <c r="E879" s="12">
        <v>129</v>
      </c>
      <c r="F879" s="21">
        <v>312238</v>
      </c>
      <c r="G879" s="4" t="str">
        <f>IFERROR(VLOOKUP(BD_DETALLE!$B879,Tabla9[],6,0),"")</f>
        <v>ARENA CALIZA UNIFICADA (0-5MM)</v>
      </c>
      <c r="H879" s="6">
        <f>IFERROR(VLOOKUP(BD_DETALLE!$B879,Tabla9[],4,0),0)</f>
        <v>20</v>
      </c>
      <c r="I879" s="19" t="s">
        <v>13</v>
      </c>
      <c r="J879" s="20" t="s">
        <v>2331</v>
      </c>
      <c r="K879" s="10">
        <f>IFERROR(VLOOKUP(BD_DETALLE!B879,Tabla9[],7,0),"")</f>
        <v>0</v>
      </c>
      <c r="L879" s="11">
        <f>IFERROR(VLOOKUP(BD_DETALLE!B879,Tabla9[],8,0),"")</f>
        <v>0</v>
      </c>
      <c r="M879" s="9">
        <f>IFERROR(SUMIFS(Tabla9[CANTIDAD2],Tabla9[BUSQUEDA],Tabla3[[#This Row],[BUSQUEDA]],Tabla9[CODIGO],Tabla3[[#This Row],[CODIGO]],Tabla9[ORDEN No.],Tabla3[[#This Row],[ORDEN de COMPRA]]),0)</f>
        <v>0</v>
      </c>
      <c r="N879" s="27">
        <f>IFERROR(IF(BD_DETALLE!B879&gt;0,VLOOKUP(BD_DETALLE!B879,Tabla9[],10,0),""),"")</f>
        <v>44300</v>
      </c>
      <c r="O879" s="28">
        <f>IFERROR(VLOOKUP(BD_DETALLE!B879,Tabla9[],11,0),0)</f>
        <v>11838</v>
      </c>
      <c r="P879" s="26">
        <f>IFERROR(SUMIFS(Tabla9[CANTIDAD3],Tabla9[BUSQUEDA],Tabla3[[#This Row],[BUSQUEDA]],Tabla9[CODIGO],Tabla3[[#This Row],[CODIGO]]),0)</f>
        <v>20</v>
      </c>
      <c r="Q879" s="25">
        <f>IF(BD_DETALLE!P879&lt;=0,0,IF(BD_DETALLE!P879=BD_DETALLE!H879,2,1))</f>
        <v>2</v>
      </c>
      <c r="R879" s="41">
        <f ca="1">IF(BD_DETALLE!$C879&gt;0,(IF(BD_DETALLE!$N879=0,TODAY()-BD_DETALLE!$C879,BD_DETALLE!$N879-BD_DETALLE!$C879)),"")</f>
        <v>0</v>
      </c>
    </row>
    <row r="880" spans="2:18" x14ac:dyDescent="0.25">
      <c r="B880" s="15" t="str">
        <f t="shared" si="76"/>
        <v>2104-130-206090</v>
      </c>
      <c r="C880" s="7">
        <v>44300</v>
      </c>
      <c r="D880" s="5" t="str">
        <f>IF(BD_DETALLE!$E880&gt;=1,CONCATENATE(TEXT(BD_DETALLE!$C880,"YY"),TEXT(BD_DETALLE!$C880,"MM"),"-",BD_DETALLE!$E880),"")</f>
        <v>2104-130</v>
      </c>
      <c r="E880" s="12">
        <v>130</v>
      </c>
      <c r="F880" s="21">
        <v>206090</v>
      </c>
      <c r="G880" s="4" t="str">
        <f>IFERROR(VLOOKUP(BD_DETALLE!$B880,Tabla9[],6,0),"")</f>
        <v>EMPAQUE DE CARTER</v>
      </c>
      <c r="H880" s="6">
        <f>IFERROR(VLOOKUP(BD_DETALLE!$B880,Tabla9[],4,0),0)</f>
        <v>1</v>
      </c>
      <c r="I880" s="19" t="s">
        <v>8</v>
      </c>
      <c r="J880" s="20" t="s">
        <v>2342</v>
      </c>
      <c r="K880" s="10">
        <f>IFERROR(VLOOKUP(BD_DETALLE!B880,Tabla9[],7,0),"")</f>
        <v>0</v>
      </c>
      <c r="L880" s="11">
        <f>IFERROR(VLOOKUP(BD_DETALLE!B880,Tabla9[],8,0),"")</f>
        <v>0</v>
      </c>
      <c r="M880" s="9">
        <f>IFERROR(SUMIFS(Tabla9[CANTIDAD2],Tabla9[BUSQUEDA],Tabla3[[#This Row],[BUSQUEDA]],Tabla9[CODIGO],Tabla3[[#This Row],[CODIGO]],Tabla9[ORDEN No.],Tabla3[[#This Row],[ORDEN de COMPRA]]),0)</f>
        <v>0</v>
      </c>
      <c r="N880" s="27">
        <f>IFERROR(IF(BD_DETALLE!B880&gt;0,VLOOKUP(BD_DETALLE!B880,Tabla9[],10,0),""),"")</f>
        <v>44300</v>
      </c>
      <c r="O880" s="28">
        <f>IFERROR(VLOOKUP(BD_DETALLE!B880,Tabla9[],11,0),0)</f>
        <v>11839</v>
      </c>
      <c r="P880" s="26">
        <f>IFERROR(SUMIFS(Tabla9[CANTIDAD3],Tabla9[BUSQUEDA],Tabla3[[#This Row],[BUSQUEDA]],Tabla9[CODIGO],Tabla3[[#This Row],[CODIGO]]),0)</f>
        <v>1</v>
      </c>
      <c r="Q880" s="25">
        <f>IF(BD_DETALLE!P880&lt;=0,0,IF(BD_DETALLE!P880=BD_DETALLE!H880,2,1))</f>
        <v>2</v>
      </c>
      <c r="R880" s="41">
        <f ca="1">IF(BD_DETALLE!$C880&gt;0,(IF(BD_DETALLE!$N880=0,TODAY()-BD_DETALLE!$C880,BD_DETALLE!$N880-BD_DETALLE!$C880)),"")</f>
        <v>0</v>
      </c>
    </row>
    <row r="881" spans="2:18" x14ac:dyDescent="0.25">
      <c r="B881" s="15" t="str">
        <f t="shared" si="76"/>
        <v>2104-130-317611</v>
      </c>
      <c r="C881" s="7">
        <v>44300</v>
      </c>
      <c r="D881" s="5" t="str">
        <f>IF(BD_DETALLE!$E881&gt;=1,CONCATENATE(TEXT(BD_DETALLE!$C881,"YY"),TEXT(BD_DETALLE!$C881,"MM"),"-",BD_DETALLE!$E881),"")</f>
        <v>2104-130</v>
      </c>
      <c r="E881" s="12">
        <v>130</v>
      </c>
      <c r="F881" s="21">
        <v>317611</v>
      </c>
      <c r="G881" s="4" t="str">
        <f>IFERROR(VLOOKUP(BD_DETALLE!$B881,Tabla9[],6,0),"")</f>
        <v>ACEITE</v>
      </c>
      <c r="H881" s="6">
        <f>IFERROR(VLOOKUP(BD_DETALLE!$B881,Tabla9[],4,0),0)</f>
        <v>3</v>
      </c>
      <c r="I881" s="19" t="s">
        <v>8</v>
      </c>
      <c r="J881" s="20" t="s">
        <v>2342</v>
      </c>
      <c r="K881" s="10">
        <f>IFERROR(VLOOKUP(BD_DETALLE!B881,Tabla9[],7,0),"")</f>
        <v>0</v>
      </c>
      <c r="L881" s="11">
        <f>IFERROR(VLOOKUP(BD_DETALLE!B881,Tabla9[],8,0),"")</f>
        <v>0</v>
      </c>
      <c r="M881" s="9">
        <f>IFERROR(SUMIFS(Tabla9[CANTIDAD2],Tabla9[BUSQUEDA],Tabla3[[#This Row],[BUSQUEDA]],Tabla9[CODIGO],Tabla3[[#This Row],[CODIGO]],Tabla9[ORDEN No.],Tabla3[[#This Row],[ORDEN de COMPRA]]),0)</f>
        <v>0</v>
      </c>
      <c r="N881" s="27">
        <f>IFERROR(IF(BD_DETALLE!B881&gt;0,VLOOKUP(BD_DETALLE!B881,Tabla9[],10,0),""),"")</f>
        <v>44300</v>
      </c>
      <c r="O881" s="28">
        <f>IFERROR(VLOOKUP(BD_DETALLE!B881,Tabla9[],11,0),0)</f>
        <v>11839</v>
      </c>
      <c r="P881" s="26">
        <f>IFERROR(SUMIFS(Tabla9[CANTIDAD3],Tabla9[BUSQUEDA],Tabla3[[#This Row],[BUSQUEDA]],Tabla9[CODIGO],Tabla3[[#This Row],[CODIGO]]),0)</f>
        <v>3</v>
      </c>
      <c r="Q881" s="25">
        <f>IF(BD_DETALLE!P881&lt;=0,0,IF(BD_DETALLE!P881=BD_DETALLE!H881,2,1))</f>
        <v>2</v>
      </c>
      <c r="R881" s="41">
        <f ca="1">IF(BD_DETALLE!$C881&gt;0,(IF(BD_DETALLE!$N881=0,TODAY()-BD_DETALLE!$C881,BD_DETALLE!$N881-BD_DETALLE!$C881)),"")</f>
        <v>0</v>
      </c>
    </row>
    <row r="882" spans="2:18" x14ac:dyDescent="0.25">
      <c r="B882" s="15" t="str">
        <f t="shared" si="76"/>
        <v>2104-130-100218</v>
      </c>
      <c r="C882" s="7">
        <v>44300</v>
      </c>
      <c r="D882" s="5" t="str">
        <f>IF(BD_DETALLE!$E882&gt;=1,CONCATENATE(TEXT(BD_DETALLE!$C882,"YY"),TEXT(BD_DETALLE!$C882,"MM"),"-",BD_DETALLE!$E882),"")</f>
        <v>2104-130</v>
      </c>
      <c r="E882" s="12">
        <v>130</v>
      </c>
      <c r="F882" s="21">
        <v>100218</v>
      </c>
      <c r="G882" s="4" t="str">
        <f>IFERROR(VLOOKUP(BD_DETALLE!$B882,Tabla9[],6,0),"")</f>
        <v>ACEITE HIDRAULICO MERCON/DEXRON-III</v>
      </c>
      <c r="H882" s="6">
        <f>IFERROR(VLOOKUP(BD_DETALLE!$B882,Tabla9[],4,0),0)</f>
        <v>10</v>
      </c>
      <c r="I882" s="19" t="s">
        <v>8</v>
      </c>
      <c r="J882" s="20" t="s">
        <v>2342</v>
      </c>
      <c r="K882" s="10">
        <f>IFERROR(VLOOKUP(BD_DETALLE!B882,Tabla9[],7,0),"")</f>
        <v>0</v>
      </c>
      <c r="L882" s="11">
        <f>IFERROR(VLOOKUP(BD_DETALLE!B882,Tabla9[],8,0),"")</f>
        <v>0</v>
      </c>
      <c r="M882" s="9">
        <f>IFERROR(SUMIFS(Tabla9[CANTIDAD2],Tabla9[BUSQUEDA],Tabla3[[#This Row],[BUSQUEDA]],Tabla9[CODIGO],Tabla3[[#This Row],[CODIGO]],Tabla9[ORDEN No.],Tabla3[[#This Row],[ORDEN de COMPRA]]),0)</f>
        <v>0</v>
      </c>
      <c r="N882" s="27">
        <f>IFERROR(IF(BD_DETALLE!B882&gt;0,VLOOKUP(BD_DETALLE!B882,Tabla9[],10,0),""),"")</f>
        <v>44300</v>
      </c>
      <c r="O882" s="28">
        <f>IFERROR(VLOOKUP(BD_DETALLE!B882,Tabla9[],11,0),0)</f>
        <v>11839</v>
      </c>
      <c r="P882" s="26">
        <f>IFERROR(SUMIFS(Tabla9[CANTIDAD3],Tabla9[BUSQUEDA],Tabla3[[#This Row],[BUSQUEDA]],Tabla9[CODIGO],Tabla3[[#This Row],[CODIGO]]),0)</f>
        <v>10</v>
      </c>
      <c r="Q882" s="25">
        <f>IF(BD_DETALLE!P882&lt;=0,0,IF(BD_DETALLE!P882=BD_DETALLE!H882,2,1))</f>
        <v>2</v>
      </c>
      <c r="R882" s="41">
        <f ca="1">IF(BD_DETALLE!$C882&gt;0,(IF(BD_DETALLE!$N882=0,TODAY()-BD_DETALLE!$C882,BD_DETALLE!$N882-BD_DETALLE!$C882)),"")</f>
        <v>0</v>
      </c>
    </row>
    <row r="883" spans="2:18" x14ac:dyDescent="0.25">
      <c r="B883" s="15" t="str">
        <f t="shared" si="76"/>
        <v>2104-130-204542</v>
      </c>
      <c r="C883" s="7">
        <v>44300</v>
      </c>
      <c r="D883" s="5" t="str">
        <f>IF(BD_DETALLE!$E883&gt;=1,CONCATENATE(TEXT(BD_DETALLE!$C883,"YY"),TEXT(BD_DETALLE!$C883,"MM"),"-",BD_DETALLE!$E883),"")</f>
        <v>2104-130</v>
      </c>
      <c r="E883" s="12">
        <v>130</v>
      </c>
      <c r="F883" s="21">
        <v>204542</v>
      </c>
      <c r="G883" s="4" t="str">
        <f>IFERROR(VLOOKUP(BD_DETALLE!$B883,Tabla9[],6,0),"")</f>
        <v>SILICON GRIS</v>
      </c>
      <c r="H883" s="6">
        <f>IFERROR(VLOOKUP(BD_DETALLE!$B883,Tabla9[],4,0),0)</f>
        <v>1</v>
      </c>
      <c r="I883" s="19" t="s">
        <v>8</v>
      </c>
      <c r="J883" s="20" t="s">
        <v>2342</v>
      </c>
      <c r="K883" s="10">
        <f>IFERROR(VLOOKUP(BD_DETALLE!B883,Tabla9[],7,0),"")</f>
        <v>0</v>
      </c>
      <c r="L883" s="11">
        <f>IFERROR(VLOOKUP(BD_DETALLE!B883,Tabla9[],8,0),"")</f>
        <v>0</v>
      </c>
      <c r="M883" s="9">
        <f>IFERROR(SUMIFS(Tabla9[CANTIDAD2],Tabla9[BUSQUEDA],Tabla3[[#This Row],[BUSQUEDA]],Tabla9[CODIGO],Tabla3[[#This Row],[CODIGO]],Tabla9[ORDEN No.],Tabla3[[#This Row],[ORDEN de COMPRA]]),0)</f>
        <v>0</v>
      </c>
      <c r="N883" s="27">
        <f>IFERROR(IF(BD_DETALLE!B883&gt;0,VLOOKUP(BD_DETALLE!B883,Tabla9[],10,0),""),"")</f>
        <v>44300</v>
      </c>
      <c r="O883" s="28">
        <f>IFERROR(VLOOKUP(BD_DETALLE!B883,Tabla9[],11,0),0)</f>
        <v>11839</v>
      </c>
      <c r="P883" s="26">
        <f>IFERROR(SUMIFS(Tabla9[CANTIDAD3],Tabla9[BUSQUEDA],Tabla3[[#This Row],[BUSQUEDA]],Tabla9[CODIGO],Tabla3[[#This Row],[CODIGO]]),0)</f>
        <v>1</v>
      </c>
      <c r="Q883" s="25">
        <f>IF(BD_DETALLE!P883&lt;=0,0,IF(BD_DETALLE!P883=BD_DETALLE!H883,2,1))</f>
        <v>2</v>
      </c>
      <c r="R883" s="41">
        <f ca="1">IF(BD_DETALLE!$C883&gt;0,(IF(BD_DETALLE!$N883=0,TODAY()-BD_DETALLE!$C883,BD_DETALLE!$N883-BD_DETALLE!$C883)),"")</f>
        <v>0</v>
      </c>
    </row>
    <row r="884" spans="2:18" x14ac:dyDescent="0.25">
      <c r="B884" s="15" t="str">
        <f t="shared" si="76"/>
        <v>2104-130-317612</v>
      </c>
      <c r="C884" s="7">
        <v>44300</v>
      </c>
      <c r="D884" s="5" t="str">
        <f>IF(BD_DETALLE!$E884&gt;=1,CONCATENATE(TEXT(BD_DETALLE!$C884,"YY"),TEXT(BD_DETALLE!$C884,"MM"),"-",BD_DETALLE!$E884),"")</f>
        <v>2104-130</v>
      </c>
      <c r="E884" s="12">
        <v>130</v>
      </c>
      <c r="F884" s="21">
        <v>317612</v>
      </c>
      <c r="G884" s="4" t="str">
        <f>IFERROR(VLOOKUP(BD_DETALLE!$B884,Tabla9[],6,0),"")</f>
        <v>FILTRO ACEITE</v>
      </c>
      <c r="H884" s="6">
        <f>IFERROR(VLOOKUP(BD_DETALLE!$B884,Tabla9[],4,0),0)</f>
        <v>1</v>
      </c>
      <c r="I884" s="19" t="s">
        <v>8</v>
      </c>
      <c r="J884" s="20" t="s">
        <v>2342</v>
      </c>
      <c r="K884" s="10">
        <f>IFERROR(VLOOKUP(BD_DETALLE!B884,Tabla9[],7,0),"")</f>
        <v>0</v>
      </c>
      <c r="L884" s="11">
        <f>IFERROR(VLOOKUP(BD_DETALLE!B884,Tabla9[],8,0),"")</f>
        <v>0</v>
      </c>
      <c r="M884" s="9">
        <f>IFERROR(SUMIFS(Tabla9[CANTIDAD2],Tabla9[BUSQUEDA],Tabla3[[#This Row],[BUSQUEDA]],Tabla9[CODIGO],Tabla3[[#This Row],[CODIGO]],Tabla9[ORDEN No.],Tabla3[[#This Row],[ORDEN de COMPRA]]),0)</f>
        <v>0</v>
      </c>
      <c r="N884" s="27">
        <f>IFERROR(IF(BD_DETALLE!B884&gt;0,VLOOKUP(BD_DETALLE!B884,Tabla9[],10,0),""),"")</f>
        <v>44300</v>
      </c>
      <c r="O884" s="28">
        <f>IFERROR(VLOOKUP(BD_DETALLE!B884,Tabla9[],11,0),0)</f>
        <v>11839</v>
      </c>
      <c r="P884" s="26">
        <f>IFERROR(SUMIFS(Tabla9[CANTIDAD3],Tabla9[BUSQUEDA],Tabla3[[#This Row],[BUSQUEDA]],Tabla9[CODIGO],Tabla3[[#This Row],[CODIGO]]),0)</f>
        <v>1</v>
      </c>
      <c r="Q884" s="25">
        <f>IF(BD_DETALLE!P884&lt;=0,0,IF(BD_DETALLE!P884=BD_DETALLE!H884,2,1))</f>
        <v>2</v>
      </c>
      <c r="R884" s="41">
        <f ca="1">IF(BD_DETALLE!$C884&gt;0,(IF(BD_DETALLE!$N884=0,TODAY()-BD_DETALLE!$C884,BD_DETALLE!$N884-BD_DETALLE!$C884)),"")</f>
        <v>0</v>
      </c>
    </row>
    <row r="885" spans="2:18" x14ac:dyDescent="0.25">
      <c r="B885" s="15" t="str">
        <f t="shared" si="76"/>
        <v>2104-130-312429</v>
      </c>
      <c r="C885" s="7">
        <v>44300</v>
      </c>
      <c r="D885" s="5" t="str">
        <f>IF(BD_DETALLE!$E885&gt;=1,CONCATENATE(TEXT(BD_DETALLE!$C885,"YY"),TEXT(BD_DETALLE!$C885,"MM"),"-",BD_DETALLE!$E885),"")</f>
        <v>2104-130</v>
      </c>
      <c r="E885" s="12">
        <v>130</v>
      </c>
      <c r="F885" s="21">
        <v>312429</v>
      </c>
      <c r="G885" s="4" t="str">
        <f>IFERROR(VLOOKUP(BD_DETALLE!$B885,Tabla9[],6,0),"")</f>
        <v>REFRIGERANTE AUTOMOTRIZ</v>
      </c>
      <c r="H885" s="6">
        <f>IFERROR(VLOOKUP(BD_DETALLE!$B885,Tabla9[],4,0),0)</f>
        <v>2</v>
      </c>
      <c r="I885" s="19" t="s">
        <v>8</v>
      </c>
      <c r="J885" s="20" t="s">
        <v>2342</v>
      </c>
      <c r="K885" s="10">
        <f>IFERROR(VLOOKUP(BD_DETALLE!B885,Tabla9[],7,0),"")</f>
        <v>0</v>
      </c>
      <c r="L885" s="11">
        <f>IFERROR(VLOOKUP(BD_DETALLE!B885,Tabla9[],8,0),"")</f>
        <v>0</v>
      </c>
      <c r="M885" s="9">
        <f>IFERROR(SUMIFS(Tabla9[CANTIDAD2],Tabla9[BUSQUEDA],Tabla3[[#This Row],[BUSQUEDA]],Tabla9[CODIGO],Tabla3[[#This Row],[CODIGO]],Tabla9[ORDEN No.],Tabla3[[#This Row],[ORDEN de COMPRA]]),0)</f>
        <v>0</v>
      </c>
      <c r="N885" s="27">
        <f>IFERROR(IF(BD_DETALLE!B885&gt;0,VLOOKUP(BD_DETALLE!B885,Tabla9[],10,0),""),"")</f>
        <v>44300</v>
      </c>
      <c r="O885" s="28">
        <f>IFERROR(VLOOKUP(BD_DETALLE!B885,Tabla9[],11,0),0)</f>
        <v>11839</v>
      </c>
      <c r="P885" s="26">
        <f>IFERROR(SUMIFS(Tabla9[CANTIDAD3],Tabla9[BUSQUEDA],Tabla3[[#This Row],[BUSQUEDA]],Tabla9[CODIGO],Tabla3[[#This Row],[CODIGO]]),0)</f>
        <v>2</v>
      </c>
      <c r="Q885" s="25">
        <f>IF(BD_DETALLE!P885&lt;=0,0,IF(BD_DETALLE!P885=BD_DETALLE!H885,2,1))</f>
        <v>2</v>
      </c>
      <c r="R885" s="41">
        <f ca="1">IF(BD_DETALLE!$C885&gt;0,(IF(BD_DETALLE!$N885=0,TODAY()-BD_DETALLE!$C885,BD_DETALLE!$N885-BD_DETALLE!$C885)),"")</f>
        <v>0</v>
      </c>
    </row>
    <row r="886" spans="2:18" x14ac:dyDescent="0.25">
      <c r="B886" s="15" t="str">
        <f t="shared" si="76"/>
        <v>2104-130-300176</v>
      </c>
      <c r="C886" s="7">
        <v>44300</v>
      </c>
      <c r="D886" s="5" t="str">
        <f>IF(BD_DETALLE!$E886&gt;=1,CONCATENATE(TEXT(BD_DETALLE!$C886,"YY"),TEXT(BD_DETALLE!$C886,"MM"),"-",BD_DETALLE!$E886),"")</f>
        <v>2104-130</v>
      </c>
      <c r="E886" s="12">
        <v>130</v>
      </c>
      <c r="F886" s="21">
        <v>300176</v>
      </c>
      <c r="G886" s="4" t="str">
        <f>IFERROR(VLOOKUP(BD_DETALLE!$B886,Tabla9[],6,0),"")</f>
        <v>DISCO DE FRENO</v>
      </c>
      <c r="H886" s="6">
        <f>IFERROR(VLOOKUP(BD_DETALLE!$B886,Tabla9[],4,0),0)</f>
        <v>2</v>
      </c>
      <c r="I886" s="19" t="s">
        <v>8</v>
      </c>
      <c r="J886" s="20" t="s">
        <v>2342</v>
      </c>
      <c r="K886" s="10">
        <f>IFERROR(VLOOKUP(BD_DETALLE!B886,Tabla9[],7,0),"")</f>
        <v>0</v>
      </c>
      <c r="L886" s="11">
        <f>IFERROR(VLOOKUP(BD_DETALLE!B886,Tabla9[],8,0),"")</f>
        <v>0</v>
      </c>
      <c r="M886" s="9">
        <f>IFERROR(SUMIFS(Tabla9[CANTIDAD2],Tabla9[BUSQUEDA],Tabla3[[#This Row],[BUSQUEDA]],Tabla9[CODIGO],Tabla3[[#This Row],[CODIGO]],Tabla9[ORDEN No.],Tabla3[[#This Row],[ORDEN de COMPRA]]),0)</f>
        <v>0</v>
      </c>
      <c r="N886" s="27">
        <f>IFERROR(IF(BD_DETALLE!B886&gt;0,VLOOKUP(BD_DETALLE!B886,Tabla9[],10,0),""),"")</f>
        <v>44300</v>
      </c>
      <c r="O886" s="28">
        <f>IFERROR(VLOOKUP(BD_DETALLE!B886,Tabla9[],11,0),0)</f>
        <v>11839</v>
      </c>
      <c r="P886" s="26">
        <f>IFERROR(SUMIFS(Tabla9[CANTIDAD3],Tabla9[BUSQUEDA],Tabla3[[#This Row],[BUSQUEDA]],Tabla9[CODIGO],Tabla3[[#This Row],[CODIGO]]),0)</f>
        <v>2</v>
      </c>
      <c r="Q886" s="25">
        <f>IF(BD_DETALLE!P886&lt;=0,0,IF(BD_DETALLE!P886=BD_DETALLE!H886,2,1))</f>
        <v>2</v>
      </c>
      <c r="R886" s="41">
        <f ca="1">IF(BD_DETALLE!$C886&gt;0,(IF(BD_DETALLE!$N886=0,TODAY()-BD_DETALLE!$C886,BD_DETALLE!$N886-BD_DETALLE!$C886)),"")</f>
        <v>0</v>
      </c>
    </row>
    <row r="887" spans="2:18" x14ac:dyDescent="0.25">
      <c r="B887" s="15" t="str">
        <f t="shared" si="76"/>
        <v>2104-131-306475</v>
      </c>
      <c r="C887" s="7">
        <v>44301</v>
      </c>
      <c r="D887" s="5" t="str">
        <f>IF(BD_DETALLE!$E887&gt;=1,CONCATENATE(TEXT(BD_DETALLE!$C887,"YY"),TEXT(BD_DETALLE!$C887,"MM"),"-",BD_DETALLE!$E887),"")</f>
        <v>2104-131</v>
      </c>
      <c r="E887" s="12">
        <v>131</v>
      </c>
      <c r="F887" s="21">
        <v>306475</v>
      </c>
      <c r="G887" s="4" t="str">
        <f>IFERROR(VLOOKUP(BD_DETALLE!$B887,Tabla9[],6,0),"")</f>
        <v>CORTINAS DE AIRE DE 110VLT</v>
      </c>
      <c r="H887" s="6">
        <f>IFERROR(VLOOKUP(BD_DETALLE!$B887,Tabla9[],4,0),0)</f>
        <v>1</v>
      </c>
      <c r="I887" s="19" t="s">
        <v>8</v>
      </c>
      <c r="J887" s="20" t="s">
        <v>2343</v>
      </c>
      <c r="K887" s="10">
        <f>IFERROR(VLOOKUP(BD_DETALLE!B887,Tabla9[],7,0),"")</f>
        <v>0</v>
      </c>
      <c r="L887" s="11">
        <f>IFERROR(VLOOKUP(BD_DETALLE!B887,Tabla9[],8,0),"")</f>
        <v>0</v>
      </c>
      <c r="M887" s="9">
        <f>IFERROR(SUMIFS(Tabla9[CANTIDAD2],Tabla9[BUSQUEDA],Tabla3[[#This Row],[BUSQUEDA]],Tabla9[CODIGO],Tabla3[[#This Row],[CODIGO]],Tabla9[ORDEN No.],Tabla3[[#This Row],[ORDEN de COMPRA]]),0)</f>
        <v>0</v>
      </c>
      <c r="N887" s="27">
        <f>IFERROR(IF(BD_DETALLE!B887&gt;0,VLOOKUP(BD_DETALLE!B887,Tabla9[],10,0),""),"")</f>
        <v>0</v>
      </c>
      <c r="O887" s="28">
        <f>IFERROR(VLOOKUP(BD_DETALLE!B887,Tabla9[],11,0),0)</f>
        <v>0</v>
      </c>
      <c r="P887" s="26">
        <f>IFERROR(SUMIFS(Tabla9[CANTIDAD3],Tabla9[BUSQUEDA],Tabla3[[#This Row],[BUSQUEDA]],Tabla9[CODIGO],Tabla3[[#This Row],[CODIGO]]),0)</f>
        <v>0</v>
      </c>
      <c r="Q887" s="25">
        <f>IF(BD_DETALLE!P887&lt;=0,0,IF(BD_DETALLE!P887=BD_DETALLE!H887,2,1))</f>
        <v>0</v>
      </c>
      <c r="R887" s="41">
        <f ca="1">IF(BD_DETALLE!$C887&gt;0,(IF(BD_DETALLE!$N887=0,TODAY()-BD_DETALLE!$C887,BD_DETALLE!$N887-BD_DETALLE!$C887)),"")</f>
        <v>4</v>
      </c>
    </row>
    <row r="888" spans="2:18" x14ac:dyDescent="0.25">
      <c r="B888" s="15" t="str">
        <f t="shared" si="76"/>
        <v>2104-132-304488</v>
      </c>
      <c r="C888" s="7">
        <v>44301</v>
      </c>
      <c r="D888" s="5" t="str">
        <f>IF(BD_DETALLE!$E888&gt;=1,CONCATENATE(TEXT(BD_DETALLE!$C888,"YY"),TEXT(BD_DETALLE!$C888,"MM"),"-",BD_DETALLE!$E888),"")</f>
        <v>2104-132</v>
      </c>
      <c r="E888" s="12">
        <v>132</v>
      </c>
      <c r="F888" s="21">
        <v>304488</v>
      </c>
      <c r="G888" s="4" t="str">
        <f>IFERROR(VLOOKUP(BD_DETALLE!$B888,Tabla9[],6,0),"")</f>
        <v>MARTILLO DE FRENO</v>
      </c>
      <c r="H888" s="6">
        <f>IFERROR(VLOOKUP(BD_DETALLE!$B888,Tabla9[],4,0),0)</f>
        <v>6</v>
      </c>
      <c r="I888" s="19" t="s">
        <v>5</v>
      </c>
      <c r="J888" s="20" t="s">
        <v>2168</v>
      </c>
      <c r="K888" s="10">
        <f>IFERROR(VLOOKUP(BD_DETALLE!B888,Tabla9[],7,0),"")</f>
        <v>0</v>
      </c>
      <c r="L888" s="11">
        <f>IFERROR(VLOOKUP(BD_DETALLE!B888,Tabla9[],8,0),"")</f>
        <v>0</v>
      </c>
      <c r="M888" s="9">
        <f>IFERROR(SUMIFS(Tabla9[CANTIDAD2],Tabla9[BUSQUEDA],Tabla3[[#This Row],[BUSQUEDA]],Tabla9[CODIGO],Tabla3[[#This Row],[CODIGO]],Tabla9[ORDEN No.],Tabla3[[#This Row],[ORDEN de COMPRA]]),0)</f>
        <v>0</v>
      </c>
      <c r="N888" s="27">
        <f>IFERROR(IF(BD_DETALLE!B888&gt;0,VLOOKUP(BD_DETALLE!B888,Tabla9[],10,0),""),"")</f>
        <v>0</v>
      </c>
      <c r="O888" s="28">
        <f>IFERROR(VLOOKUP(BD_DETALLE!B888,Tabla9[],11,0),0)</f>
        <v>0</v>
      </c>
      <c r="P888" s="26">
        <f>IFERROR(SUMIFS(Tabla9[CANTIDAD3],Tabla9[BUSQUEDA],Tabla3[[#This Row],[BUSQUEDA]],Tabla9[CODIGO],Tabla3[[#This Row],[CODIGO]]),0)</f>
        <v>0</v>
      </c>
      <c r="Q888" s="25">
        <f>IF(BD_DETALLE!P888&lt;=0,0,IF(BD_DETALLE!P888=BD_DETALLE!H888,2,1))</f>
        <v>0</v>
      </c>
      <c r="R888" s="41">
        <f ca="1">IF(BD_DETALLE!$C888&gt;0,(IF(BD_DETALLE!$N888=0,TODAY()-BD_DETALLE!$C888,BD_DETALLE!$N888-BD_DETALLE!$C888)),"")</f>
        <v>4</v>
      </c>
    </row>
    <row r="889" spans="2:18" x14ac:dyDescent="0.25">
      <c r="B889" s="15" t="str">
        <f t="shared" si="76"/>
        <v>2104-133-200751</v>
      </c>
      <c r="C889" s="7">
        <v>44301</v>
      </c>
      <c r="D889" s="5" t="str">
        <f>IF(BD_DETALLE!$E889&gt;=1,CONCATENATE(TEXT(BD_DETALLE!$C889,"YY"),TEXT(BD_DETALLE!$C889,"MM"),"-",BD_DETALLE!$E889),"")</f>
        <v>2104-133</v>
      </c>
      <c r="E889" s="12">
        <v>133</v>
      </c>
      <c r="F889" s="21">
        <v>200751</v>
      </c>
      <c r="G889" s="4" t="str">
        <f>IFERROR(VLOOKUP(BD_DETALLE!$B889,Tabla9[],6,0),"")</f>
        <v>BUNKER</v>
      </c>
      <c r="H889" s="6">
        <f>IFERROR(VLOOKUP(BD_DETALLE!$B889,Tabla9[],4,0),0)</f>
        <v>30000</v>
      </c>
      <c r="I889" s="19" t="s">
        <v>15</v>
      </c>
      <c r="J889" s="20" t="s">
        <v>385</v>
      </c>
      <c r="K889" s="10">
        <f>IFERROR(VLOOKUP(BD_DETALLE!B889,Tabla9[],7,0),"")</f>
        <v>0</v>
      </c>
      <c r="L889" s="11">
        <f>IFERROR(VLOOKUP(BD_DETALLE!B889,Tabla9[],8,0),"")</f>
        <v>0</v>
      </c>
      <c r="M889" s="9">
        <f>IFERROR(SUMIFS(Tabla9[CANTIDAD2],Tabla9[BUSQUEDA],Tabla3[[#This Row],[BUSQUEDA]],Tabla9[CODIGO],Tabla3[[#This Row],[CODIGO]],Tabla9[ORDEN No.],Tabla3[[#This Row],[ORDEN de COMPRA]]),0)</f>
        <v>0</v>
      </c>
      <c r="N889" s="27">
        <f>IFERROR(IF(BD_DETALLE!B889&gt;0,VLOOKUP(BD_DETALLE!B889,Tabla9[],10,0),""),"")</f>
        <v>0</v>
      </c>
      <c r="O889" s="28">
        <f>IFERROR(VLOOKUP(BD_DETALLE!B889,Tabla9[],11,0),0)</f>
        <v>0</v>
      </c>
      <c r="P889" s="26">
        <f>IFERROR(SUMIFS(Tabla9[CANTIDAD3],Tabla9[BUSQUEDA],Tabla3[[#This Row],[BUSQUEDA]],Tabla9[CODIGO],Tabla3[[#This Row],[CODIGO]]),0)</f>
        <v>0</v>
      </c>
      <c r="Q889" s="25">
        <f>IF(BD_DETALLE!P889&lt;=0,0,IF(BD_DETALLE!P889=BD_DETALLE!H889,2,1))</f>
        <v>0</v>
      </c>
      <c r="R889" s="41">
        <f ca="1">IF(BD_DETALLE!$C889&gt;0,(IF(BD_DETALLE!$N889=0,TODAY()-BD_DETALLE!$C889,BD_DETALLE!$N889-BD_DETALLE!$C889)),"")</f>
        <v>4</v>
      </c>
    </row>
    <row r="890" spans="2:18" x14ac:dyDescent="0.25">
      <c r="B890" s="15" t="str">
        <f t="shared" si="76"/>
        <v>2104-134-106405</v>
      </c>
      <c r="C890" s="7">
        <v>44301</v>
      </c>
      <c r="D890" s="5" t="str">
        <f>IF(BD_DETALLE!$E890&gt;=1,CONCATENATE(TEXT(BD_DETALLE!$C890,"YY"),TEXT(BD_DETALLE!$C890,"MM"),"-",BD_DETALLE!$E890),"")</f>
        <v>2104-134</v>
      </c>
      <c r="E890" s="12">
        <v>134</v>
      </c>
      <c r="F890" s="21">
        <v>106405</v>
      </c>
      <c r="G890" s="4" t="str">
        <f>IFERROR(VLOOKUP(BD_DETALLE!$B890,Tabla9[],6,0),"")</f>
        <v>PINTURA ANTICORROSIVO AZUL FRANCES</v>
      </c>
      <c r="H890" s="6">
        <f>IFERROR(VLOOKUP(BD_DETALLE!$B890,Tabla9[],4,0),0)</f>
        <v>6</v>
      </c>
      <c r="I890" s="19" t="s">
        <v>12</v>
      </c>
      <c r="J890" s="20" t="s">
        <v>2344</v>
      </c>
      <c r="K890" s="10">
        <f>IFERROR(VLOOKUP(BD_DETALLE!B890,Tabla9[],7,0),"")</f>
        <v>0</v>
      </c>
      <c r="L890" s="11">
        <f>IFERROR(VLOOKUP(BD_DETALLE!B890,Tabla9[],8,0),"")</f>
        <v>0</v>
      </c>
      <c r="M890" s="9">
        <f>IFERROR(SUMIFS(Tabla9[CANTIDAD2],Tabla9[BUSQUEDA],Tabla3[[#This Row],[BUSQUEDA]],Tabla9[CODIGO],Tabla3[[#This Row],[CODIGO]],Tabla9[ORDEN No.],Tabla3[[#This Row],[ORDEN de COMPRA]]),0)</f>
        <v>0</v>
      </c>
      <c r="N890" s="27">
        <f>IFERROR(IF(BD_DETALLE!B890&gt;0,VLOOKUP(BD_DETALLE!B890,Tabla9[],10,0),""),"")</f>
        <v>0</v>
      </c>
      <c r="O890" s="28">
        <f>IFERROR(VLOOKUP(BD_DETALLE!B890,Tabla9[],11,0),0)</f>
        <v>0</v>
      </c>
      <c r="P890" s="26">
        <f>IFERROR(SUMIFS(Tabla9[CANTIDAD3],Tabla9[BUSQUEDA],Tabla3[[#This Row],[BUSQUEDA]],Tabla9[CODIGO],Tabla3[[#This Row],[CODIGO]]),0)</f>
        <v>0</v>
      </c>
      <c r="Q890" s="25">
        <f>IF(BD_DETALLE!P890&lt;=0,0,IF(BD_DETALLE!P890=BD_DETALLE!H890,2,1))</f>
        <v>0</v>
      </c>
      <c r="R890" s="41">
        <f ca="1">IF(BD_DETALLE!$C890&gt;0,(IF(BD_DETALLE!$N890=0,TODAY()-BD_DETALLE!$C890,BD_DETALLE!$N890-BD_DETALLE!$C890)),"")</f>
        <v>4</v>
      </c>
    </row>
    <row r="891" spans="2:18" x14ac:dyDescent="0.25">
      <c r="B891" s="15" t="str">
        <f t="shared" si="76"/>
        <v>2104-134-308888</v>
      </c>
      <c r="C891" s="7">
        <v>44301</v>
      </c>
      <c r="D891" s="5" t="str">
        <f>IF(BD_DETALLE!$E891&gt;=1,CONCATENATE(TEXT(BD_DETALLE!$C891,"YY"),TEXT(BD_DETALLE!$C891,"MM"),"-",BD_DETALLE!$E891),"")</f>
        <v>2104-134</v>
      </c>
      <c r="E891" s="12">
        <v>134</v>
      </c>
      <c r="F891" s="21">
        <v>308888</v>
      </c>
      <c r="G891" s="4" t="str">
        <f>IFERROR(VLOOKUP(BD_DETALLE!$B891,Tabla9[],6,0),"")</f>
        <v>PLANCHA A/INOX DE 4MM x 1.22MTS x 2.44MTS</v>
      </c>
      <c r="H891" s="6">
        <f>IFERROR(VLOOKUP(BD_DETALLE!$B891,Tabla9[],4,0),0)</f>
        <v>2</v>
      </c>
      <c r="I891" s="19" t="s">
        <v>12</v>
      </c>
      <c r="J891" s="20" t="s">
        <v>2344</v>
      </c>
      <c r="K891" s="10">
        <f>IFERROR(VLOOKUP(BD_DETALLE!B891,Tabla9[],7,0),"")</f>
        <v>0</v>
      </c>
      <c r="L891" s="11">
        <f>IFERROR(VLOOKUP(BD_DETALLE!B891,Tabla9[],8,0),"")</f>
        <v>0</v>
      </c>
      <c r="M891" s="9">
        <f>IFERROR(SUMIFS(Tabla9[CANTIDAD2],Tabla9[BUSQUEDA],Tabla3[[#This Row],[BUSQUEDA]],Tabla9[CODIGO],Tabla3[[#This Row],[CODIGO]],Tabla9[ORDEN No.],Tabla3[[#This Row],[ORDEN de COMPRA]]),0)</f>
        <v>0</v>
      </c>
      <c r="N891" s="27">
        <f>IFERROR(IF(BD_DETALLE!B891&gt;0,VLOOKUP(BD_DETALLE!B891,Tabla9[],10,0),""),"")</f>
        <v>0</v>
      </c>
      <c r="O891" s="28">
        <f>IFERROR(VLOOKUP(BD_DETALLE!B891,Tabla9[],11,0),0)</f>
        <v>0</v>
      </c>
      <c r="P891" s="26">
        <f>IFERROR(SUMIFS(Tabla9[CANTIDAD3],Tabla9[BUSQUEDA],Tabla3[[#This Row],[BUSQUEDA]],Tabla9[CODIGO],Tabla3[[#This Row],[CODIGO]]),0)</f>
        <v>0</v>
      </c>
      <c r="Q891" s="25">
        <f>IF(BD_DETALLE!P891&lt;=0,0,IF(BD_DETALLE!P891=BD_DETALLE!H891,2,1))</f>
        <v>0</v>
      </c>
      <c r="R891" s="41">
        <f ca="1">IF(BD_DETALLE!$C891&gt;0,(IF(BD_DETALLE!$N891=0,TODAY()-BD_DETALLE!$C891,BD_DETALLE!$N891-BD_DETALLE!$C891)),"")</f>
        <v>4</v>
      </c>
    </row>
    <row r="892" spans="2:18" x14ac:dyDescent="0.25">
      <c r="B892" s="15" t="str">
        <f t="shared" si="76"/>
        <v>2104-134-206084</v>
      </c>
      <c r="C892" s="7">
        <v>44301</v>
      </c>
      <c r="D892" s="5" t="str">
        <f>IF(BD_DETALLE!$E892&gt;=1,CONCATENATE(TEXT(BD_DETALLE!$C892,"YY"),TEXT(BD_DETALLE!$C892,"MM"),"-",BD_DETALLE!$E892),"")</f>
        <v>2104-134</v>
      </c>
      <c r="E892" s="12">
        <v>134</v>
      </c>
      <c r="F892" s="21">
        <v>206084</v>
      </c>
      <c r="G892" s="4" t="str">
        <f>IFERROR(VLOOKUP(BD_DETALLE!$B892,Tabla9[],6,0),"")</f>
        <v>TUBO H/N DE 6" x 6MTS - CED. 80</v>
      </c>
      <c r="H892" s="6">
        <f>IFERROR(VLOOKUP(BD_DETALLE!$B892,Tabla9[],4,0),0)</f>
        <v>1</v>
      </c>
      <c r="I892" s="19" t="s">
        <v>12</v>
      </c>
      <c r="J892" s="20" t="s">
        <v>2344</v>
      </c>
      <c r="K892" s="10">
        <f>IFERROR(VLOOKUP(BD_DETALLE!B892,Tabla9[],7,0),"")</f>
        <v>0</v>
      </c>
      <c r="L892" s="11">
        <f>IFERROR(VLOOKUP(BD_DETALLE!B892,Tabla9[],8,0),"")</f>
        <v>0</v>
      </c>
      <c r="M892" s="9">
        <f>IFERROR(SUMIFS(Tabla9[CANTIDAD2],Tabla9[BUSQUEDA],Tabla3[[#This Row],[BUSQUEDA]],Tabla9[CODIGO],Tabla3[[#This Row],[CODIGO]],Tabla9[ORDEN No.],Tabla3[[#This Row],[ORDEN de COMPRA]]),0)</f>
        <v>0</v>
      </c>
      <c r="N892" s="27">
        <f>IFERROR(IF(BD_DETALLE!B892&gt;0,VLOOKUP(BD_DETALLE!B892,Tabla9[],10,0),""),"")</f>
        <v>0</v>
      </c>
      <c r="O892" s="28">
        <f>IFERROR(VLOOKUP(BD_DETALLE!B892,Tabla9[],11,0),0)</f>
        <v>0</v>
      </c>
      <c r="P892" s="26">
        <f>IFERROR(SUMIFS(Tabla9[CANTIDAD3],Tabla9[BUSQUEDA],Tabla3[[#This Row],[BUSQUEDA]],Tabla9[CODIGO],Tabla3[[#This Row],[CODIGO]]),0)</f>
        <v>0</v>
      </c>
      <c r="Q892" s="25">
        <f>IF(BD_DETALLE!P892&lt;=0,0,IF(BD_DETALLE!P892=BD_DETALLE!H892,2,1))</f>
        <v>0</v>
      </c>
      <c r="R892" s="41">
        <f ca="1">IF(BD_DETALLE!$C892&gt;0,(IF(BD_DETALLE!$N892=0,TODAY()-BD_DETALLE!$C892,BD_DETALLE!$N892-BD_DETALLE!$C892)),"")</f>
        <v>4</v>
      </c>
    </row>
    <row r="893" spans="2:18" x14ac:dyDescent="0.25">
      <c r="B893" s="15" t="str">
        <f t="shared" si="76"/>
        <v>2104-134-200267</v>
      </c>
      <c r="C893" s="7">
        <v>44301</v>
      </c>
      <c r="D893" s="5" t="str">
        <f>IF(BD_DETALLE!$E893&gt;=1,CONCATENATE(TEXT(BD_DETALLE!$C893,"YY"),TEXT(BD_DETALLE!$C893,"MM"),"-",BD_DETALLE!$E893),"")</f>
        <v>2104-134</v>
      </c>
      <c r="E893" s="12">
        <v>134</v>
      </c>
      <c r="F893" s="21">
        <v>200267</v>
      </c>
      <c r="G893" s="4" t="str">
        <f>IFERROR(VLOOKUP(BD_DETALLE!$B893,Tabla9[],6,0),"")</f>
        <v>PINTURA ANTICORROSIVA GRIS MATE</v>
      </c>
      <c r="H893" s="6">
        <f>IFERROR(VLOOKUP(BD_DETALLE!$B893,Tabla9[],4,0),0)</f>
        <v>6</v>
      </c>
      <c r="I893" s="19" t="s">
        <v>12</v>
      </c>
      <c r="J893" s="20" t="s">
        <v>2344</v>
      </c>
      <c r="K893" s="10">
        <f>IFERROR(VLOOKUP(BD_DETALLE!B893,Tabla9[],7,0),"")</f>
        <v>0</v>
      </c>
      <c r="L893" s="11">
        <f>IFERROR(VLOOKUP(BD_DETALLE!B893,Tabla9[],8,0),"")</f>
        <v>0</v>
      </c>
      <c r="M893" s="9">
        <f>IFERROR(SUMIFS(Tabla9[CANTIDAD2],Tabla9[BUSQUEDA],Tabla3[[#This Row],[BUSQUEDA]],Tabla9[CODIGO],Tabla3[[#This Row],[CODIGO]],Tabla9[ORDEN No.],Tabla3[[#This Row],[ORDEN de COMPRA]]),0)</f>
        <v>0</v>
      </c>
      <c r="N893" s="27">
        <f>IFERROR(IF(BD_DETALLE!B893&gt;0,VLOOKUP(BD_DETALLE!B893,Tabla9[],10,0),""),"")</f>
        <v>0</v>
      </c>
      <c r="O893" s="28">
        <f>IFERROR(VLOOKUP(BD_DETALLE!B893,Tabla9[],11,0),0)</f>
        <v>0</v>
      </c>
      <c r="P893" s="26">
        <f>IFERROR(SUMIFS(Tabla9[CANTIDAD3],Tabla9[BUSQUEDA],Tabla3[[#This Row],[BUSQUEDA]],Tabla9[CODIGO],Tabla3[[#This Row],[CODIGO]]),0)</f>
        <v>0</v>
      </c>
      <c r="Q893" s="25">
        <f>IF(BD_DETALLE!P893&lt;=0,0,IF(BD_DETALLE!P893=BD_DETALLE!H893,2,1))</f>
        <v>0</v>
      </c>
      <c r="R893" s="41">
        <f ca="1">IF(BD_DETALLE!$C893&gt;0,(IF(BD_DETALLE!$N893=0,TODAY()-BD_DETALLE!$C893,BD_DETALLE!$N893-BD_DETALLE!$C893)),"")</f>
        <v>4</v>
      </c>
    </row>
    <row r="894" spans="2:18" x14ac:dyDescent="0.25">
      <c r="B894" s="15" t="str">
        <f t="shared" ref="B894:B923" si="77">IFERROR(TEXT(C894,"yy") &amp; TEXT(C894,"mm") &amp;"-"&amp;(E894) &amp;"-"&amp;(F894),"")</f>
        <v>2104-134-205901</v>
      </c>
      <c r="C894" s="7">
        <v>44301</v>
      </c>
      <c r="D894" s="5" t="str">
        <f>IF(BD_DETALLE!$E894&gt;=1,CONCATENATE(TEXT(BD_DETALLE!$C894,"YY"),TEXT(BD_DETALLE!$C894,"MM"),"-",BD_DETALLE!$E894),"")</f>
        <v>2104-134</v>
      </c>
      <c r="E894" s="12">
        <v>134</v>
      </c>
      <c r="F894" s="21">
        <v>205901</v>
      </c>
      <c r="G894" s="4" t="str">
        <f>IFERROR(VLOOKUP(BD_DETALLE!$B894,Tabla9[],6,0),"")</f>
        <v>PLANCHA ANTIDESLIZANTE 1.22 X 2.44 X 4MM</v>
      </c>
      <c r="H894" s="6">
        <f>IFERROR(VLOOKUP(BD_DETALLE!$B894,Tabla9[],4,0),0)</f>
        <v>8</v>
      </c>
      <c r="I894" s="19" t="s">
        <v>12</v>
      </c>
      <c r="J894" s="20" t="s">
        <v>2344</v>
      </c>
      <c r="K894" s="10">
        <f>IFERROR(VLOOKUP(BD_DETALLE!B894,Tabla9[],7,0),"")</f>
        <v>0</v>
      </c>
      <c r="L894" s="11">
        <f>IFERROR(VLOOKUP(BD_DETALLE!B894,Tabla9[],8,0),"")</f>
        <v>0</v>
      </c>
      <c r="M894" s="9">
        <f>IFERROR(SUMIFS(Tabla9[CANTIDAD2],Tabla9[BUSQUEDA],Tabla3[[#This Row],[BUSQUEDA]],Tabla9[CODIGO],Tabla3[[#This Row],[CODIGO]],Tabla9[ORDEN No.],Tabla3[[#This Row],[ORDEN de COMPRA]]),0)</f>
        <v>0</v>
      </c>
      <c r="N894" s="27">
        <f>IFERROR(IF(BD_DETALLE!B894&gt;0,VLOOKUP(BD_DETALLE!B894,Tabla9[],10,0),""),"")</f>
        <v>0</v>
      </c>
      <c r="O894" s="28">
        <f>IFERROR(VLOOKUP(BD_DETALLE!B894,Tabla9[],11,0),0)</f>
        <v>0</v>
      </c>
      <c r="P894" s="26">
        <f>IFERROR(SUMIFS(Tabla9[CANTIDAD3],Tabla9[BUSQUEDA],Tabla3[[#This Row],[BUSQUEDA]],Tabla9[CODIGO],Tabla3[[#This Row],[CODIGO]]),0)</f>
        <v>0</v>
      </c>
      <c r="Q894" s="25">
        <f>IF(BD_DETALLE!P894&lt;=0,0,IF(BD_DETALLE!P894=BD_DETALLE!H894,2,1))</f>
        <v>0</v>
      </c>
      <c r="R894" s="41">
        <f ca="1">IF(BD_DETALLE!$C894&gt;0,(IF(BD_DETALLE!$N894=0,TODAY()-BD_DETALLE!$C894,BD_DETALLE!$N894-BD_DETALLE!$C894)),"")</f>
        <v>4</v>
      </c>
    </row>
    <row r="895" spans="2:18" x14ac:dyDescent="0.25">
      <c r="B895" s="15" t="str">
        <f t="shared" si="77"/>
        <v>2104-134-316796</v>
      </c>
      <c r="C895" s="7">
        <v>44301</v>
      </c>
      <c r="D895" s="5" t="str">
        <f>IF(BD_DETALLE!$E895&gt;=1,CONCATENATE(TEXT(BD_DETALLE!$C895,"YY"),TEXT(BD_DETALLE!$C895,"MM"),"-",BD_DETALLE!$E895),"")</f>
        <v>2104-134</v>
      </c>
      <c r="E895" s="12">
        <v>134</v>
      </c>
      <c r="F895" s="21">
        <v>316796</v>
      </c>
      <c r="G895" s="4" t="str">
        <f>IFERROR(VLOOKUP(BD_DETALLE!$B895,Tabla9[],6,0),"")</f>
        <v>VIGA HEB 100 x 6MTS</v>
      </c>
      <c r="H895" s="6">
        <f>IFERROR(VLOOKUP(BD_DETALLE!$B895,Tabla9[],4,0),0)</f>
        <v>6</v>
      </c>
      <c r="I895" s="19" t="s">
        <v>12</v>
      </c>
      <c r="J895" s="20" t="s">
        <v>2344</v>
      </c>
      <c r="K895" s="10">
        <f>IFERROR(VLOOKUP(BD_DETALLE!B895,Tabla9[],7,0),"")</f>
        <v>0</v>
      </c>
      <c r="L895" s="11">
        <f>IFERROR(VLOOKUP(BD_DETALLE!B895,Tabla9[],8,0),"")</f>
        <v>0</v>
      </c>
      <c r="M895" s="9">
        <f>IFERROR(SUMIFS(Tabla9[CANTIDAD2],Tabla9[BUSQUEDA],Tabla3[[#This Row],[BUSQUEDA]],Tabla9[CODIGO],Tabla3[[#This Row],[CODIGO]],Tabla9[ORDEN No.],Tabla3[[#This Row],[ORDEN de COMPRA]]),0)</f>
        <v>0</v>
      </c>
      <c r="N895" s="27">
        <f>IFERROR(IF(BD_DETALLE!B895&gt;0,VLOOKUP(BD_DETALLE!B895,Tabla9[],10,0),""),"")</f>
        <v>0</v>
      </c>
      <c r="O895" s="28">
        <f>IFERROR(VLOOKUP(BD_DETALLE!B895,Tabla9[],11,0),0)</f>
        <v>0</v>
      </c>
      <c r="P895" s="26">
        <f>IFERROR(SUMIFS(Tabla9[CANTIDAD3],Tabla9[BUSQUEDA],Tabla3[[#This Row],[BUSQUEDA]],Tabla9[CODIGO],Tabla3[[#This Row],[CODIGO]]),0)</f>
        <v>0</v>
      </c>
      <c r="Q895" s="25">
        <f>IF(BD_DETALLE!P895&lt;=0,0,IF(BD_DETALLE!P895=BD_DETALLE!H895,2,1))</f>
        <v>0</v>
      </c>
      <c r="R895" s="41">
        <f ca="1">IF(BD_DETALLE!$C895&gt;0,(IF(BD_DETALLE!$N895=0,TODAY()-BD_DETALLE!$C895,BD_DETALLE!$N895-BD_DETALLE!$C895)),"")</f>
        <v>4</v>
      </c>
    </row>
    <row r="896" spans="2:18" x14ac:dyDescent="0.25">
      <c r="B896" s="15" t="str">
        <f t="shared" si="77"/>
        <v>2104-135-203847</v>
      </c>
      <c r="C896" s="7">
        <v>44301</v>
      </c>
      <c r="D896" s="5" t="str">
        <f>IF(BD_DETALLE!$E896&gt;=1,CONCATENATE(TEXT(BD_DETALLE!$C896,"YY"),TEXT(BD_DETALLE!$C896,"MM"),"-",BD_DETALLE!$E896),"")</f>
        <v>2104-135</v>
      </c>
      <c r="E896" s="12">
        <v>135</v>
      </c>
      <c r="F896" s="21">
        <v>203847</v>
      </c>
      <c r="G896" s="4" t="str">
        <f>IFERROR(VLOOKUP(BD_DETALLE!$B896,Tabla9[],6,0),"")</f>
        <v>TUBO H/N DE 2" CEL 40</v>
      </c>
      <c r="H896" s="6">
        <f>IFERROR(VLOOKUP(BD_DETALLE!$B896,Tabla9[],4,0),0)</f>
        <v>3</v>
      </c>
      <c r="I896" s="19" t="s">
        <v>12</v>
      </c>
      <c r="J896" s="20" t="s">
        <v>2345</v>
      </c>
      <c r="K896" s="10">
        <f>IFERROR(VLOOKUP(BD_DETALLE!B896,Tabla9[],7,0),"")</f>
        <v>0</v>
      </c>
      <c r="L896" s="11">
        <f>IFERROR(VLOOKUP(BD_DETALLE!B896,Tabla9[],8,0),"")</f>
        <v>0</v>
      </c>
      <c r="M896" s="9">
        <f>IFERROR(SUMIFS(Tabla9[CANTIDAD2],Tabla9[BUSQUEDA],Tabla3[[#This Row],[BUSQUEDA]],Tabla9[CODIGO],Tabla3[[#This Row],[CODIGO]],Tabla9[ORDEN No.],Tabla3[[#This Row],[ORDEN de COMPRA]]),0)</f>
        <v>0</v>
      </c>
      <c r="N896" s="27">
        <f>IFERROR(IF(BD_DETALLE!B896&gt;0,VLOOKUP(BD_DETALLE!B896,Tabla9[],10,0),""),"")</f>
        <v>0</v>
      </c>
      <c r="O896" s="28">
        <f>IFERROR(VLOOKUP(BD_DETALLE!B896,Tabla9[],11,0),0)</f>
        <v>0</v>
      </c>
      <c r="P896" s="26">
        <f>IFERROR(SUMIFS(Tabla9[CANTIDAD3],Tabla9[BUSQUEDA],Tabla3[[#This Row],[BUSQUEDA]],Tabla9[CODIGO],Tabla3[[#This Row],[CODIGO]]),0)</f>
        <v>0</v>
      </c>
      <c r="Q896" s="25">
        <f>IF(BD_DETALLE!P896&lt;=0,0,IF(BD_DETALLE!P896=BD_DETALLE!H896,2,1))</f>
        <v>0</v>
      </c>
      <c r="R896" s="41">
        <f ca="1">IF(BD_DETALLE!$C896&gt;0,(IF(BD_DETALLE!$N896=0,TODAY()-BD_DETALLE!$C896,BD_DETALLE!$N896-BD_DETALLE!$C896)),"")</f>
        <v>4</v>
      </c>
    </row>
    <row r="897" spans="2:18" x14ac:dyDescent="0.25">
      <c r="B897" s="15" t="str">
        <f t="shared" si="77"/>
        <v>2104-135-310689</v>
      </c>
      <c r="C897" s="7">
        <v>44301</v>
      </c>
      <c r="D897" s="5" t="str">
        <f>IF(BD_DETALLE!$E897&gt;=1,CONCATENATE(TEXT(BD_DETALLE!$C897,"YY"),TEXT(BD_DETALLE!$C897,"MM"),"-",BD_DETALLE!$E897),"")</f>
        <v>2104-135</v>
      </c>
      <c r="E897" s="12">
        <v>135</v>
      </c>
      <c r="F897" s="21">
        <v>310689</v>
      </c>
      <c r="G897" s="4" t="str">
        <f>IFERROR(VLOOKUP(BD_DETALLE!$B897,Tabla9[],6,0),"")</f>
        <v>PLANCHA NAVAL DE 6 MM DE 1.50 MTRS X 2.44 MTRS</v>
      </c>
      <c r="H897" s="6">
        <f>IFERROR(VLOOKUP(BD_DETALLE!$B897,Tabla9[],4,0),0)</f>
        <v>1</v>
      </c>
      <c r="I897" s="19" t="s">
        <v>12</v>
      </c>
      <c r="J897" s="20" t="s">
        <v>2345</v>
      </c>
      <c r="K897" s="10">
        <f>IFERROR(VLOOKUP(BD_DETALLE!B897,Tabla9[],7,0),"")</f>
        <v>0</v>
      </c>
      <c r="L897" s="11">
        <f>IFERROR(VLOOKUP(BD_DETALLE!B897,Tabla9[],8,0),"")</f>
        <v>0</v>
      </c>
      <c r="M897" s="9">
        <f>IFERROR(SUMIFS(Tabla9[CANTIDAD2],Tabla9[BUSQUEDA],Tabla3[[#This Row],[BUSQUEDA]],Tabla9[CODIGO],Tabla3[[#This Row],[CODIGO]],Tabla9[ORDEN No.],Tabla3[[#This Row],[ORDEN de COMPRA]]),0)</f>
        <v>0</v>
      </c>
      <c r="N897" s="27">
        <f>IFERROR(IF(BD_DETALLE!B897&gt;0,VLOOKUP(BD_DETALLE!B897,Tabla9[],10,0),""),"")</f>
        <v>0</v>
      </c>
      <c r="O897" s="28">
        <f>IFERROR(VLOOKUP(BD_DETALLE!B897,Tabla9[],11,0),0)</f>
        <v>0</v>
      </c>
      <c r="P897" s="26">
        <f>IFERROR(SUMIFS(Tabla9[CANTIDAD3],Tabla9[BUSQUEDA],Tabla3[[#This Row],[BUSQUEDA]],Tabla9[CODIGO],Tabla3[[#This Row],[CODIGO]]),0)</f>
        <v>0</v>
      </c>
      <c r="Q897" s="25">
        <f>IF(BD_DETALLE!P897&lt;=0,0,IF(BD_DETALLE!P897=BD_DETALLE!H897,2,1))</f>
        <v>0</v>
      </c>
      <c r="R897" s="41">
        <f ca="1">IF(BD_DETALLE!$C897&gt;0,(IF(BD_DETALLE!$N897=0,TODAY()-BD_DETALLE!$C897,BD_DETALLE!$N897-BD_DETALLE!$C897)),"")</f>
        <v>4</v>
      </c>
    </row>
    <row r="898" spans="2:18" x14ac:dyDescent="0.25">
      <c r="B898" s="15" t="str">
        <f t="shared" si="77"/>
        <v>2104-135-319603</v>
      </c>
      <c r="C898" s="7">
        <v>44301</v>
      </c>
      <c r="D898" s="5" t="str">
        <f>IF(BD_DETALLE!$E898&gt;=1,CONCATENATE(TEXT(BD_DETALLE!$C898,"YY"),TEXT(BD_DETALLE!$C898,"MM"),"-",BD_DETALLE!$E898),"")</f>
        <v>2104-135</v>
      </c>
      <c r="E898" s="12">
        <v>135</v>
      </c>
      <c r="F898" s="21">
        <v>319603</v>
      </c>
      <c r="G898" s="4" t="str">
        <f>IFERROR(VLOOKUP(BD_DETALLE!$B898,Tabla9[],6,0),"")</f>
        <v>PLANCHA NAVAL A/INOX DE 4MM x 1.50MTS x 6MTS</v>
      </c>
      <c r="H898" s="6">
        <f>IFERROR(VLOOKUP(BD_DETALLE!$B898,Tabla9[],4,0),0)</f>
        <v>6</v>
      </c>
      <c r="I898" s="19" t="s">
        <v>12</v>
      </c>
      <c r="J898" s="20" t="s">
        <v>2345</v>
      </c>
      <c r="K898" s="10">
        <f>IFERROR(VLOOKUP(BD_DETALLE!B898,Tabla9[],7,0),"")</f>
        <v>0</v>
      </c>
      <c r="L898" s="11">
        <f>IFERROR(VLOOKUP(BD_DETALLE!B898,Tabla9[],8,0),"")</f>
        <v>0</v>
      </c>
      <c r="M898" s="9">
        <f>IFERROR(SUMIFS(Tabla9[CANTIDAD2],Tabla9[BUSQUEDA],Tabla3[[#This Row],[BUSQUEDA]],Tabla9[CODIGO],Tabla3[[#This Row],[CODIGO]],Tabla9[ORDEN No.],Tabla3[[#This Row],[ORDEN de COMPRA]]),0)</f>
        <v>0</v>
      </c>
      <c r="N898" s="27">
        <f>IFERROR(IF(BD_DETALLE!B898&gt;0,VLOOKUP(BD_DETALLE!B898,Tabla9[],10,0),""),"")</f>
        <v>0</v>
      </c>
      <c r="O898" s="28">
        <f>IFERROR(VLOOKUP(BD_DETALLE!B898,Tabla9[],11,0),0)</f>
        <v>0</v>
      </c>
      <c r="P898" s="26">
        <f>IFERROR(SUMIFS(Tabla9[CANTIDAD3],Tabla9[BUSQUEDA],Tabla3[[#This Row],[BUSQUEDA]],Tabla9[CODIGO],Tabla3[[#This Row],[CODIGO]]),0)</f>
        <v>0</v>
      </c>
      <c r="Q898" s="25">
        <f>IF(BD_DETALLE!P898&lt;=0,0,IF(BD_DETALLE!P898=BD_DETALLE!H898,2,1))</f>
        <v>0</v>
      </c>
      <c r="R898" s="41">
        <f ca="1">IF(BD_DETALLE!$C898&gt;0,(IF(BD_DETALLE!$N898=0,TODAY()-BD_DETALLE!$C898,BD_DETALLE!$N898-BD_DETALLE!$C898)),"")</f>
        <v>4</v>
      </c>
    </row>
    <row r="899" spans="2:18" x14ac:dyDescent="0.25">
      <c r="B899" s="15" t="str">
        <f t="shared" si="77"/>
        <v>2104-135-204201</v>
      </c>
      <c r="C899" s="7">
        <v>44301</v>
      </c>
      <c r="D899" s="5" t="str">
        <f>IF(BD_DETALLE!$E899&gt;=1,CONCATENATE(TEXT(BD_DETALLE!$C899,"YY"),TEXT(BD_DETALLE!$C899,"MM"),"-",BD_DETALLE!$E899),"")</f>
        <v>2104-135</v>
      </c>
      <c r="E899" s="12">
        <v>135</v>
      </c>
      <c r="F899" s="21">
        <v>204201</v>
      </c>
      <c r="G899" s="4" t="str">
        <f>IFERROR(VLOOKUP(BD_DETALLE!$B899,Tabla9[],6,0),"")</f>
        <v>TUBO H/N DE 1" CEL 40</v>
      </c>
      <c r="H899" s="6">
        <f>IFERROR(VLOOKUP(BD_DETALLE!$B899,Tabla9[],4,0),0)</f>
        <v>8</v>
      </c>
      <c r="I899" s="19" t="s">
        <v>12</v>
      </c>
      <c r="J899" s="20" t="s">
        <v>2345</v>
      </c>
      <c r="K899" s="10">
        <f>IFERROR(VLOOKUP(BD_DETALLE!B899,Tabla9[],7,0),"")</f>
        <v>0</v>
      </c>
      <c r="L899" s="11">
        <f>IFERROR(VLOOKUP(BD_DETALLE!B899,Tabla9[],8,0),"")</f>
        <v>0</v>
      </c>
      <c r="M899" s="9">
        <f>IFERROR(SUMIFS(Tabla9[CANTIDAD2],Tabla9[BUSQUEDA],Tabla3[[#This Row],[BUSQUEDA]],Tabla9[CODIGO],Tabla3[[#This Row],[CODIGO]],Tabla9[ORDEN No.],Tabla3[[#This Row],[ORDEN de COMPRA]]),0)</f>
        <v>0</v>
      </c>
      <c r="N899" s="27">
        <f>IFERROR(IF(BD_DETALLE!B899&gt;0,VLOOKUP(BD_DETALLE!B899,Tabla9[],10,0),""),"")</f>
        <v>0</v>
      </c>
      <c r="O899" s="28">
        <f>IFERROR(VLOOKUP(BD_DETALLE!B899,Tabla9[],11,0),0)</f>
        <v>0</v>
      </c>
      <c r="P899" s="26">
        <f>IFERROR(SUMIFS(Tabla9[CANTIDAD3],Tabla9[BUSQUEDA],Tabla3[[#This Row],[BUSQUEDA]],Tabla9[CODIGO],Tabla3[[#This Row],[CODIGO]]),0)</f>
        <v>0</v>
      </c>
      <c r="Q899" s="25">
        <f>IF(BD_DETALLE!P899&lt;=0,0,IF(BD_DETALLE!P899=BD_DETALLE!H899,2,1))</f>
        <v>0</v>
      </c>
      <c r="R899" s="41">
        <f ca="1">IF(BD_DETALLE!$C899&gt;0,(IF(BD_DETALLE!$N899=0,TODAY()-BD_DETALLE!$C899,BD_DETALLE!$N899-BD_DETALLE!$C899)),"")</f>
        <v>4</v>
      </c>
    </row>
    <row r="900" spans="2:18" x14ac:dyDescent="0.25">
      <c r="B900" s="15" t="str">
        <f t="shared" si="77"/>
        <v>2104-135-306761</v>
      </c>
      <c r="C900" s="7">
        <v>44301</v>
      </c>
      <c r="D900" s="5" t="str">
        <f>IF(BD_DETALLE!$E900&gt;=1,CONCATENATE(TEXT(BD_DETALLE!$C900,"YY"),TEXT(BD_DETALLE!$C900,"MM"),"-",BD_DETALLE!$E900),"")</f>
        <v>2104-135</v>
      </c>
      <c r="E900" s="12">
        <v>135</v>
      </c>
      <c r="F900" s="21">
        <v>306761</v>
      </c>
      <c r="G900" s="4" t="str">
        <f>IFERROR(VLOOKUP(BD_DETALLE!$B900,Tabla9[],6,0),"")</f>
        <v>ANGULO H/N DE 1/4" x 2" x 2" x 6MTS</v>
      </c>
      <c r="H900" s="6">
        <f>IFERROR(VLOOKUP(BD_DETALLE!$B900,Tabla9[],4,0),0)</f>
        <v>6</v>
      </c>
      <c r="I900" s="19" t="s">
        <v>12</v>
      </c>
      <c r="J900" s="20" t="s">
        <v>2345</v>
      </c>
      <c r="K900" s="10">
        <f>IFERROR(VLOOKUP(BD_DETALLE!B900,Tabla9[],7,0),"")</f>
        <v>0</v>
      </c>
      <c r="L900" s="11">
        <f>IFERROR(VLOOKUP(BD_DETALLE!B900,Tabla9[],8,0),"")</f>
        <v>0</v>
      </c>
      <c r="M900" s="9">
        <f>IFERROR(SUMIFS(Tabla9[CANTIDAD2],Tabla9[BUSQUEDA],Tabla3[[#This Row],[BUSQUEDA]],Tabla9[CODIGO],Tabla3[[#This Row],[CODIGO]],Tabla9[ORDEN No.],Tabla3[[#This Row],[ORDEN de COMPRA]]),0)</f>
        <v>0</v>
      </c>
      <c r="N900" s="27">
        <f>IFERROR(IF(BD_DETALLE!B900&gt;0,VLOOKUP(BD_DETALLE!B900,Tabla9[],10,0),""),"")</f>
        <v>0</v>
      </c>
      <c r="O900" s="28">
        <f>IFERROR(VLOOKUP(BD_DETALLE!B900,Tabla9[],11,0),0)</f>
        <v>0</v>
      </c>
      <c r="P900" s="26">
        <f>IFERROR(SUMIFS(Tabla9[CANTIDAD3],Tabla9[BUSQUEDA],Tabla3[[#This Row],[BUSQUEDA]],Tabla9[CODIGO],Tabla3[[#This Row],[CODIGO]]),0)</f>
        <v>0</v>
      </c>
      <c r="Q900" s="25">
        <f>IF(BD_DETALLE!P900&lt;=0,0,IF(BD_DETALLE!P900=BD_DETALLE!H900,2,1))</f>
        <v>0</v>
      </c>
      <c r="R900" s="41">
        <f ca="1">IF(BD_DETALLE!$C900&gt;0,(IF(BD_DETALLE!$N900=0,TODAY()-BD_DETALLE!$C900,BD_DETALLE!$N900-BD_DETALLE!$C900)),"")</f>
        <v>4</v>
      </c>
    </row>
    <row r="901" spans="2:18" x14ac:dyDescent="0.25">
      <c r="B901" s="15" t="str">
        <f t="shared" si="77"/>
        <v>2104-136-302029</v>
      </c>
      <c r="C901" s="7">
        <v>44301</v>
      </c>
      <c r="D901" s="5" t="str">
        <f>IF(BD_DETALLE!$E901&gt;=1,CONCATENATE(TEXT(BD_DETALLE!$C901,"YY"),TEXT(BD_DETALLE!$C901,"MM"),"-",BD_DETALLE!$E901),"")</f>
        <v>2104-136</v>
      </c>
      <c r="E901" s="12">
        <v>136</v>
      </c>
      <c r="F901" s="21">
        <v>302029</v>
      </c>
      <c r="G901" s="4" t="str">
        <f>IFERROR(VLOOKUP(BD_DETALLE!$B901,Tabla9[],6,0),"")</f>
        <v>TUBO A/INOX DE 1/4" x 6MTS</v>
      </c>
      <c r="H901" s="6">
        <f>IFERROR(VLOOKUP(BD_DETALLE!$B901,Tabla9[],4,0),0)</f>
        <v>1</v>
      </c>
      <c r="I901" s="19" t="s">
        <v>12</v>
      </c>
      <c r="J901" s="20" t="s">
        <v>2345</v>
      </c>
      <c r="K901" s="10">
        <f>IFERROR(VLOOKUP(BD_DETALLE!B901,Tabla9[],7,0),"")</f>
        <v>0</v>
      </c>
      <c r="L901" s="11">
        <f>IFERROR(VLOOKUP(BD_DETALLE!B901,Tabla9[],8,0),"")</f>
        <v>0</v>
      </c>
      <c r="M901" s="9">
        <f>IFERROR(SUMIFS(Tabla9[CANTIDAD2],Tabla9[BUSQUEDA],Tabla3[[#This Row],[BUSQUEDA]],Tabla9[CODIGO],Tabla3[[#This Row],[CODIGO]],Tabla9[ORDEN No.],Tabla3[[#This Row],[ORDEN de COMPRA]]),0)</f>
        <v>0</v>
      </c>
      <c r="N901" s="27">
        <f>IFERROR(IF(BD_DETALLE!B901&gt;0,VLOOKUP(BD_DETALLE!B901,Tabla9[],10,0),""),"")</f>
        <v>0</v>
      </c>
      <c r="O901" s="28">
        <f>IFERROR(VLOOKUP(BD_DETALLE!B901,Tabla9[],11,0),0)</f>
        <v>0</v>
      </c>
      <c r="P901" s="26">
        <f>IFERROR(SUMIFS(Tabla9[CANTIDAD3],Tabla9[BUSQUEDA],Tabla3[[#This Row],[BUSQUEDA]],Tabla9[CODIGO],Tabla3[[#This Row],[CODIGO]]),0)</f>
        <v>0</v>
      </c>
      <c r="Q901" s="25">
        <f>IF(BD_DETALLE!P901&lt;=0,0,IF(BD_DETALLE!P901=BD_DETALLE!H901,2,1))</f>
        <v>0</v>
      </c>
      <c r="R901" s="41">
        <f ca="1">IF(BD_DETALLE!$C901&gt;0,(IF(BD_DETALLE!$N901=0,TODAY()-BD_DETALLE!$C901,BD_DETALLE!$N901-BD_DETALLE!$C901)),"")</f>
        <v>4</v>
      </c>
    </row>
    <row r="902" spans="2:18" x14ac:dyDescent="0.25">
      <c r="B902" s="15" t="str">
        <f t="shared" si="77"/>
        <v>2104-136-312396</v>
      </c>
      <c r="C902" s="7">
        <v>44301</v>
      </c>
      <c r="D902" s="5" t="str">
        <f>IF(BD_DETALLE!$E902&gt;=1,CONCATENATE(TEXT(BD_DETALLE!$C902,"YY"),TEXT(BD_DETALLE!$C902,"MM"),"-",BD_DETALLE!$E902),"")</f>
        <v>2104-136</v>
      </c>
      <c r="E902" s="12">
        <v>136</v>
      </c>
      <c r="F902" s="21">
        <v>312396</v>
      </c>
      <c r="G902" s="4" t="str">
        <f>IFERROR(VLOOKUP(BD_DETALLE!$B902,Tabla9[],6,0),"")</f>
        <v>TUBO A/INOX.  3/8" X 6MTR.</v>
      </c>
      <c r="H902" s="6">
        <f>IFERROR(VLOOKUP(BD_DETALLE!$B902,Tabla9[],4,0),0)</f>
        <v>1</v>
      </c>
      <c r="I902" s="19" t="s">
        <v>12</v>
      </c>
      <c r="J902" s="20" t="s">
        <v>2345</v>
      </c>
      <c r="K902" s="10">
        <f>IFERROR(VLOOKUP(BD_DETALLE!B902,Tabla9[],7,0),"")</f>
        <v>0</v>
      </c>
      <c r="L902" s="11">
        <f>IFERROR(VLOOKUP(BD_DETALLE!B902,Tabla9[],8,0),"")</f>
        <v>0</v>
      </c>
      <c r="M902" s="9">
        <f>IFERROR(SUMIFS(Tabla9[CANTIDAD2],Tabla9[BUSQUEDA],Tabla3[[#This Row],[BUSQUEDA]],Tabla9[CODIGO],Tabla3[[#This Row],[CODIGO]],Tabla9[ORDEN No.],Tabla3[[#This Row],[ORDEN de COMPRA]]),0)</f>
        <v>0</v>
      </c>
      <c r="N902" s="27">
        <f>IFERROR(IF(BD_DETALLE!B902&gt;0,VLOOKUP(BD_DETALLE!B902,Tabla9[],10,0),""),"")</f>
        <v>0</v>
      </c>
      <c r="O902" s="28">
        <f>IFERROR(VLOOKUP(BD_DETALLE!B902,Tabla9[],11,0),0)</f>
        <v>0</v>
      </c>
      <c r="P902" s="26">
        <f>IFERROR(SUMIFS(Tabla9[CANTIDAD3],Tabla9[BUSQUEDA],Tabla3[[#This Row],[BUSQUEDA]],Tabla9[CODIGO],Tabla3[[#This Row],[CODIGO]]),0)</f>
        <v>0</v>
      </c>
      <c r="Q902" s="25">
        <f>IF(BD_DETALLE!P902&lt;=0,0,IF(BD_DETALLE!P902=BD_DETALLE!H902,2,1))</f>
        <v>0</v>
      </c>
      <c r="R902" s="41">
        <f ca="1">IF(BD_DETALLE!$C902&gt;0,(IF(BD_DETALLE!$N902=0,TODAY()-BD_DETALLE!$C902,BD_DETALLE!$N902-BD_DETALLE!$C902)),"")</f>
        <v>4</v>
      </c>
    </row>
    <row r="903" spans="2:18" x14ac:dyDescent="0.25">
      <c r="B903" s="15" t="str">
        <f t="shared" si="77"/>
        <v>2104-137-315369</v>
      </c>
      <c r="C903" s="7">
        <v>44302</v>
      </c>
      <c r="D903" s="5" t="str">
        <f>IF(BD_DETALLE!$E903&gt;=1,CONCATENATE(TEXT(BD_DETALLE!$C903,"YY"),TEXT(BD_DETALLE!$C903,"MM"),"-",BD_DETALLE!$E903),"")</f>
        <v>2104-137</v>
      </c>
      <c r="E903" s="12">
        <v>137</v>
      </c>
      <c r="F903" s="21">
        <v>315369</v>
      </c>
      <c r="G903" s="4" t="str">
        <f>IFERROR(VLOOKUP(BD_DETALLE!$B903,Tabla9[],6,0),"")</f>
        <v>RULIMAN 6407</v>
      </c>
      <c r="H903" s="6">
        <f>IFERROR(VLOOKUP(BD_DETALLE!$B903,Tabla9[],4,0),0)</f>
        <v>1</v>
      </c>
      <c r="I903" s="19" t="s">
        <v>9</v>
      </c>
      <c r="J903" s="20" t="s">
        <v>2346</v>
      </c>
      <c r="K903" s="10">
        <f>IFERROR(VLOOKUP(BD_DETALLE!B903,Tabla9[],7,0),"")</f>
        <v>44302</v>
      </c>
      <c r="L903" s="11">
        <f>IFERROR(VLOOKUP(BD_DETALLE!B903,Tabla9[],8,0),"")</f>
        <v>52493</v>
      </c>
      <c r="M903" s="9">
        <f>IFERROR(SUMIFS(Tabla9[CANTIDAD2],Tabla9[BUSQUEDA],Tabla3[[#This Row],[BUSQUEDA]],Tabla9[CODIGO],Tabla3[[#This Row],[CODIGO]],Tabla9[ORDEN No.],Tabla3[[#This Row],[ORDEN de COMPRA]]),0)</f>
        <v>1</v>
      </c>
      <c r="N903" s="27">
        <f>IFERROR(IF(BD_DETALLE!B903&gt;0,VLOOKUP(BD_DETALLE!B903,Tabla9[],10,0),""),"")</f>
        <v>0</v>
      </c>
      <c r="O903" s="28">
        <f>IFERROR(VLOOKUP(BD_DETALLE!B903,Tabla9[],11,0),0)</f>
        <v>0</v>
      </c>
      <c r="P903" s="26">
        <f>IFERROR(SUMIFS(Tabla9[CANTIDAD3],Tabla9[BUSQUEDA],Tabla3[[#This Row],[BUSQUEDA]],Tabla9[CODIGO],Tabla3[[#This Row],[CODIGO]]),0)</f>
        <v>0</v>
      </c>
      <c r="Q903" s="25">
        <f>IF(BD_DETALLE!P903&lt;=0,0,IF(BD_DETALLE!P903=BD_DETALLE!H903,2,1))</f>
        <v>0</v>
      </c>
      <c r="R903" s="41">
        <f ca="1">IF(BD_DETALLE!$C903&gt;0,(IF(BD_DETALLE!$N903=0,TODAY()-BD_DETALLE!$C903,BD_DETALLE!$N903-BD_DETALLE!$C903)),"")</f>
        <v>3</v>
      </c>
    </row>
    <row r="904" spans="2:18" x14ac:dyDescent="0.25">
      <c r="B904" s="15" t="str">
        <f t="shared" si="77"/>
        <v>2104-137-302199</v>
      </c>
      <c r="C904" s="7">
        <v>44302</v>
      </c>
      <c r="D904" s="5" t="str">
        <f>IF(BD_DETALLE!$E904&gt;=1,CONCATENATE(TEXT(BD_DETALLE!$C904,"YY"),TEXT(BD_DETALLE!$C904,"MM"),"-",BD_DETALLE!$E904),"")</f>
        <v>2104-137</v>
      </c>
      <c r="E904" s="12">
        <v>137</v>
      </c>
      <c r="F904" s="21">
        <v>302199</v>
      </c>
      <c r="G904" s="4" t="str">
        <f>IFERROR(VLOOKUP(BD_DETALLE!$B904,Tabla9[],6,0),"")</f>
        <v>RETENEDOR 80 x 115 x 10</v>
      </c>
      <c r="H904" s="6">
        <f>IFERROR(VLOOKUP(BD_DETALLE!$B904,Tabla9[],4,0),0)</f>
        <v>4</v>
      </c>
      <c r="I904" s="19" t="s">
        <v>9</v>
      </c>
      <c r="J904" s="20" t="s">
        <v>2346</v>
      </c>
      <c r="K904" s="10">
        <f>IFERROR(VLOOKUP(BD_DETALLE!B904,Tabla9[],7,0),"")</f>
        <v>44302</v>
      </c>
      <c r="L904" s="11">
        <f>IFERROR(VLOOKUP(BD_DETALLE!B904,Tabla9[],8,0),"")</f>
        <v>52493</v>
      </c>
      <c r="M904" s="9">
        <f>IFERROR(SUMIFS(Tabla9[CANTIDAD2],Tabla9[BUSQUEDA],Tabla3[[#This Row],[BUSQUEDA]],Tabla9[CODIGO],Tabla3[[#This Row],[CODIGO]],Tabla9[ORDEN No.],Tabla3[[#This Row],[ORDEN de COMPRA]]),0)</f>
        <v>4</v>
      </c>
      <c r="N904" s="27">
        <f>IFERROR(IF(BD_DETALLE!B904&gt;0,VLOOKUP(BD_DETALLE!B904,Tabla9[],10,0),""),"")</f>
        <v>0</v>
      </c>
      <c r="O904" s="28">
        <f>IFERROR(VLOOKUP(BD_DETALLE!B904,Tabla9[],11,0),0)</f>
        <v>0</v>
      </c>
      <c r="P904" s="26">
        <f>IFERROR(SUMIFS(Tabla9[CANTIDAD3],Tabla9[BUSQUEDA],Tabla3[[#This Row],[BUSQUEDA]],Tabla9[CODIGO],Tabla3[[#This Row],[CODIGO]]),0)</f>
        <v>0</v>
      </c>
      <c r="Q904" s="25">
        <f>IF(BD_DETALLE!P904&lt;=0,0,IF(BD_DETALLE!P904=BD_DETALLE!H904,2,1))</f>
        <v>0</v>
      </c>
      <c r="R904" s="41">
        <f ca="1">IF(BD_DETALLE!$C904&gt;0,(IF(BD_DETALLE!$N904=0,TODAY()-BD_DETALLE!$C904,BD_DETALLE!$N904-BD_DETALLE!$C904)),"")</f>
        <v>3</v>
      </c>
    </row>
    <row r="905" spans="2:18" x14ac:dyDescent="0.25">
      <c r="B905" s="15" t="str">
        <f t="shared" si="77"/>
        <v>2104-137-100224</v>
      </c>
      <c r="C905" s="7">
        <v>44302</v>
      </c>
      <c r="D905" s="5" t="str">
        <f>IF(BD_DETALLE!$E905&gt;=1,CONCATENATE(TEXT(BD_DETALLE!$C905,"YY"),TEXT(BD_DETALLE!$C905,"MM"),"-",BD_DETALLE!$E905),"")</f>
        <v>2104-137</v>
      </c>
      <c r="E905" s="12">
        <v>137</v>
      </c>
      <c r="F905" s="21">
        <v>100224</v>
      </c>
      <c r="G905" s="4" t="str">
        <f>IFERROR(VLOOKUP(BD_DETALLE!$B905,Tabla9[],6,0),"")</f>
        <v>RULIMAN 6307-C3</v>
      </c>
      <c r="H905" s="6">
        <f>IFERROR(VLOOKUP(BD_DETALLE!$B905,Tabla9[],4,0),0)</f>
        <v>1</v>
      </c>
      <c r="I905" s="19" t="s">
        <v>12</v>
      </c>
      <c r="J905" s="20" t="s">
        <v>2347</v>
      </c>
      <c r="K905" s="10">
        <f>IFERROR(VLOOKUP(BD_DETALLE!B905,Tabla9[],7,0),"")</f>
        <v>44302</v>
      </c>
      <c r="L905" s="11">
        <f>IFERROR(VLOOKUP(BD_DETALLE!B905,Tabla9[],8,0),"")</f>
        <v>52493</v>
      </c>
      <c r="M905" s="9">
        <f>IFERROR(SUMIFS(Tabla9[CANTIDAD2],Tabla9[BUSQUEDA],Tabla3[[#This Row],[BUSQUEDA]],Tabla9[CODIGO],Tabla3[[#This Row],[CODIGO]],Tabla9[ORDEN No.],Tabla3[[#This Row],[ORDEN de COMPRA]]),0)</f>
        <v>1</v>
      </c>
      <c r="N905" s="27">
        <f>IFERROR(IF(BD_DETALLE!B905&gt;0,VLOOKUP(BD_DETALLE!B905,Tabla9[],10,0),""),"")</f>
        <v>0</v>
      </c>
      <c r="O905" s="28">
        <f>IFERROR(VLOOKUP(BD_DETALLE!B905,Tabla9[],11,0),0)</f>
        <v>0</v>
      </c>
      <c r="P905" s="26">
        <f>IFERROR(SUMIFS(Tabla9[CANTIDAD3],Tabla9[BUSQUEDA],Tabla3[[#This Row],[BUSQUEDA]],Tabla9[CODIGO],Tabla3[[#This Row],[CODIGO]]),0)</f>
        <v>0</v>
      </c>
      <c r="Q905" s="25">
        <f>IF(BD_DETALLE!P905&lt;=0,0,IF(BD_DETALLE!P905=BD_DETALLE!H905,2,1))</f>
        <v>0</v>
      </c>
      <c r="R905" s="41">
        <f ca="1">IF(BD_DETALLE!$C905&gt;0,(IF(BD_DETALLE!$N905=0,TODAY()-BD_DETALLE!$C905,BD_DETALLE!$N905-BD_DETALLE!$C905)),"")</f>
        <v>3</v>
      </c>
    </row>
    <row r="906" spans="2:18" x14ac:dyDescent="0.25">
      <c r="B906" s="15" t="str">
        <f t="shared" si="77"/>
        <v>2104-137-311113</v>
      </c>
      <c r="C906" s="7">
        <v>44302</v>
      </c>
      <c r="D906" s="5" t="str">
        <f>IF(BD_DETALLE!$E906&gt;=1,CONCATENATE(TEXT(BD_DETALLE!$C906,"YY"),TEXT(BD_DETALLE!$C906,"MM"),"-",BD_DETALLE!$E906),"")</f>
        <v>2104-137</v>
      </c>
      <c r="E906" s="12">
        <v>137</v>
      </c>
      <c r="F906" s="21">
        <v>311113</v>
      </c>
      <c r="G906" s="4" t="str">
        <f>IFERROR(VLOOKUP(BD_DETALLE!$B906,Tabla9[],6,0),"")</f>
        <v>RETENEDOR 50 x 62 x 7</v>
      </c>
      <c r="H906" s="6">
        <f>IFERROR(VLOOKUP(BD_DETALLE!$B906,Tabla9[],4,0),0)</f>
        <v>4</v>
      </c>
      <c r="I906" s="19" t="s">
        <v>12</v>
      </c>
      <c r="J906" s="20" t="s">
        <v>2347</v>
      </c>
      <c r="K906" s="10">
        <f>IFERROR(VLOOKUP(BD_DETALLE!B906,Tabla9[],7,0),"")</f>
        <v>0</v>
      </c>
      <c r="L906" s="11">
        <f>IFERROR(VLOOKUP(BD_DETALLE!B906,Tabla9[],8,0),"")</f>
        <v>0</v>
      </c>
      <c r="M906" s="9">
        <f>IFERROR(SUMIFS(Tabla9[CANTIDAD2],Tabla9[BUSQUEDA],Tabla3[[#This Row],[BUSQUEDA]],Tabla9[CODIGO],Tabla3[[#This Row],[CODIGO]],Tabla9[ORDEN No.],Tabla3[[#This Row],[ORDEN de COMPRA]]),0)</f>
        <v>0</v>
      </c>
      <c r="N906" s="27">
        <f>IFERROR(IF(BD_DETALLE!B906&gt;0,VLOOKUP(BD_DETALLE!B906,Tabla9[],10,0),""),"")</f>
        <v>0</v>
      </c>
      <c r="O906" s="28">
        <f>IFERROR(VLOOKUP(BD_DETALLE!B906,Tabla9[],11,0),0)</f>
        <v>0</v>
      </c>
      <c r="P906" s="26">
        <f>IFERROR(SUMIFS(Tabla9[CANTIDAD3],Tabla9[BUSQUEDA],Tabla3[[#This Row],[BUSQUEDA]],Tabla9[CODIGO],Tabla3[[#This Row],[CODIGO]]),0)</f>
        <v>0</v>
      </c>
      <c r="Q906" s="25">
        <f>IF(BD_DETALLE!P906&lt;=0,0,IF(BD_DETALLE!P906=BD_DETALLE!H906,2,1))</f>
        <v>0</v>
      </c>
      <c r="R906" s="41">
        <f ca="1">IF(BD_DETALLE!$C906&gt;0,(IF(BD_DETALLE!$N906=0,TODAY()-BD_DETALLE!$C906,BD_DETALLE!$N906-BD_DETALLE!$C906)),"")</f>
        <v>3</v>
      </c>
    </row>
    <row r="907" spans="2:18" x14ac:dyDescent="0.25">
      <c r="B907" s="15" t="str">
        <f t="shared" si="77"/>
        <v>2104-138-105407</v>
      </c>
      <c r="C907" s="7">
        <v>44302</v>
      </c>
      <c r="D907" s="5" t="str">
        <f>IF(BD_DETALLE!$E907&gt;=1,CONCATENATE(TEXT(BD_DETALLE!$C907,"YY"),TEXT(BD_DETALLE!$C907,"MM"),"-",BD_DETALLE!$E907),"")</f>
        <v>2104-138</v>
      </c>
      <c r="E907" s="12">
        <v>138</v>
      </c>
      <c r="F907" s="21">
        <v>105407</v>
      </c>
      <c r="G907" s="4" t="str">
        <f>IFERROR(VLOOKUP(BD_DETALLE!$B907,Tabla9[],6,0),"")</f>
        <v>CUARTONES SEMIDUROS</v>
      </c>
      <c r="H907" s="6">
        <f>IFERROR(VLOOKUP(BD_DETALLE!$B907,Tabla9[],4,0),0)</f>
        <v>10</v>
      </c>
      <c r="I907" s="19" t="s">
        <v>4</v>
      </c>
      <c r="J907" s="20" t="s">
        <v>2348</v>
      </c>
      <c r="K907" s="10">
        <f>IFERROR(VLOOKUP(BD_DETALLE!B907,Tabla9[],7,0),"")</f>
        <v>0</v>
      </c>
      <c r="L907" s="11">
        <f>IFERROR(VLOOKUP(BD_DETALLE!B907,Tabla9[],8,0),"")</f>
        <v>0</v>
      </c>
      <c r="M907" s="9">
        <f>IFERROR(SUMIFS(Tabla9[CANTIDAD2],Tabla9[BUSQUEDA],Tabla3[[#This Row],[BUSQUEDA]],Tabla9[CODIGO],Tabla3[[#This Row],[CODIGO]],Tabla9[ORDEN No.],Tabla3[[#This Row],[ORDEN de COMPRA]]),0)</f>
        <v>0</v>
      </c>
      <c r="N907" s="27">
        <f>IFERROR(IF(BD_DETALLE!B907&gt;0,VLOOKUP(BD_DETALLE!B907,Tabla9[],10,0),""),"")</f>
        <v>44302</v>
      </c>
      <c r="O907" s="28">
        <f>IFERROR(VLOOKUP(BD_DETALLE!B907,Tabla9[],11,0),0)</f>
        <v>11851</v>
      </c>
      <c r="P907" s="26">
        <f>IFERROR(SUMIFS(Tabla9[CANTIDAD3],Tabla9[BUSQUEDA],Tabla3[[#This Row],[BUSQUEDA]],Tabla9[CODIGO],Tabla3[[#This Row],[CODIGO]]),0)</f>
        <v>10</v>
      </c>
      <c r="Q907" s="25">
        <f>IF(BD_DETALLE!P907&lt;=0,0,IF(BD_DETALLE!P907=BD_DETALLE!H907,2,1))</f>
        <v>2</v>
      </c>
      <c r="R907" s="41">
        <f ca="1">IF(BD_DETALLE!$C907&gt;0,(IF(BD_DETALLE!$N907=0,TODAY()-BD_DETALLE!$C907,BD_DETALLE!$N907-BD_DETALLE!$C907)),"")</f>
        <v>0</v>
      </c>
    </row>
    <row r="908" spans="2:18" x14ac:dyDescent="0.25">
      <c r="B908" s="15" t="str">
        <f t="shared" si="77"/>
        <v>2104-138-206107</v>
      </c>
      <c r="C908" s="7">
        <v>44302</v>
      </c>
      <c r="D908" s="5" t="str">
        <f>IF(BD_DETALLE!$E908&gt;=1,CONCATENATE(TEXT(BD_DETALLE!$C908,"YY"),TEXT(BD_DETALLE!$C908,"MM"),"-",BD_DETALLE!$E908),"")</f>
        <v>2104-138</v>
      </c>
      <c r="E908" s="12">
        <v>138</v>
      </c>
      <c r="F908" s="21">
        <v>206107</v>
      </c>
      <c r="G908" s="4" t="str">
        <f>IFERROR(VLOOKUP(BD_DETALLE!$B908,Tabla9[],6,0),"")</f>
        <v>PLANCHAS DE PLYWOOD DE 12MM</v>
      </c>
      <c r="H908" s="6">
        <f>IFERROR(VLOOKUP(BD_DETALLE!$B908,Tabla9[],4,0),0)</f>
        <v>4</v>
      </c>
      <c r="I908" s="19" t="s">
        <v>4</v>
      </c>
      <c r="J908" s="20" t="s">
        <v>2348</v>
      </c>
      <c r="K908" s="10">
        <f>IFERROR(VLOOKUP(BD_DETALLE!B908,Tabla9[],7,0),"")</f>
        <v>0</v>
      </c>
      <c r="L908" s="11">
        <f>IFERROR(VLOOKUP(BD_DETALLE!B908,Tabla9[],8,0),"")</f>
        <v>0</v>
      </c>
      <c r="M908" s="9">
        <f>IFERROR(SUMIFS(Tabla9[CANTIDAD2],Tabla9[BUSQUEDA],Tabla3[[#This Row],[BUSQUEDA]],Tabla9[CODIGO],Tabla3[[#This Row],[CODIGO]],Tabla9[ORDEN No.],Tabla3[[#This Row],[ORDEN de COMPRA]]),0)</f>
        <v>0</v>
      </c>
      <c r="N908" s="27">
        <f>IFERROR(IF(BD_DETALLE!B908&gt;0,VLOOKUP(BD_DETALLE!B908,Tabla9[],10,0),""),"")</f>
        <v>44302</v>
      </c>
      <c r="O908" s="28">
        <f>IFERROR(VLOOKUP(BD_DETALLE!B908,Tabla9[],11,0),0)</f>
        <v>11851</v>
      </c>
      <c r="P908" s="26">
        <f>IFERROR(SUMIFS(Tabla9[CANTIDAD3],Tabla9[BUSQUEDA],Tabla3[[#This Row],[BUSQUEDA]],Tabla9[CODIGO],Tabla3[[#This Row],[CODIGO]]),0)</f>
        <v>4</v>
      </c>
      <c r="Q908" s="25">
        <f>IF(BD_DETALLE!P908&lt;=0,0,IF(BD_DETALLE!P908=BD_DETALLE!H908,2,1))</f>
        <v>2</v>
      </c>
      <c r="R908" s="41">
        <f ca="1">IF(BD_DETALLE!$C908&gt;0,(IF(BD_DETALLE!$N908=0,TODAY()-BD_DETALLE!$C908,BD_DETALLE!$N908-BD_DETALLE!$C908)),"")</f>
        <v>0</v>
      </c>
    </row>
    <row r="909" spans="2:18" x14ac:dyDescent="0.25">
      <c r="B909" s="15" t="str">
        <f t="shared" si="77"/>
        <v>2104-138-302942</v>
      </c>
      <c r="C909" s="7">
        <v>44302</v>
      </c>
      <c r="D909" s="5" t="str">
        <f>IF(BD_DETALLE!$E909&gt;=1,CONCATENATE(TEXT(BD_DETALLE!$C909,"YY"),TEXT(BD_DETALLE!$C909,"MM"),"-",BD_DETALLE!$E909),"")</f>
        <v>2104-138</v>
      </c>
      <c r="E909" s="12">
        <v>138</v>
      </c>
      <c r="F909" s="21">
        <v>302942</v>
      </c>
      <c r="G909" s="4" t="str">
        <f>IFERROR(VLOOKUP(BD_DETALLE!$B909,Tabla9[],6,0),"")</f>
        <v>MALLA ELECTROSOLDADA DE 8MM x 15CM x 15CM</v>
      </c>
      <c r="H909" s="6">
        <f>IFERROR(VLOOKUP(BD_DETALLE!$B909,Tabla9[],4,0),0)</f>
        <v>4</v>
      </c>
      <c r="I909" s="19" t="s">
        <v>4</v>
      </c>
      <c r="J909" s="20" t="s">
        <v>2348</v>
      </c>
      <c r="K909" s="10">
        <f>IFERROR(VLOOKUP(BD_DETALLE!B909,Tabla9[],7,0),"")</f>
        <v>0</v>
      </c>
      <c r="L909" s="11">
        <f>IFERROR(VLOOKUP(BD_DETALLE!B909,Tabla9[],8,0),"")</f>
        <v>0</v>
      </c>
      <c r="M909" s="9">
        <f>IFERROR(SUMIFS(Tabla9[CANTIDAD2],Tabla9[BUSQUEDA],Tabla3[[#This Row],[BUSQUEDA]],Tabla9[CODIGO],Tabla3[[#This Row],[CODIGO]],Tabla9[ORDEN No.],Tabla3[[#This Row],[ORDEN de COMPRA]]),0)</f>
        <v>0</v>
      </c>
      <c r="N909" s="27">
        <f>IFERROR(IF(BD_DETALLE!B909&gt;0,VLOOKUP(BD_DETALLE!B909,Tabla9[],10,0),""),"")</f>
        <v>44302</v>
      </c>
      <c r="O909" s="28">
        <f>IFERROR(VLOOKUP(BD_DETALLE!B909,Tabla9[],11,0),0)</f>
        <v>11851</v>
      </c>
      <c r="P909" s="26">
        <f>IFERROR(SUMIFS(Tabla9[CANTIDAD3],Tabla9[BUSQUEDA],Tabla3[[#This Row],[BUSQUEDA]],Tabla9[CODIGO],Tabla3[[#This Row],[CODIGO]]),0)</f>
        <v>4</v>
      </c>
      <c r="Q909" s="25">
        <f>IF(BD_DETALLE!P909&lt;=0,0,IF(BD_DETALLE!P909=BD_DETALLE!H909,2,1))</f>
        <v>2</v>
      </c>
      <c r="R909" s="41">
        <f ca="1">IF(BD_DETALLE!$C909&gt;0,(IF(BD_DETALLE!$N909=0,TODAY()-BD_DETALLE!$C909,BD_DETALLE!$N909-BD_DETALLE!$C909)),"")</f>
        <v>0</v>
      </c>
    </row>
    <row r="910" spans="2:18" x14ac:dyDescent="0.25">
      <c r="B910" s="15" t="str">
        <f t="shared" si="77"/>
        <v>2104-138-203502</v>
      </c>
      <c r="C910" s="7">
        <v>44302</v>
      </c>
      <c r="D910" s="5" t="str">
        <f>IF(BD_DETALLE!$E910&gt;=1,CONCATENATE(TEXT(BD_DETALLE!$C910,"YY"),TEXT(BD_DETALLE!$C910,"MM"),"-",BD_DETALLE!$E910),"")</f>
        <v>2104-138</v>
      </c>
      <c r="E910" s="12">
        <v>138</v>
      </c>
      <c r="F910" s="21">
        <v>203502</v>
      </c>
      <c r="G910" s="4" t="str">
        <f>IFERROR(VLOOKUP(BD_DETALLE!$B910,Tabla9[],6,0),"")</f>
        <v>CEMENTO ROCAFUERTE</v>
      </c>
      <c r="H910" s="6">
        <f>IFERROR(VLOOKUP(BD_DETALLE!$B910,Tabla9[],4,0),0)</f>
        <v>75</v>
      </c>
      <c r="I910" s="19" t="s">
        <v>4</v>
      </c>
      <c r="J910" s="20" t="s">
        <v>2348</v>
      </c>
      <c r="K910" s="10">
        <f>IFERROR(VLOOKUP(BD_DETALLE!B910,Tabla9[],7,0),"")</f>
        <v>0</v>
      </c>
      <c r="L910" s="11">
        <f>IFERROR(VLOOKUP(BD_DETALLE!B910,Tabla9[],8,0),"")</f>
        <v>0</v>
      </c>
      <c r="M910" s="9">
        <f>IFERROR(SUMIFS(Tabla9[CANTIDAD2],Tabla9[BUSQUEDA],Tabla3[[#This Row],[BUSQUEDA]],Tabla9[CODIGO],Tabla3[[#This Row],[CODIGO]],Tabla9[ORDEN No.],Tabla3[[#This Row],[ORDEN de COMPRA]]),0)</f>
        <v>0</v>
      </c>
      <c r="N910" s="27">
        <f>IFERROR(IF(BD_DETALLE!B910&gt;0,VLOOKUP(BD_DETALLE!B910,Tabla9[],10,0),""),"")</f>
        <v>0</v>
      </c>
      <c r="O910" s="28">
        <f>IFERROR(VLOOKUP(BD_DETALLE!B910,Tabla9[],11,0),0)</f>
        <v>0</v>
      </c>
      <c r="P910" s="26">
        <f>IFERROR(SUMIFS(Tabla9[CANTIDAD3],Tabla9[BUSQUEDA],Tabla3[[#This Row],[BUSQUEDA]],Tabla9[CODIGO],Tabla3[[#This Row],[CODIGO]]),0)</f>
        <v>0</v>
      </c>
      <c r="Q910" s="25">
        <f>IF(BD_DETALLE!P910&lt;=0,0,IF(BD_DETALLE!P910=BD_DETALLE!H910,2,1))</f>
        <v>0</v>
      </c>
      <c r="R910" s="41">
        <f ca="1">IF(BD_DETALLE!$C910&gt;0,(IF(BD_DETALLE!$N910=0,TODAY()-BD_DETALLE!$C910,BD_DETALLE!$N910-BD_DETALLE!$C910)),"")</f>
        <v>3</v>
      </c>
    </row>
    <row r="911" spans="2:18" x14ac:dyDescent="0.25">
      <c r="B911" s="15" t="str">
        <f t="shared" si="77"/>
        <v>2104-139-204200</v>
      </c>
      <c r="C911" s="7">
        <v>44302</v>
      </c>
      <c r="D911" s="5" t="str">
        <f>IF(BD_DETALLE!$E911&gt;=1,CONCATENATE(TEXT(BD_DETALLE!$C911,"YY"),TEXT(BD_DETALLE!$C911,"MM"),"-",BD_DETALLE!$E911),"")</f>
        <v>2104-139</v>
      </c>
      <c r="E911" s="12">
        <v>139</v>
      </c>
      <c r="F911" s="21">
        <v>204200</v>
      </c>
      <c r="G911" s="4" t="str">
        <f>IFERROR(VLOOKUP(BD_DETALLE!$B911,Tabla9[],6,0),"")</f>
        <v>TRAMPA DE BALDE INVERTIDO DE 1"</v>
      </c>
      <c r="H911" s="6">
        <f>IFERROR(VLOOKUP(BD_DETALLE!$B911,Tabla9[],4,0),0)</f>
        <v>2</v>
      </c>
      <c r="I911" s="19" t="s">
        <v>12</v>
      </c>
      <c r="J911" s="20" t="s">
        <v>2139</v>
      </c>
      <c r="K911" s="10">
        <f>IFERROR(VLOOKUP(BD_DETALLE!B911,Tabla9[],7,0),"")</f>
        <v>0</v>
      </c>
      <c r="L911" s="11">
        <f>IFERROR(VLOOKUP(BD_DETALLE!B911,Tabla9[],8,0),"")</f>
        <v>0</v>
      </c>
      <c r="M911" s="9">
        <f>IFERROR(SUMIFS(Tabla9[CANTIDAD2],Tabla9[BUSQUEDA],Tabla3[[#This Row],[BUSQUEDA]],Tabla9[CODIGO],Tabla3[[#This Row],[CODIGO]],Tabla9[ORDEN No.],Tabla3[[#This Row],[ORDEN de COMPRA]]),0)</f>
        <v>0</v>
      </c>
      <c r="N911" s="27">
        <f>IFERROR(IF(BD_DETALLE!B911&gt;0,VLOOKUP(BD_DETALLE!B911,Tabla9[],10,0),""),"")</f>
        <v>0</v>
      </c>
      <c r="O911" s="28">
        <f>IFERROR(VLOOKUP(BD_DETALLE!B911,Tabla9[],11,0),0)</f>
        <v>0</v>
      </c>
      <c r="P911" s="26">
        <f>IFERROR(SUMIFS(Tabla9[CANTIDAD3],Tabla9[BUSQUEDA],Tabla3[[#This Row],[BUSQUEDA]],Tabla9[CODIGO],Tabla3[[#This Row],[CODIGO]]),0)</f>
        <v>0</v>
      </c>
      <c r="Q911" s="25">
        <f>IF(BD_DETALLE!P911&lt;=0,0,IF(BD_DETALLE!P911=BD_DETALLE!H911,2,1))</f>
        <v>0</v>
      </c>
      <c r="R911" s="41">
        <f ca="1">IF(BD_DETALLE!$C911&gt;0,(IF(BD_DETALLE!$N911=0,TODAY()-BD_DETALLE!$C911,BD_DETALLE!$N911-BD_DETALLE!$C911)),"")</f>
        <v>3</v>
      </c>
    </row>
    <row r="912" spans="2:18" x14ac:dyDescent="0.25">
      <c r="B912" s="15" t="str">
        <f t="shared" si="77"/>
        <v>2104-139-316315</v>
      </c>
      <c r="C912" s="7">
        <v>44302</v>
      </c>
      <c r="D912" s="5" t="str">
        <f>IF(BD_DETALLE!$E912&gt;=1,CONCATENATE(TEXT(BD_DETALLE!$C912,"YY"),TEXT(BD_DETALLE!$C912,"MM"),"-",BD_DETALLE!$E912),"")</f>
        <v>2104-139</v>
      </c>
      <c r="E912" s="12">
        <v>139</v>
      </c>
      <c r="F912" s="21">
        <v>316315</v>
      </c>
      <c r="G912" s="4" t="str">
        <f>IFERROR(VLOOKUP(BD_DETALLE!$B912,Tabla9[],6,0),"")</f>
        <v>SELLO MECANICO 50MM C/RESORTE LARGO TIPO 19</v>
      </c>
      <c r="H912" s="6">
        <f>IFERROR(VLOOKUP(BD_DETALLE!$B912,Tabla9[],4,0),0)</f>
        <v>4</v>
      </c>
      <c r="I912" s="19" t="s">
        <v>12</v>
      </c>
      <c r="J912" s="20" t="s">
        <v>2139</v>
      </c>
      <c r="K912" s="10">
        <f>IFERROR(VLOOKUP(BD_DETALLE!B912,Tabla9[],7,0),"")</f>
        <v>0</v>
      </c>
      <c r="L912" s="11">
        <f>IFERROR(VLOOKUP(BD_DETALLE!B912,Tabla9[],8,0),"")</f>
        <v>0</v>
      </c>
      <c r="M912" s="9">
        <f>IFERROR(SUMIFS(Tabla9[CANTIDAD2],Tabla9[BUSQUEDA],Tabla3[[#This Row],[BUSQUEDA]],Tabla9[CODIGO],Tabla3[[#This Row],[CODIGO]],Tabla9[ORDEN No.],Tabla3[[#This Row],[ORDEN de COMPRA]]),0)</f>
        <v>0</v>
      </c>
      <c r="N912" s="27">
        <f>IFERROR(IF(BD_DETALLE!B912&gt;0,VLOOKUP(BD_DETALLE!B912,Tabla9[],10,0),""),"")</f>
        <v>0</v>
      </c>
      <c r="O912" s="28">
        <f>IFERROR(VLOOKUP(BD_DETALLE!B912,Tabla9[],11,0),0)</f>
        <v>0</v>
      </c>
      <c r="P912" s="26">
        <f>IFERROR(SUMIFS(Tabla9[CANTIDAD3],Tabla9[BUSQUEDA],Tabla3[[#This Row],[BUSQUEDA]],Tabla9[CODIGO],Tabla3[[#This Row],[CODIGO]]),0)</f>
        <v>0</v>
      </c>
      <c r="Q912" s="25">
        <f>IF(BD_DETALLE!P912&lt;=0,0,IF(BD_DETALLE!P912=BD_DETALLE!H912,2,1))</f>
        <v>0</v>
      </c>
      <c r="R912" s="41">
        <f ca="1">IF(BD_DETALLE!$C912&gt;0,(IF(BD_DETALLE!$N912=0,TODAY()-BD_DETALLE!$C912,BD_DETALLE!$N912-BD_DETALLE!$C912)),"")</f>
        <v>3</v>
      </c>
    </row>
    <row r="913" spans="2:18" x14ac:dyDescent="0.25">
      <c r="B913" s="15" t="str">
        <f t="shared" si="77"/>
        <v>2104-140-308803</v>
      </c>
      <c r="C913" s="7">
        <v>44302</v>
      </c>
      <c r="D913" s="5" t="str">
        <f>IF(BD_DETALLE!$E913&gt;=1,CONCATENATE(TEXT(BD_DETALLE!$C913,"YY"),TEXT(BD_DETALLE!$C913,"MM"),"-",BD_DETALLE!$E913),"")</f>
        <v>2104-140</v>
      </c>
      <c r="E913" s="12">
        <v>140</v>
      </c>
      <c r="F913" s="21">
        <v>308803</v>
      </c>
      <c r="G913" s="4" t="str">
        <f>IFERROR(VLOOKUP(BD_DETALLE!$B913,Tabla9[],6,0),"")</f>
        <v>SOLDADURA</v>
      </c>
      <c r="H913" s="6">
        <f>IFERROR(VLOOKUP(BD_DETALLE!$B913,Tabla9[],4,0),0)</f>
        <v>50</v>
      </c>
      <c r="I913" s="19" t="s">
        <v>15</v>
      </c>
      <c r="J913" s="20" t="s">
        <v>385</v>
      </c>
      <c r="K913" s="10">
        <f>IFERROR(VLOOKUP(BD_DETALLE!B913,Tabla9[],7,0),"")</f>
        <v>0</v>
      </c>
      <c r="L913" s="11">
        <f>IFERROR(VLOOKUP(BD_DETALLE!B913,Tabla9[],8,0),"")</f>
        <v>0</v>
      </c>
      <c r="M913" s="9">
        <f>IFERROR(SUMIFS(Tabla9[CANTIDAD2],Tabla9[BUSQUEDA],Tabla3[[#This Row],[BUSQUEDA]],Tabla9[CODIGO],Tabla3[[#This Row],[CODIGO]],Tabla9[ORDEN No.],Tabla3[[#This Row],[ORDEN de COMPRA]]),0)</f>
        <v>0</v>
      </c>
      <c r="N913" s="27">
        <f>IFERROR(IF(BD_DETALLE!B913&gt;0,VLOOKUP(BD_DETALLE!B913,Tabla9[],10,0),""),"")</f>
        <v>44302</v>
      </c>
      <c r="O913" s="28">
        <f>IFERROR(VLOOKUP(BD_DETALLE!B913,Tabla9[],11,0),0)</f>
        <v>11852</v>
      </c>
      <c r="P913" s="26">
        <f>IFERROR(SUMIFS(Tabla9[CANTIDAD3],Tabla9[BUSQUEDA],Tabla3[[#This Row],[BUSQUEDA]],Tabla9[CODIGO],Tabla3[[#This Row],[CODIGO]]),0)</f>
        <v>50</v>
      </c>
      <c r="Q913" s="25">
        <f>IF(BD_DETALLE!P913&lt;=0,0,IF(BD_DETALLE!P913=BD_DETALLE!H913,2,1))</f>
        <v>2</v>
      </c>
      <c r="R913" s="41">
        <f ca="1">IF(BD_DETALLE!$C913&gt;0,(IF(BD_DETALLE!$N913=0,TODAY()-BD_DETALLE!$C913,BD_DETALLE!$N913-BD_DETALLE!$C913)),"")</f>
        <v>0</v>
      </c>
    </row>
    <row r="914" spans="2:18" x14ac:dyDescent="0.25">
      <c r="B914" s="15" t="str">
        <f t="shared" si="77"/>
        <v>2104-140-205175</v>
      </c>
      <c r="C914" s="7">
        <v>44302</v>
      </c>
      <c r="D914" s="5" t="str">
        <f>IF(BD_DETALLE!$E914&gt;=1,CONCATENATE(TEXT(BD_DETALLE!$C914,"YY"),TEXT(BD_DETALLE!$C914,"MM"),"-",BD_DETALLE!$E914),"")</f>
        <v>2104-140</v>
      </c>
      <c r="E914" s="12">
        <v>140</v>
      </c>
      <c r="F914" s="21">
        <v>205175</v>
      </c>
      <c r="G914" s="4" t="str">
        <f>IFERROR(VLOOKUP(BD_DETALLE!$B914,Tabla9[],6,0),"")</f>
        <v>DISCO CORTE DE 4-1/2" x 1/16" x 7/8"</v>
      </c>
      <c r="H914" s="6">
        <f>IFERROR(VLOOKUP(BD_DETALLE!$B914,Tabla9[],4,0),0)</f>
        <v>20</v>
      </c>
      <c r="I914" s="19" t="s">
        <v>15</v>
      </c>
      <c r="J914" s="20" t="s">
        <v>385</v>
      </c>
      <c r="K914" s="10">
        <f>IFERROR(VLOOKUP(BD_DETALLE!B914,Tabla9[],7,0),"")</f>
        <v>0</v>
      </c>
      <c r="L914" s="11">
        <f>IFERROR(VLOOKUP(BD_DETALLE!B914,Tabla9[],8,0),"")</f>
        <v>0</v>
      </c>
      <c r="M914" s="9">
        <f>IFERROR(SUMIFS(Tabla9[CANTIDAD2],Tabla9[BUSQUEDA],Tabla3[[#This Row],[BUSQUEDA]],Tabla9[CODIGO],Tabla3[[#This Row],[CODIGO]],Tabla9[ORDEN No.],Tabla3[[#This Row],[ORDEN de COMPRA]]),0)</f>
        <v>0</v>
      </c>
      <c r="N914" s="27">
        <f>IFERROR(IF(BD_DETALLE!B914&gt;0,VLOOKUP(BD_DETALLE!B914,Tabla9[],10,0),""),"")</f>
        <v>44302</v>
      </c>
      <c r="O914" s="28">
        <f>IFERROR(VLOOKUP(BD_DETALLE!B914,Tabla9[],11,0),0)</f>
        <v>11852</v>
      </c>
      <c r="P914" s="26">
        <f>IFERROR(SUMIFS(Tabla9[CANTIDAD3],Tabla9[BUSQUEDA],Tabla3[[#This Row],[BUSQUEDA]],Tabla9[CODIGO],Tabla3[[#This Row],[CODIGO]]),0)</f>
        <v>20</v>
      </c>
      <c r="Q914" s="25">
        <f>IF(BD_DETALLE!P914&lt;=0,0,IF(BD_DETALLE!P914=BD_DETALLE!H914,2,1))</f>
        <v>2</v>
      </c>
      <c r="R914" s="41">
        <f ca="1">IF(BD_DETALLE!$C914&gt;0,(IF(BD_DETALLE!$N914=0,TODAY()-BD_DETALLE!$C914,BD_DETALLE!$N914-BD_DETALLE!$C914)),"")</f>
        <v>0</v>
      </c>
    </row>
    <row r="915" spans="2:18" x14ac:dyDescent="0.25">
      <c r="B915" s="15" t="str">
        <f t="shared" si="77"/>
        <v>2104-141-321106</v>
      </c>
      <c r="C915" s="7">
        <v>44302</v>
      </c>
      <c r="D915" s="5" t="str">
        <f>IF(BD_DETALLE!$E915&gt;=1,CONCATENATE(TEXT(BD_DETALLE!$C915,"YY"),TEXT(BD_DETALLE!$C915,"MM"),"-",BD_DETALLE!$E915),"")</f>
        <v>2104-141</v>
      </c>
      <c r="E915" s="12">
        <v>141</v>
      </c>
      <c r="F915" s="21">
        <v>321106</v>
      </c>
      <c r="G915" s="4" t="str">
        <f>IFERROR(VLOOKUP(BD_DETALLE!$B915,Tabla9[],6,0),"")</f>
        <v>JUNTA  # 190611</v>
      </c>
      <c r="H915" s="6">
        <f>IFERROR(VLOOKUP(BD_DETALLE!$B915,Tabla9[],4,0),0)</f>
        <v>24</v>
      </c>
      <c r="I915" s="19" t="s">
        <v>19</v>
      </c>
      <c r="J915" s="20" t="s">
        <v>2330</v>
      </c>
      <c r="K915" s="10">
        <f>IFERROR(VLOOKUP(BD_DETALLE!B915,Tabla9[],7,0),"")</f>
        <v>0</v>
      </c>
      <c r="L915" s="11">
        <f>IFERROR(VLOOKUP(BD_DETALLE!B915,Tabla9[],8,0),"")</f>
        <v>0</v>
      </c>
      <c r="M915" s="9">
        <f>IFERROR(SUMIFS(Tabla9[CANTIDAD2],Tabla9[BUSQUEDA],Tabla3[[#This Row],[BUSQUEDA]],Tabla9[CODIGO],Tabla3[[#This Row],[CODIGO]],Tabla9[ORDEN No.],Tabla3[[#This Row],[ORDEN de COMPRA]]),0)</f>
        <v>0</v>
      </c>
      <c r="N915" s="27">
        <f>IFERROR(IF(BD_DETALLE!B915&gt;0,VLOOKUP(BD_DETALLE!B915,Tabla9[],10,0),""),"")</f>
        <v>0</v>
      </c>
      <c r="O915" s="28">
        <f>IFERROR(VLOOKUP(BD_DETALLE!B915,Tabla9[],11,0),0)</f>
        <v>0</v>
      </c>
      <c r="P915" s="26">
        <f>IFERROR(SUMIFS(Tabla9[CANTIDAD3],Tabla9[BUSQUEDA],Tabla3[[#This Row],[BUSQUEDA]],Tabla9[CODIGO],Tabla3[[#This Row],[CODIGO]]),0)</f>
        <v>0</v>
      </c>
      <c r="Q915" s="25">
        <f>IF(BD_DETALLE!P915&lt;=0,0,IF(BD_DETALLE!P915=BD_DETALLE!H915,2,1))</f>
        <v>0</v>
      </c>
      <c r="R915" s="41">
        <f ca="1">IF(BD_DETALLE!$C915&gt;0,(IF(BD_DETALLE!$N915=0,TODAY()-BD_DETALLE!$C915,BD_DETALLE!$N915-BD_DETALLE!$C915)),"")</f>
        <v>3</v>
      </c>
    </row>
    <row r="916" spans="2:18" x14ac:dyDescent="0.25">
      <c r="B916" s="15" t="str">
        <f t="shared" si="77"/>
        <v>2104-141-320281</v>
      </c>
      <c r="C916" s="7">
        <v>44302</v>
      </c>
      <c r="D916" s="5" t="str">
        <f>IF(BD_DETALLE!$E916&gt;=1,CONCATENATE(TEXT(BD_DETALLE!$C916,"YY"),TEXT(BD_DETALLE!$C916,"MM"),"-",BD_DETALLE!$E916),"")</f>
        <v>2104-141</v>
      </c>
      <c r="E916" s="12">
        <v>141</v>
      </c>
      <c r="F916" s="21">
        <v>320281</v>
      </c>
      <c r="G916" s="4" t="str">
        <f>IFERROR(VLOOKUP(BD_DETALLE!$B916,Tabla9[],6,0),"")</f>
        <v>ORING # 523116-04</v>
      </c>
      <c r="H916" s="6">
        <f>IFERROR(VLOOKUP(BD_DETALLE!$B916,Tabla9[],4,0),0)</f>
        <v>12</v>
      </c>
      <c r="I916" s="19" t="s">
        <v>19</v>
      </c>
      <c r="J916" s="20" t="s">
        <v>2330</v>
      </c>
      <c r="K916" s="10">
        <f>IFERROR(VLOOKUP(BD_DETALLE!B916,Tabla9[],7,0),"")</f>
        <v>0</v>
      </c>
      <c r="L916" s="11">
        <f>IFERROR(VLOOKUP(BD_DETALLE!B916,Tabla9[],8,0),"")</f>
        <v>0</v>
      </c>
      <c r="M916" s="9">
        <f>IFERROR(SUMIFS(Tabla9[CANTIDAD2],Tabla9[BUSQUEDA],Tabla3[[#This Row],[BUSQUEDA]],Tabla9[CODIGO],Tabla3[[#This Row],[CODIGO]],Tabla9[ORDEN No.],Tabla3[[#This Row],[ORDEN de COMPRA]]),0)</f>
        <v>0</v>
      </c>
      <c r="N916" s="27">
        <f>IFERROR(IF(BD_DETALLE!B916&gt;0,VLOOKUP(BD_DETALLE!B916,Tabla9[],10,0),""),"")</f>
        <v>0</v>
      </c>
      <c r="O916" s="28">
        <f>IFERROR(VLOOKUP(BD_DETALLE!B916,Tabla9[],11,0),0)</f>
        <v>0</v>
      </c>
      <c r="P916" s="26">
        <f>IFERROR(SUMIFS(Tabla9[CANTIDAD3],Tabla9[BUSQUEDA],Tabla3[[#This Row],[BUSQUEDA]],Tabla9[CODIGO],Tabla3[[#This Row],[CODIGO]]),0)</f>
        <v>0</v>
      </c>
      <c r="Q916" s="25">
        <f>IF(BD_DETALLE!P916&lt;=0,0,IF(BD_DETALLE!P916=BD_DETALLE!H916,2,1))</f>
        <v>0</v>
      </c>
      <c r="R916" s="41">
        <f ca="1">IF(BD_DETALLE!$C916&gt;0,(IF(BD_DETALLE!$N916=0,TODAY()-BD_DETALLE!$C916,BD_DETALLE!$N916-BD_DETALLE!$C916)),"")</f>
        <v>3</v>
      </c>
    </row>
    <row r="917" spans="2:18" x14ac:dyDescent="0.25">
      <c r="B917" s="15" t="str">
        <f t="shared" si="77"/>
        <v>2104-141-321108</v>
      </c>
      <c r="C917" s="7">
        <v>44302</v>
      </c>
      <c r="D917" s="5" t="str">
        <f>IF(BD_DETALLE!$E917&gt;=1,CONCATENATE(TEXT(BD_DETALLE!$C917,"YY"),TEXT(BD_DETALLE!$C917,"MM"),"-",BD_DETALLE!$E917),"")</f>
        <v>2104-141</v>
      </c>
      <c r="E917" s="12">
        <v>141</v>
      </c>
      <c r="F917" s="21">
        <v>321108</v>
      </c>
      <c r="G917" s="4" t="str">
        <f>IFERROR(VLOOKUP(BD_DETALLE!$B917,Tabla9[],6,0),"")</f>
        <v>PROTECTOR  # 236740-01</v>
      </c>
      <c r="H917" s="6">
        <f>IFERROR(VLOOKUP(BD_DETALLE!$B917,Tabla9[],4,0),0)</f>
        <v>24</v>
      </c>
      <c r="I917" s="19" t="s">
        <v>19</v>
      </c>
      <c r="J917" s="20" t="s">
        <v>2330</v>
      </c>
      <c r="K917" s="10">
        <f>IFERROR(VLOOKUP(BD_DETALLE!B917,Tabla9[],7,0),"")</f>
        <v>0</v>
      </c>
      <c r="L917" s="11">
        <f>IFERROR(VLOOKUP(BD_DETALLE!B917,Tabla9[],8,0),"")</f>
        <v>0</v>
      </c>
      <c r="M917" s="9">
        <f>IFERROR(SUMIFS(Tabla9[CANTIDAD2],Tabla9[BUSQUEDA],Tabla3[[#This Row],[BUSQUEDA]],Tabla9[CODIGO],Tabla3[[#This Row],[CODIGO]],Tabla9[ORDEN No.],Tabla3[[#This Row],[ORDEN de COMPRA]]),0)</f>
        <v>0</v>
      </c>
      <c r="N917" s="27">
        <f>IFERROR(IF(BD_DETALLE!B917&gt;0,VLOOKUP(BD_DETALLE!B917,Tabla9[],10,0),""),"")</f>
        <v>0</v>
      </c>
      <c r="O917" s="28">
        <f>IFERROR(VLOOKUP(BD_DETALLE!B917,Tabla9[],11,0),0)</f>
        <v>0</v>
      </c>
      <c r="P917" s="26">
        <f>IFERROR(SUMIFS(Tabla9[CANTIDAD3],Tabla9[BUSQUEDA],Tabla3[[#This Row],[BUSQUEDA]],Tabla9[CODIGO],Tabla3[[#This Row],[CODIGO]]),0)</f>
        <v>0</v>
      </c>
      <c r="Q917" s="25">
        <f>IF(BD_DETALLE!P917&lt;=0,0,IF(BD_DETALLE!P917=BD_DETALLE!H917,2,1))</f>
        <v>0</v>
      </c>
      <c r="R917" s="41">
        <f ca="1">IF(BD_DETALLE!$C917&gt;0,(IF(BD_DETALLE!$N917=0,TODAY()-BD_DETALLE!$C917,BD_DETALLE!$N917-BD_DETALLE!$C917)),"")</f>
        <v>3</v>
      </c>
    </row>
    <row r="918" spans="2:18" x14ac:dyDescent="0.25">
      <c r="B918" s="15" t="str">
        <f t="shared" si="77"/>
        <v>2104-141-321109</v>
      </c>
      <c r="C918" s="7">
        <v>44302</v>
      </c>
      <c r="D918" s="5" t="str">
        <f>IF(BD_DETALLE!$E918&gt;=1,CONCATENATE(TEXT(BD_DETALLE!$C918,"YY"),TEXT(BD_DETALLE!$C918,"MM"),"-",BD_DETALLE!$E918),"")</f>
        <v>2104-141</v>
      </c>
      <c r="E918" s="12">
        <v>141</v>
      </c>
      <c r="F918" s="21">
        <v>321109</v>
      </c>
      <c r="G918" s="4" t="str">
        <f>IFERROR(VLOOKUP(BD_DETALLE!$B918,Tabla9[],6,0),"")</f>
        <v>JUNTA  # 528167-01</v>
      </c>
      <c r="H918" s="6">
        <f>IFERROR(VLOOKUP(BD_DETALLE!$B918,Tabla9[],4,0),0)</f>
        <v>6</v>
      </c>
      <c r="I918" s="19" t="s">
        <v>19</v>
      </c>
      <c r="J918" s="20" t="s">
        <v>2330</v>
      </c>
      <c r="K918" s="10">
        <f>IFERROR(VLOOKUP(BD_DETALLE!B918,Tabla9[],7,0),"")</f>
        <v>0</v>
      </c>
      <c r="L918" s="11">
        <f>IFERROR(VLOOKUP(BD_DETALLE!B918,Tabla9[],8,0),"")</f>
        <v>0</v>
      </c>
      <c r="M918" s="9">
        <f>IFERROR(SUMIFS(Tabla9[CANTIDAD2],Tabla9[BUSQUEDA],Tabla3[[#This Row],[BUSQUEDA]],Tabla9[CODIGO],Tabla3[[#This Row],[CODIGO]],Tabla9[ORDEN No.],Tabla3[[#This Row],[ORDEN de COMPRA]]),0)</f>
        <v>0</v>
      </c>
      <c r="N918" s="27">
        <f>IFERROR(IF(BD_DETALLE!B918&gt;0,VLOOKUP(BD_DETALLE!B918,Tabla9[],10,0),""),"")</f>
        <v>0</v>
      </c>
      <c r="O918" s="28">
        <f>IFERROR(VLOOKUP(BD_DETALLE!B918,Tabla9[],11,0),0)</f>
        <v>0</v>
      </c>
      <c r="P918" s="26">
        <f>IFERROR(SUMIFS(Tabla9[CANTIDAD3],Tabla9[BUSQUEDA],Tabla3[[#This Row],[BUSQUEDA]],Tabla9[CODIGO],Tabla3[[#This Row],[CODIGO]]),0)</f>
        <v>0</v>
      </c>
      <c r="Q918" s="25">
        <f>IF(BD_DETALLE!P918&lt;=0,0,IF(BD_DETALLE!P918=BD_DETALLE!H918,2,1))</f>
        <v>0</v>
      </c>
      <c r="R918" s="41">
        <f ca="1">IF(BD_DETALLE!$C918&gt;0,(IF(BD_DETALLE!$N918=0,TODAY()-BD_DETALLE!$C918,BD_DETALLE!$N918-BD_DETALLE!$C918)),"")</f>
        <v>3</v>
      </c>
    </row>
    <row r="919" spans="2:18" x14ac:dyDescent="0.25">
      <c r="B919" s="15" t="str">
        <f t="shared" si="77"/>
        <v>2104-141-321110</v>
      </c>
      <c r="C919" s="7">
        <v>44302</v>
      </c>
      <c r="D919" s="5" t="str">
        <f>IF(BD_DETALLE!$E919&gt;=1,CONCATENATE(TEXT(BD_DETALLE!$C919,"YY"),TEXT(BD_DETALLE!$C919,"MM"),"-",BD_DETALLE!$E919),"")</f>
        <v>2104-141</v>
      </c>
      <c r="E919" s="12">
        <v>141</v>
      </c>
      <c r="F919" s="21">
        <v>321110</v>
      </c>
      <c r="G919" s="4" t="str">
        <f>IFERROR(VLOOKUP(BD_DETALLE!$B919,Tabla9[],6,0),"")</f>
        <v>SPRING  #  26008303</v>
      </c>
      <c r="H919" s="6">
        <f>IFERROR(VLOOKUP(BD_DETALLE!$B919,Tabla9[],4,0),0)</f>
        <v>24</v>
      </c>
      <c r="I919" s="19" t="s">
        <v>19</v>
      </c>
      <c r="J919" s="20" t="s">
        <v>2330</v>
      </c>
      <c r="K919" s="10">
        <f>IFERROR(VLOOKUP(BD_DETALLE!B919,Tabla9[],7,0),"")</f>
        <v>0</v>
      </c>
      <c r="L919" s="11">
        <f>IFERROR(VLOOKUP(BD_DETALLE!B919,Tabla9[],8,0),"")</f>
        <v>0</v>
      </c>
      <c r="M919" s="9">
        <f>IFERROR(SUMIFS(Tabla9[CANTIDAD2],Tabla9[BUSQUEDA],Tabla3[[#This Row],[BUSQUEDA]],Tabla9[CODIGO],Tabla3[[#This Row],[CODIGO]],Tabla9[ORDEN No.],Tabla3[[#This Row],[ORDEN de COMPRA]]),0)</f>
        <v>0</v>
      </c>
      <c r="N919" s="27">
        <f>IFERROR(IF(BD_DETALLE!B919&gt;0,VLOOKUP(BD_DETALLE!B919,Tabla9[],10,0),""),"")</f>
        <v>0</v>
      </c>
      <c r="O919" s="28">
        <f>IFERROR(VLOOKUP(BD_DETALLE!B919,Tabla9[],11,0),0)</f>
        <v>0</v>
      </c>
      <c r="P919" s="26">
        <f>IFERROR(SUMIFS(Tabla9[CANTIDAD3],Tabla9[BUSQUEDA],Tabla3[[#This Row],[BUSQUEDA]],Tabla9[CODIGO],Tabla3[[#This Row],[CODIGO]]),0)</f>
        <v>0</v>
      </c>
      <c r="Q919" s="25">
        <f>IF(BD_DETALLE!P919&lt;=0,0,IF(BD_DETALLE!P919=BD_DETALLE!H919,2,1))</f>
        <v>0</v>
      </c>
      <c r="R919" s="41">
        <f ca="1">IF(BD_DETALLE!$C919&gt;0,(IF(BD_DETALLE!$N919=0,TODAY()-BD_DETALLE!$C919,BD_DETALLE!$N919-BD_DETALLE!$C919)),"")</f>
        <v>3</v>
      </c>
    </row>
    <row r="920" spans="2:18" x14ac:dyDescent="0.25">
      <c r="B920" s="15" t="str">
        <f t="shared" si="77"/>
        <v>2104-141-321112</v>
      </c>
      <c r="C920" s="7">
        <v>44302</v>
      </c>
      <c r="D920" s="5" t="str">
        <f>IF(BD_DETALLE!$E920&gt;=1,CONCATENATE(TEXT(BD_DETALLE!$C920,"YY"),TEXT(BD_DETALLE!$C920,"MM"),"-",BD_DETALLE!$E920),"")</f>
        <v>2104-141</v>
      </c>
      <c r="E920" s="12">
        <v>141</v>
      </c>
      <c r="F920" s="21">
        <v>321112</v>
      </c>
      <c r="G920" s="4" t="str">
        <f>IFERROR(VLOOKUP(BD_DETALLE!$B920,Tabla9[],6,0),"")</f>
        <v>PERNO  #  520401-04</v>
      </c>
      <c r="H920" s="6">
        <f>IFERROR(VLOOKUP(BD_DETALLE!$B920,Tabla9[],4,0),0)</f>
        <v>6</v>
      </c>
      <c r="I920" s="19" t="s">
        <v>19</v>
      </c>
      <c r="J920" s="20" t="s">
        <v>2330</v>
      </c>
      <c r="K920" s="10">
        <f>IFERROR(VLOOKUP(BD_DETALLE!B920,Tabla9[],7,0),"")</f>
        <v>0</v>
      </c>
      <c r="L920" s="11">
        <f>IFERROR(VLOOKUP(BD_DETALLE!B920,Tabla9[],8,0),"")</f>
        <v>0</v>
      </c>
      <c r="M920" s="9">
        <f>IFERROR(SUMIFS(Tabla9[CANTIDAD2],Tabla9[BUSQUEDA],Tabla3[[#This Row],[BUSQUEDA]],Tabla9[CODIGO],Tabla3[[#This Row],[CODIGO]],Tabla9[ORDEN No.],Tabla3[[#This Row],[ORDEN de COMPRA]]),0)</f>
        <v>0</v>
      </c>
      <c r="N920" s="27">
        <f>IFERROR(IF(BD_DETALLE!B920&gt;0,VLOOKUP(BD_DETALLE!B920,Tabla9[],10,0),""),"")</f>
        <v>0</v>
      </c>
      <c r="O920" s="28">
        <f>IFERROR(VLOOKUP(BD_DETALLE!B920,Tabla9[],11,0),0)</f>
        <v>0</v>
      </c>
      <c r="P920" s="26">
        <f>IFERROR(SUMIFS(Tabla9[CANTIDAD3],Tabla9[BUSQUEDA],Tabla3[[#This Row],[BUSQUEDA]],Tabla9[CODIGO],Tabla3[[#This Row],[CODIGO]]),0)</f>
        <v>0</v>
      </c>
      <c r="Q920" s="25">
        <f>IF(BD_DETALLE!P920&lt;=0,0,IF(BD_DETALLE!P920=BD_DETALLE!H920,2,1))</f>
        <v>0</v>
      </c>
      <c r="R920" s="41">
        <f ca="1">IF(BD_DETALLE!$C920&gt;0,(IF(BD_DETALLE!$N920=0,TODAY()-BD_DETALLE!$C920,BD_DETALLE!$N920-BD_DETALLE!$C920)),"")</f>
        <v>3</v>
      </c>
    </row>
    <row r="921" spans="2:18" x14ac:dyDescent="0.25">
      <c r="B921" s="15" t="str">
        <f t="shared" si="77"/>
        <v>2104-141-321107</v>
      </c>
      <c r="C921" s="7">
        <v>44302</v>
      </c>
      <c r="D921" s="5" t="str">
        <f>IF(BD_DETALLE!$E921&gt;=1,CONCATENATE(TEXT(BD_DETALLE!$C921,"YY"),TEXT(BD_DETALLE!$C921,"MM"),"-",BD_DETALLE!$E921),"")</f>
        <v>2104-141</v>
      </c>
      <c r="E921" s="12">
        <v>141</v>
      </c>
      <c r="F921" s="21">
        <v>321107</v>
      </c>
      <c r="G921" s="4" t="str">
        <f>IFERROR(VLOOKUP(BD_DETALLE!$B921,Tabla9[],6,0),"")</f>
        <v>JUNTA  # 538591-57</v>
      </c>
      <c r="H921" s="6">
        <f>IFERROR(VLOOKUP(BD_DETALLE!$B921,Tabla9[],4,0),0)</f>
        <v>2</v>
      </c>
      <c r="I921" s="19" t="s">
        <v>19</v>
      </c>
      <c r="J921" s="20" t="s">
        <v>2330</v>
      </c>
      <c r="K921" s="10">
        <f>IFERROR(VLOOKUP(BD_DETALLE!B921,Tabla9[],7,0),"")</f>
        <v>0</v>
      </c>
      <c r="L921" s="11">
        <f>IFERROR(VLOOKUP(BD_DETALLE!B921,Tabla9[],8,0),"")</f>
        <v>0</v>
      </c>
      <c r="M921" s="9">
        <f>IFERROR(SUMIFS(Tabla9[CANTIDAD2],Tabla9[BUSQUEDA],Tabla3[[#This Row],[BUSQUEDA]],Tabla9[CODIGO],Tabla3[[#This Row],[CODIGO]],Tabla9[ORDEN No.],Tabla3[[#This Row],[ORDEN de COMPRA]]),0)</f>
        <v>0</v>
      </c>
      <c r="N921" s="27">
        <f>IFERROR(IF(BD_DETALLE!B921&gt;0,VLOOKUP(BD_DETALLE!B921,Tabla9[],10,0),""),"")</f>
        <v>0</v>
      </c>
      <c r="O921" s="28">
        <f>IFERROR(VLOOKUP(BD_DETALLE!B921,Tabla9[],11,0),0)</f>
        <v>0</v>
      </c>
      <c r="P921" s="26">
        <f>IFERROR(SUMIFS(Tabla9[CANTIDAD3],Tabla9[BUSQUEDA],Tabla3[[#This Row],[BUSQUEDA]],Tabla9[CODIGO],Tabla3[[#This Row],[CODIGO]]),0)</f>
        <v>0</v>
      </c>
      <c r="Q921" s="25">
        <f>IF(BD_DETALLE!P921&lt;=0,0,IF(BD_DETALLE!P921=BD_DETALLE!H921,2,1))</f>
        <v>0</v>
      </c>
      <c r="R921" s="41">
        <f ca="1">IF(BD_DETALLE!$C921&gt;0,(IF(BD_DETALLE!$N921=0,TODAY()-BD_DETALLE!$C921,BD_DETALLE!$N921-BD_DETALLE!$C921)),"")</f>
        <v>3</v>
      </c>
    </row>
    <row r="922" spans="2:18" x14ac:dyDescent="0.25">
      <c r="B922" s="15" t="str">
        <f t="shared" si="77"/>
        <v>2104-141-321113</v>
      </c>
      <c r="C922" s="7">
        <v>44302</v>
      </c>
      <c r="D922" s="5" t="str">
        <f>IF(BD_DETALLE!$E922&gt;=1,CONCATENATE(TEXT(BD_DETALLE!$C922,"YY"),TEXT(BD_DETALLE!$C922,"MM"),"-",BD_DETALLE!$E922),"")</f>
        <v>2104-141</v>
      </c>
      <c r="E922" s="12">
        <v>141</v>
      </c>
      <c r="F922" s="21">
        <v>321113</v>
      </c>
      <c r="G922" s="4" t="str">
        <f>IFERROR(VLOOKUP(BD_DETALLE!$B922,Tabla9[],6,0),"")</f>
        <v>ORING  # 74654</v>
      </c>
      <c r="H922" s="6">
        <f>IFERROR(VLOOKUP(BD_DETALLE!$B922,Tabla9[],4,0),0)</f>
        <v>12</v>
      </c>
      <c r="I922" s="19" t="s">
        <v>19</v>
      </c>
      <c r="J922" s="20" t="s">
        <v>2330</v>
      </c>
      <c r="K922" s="10">
        <f>IFERROR(VLOOKUP(BD_DETALLE!B922,Tabla9[],7,0),"")</f>
        <v>0</v>
      </c>
      <c r="L922" s="11">
        <f>IFERROR(VLOOKUP(BD_DETALLE!B922,Tabla9[],8,0),"")</f>
        <v>0</v>
      </c>
      <c r="M922" s="9">
        <f>IFERROR(SUMIFS(Tabla9[CANTIDAD2],Tabla9[BUSQUEDA],Tabla3[[#This Row],[BUSQUEDA]],Tabla9[CODIGO],Tabla3[[#This Row],[CODIGO]],Tabla9[ORDEN No.],Tabla3[[#This Row],[ORDEN de COMPRA]]),0)</f>
        <v>0</v>
      </c>
      <c r="N922" s="27">
        <f>IFERROR(IF(BD_DETALLE!B922&gt;0,VLOOKUP(BD_DETALLE!B922,Tabla9[],10,0),""),"")</f>
        <v>0</v>
      </c>
      <c r="O922" s="28">
        <f>IFERROR(VLOOKUP(BD_DETALLE!B922,Tabla9[],11,0),0)</f>
        <v>0</v>
      </c>
      <c r="P922" s="26">
        <f>IFERROR(SUMIFS(Tabla9[CANTIDAD3],Tabla9[BUSQUEDA],Tabla3[[#This Row],[BUSQUEDA]],Tabla9[CODIGO],Tabla3[[#This Row],[CODIGO]]),0)</f>
        <v>0</v>
      </c>
      <c r="Q922" s="25">
        <f>IF(BD_DETALLE!P922&lt;=0,0,IF(BD_DETALLE!P922=BD_DETALLE!H922,2,1))</f>
        <v>0</v>
      </c>
      <c r="R922" s="41">
        <f ca="1">IF(BD_DETALLE!$C922&gt;0,(IF(BD_DETALLE!$N922=0,TODAY()-BD_DETALLE!$C922,BD_DETALLE!$N922-BD_DETALLE!$C922)),"")</f>
        <v>3</v>
      </c>
    </row>
    <row r="923" spans="2:18" x14ac:dyDescent="0.25">
      <c r="B923" s="17" t="str">
        <f t="shared" si="77"/>
        <v>2104-141-321111</v>
      </c>
      <c r="C923" s="8">
        <v>44302</v>
      </c>
      <c r="D923" s="37" t="str">
        <f>IF(BD_DETALLE!$E923&gt;=1,CONCATENATE(TEXT(BD_DETALLE!$C923,"YY"),TEXT(BD_DETALLE!$C923,"MM"),"-",BD_DETALLE!$E923),"")</f>
        <v>2104-141</v>
      </c>
      <c r="E923" s="22">
        <v>141</v>
      </c>
      <c r="F923" s="23">
        <v>321111</v>
      </c>
      <c r="G923" s="38" t="str">
        <f>IFERROR(VLOOKUP(BD_DETALLE!$B923,Tabla9[],6,0),"")</f>
        <v>JUNTA  # 536423-04</v>
      </c>
      <c r="H923" s="39">
        <f>IFERROR(VLOOKUP(BD_DETALLE!$B923,Tabla9[],4,0),0)</f>
        <v>3</v>
      </c>
      <c r="I923" s="19" t="s">
        <v>19</v>
      </c>
      <c r="J923" s="20" t="s">
        <v>2330</v>
      </c>
      <c r="K923" s="10">
        <f>IFERROR(VLOOKUP(BD_DETALLE!B923,Tabla9[],7,0),"")</f>
        <v>0</v>
      </c>
      <c r="L923" s="11">
        <f>IFERROR(VLOOKUP(BD_DETALLE!B923,Tabla9[],8,0),"")</f>
        <v>0</v>
      </c>
      <c r="M923" s="9">
        <f>IFERROR(SUMIFS(Tabla9[CANTIDAD2],Tabla9[BUSQUEDA],Tabla3[[#This Row],[BUSQUEDA]],Tabla9[CODIGO],Tabla3[[#This Row],[CODIGO]],Tabla9[ORDEN No.],Tabla3[[#This Row],[ORDEN de COMPRA]]),0)</f>
        <v>0</v>
      </c>
      <c r="N923" s="27">
        <f>IFERROR(IF(BD_DETALLE!B923&gt;0,VLOOKUP(BD_DETALLE!B923,Tabla9[],10,0),""),"")</f>
        <v>0</v>
      </c>
      <c r="O923" s="28">
        <f>IFERROR(VLOOKUP(BD_DETALLE!B923,Tabla9[],11,0),0)</f>
        <v>0</v>
      </c>
      <c r="P923" s="26">
        <f>IFERROR(SUMIFS(Tabla9[CANTIDAD3],Tabla9[BUSQUEDA],Tabla3[[#This Row],[BUSQUEDA]],Tabla9[CODIGO],Tabla3[[#This Row],[CODIGO]]),0)</f>
        <v>0</v>
      </c>
      <c r="Q923" s="25">
        <f>IF(BD_DETALLE!P923&lt;=0,0,IF(BD_DETALLE!P923=BD_DETALLE!H923,2,1))</f>
        <v>0</v>
      </c>
      <c r="R923" s="41">
        <f ca="1">IF(BD_DETALLE!$C923&gt;0,(IF(BD_DETALLE!$N923=0,TODAY()-BD_DETALLE!$C923,BD_DETALLE!$N923-BD_DETALLE!$C923)),"")</f>
        <v>3</v>
      </c>
    </row>
  </sheetData>
  <dataConsolidate/>
  <mergeCells count="5">
    <mergeCell ref="L3:M3"/>
    <mergeCell ref="L4:M4"/>
    <mergeCell ref="L5:M5"/>
    <mergeCell ref="L2:N2"/>
    <mergeCell ref="P2:Q2"/>
  </mergeCells>
  <conditionalFormatting sqref="N3:N5">
    <cfRule type="iconSet" priority="18576">
      <iconSet showValue="0">
        <cfvo type="percent" val="0"/>
        <cfvo type="num" val="1"/>
        <cfvo type="num" val="2"/>
      </iconSet>
    </cfRule>
  </conditionalFormatting>
  <conditionalFormatting sqref="Q3:Q4">
    <cfRule type="iconSet" priority="18574">
      <iconSet iconSet="3Symbols2" showValue="0">
        <cfvo type="percent" val="0"/>
        <cfvo type="num" val="1"/>
        <cfvo type="num" val="2"/>
      </iconSet>
    </cfRule>
  </conditionalFormatting>
  <conditionalFormatting sqref="G22:H22 G9:H9 G10:I10 I11:I12 G11:H19 G23:I23 G20:I21 G8:I8">
    <cfRule type="cellIs" dxfId="269" priority="9056" operator="equal">
      <formula>"CAJA CH. A.VILLON"</formula>
    </cfRule>
  </conditionalFormatting>
  <conditionalFormatting sqref="I90 I10:I12 I61:I62 I94:I95 I155 I167:I168 I247 I267:I268 I78:I80 I20:I21 I107:I110 I116:I121 I82 I23:I25 I85:I88 I101:I103 I8 I105 I149 I151 I160:I162 I171:I173 I276 I252:I264 I270:I274">
    <cfRule type="cellIs" dxfId="268" priority="8960" operator="equal">
      <formula>"PAGOS EN CHEQUE"</formula>
    </cfRule>
    <cfRule type="cellIs" dxfId="267" priority="8962" operator="equal">
      <formula>"CAJA CH. A.VILLON"</formula>
    </cfRule>
    <cfRule type="cellIs" dxfId="266" priority="11250" operator="equal">
      <formula>"PAGOS EN CHEQUE"</formula>
    </cfRule>
    <cfRule type="cellIs" dxfId="265" priority="11251" operator="equal">
      <formula>"ING. CARLOS ONETO"</formula>
    </cfRule>
    <cfRule type="cellIs" dxfId="264" priority="11252" operator="equal">
      <formula>"CAJA CH. A. VILLON"</formula>
    </cfRule>
    <cfRule type="cellIs" dxfId="263" priority="11253" operator="equal">
      <formula>"CAJA CH. A. ARIAS"</formula>
    </cfRule>
    <cfRule type="cellIs" dxfId="262" priority="11254" operator="equal">
      <formula>"CREDITO LOCAL"</formula>
    </cfRule>
    <cfRule type="cellIs" dxfId="261" priority="11255" operator="equal">
      <formula>"COMPRA LOCAL"</formula>
    </cfRule>
  </conditionalFormatting>
  <conditionalFormatting sqref="I9">
    <cfRule type="cellIs" dxfId="260" priority="5393" operator="equal">
      <formula>"CAJA CH. A.VILLON"</formula>
    </cfRule>
  </conditionalFormatting>
  <conditionalFormatting sqref="I9">
    <cfRule type="cellIs" dxfId="259" priority="5391" operator="equal">
      <formula>"PAGOS EN CHEQUE"</formula>
    </cfRule>
    <cfRule type="cellIs" dxfId="258" priority="5392" operator="equal">
      <formula>"CAJA CH. A.VILLON"</formula>
    </cfRule>
    <cfRule type="cellIs" dxfId="257" priority="5394" operator="equal">
      <formula>"PAGOS EN CHEQUE"</formula>
    </cfRule>
    <cfRule type="cellIs" dxfId="256" priority="5395" operator="equal">
      <formula>"ING. CARLOS ONETO"</formula>
    </cfRule>
    <cfRule type="cellIs" dxfId="255" priority="5396" operator="equal">
      <formula>"CAJA CH. A. VILLON"</formula>
    </cfRule>
    <cfRule type="cellIs" dxfId="254" priority="5397" operator="equal">
      <formula>"CAJA CH. A. ARIAS"</formula>
    </cfRule>
    <cfRule type="cellIs" dxfId="253" priority="5398" operator="equal">
      <formula>"CREDITO LOCAL"</formula>
    </cfRule>
    <cfRule type="cellIs" dxfId="252" priority="5399" operator="equal">
      <formula>"COMPRA LOCAL"</formula>
    </cfRule>
  </conditionalFormatting>
  <conditionalFormatting sqref="I13">
    <cfRule type="cellIs" dxfId="251" priority="5033" operator="equal">
      <formula>"CAJA CH. A.VILLON"</formula>
    </cfRule>
  </conditionalFormatting>
  <conditionalFormatting sqref="I13">
    <cfRule type="cellIs" dxfId="250" priority="5031" operator="equal">
      <formula>"PAGOS EN CHEQUE"</formula>
    </cfRule>
    <cfRule type="cellIs" dxfId="249" priority="5032" operator="equal">
      <formula>"CAJA CH. A.VILLON"</formula>
    </cfRule>
    <cfRule type="cellIs" dxfId="248" priority="5034" operator="equal">
      <formula>"PAGOS EN CHEQUE"</formula>
    </cfRule>
    <cfRule type="cellIs" dxfId="247" priority="5035" operator="equal">
      <formula>"ING. CARLOS ONETO"</formula>
    </cfRule>
    <cfRule type="cellIs" dxfId="246" priority="5036" operator="equal">
      <formula>"CAJA CH. A. VILLON"</formula>
    </cfRule>
    <cfRule type="cellIs" dxfId="245" priority="5037" operator="equal">
      <formula>"CAJA CH. A. ARIAS"</formula>
    </cfRule>
    <cfRule type="cellIs" dxfId="244" priority="5038" operator="equal">
      <formula>"CREDITO LOCAL"</formula>
    </cfRule>
    <cfRule type="cellIs" dxfId="243" priority="5039" operator="equal">
      <formula>"COMPRA LOCAL"</formula>
    </cfRule>
  </conditionalFormatting>
  <conditionalFormatting sqref="I14:I19">
    <cfRule type="cellIs" dxfId="242" priority="5024" operator="equal">
      <formula>"CAJA CH. A.VILLON"</formula>
    </cfRule>
  </conditionalFormatting>
  <conditionalFormatting sqref="I14:I19">
    <cfRule type="cellIs" dxfId="241" priority="5022" operator="equal">
      <formula>"PAGOS EN CHEQUE"</formula>
    </cfRule>
    <cfRule type="cellIs" dxfId="240" priority="5023" operator="equal">
      <formula>"CAJA CH. A.VILLON"</formula>
    </cfRule>
    <cfRule type="cellIs" dxfId="239" priority="5025" operator="equal">
      <formula>"PAGOS EN CHEQUE"</formula>
    </cfRule>
    <cfRule type="cellIs" dxfId="238" priority="5026" operator="equal">
      <formula>"ING. CARLOS ONETO"</formula>
    </cfRule>
    <cfRule type="cellIs" dxfId="237" priority="5027" operator="equal">
      <formula>"CAJA CH. A. VILLON"</formula>
    </cfRule>
    <cfRule type="cellIs" dxfId="236" priority="5028" operator="equal">
      <formula>"CAJA CH. A. ARIAS"</formula>
    </cfRule>
    <cfRule type="cellIs" dxfId="235" priority="5029" operator="equal">
      <formula>"CREDITO LOCAL"</formula>
    </cfRule>
    <cfRule type="cellIs" dxfId="234" priority="5030" operator="equal">
      <formula>"COMPRA LOCAL"</formula>
    </cfRule>
  </conditionalFormatting>
  <conditionalFormatting sqref="I22">
    <cfRule type="cellIs" dxfId="233" priority="4606" operator="equal">
      <formula>"CAJA CH. A.VILLON"</formula>
    </cfRule>
  </conditionalFormatting>
  <conditionalFormatting sqref="I22">
    <cfRule type="cellIs" dxfId="232" priority="4604" operator="equal">
      <formula>"PAGOS EN CHEQUE"</formula>
    </cfRule>
    <cfRule type="cellIs" dxfId="231" priority="4605" operator="equal">
      <formula>"CAJA CH. A.VILLON"</formula>
    </cfRule>
    <cfRule type="cellIs" dxfId="230" priority="4607" operator="equal">
      <formula>"PAGOS EN CHEQUE"</formula>
    </cfRule>
    <cfRule type="cellIs" dxfId="229" priority="4608" operator="equal">
      <formula>"ING. CARLOS ONETO"</formula>
    </cfRule>
    <cfRule type="cellIs" dxfId="228" priority="4609" operator="equal">
      <formula>"CAJA CH. A. VILLON"</formula>
    </cfRule>
    <cfRule type="cellIs" dxfId="227" priority="4610" operator="equal">
      <formula>"CAJA CH. A. ARIAS"</formula>
    </cfRule>
    <cfRule type="cellIs" dxfId="226" priority="4611" operator="equal">
      <formula>"CREDITO LOCAL"</formula>
    </cfRule>
    <cfRule type="cellIs" dxfId="225" priority="4612" operator="equal">
      <formula>"COMPRA LOCAL"</formula>
    </cfRule>
  </conditionalFormatting>
  <conditionalFormatting sqref="I26:I60">
    <cfRule type="cellIs" dxfId="224" priority="3350" operator="equal">
      <formula>"PAGOS EN CHEQUE"</formula>
    </cfRule>
    <cfRule type="cellIs" dxfId="223" priority="3351" operator="equal">
      <formula>"CAJA CH. A.VILLON"</formula>
    </cfRule>
    <cfRule type="cellIs" dxfId="222" priority="3352" operator="equal">
      <formula>"PAGOS EN CHEQUE"</formula>
    </cfRule>
    <cfRule type="cellIs" dxfId="221" priority="3353" operator="equal">
      <formula>"ING. CARLOS ONETO"</formula>
    </cfRule>
    <cfRule type="cellIs" dxfId="220" priority="3354" operator="equal">
      <formula>"CAJA CH. A. VILLON"</formula>
    </cfRule>
    <cfRule type="cellIs" dxfId="219" priority="3355" operator="equal">
      <formula>"CAJA CH. A. ARIAS"</formula>
    </cfRule>
    <cfRule type="cellIs" dxfId="218" priority="3356" operator="equal">
      <formula>"CREDITO LOCAL"</formula>
    </cfRule>
    <cfRule type="cellIs" dxfId="217" priority="3357" operator="equal">
      <formula>"COMPRA LOCAL"</formula>
    </cfRule>
  </conditionalFormatting>
  <conditionalFormatting sqref="I63:I77">
    <cfRule type="cellIs" dxfId="216" priority="3278" operator="equal">
      <formula>"PAGOS EN CHEQUE"</formula>
    </cfRule>
    <cfRule type="cellIs" dxfId="215" priority="3279" operator="equal">
      <formula>"CAJA CH. A.VILLON"</formula>
    </cfRule>
    <cfRule type="cellIs" dxfId="214" priority="3280" operator="equal">
      <formula>"PAGOS EN CHEQUE"</formula>
    </cfRule>
    <cfRule type="cellIs" dxfId="213" priority="3281" operator="equal">
      <formula>"ING. CARLOS ONETO"</formula>
    </cfRule>
    <cfRule type="cellIs" dxfId="212" priority="3282" operator="equal">
      <formula>"CAJA CH. A. VILLON"</formula>
    </cfRule>
    <cfRule type="cellIs" dxfId="211" priority="3283" operator="equal">
      <formula>"CAJA CH. A. ARIAS"</formula>
    </cfRule>
    <cfRule type="cellIs" dxfId="210" priority="3284" operator="equal">
      <formula>"CREDITO LOCAL"</formula>
    </cfRule>
    <cfRule type="cellIs" dxfId="209" priority="3285" operator="equal">
      <formula>"COMPRA LOCAL"</formula>
    </cfRule>
  </conditionalFormatting>
  <conditionalFormatting sqref="I81">
    <cfRule type="cellIs" dxfId="208" priority="3124" operator="equal">
      <formula>"PAGOS EN CHEQUE"</formula>
    </cfRule>
    <cfRule type="cellIs" dxfId="207" priority="3125" operator="equal">
      <formula>"CAJA CH. A.VILLON"</formula>
    </cfRule>
    <cfRule type="cellIs" dxfId="206" priority="3126" operator="equal">
      <formula>"PAGOS EN CHEQUE"</formula>
    </cfRule>
    <cfRule type="cellIs" dxfId="205" priority="3127" operator="equal">
      <formula>"ING. CARLOS ONETO"</formula>
    </cfRule>
    <cfRule type="cellIs" dxfId="204" priority="3128" operator="equal">
      <formula>"CAJA CH. A. VILLON"</formula>
    </cfRule>
    <cfRule type="cellIs" dxfId="203" priority="3129" operator="equal">
      <formula>"CAJA CH. A. ARIAS"</formula>
    </cfRule>
    <cfRule type="cellIs" dxfId="202" priority="3130" operator="equal">
      <formula>"CREDITO LOCAL"</formula>
    </cfRule>
    <cfRule type="cellIs" dxfId="201" priority="3131" operator="equal">
      <formula>"COMPRA LOCAL"</formula>
    </cfRule>
  </conditionalFormatting>
  <conditionalFormatting sqref="Q21:Q23">
    <cfRule type="iconSet" priority="37765">
      <iconSet showValue="0">
        <cfvo type="percent" val="0"/>
        <cfvo type="num" val="0" gte="0"/>
        <cfvo type="num" val="2"/>
      </iconSet>
    </cfRule>
  </conditionalFormatting>
  <conditionalFormatting sqref="I83:I84">
    <cfRule type="cellIs" dxfId="200" priority="2176" operator="equal">
      <formula>"PAGOS EN CHEQUE"</formula>
    </cfRule>
    <cfRule type="cellIs" dxfId="199" priority="2177" operator="equal">
      <formula>"CAJA CH. A.VILLON"</formula>
    </cfRule>
    <cfRule type="cellIs" dxfId="198" priority="2178" operator="equal">
      <formula>"PAGOS EN CHEQUE"</formula>
    </cfRule>
    <cfRule type="cellIs" dxfId="197" priority="2179" operator="equal">
      <formula>"ING. CARLOS ONETO"</formula>
    </cfRule>
    <cfRule type="cellIs" dxfId="196" priority="2180" operator="equal">
      <formula>"CAJA CH. A. VILLON"</formula>
    </cfRule>
    <cfRule type="cellIs" dxfId="195" priority="2181" operator="equal">
      <formula>"CAJA CH. A. ARIAS"</formula>
    </cfRule>
    <cfRule type="cellIs" dxfId="194" priority="2182" operator="equal">
      <formula>"CREDITO LOCAL"</formula>
    </cfRule>
    <cfRule type="cellIs" dxfId="193" priority="2183" operator="equal">
      <formula>"COMPRA LOCAL"</formula>
    </cfRule>
  </conditionalFormatting>
  <conditionalFormatting sqref="I89">
    <cfRule type="cellIs" dxfId="192" priority="2152" operator="equal">
      <formula>"PAGOS EN CHEQUE"</formula>
    </cfRule>
    <cfRule type="cellIs" dxfId="191" priority="2153" operator="equal">
      <formula>"CAJA CH. A.VILLON"</formula>
    </cfRule>
    <cfRule type="cellIs" dxfId="190" priority="2154" operator="equal">
      <formula>"PAGOS EN CHEQUE"</formula>
    </cfRule>
    <cfRule type="cellIs" dxfId="189" priority="2155" operator="equal">
      <formula>"ING. CARLOS ONETO"</formula>
    </cfRule>
    <cfRule type="cellIs" dxfId="188" priority="2156" operator="equal">
      <formula>"CAJA CH. A. VILLON"</formula>
    </cfRule>
    <cfRule type="cellIs" dxfId="187" priority="2157" operator="equal">
      <formula>"CAJA CH. A. ARIAS"</formula>
    </cfRule>
    <cfRule type="cellIs" dxfId="186" priority="2158" operator="equal">
      <formula>"CREDITO LOCAL"</formula>
    </cfRule>
    <cfRule type="cellIs" dxfId="185" priority="2159" operator="equal">
      <formula>"COMPRA LOCAL"</formula>
    </cfRule>
  </conditionalFormatting>
  <conditionalFormatting sqref="I91:I92">
    <cfRule type="cellIs" dxfId="184" priority="2144" operator="equal">
      <formula>"PAGOS EN CHEQUE"</formula>
    </cfRule>
    <cfRule type="cellIs" dxfId="183" priority="2145" operator="equal">
      <formula>"CAJA CH. A.VILLON"</formula>
    </cfRule>
    <cfRule type="cellIs" dxfId="182" priority="2146" operator="equal">
      <formula>"PAGOS EN CHEQUE"</formula>
    </cfRule>
    <cfRule type="cellIs" dxfId="181" priority="2147" operator="equal">
      <formula>"ING. CARLOS ONETO"</formula>
    </cfRule>
    <cfRule type="cellIs" dxfId="180" priority="2148" operator="equal">
      <formula>"CAJA CH. A. VILLON"</formula>
    </cfRule>
    <cfRule type="cellIs" dxfId="179" priority="2149" operator="equal">
      <formula>"CAJA CH. A. ARIAS"</formula>
    </cfRule>
    <cfRule type="cellIs" dxfId="178" priority="2150" operator="equal">
      <formula>"CREDITO LOCAL"</formula>
    </cfRule>
    <cfRule type="cellIs" dxfId="177" priority="2151" operator="equal">
      <formula>"COMPRA LOCAL"</formula>
    </cfRule>
  </conditionalFormatting>
  <conditionalFormatting sqref="I93">
    <cfRule type="cellIs" dxfId="176" priority="2136" operator="equal">
      <formula>"PAGOS EN CHEQUE"</formula>
    </cfRule>
    <cfRule type="cellIs" dxfId="175" priority="2137" operator="equal">
      <formula>"CAJA CH. A.VILLON"</formula>
    </cfRule>
    <cfRule type="cellIs" dxfId="174" priority="2138" operator="equal">
      <formula>"PAGOS EN CHEQUE"</formula>
    </cfRule>
    <cfRule type="cellIs" dxfId="173" priority="2139" operator="equal">
      <formula>"ING. CARLOS ONETO"</formula>
    </cfRule>
    <cfRule type="cellIs" dxfId="172" priority="2140" operator="equal">
      <formula>"CAJA CH. A. VILLON"</formula>
    </cfRule>
    <cfRule type="cellIs" dxfId="171" priority="2141" operator="equal">
      <formula>"CAJA CH. A. ARIAS"</formula>
    </cfRule>
    <cfRule type="cellIs" dxfId="170" priority="2142" operator="equal">
      <formula>"CREDITO LOCAL"</formula>
    </cfRule>
    <cfRule type="cellIs" dxfId="169" priority="2143" operator="equal">
      <formula>"COMPRA LOCAL"</formula>
    </cfRule>
  </conditionalFormatting>
  <conditionalFormatting sqref="I96">
    <cfRule type="cellIs" dxfId="168" priority="2104" operator="equal">
      <formula>"PAGOS EN CHEQUE"</formula>
    </cfRule>
    <cfRule type="cellIs" dxfId="167" priority="2105" operator="equal">
      <formula>"CAJA CH. A.VILLON"</formula>
    </cfRule>
    <cfRule type="cellIs" dxfId="166" priority="2106" operator="equal">
      <formula>"PAGOS EN CHEQUE"</formula>
    </cfRule>
    <cfRule type="cellIs" dxfId="165" priority="2107" operator="equal">
      <formula>"ING. CARLOS ONETO"</formula>
    </cfRule>
    <cfRule type="cellIs" dxfId="164" priority="2108" operator="equal">
      <formula>"CAJA CH. A. VILLON"</formula>
    </cfRule>
    <cfRule type="cellIs" dxfId="163" priority="2109" operator="equal">
      <formula>"CAJA CH. A. ARIAS"</formula>
    </cfRule>
    <cfRule type="cellIs" dxfId="162" priority="2110" operator="equal">
      <formula>"CREDITO LOCAL"</formula>
    </cfRule>
    <cfRule type="cellIs" dxfId="161" priority="2111" operator="equal">
      <formula>"COMPRA LOCAL"</formula>
    </cfRule>
  </conditionalFormatting>
  <conditionalFormatting sqref="I97:I100">
    <cfRule type="cellIs" dxfId="160" priority="2096" operator="equal">
      <formula>"PAGOS EN CHEQUE"</formula>
    </cfRule>
    <cfRule type="cellIs" dxfId="159" priority="2097" operator="equal">
      <formula>"CAJA CH. A.VILLON"</formula>
    </cfRule>
    <cfRule type="cellIs" dxfId="158" priority="2098" operator="equal">
      <formula>"PAGOS EN CHEQUE"</formula>
    </cfRule>
    <cfRule type="cellIs" dxfId="157" priority="2099" operator="equal">
      <formula>"ING. CARLOS ONETO"</formula>
    </cfRule>
    <cfRule type="cellIs" dxfId="156" priority="2100" operator="equal">
      <formula>"CAJA CH. A. VILLON"</formula>
    </cfRule>
    <cfRule type="cellIs" dxfId="155" priority="2101" operator="equal">
      <formula>"CAJA CH. A. ARIAS"</formula>
    </cfRule>
    <cfRule type="cellIs" dxfId="154" priority="2102" operator="equal">
      <formula>"CREDITO LOCAL"</formula>
    </cfRule>
    <cfRule type="cellIs" dxfId="153" priority="2103" operator="equal">
      <formula>"COMPRA LOCAL"</formula>
    </cfRule>
  </conditionalFormatting>
  <conditionalFormatting sqref="Q9:Q19">
    <cfRule type="iconSet" priority="38415">
      <iconSet showValue="0">
        <cfvo type="percent" val="0"/>
        <cfvo type="num" val="0" gte="0"/>
        <cfvo type="num" val="2"/>
      </iconSet>
    </cfRule>
  </conditionalFormatting>
  <conditionalFormatting sqref="Q24:Q77">
    <cfRule type="iconSet" priority="38440">
      <iconSet showValue="0">
        <cfvo type="percent" val="0"/>
        <cfvo type="num" val="0" gte="0"/>
        <cfvo type="num" val="2"/>
      </iconSet>
    </cfRule>
  </conditionalFormatting>
  <conditionalFormatting sqref="I104">
    <cfRule type="cellIs" dxfId="152" priority="1856" operator="equal">
      <formula>"PAGOS EN CHEQUE"</formula>
    </cfRule>
    <cfRule type="cellIs" dxfId="151" priority="1857" operator="equal">
      <formula>"CAJA CH. A.VILLON"</formula>
    </cfRule>
    <cfRule type="cellIs" dxfId="150" priority="1858" operator="equal">
      <formula>"PAGOS EN CHEQUE"</formula>
    </cfRule>
    <cfRule type="cellIs" dxfId="149" priority="1859" operator="equal">
      <formula>"ING. CARLOS ONETO"</formula>
    </cfRule>
    <cfRule type="cellIs" dxfId="148" priority="1860" operator="equal">
      <formula>"CAJA CH. A. VILLON"</formula>
    </cfRule>
    <cfRule type="cellIs" dxfId="147" priority="1861" operator="equal">
      <formula>"CAJA CH. A. ARIAS"</formula>
    </cfRule>
    <cfRule type="cellIs" dxfId="146" priority="1862" operator="equal">
      <formula>"CREDITO LOCAL"</formula>
    </cfRule>
    <cfRule type="cellIs" dxfId="145" priority="1863" operator="equal">
      <formula>"COMPRA LOCAL"</formula>
    </cfRule>
  </conditionalFormatting>
  <conditionalFormatting sqref="I106">
    <cfRule type="cellIs" dxfId="144" priority="1800" operator="equal">
      <formula>"PAGOS EN CHEQUE"</formula>
    </cfRule>
    <cfRule type="cellIs" dxfId="143" priority="1801" operator="equal">
      <formula>"CAJA CH. A.VILLON"</formula>
    </cfRule>
    <cfRule type="cellIs" dxfId="142" priority="1802" operator="equal">
      <formula>"PAGOS EN CHEQUE"</formula>
    </cfRule>
    <cfRule type="cellIs" dxfId="141" priority="1803" operator="equal">
      <formula>"ING. CARLOS ONETO"</formula>
    </cfRule>
    <cfRule type="cellIs" dxfId="140" priority="1804" operator="equal">
      <formula>"CAJA CH. A. VILLON"</formula>
    </cfRule>
    <cfRule type="cellIs" dxfId="139" priority="1805" operator="equal">
      <formula>"CAJA CH. A. ARIAS"</formula>
    </cfRule>
    <cfRule type="cellIs" dxfId="138" priority="1806" operator="equal">
      <formula>"CREDITO LOCAL"</formula>
    </cfRule>
    <cfRule type="cellIs" dxfId="137" priority="1807" operator="equal">
      <formula>"COMPRA LOCAL"</formula>
    </cfRule>
  </conditionalFormatting>
  <conditionalFormatting sqref="I111:I115">
    <cfRule type="cellIs" dxfId="136" priority="1702" operator="equal">
      <formula>"PAGOS EN CHEQUE"</formula>
    </cfRule>
    <cfRule type="cellIs" dxfId="135" priority="1703" operator="equal">
      <formula>"CAJA CH. A.VILLON"</formula>
    </cfRule>
    <cfRule type="cellIs" dxfId="134" priority="1704" operator="equal">
      <formula>"PAGOS EN CHEQUE"</formula>
    </cfRule>
    <cfRule type="cellIs" dxfId="133" priority="1705" operator="equal">
      <formula>"ING. CARLOS ONETO"</formula>
    </cfRule>
    <cfRule type="cellIs" dxfId="132" priority="1706" operator="equal">
      <formula>"CAJA CH. A. VILLON"</formula>
    </cfRule>
    <cfRule type="cellIs" dxfId="131" priority="1707" operator="equal">
      <formula>"CAJA CH. A. ARIAS"</formula>
    </cfRule>
    <cfRule type="cellIs" dxfId="130" priority="1708" operator="equal">
      <formula>"CREDITO LOCAL"</formula>
    </cfRule>
    <cfRule type="cellIs" dxfId="129" priority="1709" operator="equal">
      <formula>"COMPRA LOCAL"</formula>
    </cfRule>
  </conditionalFormatting>
  <conditionalFormatting sqref="I122:I132">
    <cfRule type="cellIs" dxfId="128" priority="1478" operator="equal">
      <formula>"PAGOS EN CHEQUE"</formula>
    </cfRule>
    <cfRule type="cellIs" dxfId="127" priority="1479" operator="equal">
      <formula>"CAJA CH. A.VILLON"</formula>
    </cfRule>
    <cfRule type="cellIs" dxfId="126" priority="1480" operator="equal">
      <formula>"PAGOS EN CHEQUE"</formula>
    </cfRule>
    <cfRule type="cellIs" dxfId="125" priority="1481" operator="equal">
      <formula>"ING. CARLOS ONETO"</formula>
    </cfRule>
    <cfRule type="cellIs" dxfId="124" priority="1482" operator="equal">
      <formula>"CAJA CH. A. VILLON"</formula>
    </cfRule>
    <cfRule type="cellIs" dxfId="123" priority="1483" operator="equal">
      <formula>"CAJA CH. A. ARIAS"</formula>
    </cfRule>
    <cfRule type="cellIs" dxfId="122" priority="1484" operator="equal">
      <formula>"CREDITO LOCAL"</formula>
    </cfRule>
    <cfRule type="cellIs" dxfId="121" priority="1485" operator="equal">
      <formula>"COMPRA LOCAL"</formula>
    </cfRule>
  </conditionalFormatting>
  <conditionalFormatting sqref="I133:I148">
    <cfRule type="cellIs" dxfId="120" priority="1470" operator="equal">
      <formula>"PAGOS EN CHEQUE"</formula>
    </cfRule>
    <cfRule type="cellIs" dxfId="119" priority="1471" operator="equal">
      <formula>"CAJA CH. A.VILLON"</formula>
    </cfRule>
    <cfRule type="cellIs" dxfId="118" priority="1472" operator="equal">
      <formula>"PAGOS EN CHEQUE"</formula>
    </cfRule>
    <cfRule type="cellIs" dxfId="117" priority="1473" operator="equal">
      <formula>"ING. CARLOS ONETO"</formula>
    </cfRule>
    <cfRule type="cellIs" dxfId="116" priority="1474" operator="equal">
      <formula>"CAJA CH. A. VILLON"</formula>
    </cfRule>
    <cfRule type="cellIs" dxfId="115" priority="1475" operator="equal">
      <formula>"CAJA CH. A. ARIAS"</formula>
    </cfRule>
    <cfRule type="cellIs" dxfId="114" priority="1476" operator="equal">
      <formula>"CREDITO LOCAL"</formula>
    </cfRule>
    <cfRule type="cellIs" dxfId="113" priority="1477" operator="equal">
      <formula>"COMPRA LOCAL"</formula>
    </cfRule>
  </conditionalFormatting>
  <conditionalFormatting sqref="I150">
    <cfRule type="cellIs" dxfId="112" priority="1422" operator="equal">
      <formula>"PAGOS EN CHEQUE"</formula>
    </cfRule>
    <cfRule type="cellIs" dxfId="111" priority="1423" operator="equal">
      <formula>"CAJA CH. A.VILLON"</formula>
    </cfRule>
    <cfRule type="cellIs" dxfId="110" priority="1424" operator="equal">
      <formula>"PAGOS EN CHEQUE"</formula>
    </cfRule>
    <cfRule type="cellIs" dxfId="109" priority="1425" operator="equal">
      <formula>"ING. CARLOS ONETO"</formula>
    </cfRule>
    <cfRule type="cellIs" dxfId="108" priority="1426" operator="equal">
      <formula>"CAJA CH. A. VILLON"</formula>
    </cfRule>
    <cfRule type="cellIs" dxfId="107" priority="1427" operator="equal">
      <formula>"CAJA CH. A. ARIAS"</formula>
    </cfRule>
    <cfRule type="cellIs" dxfId="106" priority="1428" operator="equal">
      <formula>"CREDITO LOCAL"</formula>
    </cfRule>
    <cfRule type="cellIs" dxfId="105" priority="1429" operator="equal">
      <formula>"COMPRA LOCAL"</formula>
    </cfRule>
  </conditionalFormatting>
  <conditionalFormatting sqref="I152:I154">
    <cfRule type="cellIs" dxfId="104" priority="1229" operator="equal">
      <formula>"PAGOS EN CHEQUE"</formula>
    </cfRule>
    <cfRule type="cellIs" dxfId="103" priority="1230" operator="equal">
      <formula>"CAJA CH. A.VILLON"</formula>
    </cfRule>
    <cfRule type="cellIs" dxfId="102" priority="1231" operator="equal">
      <formula>"PAGOS EN CHEQUE"</formula>
    </cfRule>
    <cfRule type="cellIs" dxfId="101" priority="1232" operator="equal">
      <formula>"ING. CARLOS ONETO"</formula>
    </cfRule>
    <cfRule type="cellIs" dxfId="100" priority="1233" operator="equal">
      <formula>"CAJA CH. A. VILLON"</formula>
    </cfRule>
    <cfRule type="cellIs" dxfId="99" priority="1234" operator="equal">
      <formula>"CAJA CH. A. ARIAS"</formula>
    </cfRule>
    <cfRule type="cellIs" dxfId="98" priority="1235" operator="equal">
      <formula>"CREDITO LOCAL"</formula>
    </cfRule>
    <cfRule type="cellIs" dxfId="97" priority="1236" operator="equal">
      <formula>"COMPRA LOCAL"</formula>
    </cfRule>
  </conditionalFormatting>
  <conditionalFormatting sqref="I156:I159">
    <cfRule type="cellIs" dxfId="96" priority="1221" operator="equal">
      <formula>"PAGOS EN CHEQUE"</formula>
    </cfRule>
    <cfRule type="cellIs" dxfId="95" priority="1222" operator="equal">
      <formula>"CAJA CH. A.VILLON"</formula>
    </cfRule>
    <cfRule type="cellIs" dxfId="94" priority="1223" operator="equal">
      <formula>"PAGOS EN CHEQUE"</formula>
    </cfRule>
    <cfRule type="cellIs" dxfId="93" priority="1224" operator="equal">
      <formula>"ING. CARLOS ONETO"</formula>
    </cfRule>
    <cfRule type="cellIs" dxfId="92" priority="1225" operator="equal">
      <formula>"CAJA CH. A. VILLON"</formula>
    </cfRule>
    <cfRule type="cellIs" dxfId="91" priority="1226" operator="equal">
      <formula>"CAJA CH. A. ARIAS"</formula>
    </cfRule>
    <cfRule type="cellIs" dxfId="90" priority="1227" operator="equal">
      <formula>"CREDITO LOCAL"</formula>
    </cfRule>
    <cfRule type="cellIs" dxfId="89" priority="1228" operator="equal">
      <formula>"COMPRA LOCAL"</formula>
    </cfRule>
  </conditionalFormatting>
  <conditionalFormatting sqref="I163:I166">
    <cfRule type="cellIs" dxfId="88" priority="1099" operator="equal">
      <formula>"PAGOS EN CHEQUE"</formula>
    </cfRule>
    <cfRule type="cellIs" dxfId="87" priority="1100" operator="equal">
      <formula>"CAJA CH. A.VILLON"</formula>
    </cfRule>
    <cfRule type="cellIs" dxfId="86" priority="1101" operator="equal">
      <formula>"PAGOS EN CHEQUE"</formula>
    </cfRule>
    <cfRule type="cellIs" dxfId="85" priority="1102" operator="equal">
      <formula>"ING. CARLOS ONETO"</formula>
    </cfRule>
    <cfRule type="cellIs" dxfId="84" priority="1103" operator="equal">
      <formula>"CAJA CH. A. VILLON"</formula>
    </cfRule>
    <cfRule type="cellIs" dxfId="83" priority="1104" operator="equal">
      <formula>"CAJA CH. A. ARIAS"</formula>
    </cfRule>
    <cfRule type="cellIs" dxfId="82" priority="1105" operator="equal">
      <formula>"CREDITO LOCAL"</formula>
    </cfRule>
    <cfRule type="cellIs" dxfId="81" priority="1106" operator="equal">
      <formula>"COMPRA LOCAL"</formula>
    </cfRule>
  </conditionalFormatting>
  <conditionalFormatting sqref="I169">
    <cfRule type="cellIs" dxfId="80" priority="1042" operator="equal">
      <formula>"PAGOS EN CHEQUE"</formula>
    </cfRule>
    <cfRule type="cellIs" dxfId="79" priority="1043" operator="equal">
      <formula>"CAJA CH. A.VILLON"</formula>
    </cfRule>
    <cfRule type="cellIs" dxfId="78" priority="1044" operator="equal">
      <formula>"PAGOS EN CHEQUE"</formula>
    </cfRule>
    <cfRule type="cellIs" dxfId="77" priority="1045" operator="equal">
      <formula>"ING. CARLOS ONETO"</formula>
    </cfRule>
    <cfRule type="cellIs" dxfId="76" priority="1046" operator="equal">
      <formula>"CAJA CH. A. VILLON"</formula>
    </cfRule>
    <cfRule type="cellIs" dxfId="75" priority="1047" operator="equal">
      <formula>"CAJA CH. A. ARIAS"</formula>
    </cfRule>
    <cfRule type="cellIs" dxfId="74" priority="1048" operator="equal">
      <formula>"CREDITO LOCAL"</formula>
    </cfRule>
    <cfRule type="cellIs" dxfId="73" priority="1049" operator="equal">
      <formula>"COMPRA LOCAL"</formula>
    </cfRule>
  </conditionalFormatting>
  <conditionalFormatting sqref="I170">
    <cfRule type="cellIs" dxfId="72" priority="1026" operator="equal">
      <formula>"PAGOS EN CHEQUE"</formula>
    </cfRule>
    <cfRule type="cellIs" dxfId="71" priority="1027" operator="equal">
      <formula>"CAJA CH. A.VILLON"</formula>
    </cfRule>
    <cfRule type="cellIs" dxfId="70" priority="1028" operator="equal">
      <formula>"PAGOS EN CHEQUE"</formula>
    </cfRule>
    <cfRule type="cellIs" dxfId="69" priority="1029" operator="equal">
      <formula>"ING. CARLOS ONETO"</formula>
    </cfRule>
    <cfRule type="cellIs" dxfId="68" priority="1030" operator="equal">
      <formula>"CAJA CH. A. VILLON"</formula>
    </cfRule>
    <cfRule type="cellIs" dxfId="67" priority="1031" operator="equal">
      <formula>"CAJA CH. A. ARIAS"</formula>
    </cfRule>
    <cfRule type="cellIs" dxfId="66" priority="1032" operator="equal">
      <formula>"CREDITO LOCAL"</formula>
    </cfRule>
    <cfRule type="cellIs" dxfId="65" priority="1033" operator="equal">
      <formula>"COMPRA LOCAL"</formula>
    </cfRule>
  </conditionalFormatting>
  <conditionalFormatting sqref="I248">
    <cfRule type="cellIs" dxfId="64" priority="954" operator="equal">
      <formula>"PAGOS EN CHEQUE"</formula>
    </cfRule>
    <cfRule type="cellIs" dxfId="63" priority="955" operator="equal">
      <formula>"CAJA CH. A.VILLON"</formula>
    </cfRule>
    <cfRule type="cellIs" dxfId="62" priority="956" operator="equal">
      <formula>"PAGOS EN CHEQUE"</formula>
    </cfRule>
    <cfRule type="cellIs" dxfId="61" priority="957" operator="equal">
      <formula>"ING. CARLOS ONETO"</formula>
    </cfRule>
    <cfRule type="cellIs" dxfId="60" priority="958" operator="equal">
      <formula>"CAJA CH. A. VILLON"</formula>
    </cfRule>
    <cfRule type="cellIs" dxfId="59" priority="959" operator="equal">
      <formula>"CAJA CH. A. ARIAS"</formula>
    </cfRule>
    <cfRule type="cellIs" dxfId="58" priority="960" operator="equal">
      <formula>"CREDITO LOCAL"</formula>
    </cfRule>
    <cfRule type="cellIs" dxfId="57" priority="961" operator="equal">
      <formula>"COMPRA LOCAL"</formula>
    </cfRule>
  </conditionalFormatting>
  <conditionalFormatting sqref="I249:I251">
    <cfRule type="cellIs" dxfId="56" priority="946" operator="equal">
      <formula>"PAGOS EN CHEQUE"</formula>
    </cfRule>
    <cfRule type="cellIs" dxfId="55" priority="947" operator="equal">
      <formula>"CAJA CH. A.VILLON"</formula>
    </cfRule>
    <cfRule type="cellIs" dxfId="54" priority="948" operator="equal">
      <formula>"PAGOS EN CHEQUE"</formula>
    </cfRule>
    <cfRule type="cellIs" dxfId="53" priority="949" operator="equal">
      <formula>"ING. CARLOS ONETO"</formula>
    </cfRule>
    <cfRule type="cellIs" dxfId="52" priority="950" operator="equal">
      <formula>"CAJA CH. A. VILLON"</formula>
    </cfRule>
    <cfRule type="cellIs" dxfId="51" priority="951" operator="equal">
      <formula>"CAJA CH. A. ARIAS"</formula>
    </cfRule>
    <cfRule type="cellIs" dxfId="50" priority="952" operator="equal">
      <formula>"CREDITO LOCAL"</formula>
    </cfRule>
    <cfRule type="cellIs" dxfId="49" priority="953" operator="equal">
      <formula>"COMPRA LOCAL"</formula>
    </cfRule>
  </conditionalFormatting>
  <conditionalFormatting sqref="I174:I246">
    <cfRule type="cellIs" dxfId="48" priority="872" operator="equal">
      <formula>"PAGOS EN CHEQUE"</formula>
    </cfRule>
    <cfRule type="cellIs" dxfId="47" priority="873" operator="equal">
      <formula>"CAJA CH. A.VILLON"</formula>
    </cfRule>
    <cfRule type="cellIs" dxfId="46" priority="874" operator="equal">
      <formula>"PAGOS EN CHEQUE"</formula>
    </cfRule>
    <cfRule type="cellIs" dxfId="45" priority="875" operator="equal">
      <formula>"ING. CARLOS ONETO"</formula>
    </cfRule>
    <cfRule type="cellIs" dxfId="44" priority="876" operator="equal">
      <formula>"CAJA CH. A. VILLON"</formula>
    </cfRule>
    <cfRule type="cellIs" dxfId="43" priority="877" operator="equal">
      <formula>"CAJA CH. A. ARIAS"</formula>
    </cfRule>
    <cfRule type="cellIs" dxfId="42" priority="878" operator="equal">
      <formula>"CREDITO LOCAL"</formula>
    </cfRule>
    <cfRule type="cellIs" dxfId="41" priority="879" operator="equal">
      <formula>"COMPRA LOCAL"</formula>
    </cfRule>
  </conditionalFormatting>
  <conditionalFormatting sqref="Q80:Q82">
    <cfRule type="iconSet" priority="39011">
      <iconSet showValue="0">
        <cfvo type="percent" val="0"/>
        <cfvo type="num" val="0" gte="0"/>
        <cfvo type="num" val="2"/>
      </iconSet>
    </cfRule>
  </conditionalFormatting>
  <conditionalFormatting sqref="I265:I266">
    <cfRule type="cellIs" dxfId="40" priority="751" operator="equal">
      <formula>"PAGOS EN CHEQUE"</formula>
    </cfRule>
    <cfRule type="cellIs" dxfId="39" priority="752" operator="equal">
      <formula>"CAJA CH. A.VILLON"</formula>
    </cfRule>
    <cfRule type="cellIs" dxfId="38" priority="753" operator="equal">
      <formula>"PAGOS EN CHEQUE"</formula>
    </cfRule>
    <cfRule type="cellIs" dxfId="37" priority="754" operator="equal">
      <formula>"ING. CARLOS ONETO"</formula>
    </cfRule>
    <cfRule type="cellIs" dxfId="36" priority="755" operator="equal">
      <formula>"CAJA CH. A. VILLON"</formula>
    </cfRule>
    <cfRule type="cellIs" dxfId="35" priority="756" operator="equal">
      <formula>"CAJA CH. A. ARIAS"</formula>
    </cfRule>
    <cfRule type="cellIs" dxfId="34" priority="757" operator="equal">
      <formula>"CREDITO LOCAL"</formula>
    </cfRule>
    <cfRule type="cellIs" dxfId="33" priority="758" operator="equal">
      <formula>"COMPRA LOCAL"</formula>
    </cfRule>
  </conditionalFormatting>
  <conditionalFormatting sqref="I269">
    <cfRule type="cellIs" dxfId="32" priority="718" operator="equal">
      <formula>"PAGOS EN CHEQUE"</formula>
    </cfRule>
    <cfRule type="cellIs" dxfId="31" priority="719" operator="equal">
      <formula>"CAJA CH. A.VILLON"</formula>
    </cfRule>
    <cfRule type="cellIs" dxfId="30" priority="720" operator="equal">
      <formula>"PAGOS EN CHEQUE"</formula>
    </cfRule>
    <cfRule type="cellIs" dxfId="29" priority="721" operator="equal">
      <formula>"ING. CARLOS ONETO"</formula>
    </cfRule>
    <cfRule type="cellIs" dxfId="28" priority="722" operator="equal">
      <formula>"CAJA CH. A. VILLON"</formula>
    </cfRule>
    <cfRule type="cellIs" dxfId="27" priority="723" operator="equal">
      <formula>"CAJA CH. A. ARIAS"</formula>
    </cfRule>
    <cfRule type="cellIs" dxfId="26" priority="724" operator="equal">
      <formula>"CREDITO LOCAL"</formula>
    </cfRule>
    <cfRule type="cellIs" dxfId="25" priority="725" operator="equal">
      <formula>"COMPRA LOCAL"</formula>
    </cfRule>
  </conditionalFormatting>
  <conditionalFormatting sqref="Q78:Q79">
    <cfRule type="iconSet" priority="39123">
      <iconSet showValue="0">
        <cfvo type="percent" val="0"/>
        <cfvo type="num" val="0" gte="0"/>
        <cfvo type="num" val="2"/>
      </iconSet>
    </cfRule>
  </conditionalFormatting>
  <conditionalFormatting sqref="Q20">
    <cfRule type="iconSet" priority="39293">
      <iconSet showValue="0">
        <cfvo type="percent" val="0"/>
        <cfvo type="num" val="0" gte="0"/>
        <cfvo type="num" val="2"/>
      </iconSet>
    </cfRule>
  </conditionalFormatting>
  <conditionalFormatting sqref="I275">
    <cfRule type="cellIs" dxfId="24" priority="242" operator="equal">
      <formula>"PAGOS EN CHEQUE"</formula>
    </cfRule>
    <cfRule type="cellIs" dxfId="23" priority="243" operator="equal">
      <formula>"CAJA CH. A.VILLON"</formula>
    </cfRule>
    <cfRule type="cellIs" dxfId="22" priority="244" operator="equal">
      <formula>"PAGOS EN CHEQUE"</formula>
    </cfRule>
    <cfRule type="cellIs" dxfId="21" priority="245" operator="equal">
      <formula>"ING. CARLOS ONETO"</formula>
    </cfRule>
    <cfRule type="cellIs" dxfId="20" priority="246" operator="equal">
      <formula>"CAJA CH. A. VILLON"</formula>
    </cfRule>
    <cfRule type="cellIs" dxfId="19" priority="247" operator="equal">
      <formula>"CAJA CH. A. ARIAS"</formula>
    </cfRule>
    <cfRule type="cellIs" dxfId="18" priority="248" operator="equal">
      <formula>"CREDITO LOCAL"</formula>
    </cfRule>
    <cfRule type="cellIs" dxfId="17" priority="249" operator="equal">
      <formula>"COMPRA LOCAL"</formula>
    </cfRule>
  </conditionalFormatting>
  <conditionalFormatting sqref="I3">
    <cfRule type="iconSet" priority="11">
      <iconSet>
        <cfvo type="percent" val="0"/>
        <cfvo type="num" val="1"/>
        <cfvo type="num" val="2"/>
      </iconSet>
    </cfRule>
  </conditionalFormatting>
  <conditionalFormatting sqref="H3:H5">
    <cfRule type="iconSet" priority="10">
      <iconSet showValue="0">
        <cfvo type="percent" val="0"/>
        <cfvo type="num" val="1"/>
        <cfvo type="num" val="2"/>
      </iconSet>
    </cfRule>
  </conditionalFormatting>
  <conditionalFormatting sqref="Q8">
    <cfRule type="iconSet" priority="40268">
      <iconSet showValue="0">
        <cfvo type="percent" val="0"/>
        <cfvo type="num" val="0" gte="0"/>
        <cfvo type="num" val="2"/>
      </iconSet>
    </cfRule>
  </conditionalFormatting>
  <conditionalFormatting sqref="Q83:Q101">
    <cfRule type="iconSet" priority="40271">
      <iconSet showValue="0">
        <cfvo type="percent" val="0"/>
        <cfvo type="num" val="0" gte="0"/>
        <cfvo type="num" val="2"/>
      </iconSet>
    </cfRule>
  </conditionalFormatting>
  <conditionalFormatting sqref="Q107:Q148">
    <cfRule type="iconSet" priority="40376">
      <iconSet showValue="0">
        <cfvo type="percent" val="0"/>
        <cfvo type="num" val="0" gte="0"/>
        <cfvo type="num" val="2"/>
      </iconSet>
    </cfRule>
  </conditionalFormatting>
  <conditionalFormatting sqref="Q102:Q106">
    <cfRule type="iconSet" priority="40455">
      <iconSet showValue="0">
        <cfvo type="percent" val="0"/>
        <cfvo type="num" val="0" gte="0"/>
        <cfvo type="num" val="2"/>
      </iconSet>
    </cfRule>
  </conditionalFormatting>
  <conditionalFormatting sqref="Q149:Q150">
    <cfRule type="iconSet" priority="40473">
      <iconSet showValue="0">
        <cfvo type="percent" val="0"/>
        <cfvo type="num" val="0" gte="0"/>
        <cfvo type="num" val="2"/>
      </iconSet>
    </cfRule>
  </conditionalFormatting>
  <conditionalFormatting sqref="Q151:Q160">
    <cfRule type="iconSet" priority="40482">
      <iconSet showValue="0">
        <cfvo type="percent" val="0"/>
        <cfvo type="num" val="0" gte="0"/>
        <cfvo type="num" val="2"/>
      </iconSet>
    </cfRule>
  </conditionalFormatting>
  <conditionalFormatting sqref="Q161">
    <cfRule type="iconSet" priority="40483">
      <iconSet showValue="0">
        <cfvo type="percent" val="0"/>
        <cfvo type="num" val="0" gte="0"/>
        <cfvo type="num" val="2"/>
      </iconSet>
    </cfRule>
  </conditionalFormatting>
  <conditionalFormatting sqref="Q162:Q172">
    <cfRule type="iconSet" priority="40500">
      <iconSet showValue="0">
        <cfvo type="percent" val="0"/>
        <cfvo type="num" val="0" gte="0"/>
        <cfvo type="num" val="2"/>
      </iconSet>
    </cfRule>
  </conditionalFormatting>
  <conditionalFormatting sqref="Q173:Q259">
    <cfRule type="iconSet" priority="40526">
      <iconSet showValue="0">
        <cfvo type="percent" val="0"/>
        <cfvo type="num" val="0" gte="0"/>
        <cfvo type="num" val="2"/>
      </iconSet>
    </cfRule>
  </conditionalFormatting>
  <conditionalFormatting sqref="Q260">
    <cfRule type="iconSet" priority="40545">
      <iconSet showValue="0">
        <cfvo type="percent" val="0"/>
        <cfvo type="num" val="0" gte="0"/>
        <cfvo type="num" val="2"/>
      </iconSet>
    </cfRule>
  </conditionalFormatting>
  <conditionalFormatting sqref="Q267:Q269">
    <cfRule type="iconSet" priority="40571">
      <iconSet showValue="0">
        <cfvo type="percent" val="0"/>
        <cfvo type="num" val="0" gte="0"/>
        <cfvo type="num" val="2"/>
      </iconSet>
    </cfRule>
  </conditionalFormatting>
  <conditionalFormatting sqref="Q261:Q266">
    <cfRule type="iconSet" priority="40661">
      <iconSet showValue="0">
        <cfvo type="percent" val="0"/>
        <cfvo type="num" val="0" gte="0"/>
        <cfvo type="num" val="2"/>
      </iconSet>
    </cfRule>
  </conditionalFormatting>
  <conditionalFormatting sqref="Q270:Q273">
    <cfRule type="iconSet" priority="40670">
      <iconSet showValue="0">
        <cfvo type="percent" val="0"/>
        <cfvo type="num" val="0" gte="0"/>
        <cfvo type="num" val="2"/>
      </iconSet>
    </cfRule>
  </conditionalFormatting>
  <conditionalFormatting sqref="Q274:Q276">
    <cfRule type="iconSet" priority="40671">
      <iconSet showValue="0">
        <cfvo type="percent" val="0"/>
        <cfvo type="num" val="0" gte="0"/>
        <cfvo type="num" val="2"/>
      </iconSet>
    </cfRule>
  </conditionalFormatting>
  <conditionalFormatting sqref="Q290:Q292">
    <cfRule type="iconSet" priority="40673">
      <iconSet showValue="0">
        <cfvo type="percent" val="0"/>
        <cfvo type="num" val="0" gte="0"/>
        <cfvo type="num" val="2"/>
      </iconSet>
    </cfRule>
  </conditionalFormatting>
  <conditionalFormatting sqref="Q293:Q338">
    <cfRule type="iconSet" priority="40674">
      <iconSet showValue="0">
        <cfvo type="percent" val="0"/>
        <cfvo type="num" val="0" gte="0"/>
        <cfvo type="num" val="2"/>
      </iconSet>
    </cfRule>
  </conditionalFormatting>
  <conditionalFormatting sqref="Q653:Q654">
    <cfRule type="iconSet" priority="40724">
      <iconSet showValue="0">
        <cfvo type="percent" val="0"/>
        <cfvo type="num" val="0" gte="0"/>
        <cfvo type="num" val="2"/>
      </iconSet>
    </cfRule>
  </conditionalFormatting>
  <conditionalFormatting sqref="Q411:Q555">
    <cfRule type="iconSet" priority="40727">
      <iconSet showValue="0">
        <cfvo type="percent" val="0"/>
        <cfvo type="num" val="0" gte="0"/>
        <cfvo type="num" val="2"/>
      </iconSet>
    </cfRule>
  </conditionalFormatting>
  <conditionalFormatting sqref="Q354:Q385">
    <cfRule type="iconSet" priority="40737">
      <iconSet showValue="0">
        <cfvo type="percent" val="0"/>
        <cfvo type="num" val="0" gte="0"/>
        <cfvo type="num" val="2"/>
      </iconSet>
    </cfRule>
  </conditionalFormatting>
  <conditionalFormatting sqref="Q386:Q410">
    <cfRule type="iconSet" priority="40742">
      <iconSet showValue="0">
        <cfvo type="percent" val="0"/>
        <cfvo type="num" val="0" gte="0"/>
        <cfvo type="num" val="2"/>
      </iconSet>
    </cfRule>
  </conditionalFormatting>
  <conditionalFormatting sqref="Q339:Q351">
    <cfRule type="iconSet" priority="40748">
      <iconSet showValue="0">
        <cfvo type="percent" val="0"/>
        <cfvo type="num" val="0" gte="0"/>
        <cfvo type="num" val="2"/>
      </iconSet>
    </cfRule>
  </conditionalFormatting>
  <conditionalFormatting sqref="Q277:Q289">
    <cfRule type="iconSet" priority="40749">
      <iconSet showValue="0">
        <cfvo type="percent" val="0"/>
        <cfvo type="num" val="0" gte="0"/>
        <cfvo type="num" val="2"/>
      </iconSet>
    </cfRule>
  </conditionalFormatting>
  <conditionalFormatting sqref="Q556:Q652">
    <cfRule type="iconSet" priority="40750">
      <iconSet showValue="0">
        <cfvo type="percent" val="0"/>
        <cfvo type="num" val="0" gte="0"/>
        <cfvo type="num" val="2"/>
      </iconSet>
    </cfRule>
  </conditionalFormatting>
  <conditionalFormatting sqref="Q655:Q712">
    <cfRule type="iconSet" priority="40751">
      <iconSet showValue="0">
        <cfvo type="percent" val="0"/>
        <cfvo type="num" val="0" gte="0"/>
        <cfvo type="num" val="2"/>
      </iconSet>
    </cfRule>
  </conditionalFormatting>
  <conditionalFormatting sqref="Q713:Q752">
    <cfRule type="iconSet" priority="40766">
      <iconSet showValue="0">
        <cfvo type="percent" val="0"/>
        <cfvo type="num" val="0" gte="0"/>
        <cfvo type="num" val="2"/>
      </iconSet>
    </cfRule>
  </conditionalFormatting>
  <conditionalFormatting sqref="Q352:Q353">
    <cfRule type="iconSet" priority="40768">
      <iconSet showValue="0">
        <cfvo type="percent" val="0"/>
        <cfvo type="num" val="0" gte="0"/>
        <cfvo type="num" val="2"/>
      </iconSet>
    </cfRule>
  </conditionalFormatting>
  <conditionalFormatting sqref="Q753:Q765">
    <cfRule type="iconSet" priority="40770">
      <iconSet showValue="0">
        <cfvo type="percent" val="0"/>
        <cfvo type="num" val="0" gte="0"/>
        <cfvo type="num" val="2"/>
      </iconSet>
    </cfRule>
  </conditionalFormatting>
  <conditionalFormatting sqref="Q766:Q923">
    <cfRule type="iconSet" priority="1">
      <iconSet showValue="0">
        <cfvo type="percent" val="0"/>
        <cfvo type="num" val="0" gte="0"/>
        <cfvo type="num" val="2"/>
      </iconSet>
    </cfRule>
  </conditionalFormatting>
  <dataValidations count="1">
    <dataValidation type="list" allowBlank="1" showInputMessage="1" showErrorMessage="1" sqref="I8:I923">
      <formula1>SOLICITANTES</formula1>
    </dataValidation>
  </dataValidations>
  <printOptions horizontalCentered="1"/>
  <pageMargins left="0.19685039370078741" right="0.19685039370078741" top="0.39370078740157483" bottom="0.19685039370078741" header="0.11811023622047245" footer="0.31496062992125984"/>
  <pageSetup paperSize="9" scale="50" orientation="landscape" horizontalDpi="120" verticalDpi="72" r:id="rId1"/>
  <headerFooter>
    <oddHeader>&amp;L&amp;"-,Negrita Cursiva"&amp;18FORTIDEX S.A. - DATA&amp;C&amp;"-,Negrita Cursiva"&amp;18REPORTE DE REQUISICIONES DE MATERIALES&amp;R&amp;"-,Negrita Cursiva"&amp;14&amp;P</oddHeader>
  </headerFooter>
  <ignoredErrors>
    <ignoredError sqref="K9:R9 K96:M100 N96:Q100 K8:R8 K10:R10 K11:R12 K13:R19 K21:R23 K24:R60 K61:R61 K62:R77 K78:R78 K79:R79 K80:R80 K82:R82 K81:R81 K151:R151 K152:R159 K160:R160 K20:R20" calculatedColumn="1"/>
  </ignoredError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H22"/>
  <sheetViews>
    <sheetView topLeftCell="A57" zoomScale="90" zoomScaleNormal="90" workbookViewId="0">
      <selection activeCell="M65" sqref="M65"/>
    </sheetView>
  </sheetViews>
  <sheetFormatPr baseColWidth="10" defaultRowHeight="12" x14ac:dyDescent="0.2"/>
  <cols>
    <col min="1" max="1" width="4.28515625" style="161" customWidth="1"/>
    <col min="2" max="2" width="45.7109375" style="161" customWidth="1"/>
    <col min="3" max="3" width="11.42578125" style="162"/>
    <col min="4" max="4" width="9.7109375" style="162" customWidth="1"/>
    <col min="5" max="5" width="52.7109375" style="162" customWidth="1"/>
    <col min="6" max="6" width="11.42578125" style="162"/>
    <col min="7" max="7" width="15.5703125" style="161" customWidth="1"/>
    <col min="8" max="8" width="9.85546875" style="161" customWidth="1"/>
    <col min="9" max="16384" width="11.42578125" style="161"/>
  </cols>
  <sheetData>
    <row r="3" spans="2:8" ht="12.75" thickBot="1" x14ac:dyDescent="0.25"/>
    <row r="4" spans="2:8" ht="24.75" thickBot="1" x14ac:dyDescent="0.25">
      <c r="B4" s="171" t="s">
        <v>1620</v>
      </c>
      <c r="C4" s="172" t="s">
        <v>1635</v>
      </c>
      <c r="D4" s="172" t="s">
        <v>1623</v>
      </c>
      <c r="E4" s="171" t="s">
        <v>1621</v>
      </c>
      <c r="F4" s="171" t="s">
        <v>1622</v>
      </c>
      <c r="G4" s="171" t="s">
        <v>1637</v>
      </c>
      <c r="H4" s="172" t="s">
        <v>1641</v>
      </c>
    </row>
    <row r="5" spans="2:8" ht="12.75" thickBot="1" x14ac:dyDescent="0.25">
      <c r="B5" s="163" t="s">
        <v>116</v>
      </c>
      <c r="C5" s="164">
        <v>44221</v>
      </c>
      <c r="D5" s="165">
        <v>10985</v>
      </c>
      <c r="E5" s="174" t="s">
        <v>1625</v>
      </c>
      <c r="F5" s="175">
        <v>28</v>
      </c>
      <c r="G5" s="272" t="s">
        <v>1638</v>
      </c>
      <c r="H5" s="269">
        <f>SUM(F5:F8)</f>
        <v>110</v>
      </c>
    </row>
    <row r="6" spans="2:8" ht="12.75" thickBot="1" x14ac:dyDescent="0.25">
      <c r="B6" s="166" t="s">
        <v>116</v>
      </c>
      <c r="C6" s="167">
        <v>44223</v>
      </c>
      <c r="D6" s="168">
        <v>11020</v>
      </c>
      <c r="E6" s="176" t="s">
        <v>1624</v>
      </c>
      <c r="F6" s="177">
        <v>28</v>
      </c>
      <c r="G6" s="273"/>
      <c r="H6" s="269"/>
    </row>
    <row r="7" spans="2:8" ht="12.75" thickBot="1" x14ac:dyDescent="0.25">
      <c r="B7" s="166" t="s">
        <v>116</v>
      </c>
      <c r="C7" s="167">
        <v>44224</v>
      </c>
      <c r="D7" s="168">
        <v>11038</v>
      </c>
      <c r="E7" s="176" t="s">
        <v>1632</v>
      </c>
      <c r="F7" s="177">
        <v>10</v>
      </c>
      <c r="G7" s="273"/>
      <c r="H7" s="269"/>
    </row>
    <row r="8" spans="2:8" ht="12.75" thickBot="1" x14ac:dyDescent="0.25">
      <c r="B8" s="166" t="s">
        <v>116</v>
      </c>
      <c r="C8" s="167">
        <v>44244</v>
      </c>
      <c r="D8" s="168">
        <v>11228</v>
      </c>
      <c r="E8" s="176" t="s">
        <v>1626</v>
      </c>
      <c r="F8" s="177">
        <v>44</v>
      </c>
      <c r="G8" s="273"/>
      <c r="H8" s="269"/>
    </row>
    <row r="9" spans="2:8" ht="12.75" thickBot="1" x14ac:dyDescent="0.25">
      <c r="B9" s="180" t="s">
        <v>116</v>
      </c>
      <c r="C9" s="179">
        <v>44244</v>
      </c>
      <c r="D9" s="181">
        <v>11231</v>
      </c>
      <c r="E9" s="174" t="s">
        <v>1629</v>
      </c>
      <c r="F9" s="175">
        <v>24</v>
      </c>
      <c r="G9" s="272" t="s">
        <v>1639</v>
      </c>
      <c r="H9" s="269">
        <f>SUM(F9:F16)</f>
        <v>198</v>
      </c>
    </row>
    <row r="10" spans="2:8" ht="12.75" thickBot="1" x14ac:dyDescent="0.25">
      <c r="B10" s="166" t="s">
        <v>116</v>
      </c>
      <c r="C10" s="167">
        <v>44244</v>
      </c>
      <c r="D10" s="168">
        <v>11232</v>
      </c>
      <c r="E10" s="176" t="s">
        <v>1630</v>
      </c>
      <c r="F10" s="177">
        <v>24</v>
      </c>
      <c r="G10" s="273"/>
      <c r="H10" s="269"/>
    </row>
    <row r="11" spans="2:8" ht="12.75" thickBot="1" x14ac:dyDescent="0.25">
      <c r="B11" s="166" t="s">
        <v>116</v>
      </c>
      <c r="C11" s="167">
        <v>44244</v>
      </c>
      <c r="D11" s="168">
        <v>11233</v>
      </c>
      <c r="E11" s="176" t="s">
        <v>1631</v>
      </c>
      <c r="F11" s="177">
        <v>18</v>
      </c>
      <c r="G11" s="273"/>
      <c r="H11" s="269"/>
    </row>
    <row r="12" spans="2:8" ht="12.75" thickBot="1" x14ac:dyDescent="0.25">
      <c r="B12" s="166" t="s">
        <v>116</v>
      </c>
      <c r="C12" s="167">
        <v>44244</v>
      </c>
      <c r="D12" s="168">
        <v>11235</v>
      </c>
      <c r="E12" s="176" t="s">
        <v>1627</v>
      </c>
      <c r="F12" s="177">
        <v>40</v>
      </c>
      <c r="G12" s="273"/>
      <c r="H12" s="269"/>
    </row>
    <row r="13" spans="2:8" ht="12.75" thickBot="1" x14ac:dyDescent="0.25">
      <c r="B13" s="166" t="s">
        <v>116</v>
      </c>
      <c r="C13" s="167">
        <v>44244</v>
      </c>
      <c r="D13" s="168">
        <v>11236</v>
      </c>
      <c r="E13" s="176" t="s">
        <v>1628</v>
      </c>
      <c r="F13" s="177">
        <v>24</v>
      </c>
      <c r="G13" s="273"/>
      <c r="H13" s="269"/>
    </row>
    <row r="14" spans="2:8" ht="12.75" thickBot="1" x14ac:dyDescent="0.25">
      <c r="B14" s="187"/>
      <c r="C14" s="167">
        <v>44244</v>
      </c>
      <c r="D14" s="189">
        <v>11239</v>
      </c>
      <c r="E14" s="176" t="s">
        <v>1636</v>
      </c>
      <c r="F14" s="190">
        <v>20</v>
      </c>
      <c r="G14" s="273"/>
      <c r="H14" s="269"/>
    </row>
    <row r="15" spans="2:8" ht="12.75" thickBot="1" x14ac:dyDescent="0.25">
      <c r="B15" s="187"/>
      <c r="C15" s="188">
        <v>44250</v>
      </c>
      <c r="D15" s="189">
        <v>11299</v>
      </c>
      <c r="E15" s="195" t="s">
        <v>1717</v>
      </c>
      <c r="F15" s="190">
        <v>8</v>
      </c>
      <c r="G15" s="273"/>
      <c r="H15" s="269"/>
    </row>
    <row r="16" spans="2:8" ht="12.75" thickBot="1" x14ac:dyDescent="0.25">
      <c r="B16" s="169"/>
      <c r="C16" s="184">
        <v>44247</v>
      </c>
      <c r="D16" s="170"/>
      <c r="E16" s="194" t="s">
        <v>1666</v>
      </c>
      <c r="F16" s="178">
        <v>40</v>
      </c>
      <c r="G16" s="274"/>
      <c r="H16" s="269"/>
    </row>
    <row r="17" spans="2:8" ht="12.75" thickBot="1" x14ac:dyDescent="0.25"/>
    <row r="18" spans="2:8" x14ac:dyDescent="0.2">
      <c r="B18" s="163" t="s">
        <v>116</v>
      </c>
      <c r="C18" s="164">
        <v>44244</v>
      </c>
      <c r="D18" s="182">
        <v>11229</v>
      </c>
      <c r="E18" s="183" t="s">
        <v>1633</v>
      </c>
      <c r="F18" s="165">
        <v>40</v>
      </c>
      <c r="G18" s="267" t="s">
        <v>1640</v>
      </c>
      <c r="H18" s="270">
        <f>SUM(F18:F19)</f>
        <v>50</v>
      </c>
    </row>
    <row r="19" spans="2:8" ht="12.75" thickBot="1" x14ac:dyDescent="0.25">
      <c r="B19" s="169" t="s">
        <v>116</v>
      </c>
      <c r="C19" s="184">
        <v>44244</v>
      </c>
      <c r="D19" s="185">
        <v>11230</v>
      </c>
      <c r="E19" s="186" t="s">
        <v>1634</v>
      </c>
      <c r="F19" s="170">
        <v>10</v>
      </c>
      <c r="G19" s="268"/>
      <c r="H19" s="271"/>
    </row>
    <row r="20" spans="2:8" ht="12.75" thickBot="1" x14ac:dyDescent="0.25"/>
    <row r="21" spans="2:8" x14ac:dyDescent="0.2">
      <c r="C21" s="164">
        <v>44244</v>
      </c>
      <c r="D21" s="182">
        <v>11240</v>
      </c>
      <c r="E21" s="183" t="s">
        <v>1643</v>
      </c>
      <c r="F21" s="165">
        <v>20</v>
      </c>
      <c r="G21" s="192" t="s">
        <v>1642</v>
      </c>
      <c r="H21" s="173">
        <v>20</v>
      </c>
    </row>
    <row r="22" spans="2:8" ht="12.75" thickBot="1" x14ac:dyDescent="0.25">
      <c r="C22" s="184"/>
      <c r="D22" s="185"/>
      <c r="E22" s="186"/>
      <c r="F22" s="170"/>
      <c r="G22" s="191"/>
      <c r="H22" s="193"/>
    </row>
  </sheetData>
  <mergeCells count="6">
    <mergeCell ref="G18:G19"/>
    <mergeCell ref="H5:H8"/>
    <mergeCell ref="H9:H16"/>
    <mergeCell ref="H18:H19"/>
    <mergeCell ref="G9:G16"/>
    <mergeCell ref="G5:G8"/>
  </mergeCell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P24"/>
  <sheetViews>
    <sheetView workbookViewId="0">
      <selection activeCell="G23" sqref="G23"/>
    </sheetView>
  </sheetViews>
  <sheetFormatPr baseColWidth="10" defaultRowHeight="11.25" x14ac:dyDescent="0.2"/>
  <cols>
    <col min="1" max="1" width="11.42578125" style="99"/>
    <col min="2" max="2" width="6.7109375" style="98" customWidth="1"/>
    <col min="3" max="3" width="11.42578125" style="98"/>
    <col min="4" max="4" width="5.7109375" style="98" customWidth="1"/>
    <col min="5" max="5" width="6.7109375" style="98" customWidth="1"/>
    <col min="6" max="6" width="11.42578125" style="98"/>
    <col min="7" max="7" width="5.7109375" style="99" customWidth="1"/>
    <col min="8" max="8" width="6.7109375" style="98" customWidth="1"/>
    <col min="9" max="9" width="11.42578125" style="98"/>
    <col min="10" max="10" width="5.7109375" style="99" customWidth="1"/>
    <col min="11" max="11" width="6.7109375" style="98" customWidth="1"/>
    <col min="12" max="12" width="18.42578125" style="99" bestFit="1" customWidth="1"/>
    <col min="13" max="13" width="18.140625" style="99" bestFit="1" customWidth="1"/>
    <col min="14" max="14" width="5.7109375" style="99" customWidth="1"/>
    <col min="15" max="15" width="6.7109375" style="98" customWidth="1"/>
    <col min="16" max="16" width="20.5703125" style="99" bestFit="1" customWidth="1"/>
    <col min="17" max="16384" width="11.42578125" style="99"/>
  </cols>
  <sheetData>
    <row r="5" spans="2:16" x14ac:dyDescent="0.2">
      <c r="B5" s="104" t="s">
        <v>1275</v>
      </c>
      <c r="C5" s="104" t="s">
        <v>1272</v>
      </c>
      <c r="E5" s="103" t="s">
        <v>1275</v>
      </c>
      <c r="F5" s="103" t="s">
        <v>1273</v>
      </c>
      <c r="H5" s="102" t="s">
        <v>1275</v>
      </c>
      <c r="I5" s="102" t="s">
        <v>1274</v>
      </c>
      <c r="K5" s="101" t="s">
        <v>1275</v>
      </c>
      <c r="L5" s="101" t="s">
        <v>1289</v>
      </c>
      <c r="O5" s="100" t="s">
        <v>1275</v>
      </c>
      <c r="P5" s="100" t="s">
        <v>1315</v>
      </c>
    </row>
    <row r="6" spans="2:16" x14ac:dyDescent="0.2">
      <c r="B6" s="98" t="s">
        <v>1279</v>
      </c>
      <c r="C6" s="98">
        <v>1</v>
      </c>
      <c r="E6" s="98" t="s">
        <v>1302</v>
      </c>
      <c r="F6" s="98">
        <v>9</v>
      </c>
      <c r="H6" s="98" t="s">
        <v>1290</v>
      </c>
      <c r="I6" s="98">
        <v>1</v>
      </c>
      <c r="K6" s="98" t="s">
        <v>1305</v>
      </c>
      <c r="L6" s="99" t="s">
        <v>1304</v>
      </c>
      <c r="O6" s="98" t="s">
        <v>1319</v>
      </c>
      <c r="P6" s="99" t="s">
        <v>1316</v>
      </c>
    </row>
    <row r="7" spans="2:16" x14ac:dyDescent="0.2">
      <c r="B7" s="98" t="s">
        <v>1282</v>
      </c>
      <c r="C7" s="98">
        <f>C6+1</f>
        <v>2</v>
      </c>
      <c r="E7" s="98" t="s">
        <v>1303</v>
      </c>
      <c r="F7" s="98">
        <v>10</v>
      </c>
      <c r="H7" s="98" t="s">
        <v>1295</v>
      </c>
      <c r="I7" s="98">
        <f>I6+1</f>
        <v>2</v>
      </c>
      <c r="K7" s="98" t="s">
        <v>1306</v>
      </c>
      <c r="L7" s="99" t="s">
        <v>1307</v>
      </c>
      <c r="O7" s="98" t="s">
        <v>1320</v>
      </c>
      <c r="P7" s="99" t="s">
        <v>1317</v>
      </c>
    </row>
    <row r="8" spans="2:16" x14ac:dyDescent="0.2">
      <c r="B8" s="98" t="s">
        <v>1285</v>
      </c>
      <c r="C8" s="98">
        <f t="shared" ref="C8:C18" si="0">C7+1</f>
        <v>3</v>
      </c>
      <c r="E8" s="98" t="s">
        <v>1277</v>
      </c>
      <c r="F8" s="98" t="s">
        <v>1322</v>
      </c>
      <c r="H8" s="98" t="s">
        <v>1301</v>
      </c>
      <c r="I8" s="98">
        <f t="shared" ref="I8:I17" si="1">I7+1</f>
        <v>3</v>
      </c>
      <c r="K8" s="98" t="s">
        <v>1310</v>
      </c>
      <c r="L8" s="99" t="s">
        <v>1308</v>
      </c>
      <c r="M8" s="99" t="s">
        <v>1314</v>
      </c>
      <c r="O8" s="98" t="s">
        <v>1321</v>
      </c>
      <c r="P8" s="99" t="s">
        <v>1318</v>
      </c>
    </row>
    <row r="9" spans="2:16" x14ac:dyDescent="0.2">
      <c r="B9" s="98" t="s">
        <v>1286</v>
      </c>
      <c r="C9" s="98">
        <f t="shared" si="0"/>
        <v>4</v>
      </c>
      <c r="H9" s="98" t="s">
        <v>1296</v>
      </c>
      <c r="I9" s="98">
        <f t="shared" si="1"/>
        <v>4</v>
      </c>
      <c r="K9" s="98" t="s">
        <v>1311</v>
      </c>
      <c r="L9" s="99" t="s">
        <v>1309</v>
      </c>
      <c r="M9" s="99" t="s">
        <v>1314</v>
      </c>
    </row>
    <row r="10" spans="2:16" x14ac:dyDescent="0.2">
      <c r="B10" s="98" t="s">
        <v>1287</v>
      </c>
      <c r="C10" s="98">
        <f t="shared" si="0"/>
        <v>5</v>
      </c>
      <c r="H10" s="98" t="s">
        <v>1297</v>
      </c>
      <c r="I10" s="98">
        <f t="shared" si="1"/>
        <v>5</v>
      </c>
      <c r="K10" s="98" t="s">
        <v>1312</v>
      </c>
      <c r="L10" s="99" t="s">
        <v>1313</v>
      </c>
      <c r="M10" s="99" t="s">
        <v>1314</v>
      </c>
    </row>
    <row r="11" spans="2:16" x14ac:dyDescent="0.2">
      <c r="B11" s="98" t="s">
        <v>1288</v>
      </c>
      <c r="C11" s="98">
        <f t="shared" si="0"/>
        <v>6</v>
      </c>
      <c r="H11" s="98" t="s">
        <v>1298</v>
      </c>
      <c r="I11" s="98">
        <f t="shared" si="1"/>
        <v>6</v>
      </c>
    </row>
    <row r="12" spans="2:16" x14ac:dyDescent="0.2">
      <c r="B12" s="98" t="s">
        <v>1284</v>
      </c>
      <c r="C12" s="98">
        <f t="shared" si="0"/>
        <v>7</v>
      </c>
      <c r="H12" s="98" t="s">
        <v>1299</v>
      </c>
      <c r="I12" s="98">
        <f t="shared" si="1"/>
        <v>7</v>
      </c>
    </row>
    <row r="13" spans="2:16" x14ac:dyDescent="0.2">
      <c r="B13" s="98" t="s">
        <v>1276</v>
      </c>
      <c r="C13" s="98">
        <f t="shared" si="0"/>
        <v>8</v>
      </c>
      <c r="H13" s="98" t="s">
        <v>1300</v>
      </c>
      <c r="I13" s="98">
        <f t="shared" si="1"/>
        <v>8</v>
      </c>
    </row>
    <row r="14" spans="2:16" x14ac:dyDescent="0.2">
      <c r="B14" s="98" t="s">
        <v>1283</v>
      </c>
      <c r="C14" s="98">
        <f t="shared" si="0"/>
        <v>9</v>
      </c>
      <c r="H14" s="98" t="s">
        <v>1293</v>
      </c>
      <c r="I14" s="98">
        <f t="shared" si="1"/>
        <v>9</v>
      </c>
    </row>
    <row r="15" spans="2:16" x14ac:dyDescent="0.2">
      <c r="B15" s="98" t="s">
        <v>1280</v>
      </c>
      <c r="C15" s="98">
        <f t="shared" si="0"/>
        <v>10</v>
      </c>
      <c r="H15" s="98" t="s">
        <v>1294</v>
      </c>
      <c r="I15" s="98">
        <f t="shared" si="1"/>
        <v>10</v>
      </c>
    </row>
    <row r="16" spans="2:16" x14ac:dyDescent="0.2">
      <c r="B16" s="98" t="s">
        <v>1281</v>
      </c>
      <c r="C16" s="98">
        <f t="shared" si="0"/>
        <v>11</v>
      </c>
      <c r="H16" s="98" t="s">
        <v>1292</v>
      </c>
      <c r="I16" s="98">
        <f t="shared" si="1"/>
        <v>11</v>
      </c>
    </row>
    <row r="17" spans="2:9" x14ac:dyDescent="0.2">
      <c r="B17" s="98" t="s">
        <v>1277</v>
      </c>
      <c r="C17" s="98">
        <f t="shared" si="0"/>
        <v>12</v>
      </c>
      <c r="H17" s="98" t="s">
        <v>1291</v>
      </c>
      <c r="I17" s="98">
        <f t="shared" si="1"/>
        <v>12</v>
      </c>
    </row>
    <row r="18" spans="2:9" x14ac:dyDescent="0.2">
      <c r="B18" s="98" t="s">
        <v>1278</v>
      </c>
      <c r="C18" s="98">
        <f t="shared" si="0"/>
        <v>13</v>
      </c>
    </row>
    <row r="24" spans="2:9" x14ac:dyDescent="0.2">
      <c r="B24" s="98" t="s">
        <v>1323</v>
      </c>
      <c r="C24" s="105" t="s">
        <v>1324</v>
      </c>
    </row>
  </sheetData>
  <pageMargins left="0.7" right="0.7" top="0.75" bottom="0.75" header="0.3" footer="0.3"/>
  <pageSetup paperSize="9"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Props1.xml><?xml version="1.0" encoding="utf-8"?>
<ds:datastoreItem xmlns:ds="http://schemas.openxmlformats.org/officeDocument/2006/customXml" ds:itemID="{9D0B9332-F24E-46EF-914D-819D682D9904}">
  <ds:schemaRefs/>
</ds:datastoreItem>
</file>

<file path=customXml/itemProps2.xml><?xml version="1.0" encoding="utf-8"?>
<ds:datastoreItem xmlns:ds="http://schemas.openxmlformats.org/officeDocument/2006/customXml" ds:itemID="{059DBE2A-3AC6-462F-8C4F-B78CB758B7B2}">
  <ds:schemaRefs/>
</ds:datastoreItem>
</file>

<file path=customXml/itemProps3.xml><?xml version="1.0" encoding="utf-8"?>
<ds:datastoreItem xmlns:ds="http://schemas.openxmlformats.org/officeDocument/2006/customXml" ds:itemID="{081001B4-44E0-4082-A2F0-ACED803222F3}">
  <ds:schemaRefs/>
</ds:datastoreItem>
</file>

<file path=customXml/itemProps4.xml><?xml version="1.0" encoding="utf-8"?>
<ds:datastoreItem xmlns:ds="http://schemas.openxmlformats.org/officeDocument/2006/customXml" ds:itemID="{8A1E3949-6B1C-4E28-BCDE-BC40CA3AD61E}">
  <ds:schemaRefs/>
</ds:datastoreItem>
</file>

<file path=customXml/itemProps5.xml><?xml version="1.0" encoding="utf-8"?>
<ds:datastoreItem xmlns:ds="http://schemas.openxmlformats.org/officeDocument/2006/customXml" ds:itemID="{1B554A27-F311-45F0-8703-2B3A351213BA}">
  <ds:schemaRefs/>
</ds:datastoreItem>
</file>

<file path=customXml/itemProps6.xml><?xml version="1.0" encoding="utf-8"?>
<ds:datastoreItem xmlns:ds="http://schemas.openxmlformats.org/officeDocument/2006/customXml" ds:itemID="{D12A2756-7A8A-4000-BF4A-E07C593F96B9}">
  <ds:schemaRefs/>
</ds:datastoreItem>
</file>

<file path=customXml/itemProps7.xml><?xml version="1.0" encoding="utf-8"?>
<ds:datastoreItem xmlns:ds="http://schemas.openxmlformats.org/officeDocument/2006/customXml" ds:itemID="{7B0CA9CE-83AD-423B-99F9-B6F906784875}">
  <ds:schemaRefs/>
</ds:datastoreItem>
</file>

<file path=customXml/itemProps8.xml><?xml version="1.0" encoding="utf-8"?>
<ds:datastoreItem xmlns:ds="http://schemas.openxmlformats.org/officeDocument/2006/customXml" ds:itemID="{DE918995-37C0-4E80-B298-B26A2467336F}">
  <ds:schemaRefs/>
</ds:datastoreItem>
</file>

<file path=customXml/itemProps9.xml><?xml version="1.0" encoding="utf-8"?>
<ds:datastoreItem xmlns:ds="http://schemas.openxmlformats.org/officeDocument/2006/customXml" ds:itemID="{6CA6185A-2467-432E-BD13-D0C133ADAA48}">
  <ds:schemaRefs/>
</ds:datastoreItem>
</file>

<file path=customXml/itemProps10.xml><?xml version="1.0" encoding="utf-8"?>
<ds:datastoreItem xmlns:ds="http://schemas.openxmlformats.org/officeDocument/2006/customXml" ds:itemID="{9C43BEFA-36BC-47C9-9B77-6471D781DE1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5</vt:i4>
      </vt:variant>
    </vt:vector>
  </HeadingPairs>
  <TitlesOfParts>
    <vt:vector size="10" baseType="lpstr">
      <vt:lpstr>LISTA</vt:lpstr>
      <vt:lpstr>BD_FUENTE</vt:lpstr>
      <vt:lpstr>BD_DETALLE</vt:lpstr>
      <vt:lpstr>Hoja2</vt:lpstr>
      <vt:lpstr>Hoja1</vt:lpstr>
      <vt:lpstr>BD_DETALLE!Área_de_impresión</vt:lpstr>
      <vt:lpstr>BD_DETALLE</vt:lpstr>
      <vt:lpstr>REQUISICIONES</vt:lpstr>
      <vt:lpstr>SOLICITANTES</vt:lpstr>
      <vt:lpstr>BD_DETALLE!Títulos_a_imprimir</vt:lpstr>
    </vt:vector>
  </TitlesOfParts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Bodega Data</cp:lastModifiedBy>
  <cp:revision/>
  <cp:lastPrinted>2021-04-19T13:47:25Z</cp:lastPrinted>
  <dcterms:created xsi:type="dcterms:W3CDTF">2019-01-16T17:55:29Z</dcterms:created>
  <dcterms:modified xsi:type="dcterms:W3CDTF">2021-04-19T15:36:18Z</dcterms:modified>
</cp:coreProperties>
</file>